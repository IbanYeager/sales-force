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hidePivotFieldList="1" defaultThemeVersion="166925"/>
  <mc:AlternateContent xmlns:mc="http://schemas.openxmlformats.org/markup-compatibility/2006">
    <mc:Choice Requires="x15">
      <x15ac:absPath xmlns:x15ac="http://schemas.microsoft.com/office/spreadsheetml/2010/11/ac" url="/Users/dendiholius/Downloads/"/>
    </mc:Choice>
  </mc:AlternateContent>
  <xr:revisionPtr revIDLastSave="0" documentId="13_ncr:1_{F5D1439A-F182-0144-964D-17388AA01CA5}" xr6:coauthVersionLast="47" xr6:coauthVersionMax="47" xr10:uidLastSave="{00000000-0000-0000-0000-000000000000}"/>
  <bookViews>
    <workbookView showHorizontalScroll="0" showVerticalScroll="0" xWindow="0" yWindow="0" windowWidth="28800" windowHeight="18000" tabRatio="792" xr2:uid="{00000000-000D-0000-FFFF-FFFF00000000}"/>
  </bookViews>
  <sheets>
    <sheet name="DASH GRAFIK" sheetId="15" r:id="rId1"/>
    <sheet name="DASH GRAFIK 2" sheetId="20" r:id="rId2"/>
    <sheet name="SALESMAN" sheetId="37" r:id="rId3"/>
    <sheet name="Sheet6" sheetId="14" state="hidden" r:id="rId4"/>
    <sheet name="Sheet1" sheetId="36" state="hidden" r:id="rId5"/>
    <sheet name="SOURCE DATA" sheetId="12" r:id="rId6"/>
    <sheet name="PMA (2)" sheetId="35" state="hidden" r:id="rId7"/>
  </sheets>
  <externalReferences>
    <externalReference r:id="rId8"/>
  </externalReferences>
  <definedNames>
    <definedName name="_xlnm._FilterDatabase" localSheetId="5" hidden="1">'SOURCE DATA'!$A$1:$BM$513</definedName>
    <definedName name="SAPBEXrevision" hidden="1">1</definedName>
    <definedName name="SAPBEXsysID" hidden="1">"PBW"</definedName>
    <definedName name="SAPBEXwbID" hidden="1">"41K8DLTFUMDW6H0OKBOQV3PJK"</definedName>
    <definedName name="Slicer_Customer_Class">#N/A</definedName>
    <definedName name="Slicer_Method_Of_Payment">#N/A</definedName>
    <definedName name="Slicer_Model2">#N/A</definedName>
    <definedName name="Slicer_Month">#N/A</definedName>
    <definedName name="Slicer_Month1">#N/A</definedName>
    <definedName name="Slicer_Month2">#N/A</definedName>
    <definedName name="Slicer_Nama_Leasing">#N/A</definedName>
    <definedName name="Slicer_PMA">#N/A</definedName>
    <definedName name="Slicer_Profil_Pembelian">#N/A</definedName>
    <definedName name="Slicer_Sales_Person">#N/A</definedName>
    <definedName name="Slicer_Sumber_Prospek">#N/A</definedName>
    <definedName name="Slicer_Supervisor">#N/A</definedName>
    <definedName name="Slicer_Supervisor1">#N/A</definedName>
    <definedName name="Slicer_Supervisor2">#N/A</definedName>
  </definedNames>
  <calcPr calcId="191029"/>
  <pivotCaches>
    <pivotCache cacheId="107"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513" i="12" l="1"/>
  <c r="I513" i="12"/>
  <c r="H513" i="12"/>
  <c r="J512" i="12"/>
  <c r="I512" i="12"/>
  <c r="H512" i="12"/>
  <c r="J511" i="12"/>
  <c r="I511" i="12"/>
  <c r="H511" i="12"/>
  <c r="J510" i="12"/>
  <c r="I510" i="12"/>
  <c r="H510" i="12"/>
  <c r="J509" i="12"/>
  <c r="I509" i="12"/>
  <c r="H509" i="12"/>
  <c r="J508" i="12"/>
  <c r="I508" i="12"/>
  <c r="H508" i="12"/>
  <c r="J507" i="12"/>
  <c r="I507" i="12"/>
  <c r="H507" i="12"/>
  <c r="J506" i="12"/>
  <c r="I506" i="12"/>
  <c r="H506" i="12"/>
  <c r="J505" i="12"/>
  <c r="I505" i="12"/>
  <c r="H505" i="12"/>
  <c r="J504" i="12"/>
  <c r="I504" i="12"/>
  <c r="H504" i="12"/>
  <c r="J503" i="12"/>
  <c r="I503" i="12"/>
  <c r="H503" i="12"/>
  <c r="J502" i="12"/>
  <c r="I502" i="12"/>
  <c r="H502" i="12"/>
  <c r="J501" i="12"/>
  <c r="I501" i="12"/>
  <c r="H501" i="12"/>
  <c r="J500" i="12"/>
  <c r="I500" i="12"/>
  <c r="H500" i="12"/>
  <c r="J499" i="12"/>
  <c r="I499" i="12"/>
  <c r="H499" i="12"/>
  <c r="J498" i="12"/>
  <c r="I498" i="12"/>
  <c r="H498" i="12"/>
  <c r="J497" i="12"/>
  <c r="I497" i="12"/>
  <c r="H497" i="12"/>
  <c r="J496" i="12"/>
  <c r="I496" i="12"/>
  <c r="H496" i="12"/>
  <c r="J495" i="12"/>
  <c r="I495" i="12"/>
  <c r="H495" i="12"/>
  <c r="J494" i="12"/>
  <c r="I494" i="12"/>
  <c r="H494" i="12"/>
  <c r="J493" i="12"/>
  <c r="I493" i="12"/>
  <c r="H493" i="12"/>
  <c r="J492" i="12"/>
  <c r="I492" i="12"/>
  <c r="H492" i="12"/>
  <c r="J491" i="12"/>
  <c r="I491" i="12"/>
  <c r="H491" i="12"/>
  <c r="J490" i="12"/>
  <c r="I490" i="12"/>
  <c r="H490" i="12"/>
  <c r="J489" i="12"/>
  <c r="I489" i="12"/>
  <c r="H489" i="12"/>
  <c r="J488" i="12"/>
  <c r="I488" i="12"/>
  <c r="H488" i="12"/>
  <c r="J487" i="12"/>
  <c r="I487" i="12"/>
  <c r="H487" i="12"/>
  <c r="J486" i="12"/>
  <c r="I486" i="12"/>
  <c r="H486" i="12"/>
  <c r="J485" i="12"/>
  <c r="I485" i="12"/>
  <c r="H485" i="12"/>
  <c r="J484" i="12"/>
  <c r="I484" i="12"/>
  <c r="H484" i="12"/>
  <c r="J483" i="12"/>
  <c r="I483" i="12"/>
  <c r="H483" i="12"/>
  <c r="J482" i="12"/>
  <c r="I482" i="12"/>
  <c r="H482" i="12"/>
  <c r="J481" i="12"/>
  <c r="I481" i="12"/>
  <c r="H481" i="12"/>
  <c r="J480" i="12"/>
  <c r="I480" i="12"/>
  <c r="H480" i="12"/>
  <c r="J479" i="12"/>
  <c r="I479" i="12"/>
  <c r="H479" i="12"/>
  <c r="J478" i="12"/>
  <c r="I478" i="12"/>
  <c r="H478" i="12"/>
  <c r="J477" i="12"/>
  <c r="I477" i="12"/>
  <c r="H477" i="12"/>
  <c r="J476" i="12"/>
  <c r="I476" i="12"/>
  <c r="H476" i="12"/>
  <c r="J475" i="12"/>
  <c r="I475" i="12"/>
  <c r="H475" i="12"/>
  <c r="J474" i="12"/>
  <c r="I474" i="12"/>
  <c r="H474" i="12"/>
  <c r="J473" i="12"/>
  <c r="I473" i="12"/>
  <c r="H473" i="12"/>
  <c r="J472" i="12"/>
  <c r="I472" i="12"/>
  <c r="H472" i="12"/>
  <c r="J471" i="12"/>
  <c r="I471" i="12"/>
  <c r="H471" i="12"/>
  <c r="J470" i="12"/>
  <c r="I470" i="12"/>
  <c r="H470" i="12"/>
  <c r="J469" i="12"/>
  <c r="I469" i="12"/>
  <c r="H469" i="12"/>
  <c r="J468" i="12"/>
  <c r="I468" i="12"/>
  <c r="H468" i="12"/>
  <c r="J467" i="12"/>
  <c r="I467" i="12"/>
  <c r="H467" i="12"/>
  <c r="J466" i="12"/>
  <c r="I466" i="12"/>
  <c r="H466" i="12"/>
  <c r="J465" i="12"/>
  <c r="I465" i="12"/>
  <c r="H465" i="12"/>
  <c r="J464" i="12"/>
  <c r="I464" i="12"/>
  <c r="H464" i="12"/>
  <c r="J463" i="12"/>
  <c r="I463" i="12"/>
  <c r="H463" i="12"/>
  <c r="J462" i="12"/>
  <c r="I462" i="12"/>
  <c r="H462" i="12"/>
  <c r="J461" i="12"/>
  <c r="I461" i="12"/>
  <c r="H461" i="12"/>
  <c r="J460" i="12"/>
  <c r="I460" i="12"/>
  <c r="H460" i="12"/>
  <c r="J459" i="12"/>
  <c r="I459" i="12"/>
  <c r="H459" i="12"/>
  <c r="J458" i="12"/>
  <c r="I458" i="12"/>
  <c r="H458" i="12"/>
  <c r="J457" i="12"/>
  <c r="I457" i="12"/>
  <c r="H457" i="12"/>
  <c r="J456" i="12"/>
  <c r="I456" i="12"/>
  <c r="H456" i="12"/>
  <c r="J455" i="12"/>
  <c r="I455" i="12"/>
  <c r="H455" i="12"/>
  <c r="J454" i="12"/>
  <c r="I454" i="12"/>
  <c r="H454" i="12"/>
  <c r="J453" i="12"/>
  <c r="I453" i="12"/>
  <c r="H453" i="12"/>
  <c r="J452" i="12"/>
  <c r="I452" i="12"/>
  <c r="H452" i="12"/>
  <c r="J451" i="12"/>
  <c r="I451" i="12"/>
  <c r="H451" i="12"/>
  <c r="J450" i="12"/>
  <c r="I450" i="12"/>
  <c r="H450" i="12"/>
  <c r="J449" i="12"/>
  <c r="I449" i="12"/>
  <c r="H449" i="12"/>
  <c r="J448" i="12"/>
  <c r="I448" i="12"/>
  <c r="H448" i="12"/>
  <c r="J447" i="12"/>
  <c r="I447" i="12"/>
  <c r="H447" i="12"/>
  <c r="J446" i="12"/>
  <c r="I446" i="12"/>
  <c r="H446" i="12"/>
  <c r="J445" i="12"/>
  <c r="I445" i="12"/>
  <c r="H445" i="12"/>
  <c r="J444" i="12"/>
  <c r="I444" i="12"/>
  <c r="H444" i="12"/>
  <c r="J443" i="12"/>
  <c r="I443" i="12"/>
  <c r="H443" i="12"/>
  <c r="J442" i="12"/>
  <c r="I442" i="12"/>
  <c r="H442" i="12"/>
  <c r="J441" i="12"/>
  <c r="I441" i="12"/>
  <c r="H441" i="12"/>
  <c r="J440" i="12"/>
  <c r="I440" i="12"/>
  <c r="H440" i="12"/>
  <c r="J439" i="12"/>
  <c r="I439" i="12"/>
  <c r="H439" i="12"/>
  <c r="J438" i="12"/>
  <c r="I438" i="12"/>
  <c r="H438" i="12"/>
  <c r="J437" i="12"/>
  <c r="I437" i="12"/>
  <c r="H437" i="12"/>
  <c r="J436" i="12"/>
  <c r="I436" i="12"/>
  <c r="H436" i="12"/>
  <c r="J435" i="12"/>
  <c r="I435" i="12"/>
  <c r="H435" i="12"/>
  <c r="J434" i="12"/>
  <c r="I434" i="12"/>
  <c r="H434" i="12"/>
  <c r="J433" i="12"/>
  <c r="I433" i="12"/>
  <c r="H433" i="12"/>
  <c r="J432" i="12"/>
  <c r="I432" i="12"/>
  <c r="H432" i="12"/>
  <c r="J431" i="12"/>
  <c r="I431" i="12"/>
  <c r="H431" i="12"/>
  <c r="J430" i="12"/>
  <c r="I430" i="12"/>
  <c r="H430" i="12"/>
  <c r="J429" i="12"/>
  <c r="I429" i="12"/>
  <c r="H429" i="12"/>
  <c r="J428" i="12"/>
  <c r="I428" i="12"/>
  <c r="H428" i="12"/>
  <c r="J427" i="12"/>
  <c r="I427" i="12"/>
  <c r="H427" i="12"/>
  <c r="J426" i="12"/>
  <c r="I426" i="12"/>
  <c r="H426" i="12"/>
  <c r="J425" i="12"/>
  <c r="I425" i="12"/>
  <c r="H425" i="12"/>
  <c r="J424" i="12"/>
  <c r="I424" i="12"/>
  <c r="H424" i="12"/>
  <c r="J423" i="12"/>
  <c r="I423" i="12"/>
  <c r="H423" i="12"/>
  <c r="J422" i="12"/>
  <c r="I422" i="12"/>
  <c r="H422" i="12"/>
  <c r="J421" i="12"/>
  <c r="I421" i="12"/>
  <c r="H421" i="12"/>
  <c r="J420" i="12"/>
  <c r="I420" i="12"/>
  <c r="H420" i="12"/>
  <c r="J419" i="12"/>
  <c r="I419" i="12"/>
  <c r="H419" i="12"/>
  <c r="J418" i="12"/>
  <c r="I418" i="12"/>
  <c r="H418" i="12"/>
  <c r="J417" i="12"/>
  <c r="I417" i="12"/>
  <c r="H417" i="12"/>
  <c r="J416" i="12"/>
  <c r="I416" i="12"/>
  <c r="H416" i="12"/>
  <c r="J415" i="12"/>
  <c r="I415" i="12"/>
  <c r="H415" i="12"/>
  <c r="J414" i="12"/>
  <c r="I414" i="12"/>
  <c r="H414" i="12"/>
  <c r="J413" i="12"/>
  <c r="I413" i="12"/>
  <c r="H413" i="12"/>
  <c r="J412" i="12"/>
  <c r="I412" i="12"/>
  <c r="H412" i="12"/>
  <c r="J411" i="12"/>
  <c r="I411" i="12"/>
  <c r="H411" i="12"/>
  <c r="J410" i="12"/>
  <c r="I410" i="12"/>
  <c r="H410" i="12"/>
  <c r="J409" i="12"/>
  <c r="I409" i="12"/>
  <c r="H409" i="12"/>
  <c r="J408" i="12"/>
  <c r="I408" i="12"/>
  <c r="H408" i="12"/>
  <c r="J407" i="12"/>
  <c r="I407" i="12"/>
  <c r="H407" i="12"/>
  <c r="J406" i="12"/>
  <c r="I406" i="12"/>
  <c r="H406" i="12"/>
  <c r="J405" i="12"/>
  <c r="I405" i="12"/>
  <c r="H405" i="12"/>
  <c r="J404" i="12"/>
  <c r="I404" i="12"/>
  <c r="H404" i="12"/>
  <c r="J403" i="12"/>
  <c r="I403" i="12"/>
  <c r="H403" i="12"/>
  <c r="J402" i="12"/>
  <c r="I402" i="12"/>
  <c r="H402" i="12"/>
  <c r="J401" i="12"/>
  <c r="I401" i="12"/>
  <c r="H401" i="12"/>
  <c r="J400" i="12"/>
  <c r="I400" i="12"/>
  <c r="H400" i="12"/>
  <c r="J399" i="12"/>
  <c r="I399" i="12"/>
  <c r="H399" i="12"/>
  <c r="J398" i="12"/>
  <c r="I398" i="12"/>
  <c r="H398" i="12"/>
  <c r="J397" i="12"/>
  <c r="I397" i="12"/>
  <c r="H397" i="12"/>
  <c r="J396" i="12"/>
  <c r="I396" i="12"/>
  <c r="H396" i="12"/>
  <c r="J395" i="12"/>
  <c r="I395" i="12"/>
  <c r="H395" i="12"/>
  <c r="J394" i="12"/>
  <c r="I394" i="12"/>
  <c r="H394" i="12"/>
  <c r="J393" i="12"/>
  <c r="I393" i="12"/>
  <c r="H393" i="12"/>
  <c r="J392" i="12"/>
  <c r="I392" i="12"/>
  <c r="H392" i="12"/>
  <c r="J391" i="12"/>
  <c r="I391" i="12"/>
  <c r="H391" i="12"/>
  <c r="J390" i="12"/>
  <c r="I390" i="12"/>
  <c r="H390" i="12"/>
  <c r="J389" i="12"/>
  <c r="I389" i="12"/>
  <c r="H389" i="12"/>
  <c r="J388" i="12"/>
  <c r="I388" i="12"/>
  <c r="H388" i="12"/>
  <c r="J387" i="12"/>
  <c r="I387" i="12"/>
  <c r="H387" i="12"/>
  <c r="J386" i="12"/>
  <c r="I386" i="12"/>
  <c r="H386" i="12"/>
  <c r="J385" i="12"/>
  <c r="I385" i="12"/>
  <c r="H385" i="12"/>
  <c r="J384" i="12"/>
  <c r="I384" i="12"/>
  <c r="H384" i="12"/>
  <c r="J383" i="12"/>
  <c r="I383" i="12"/>
  <c r="H383" i="12"/>
  <c r="J382" i="12"/>
  <c r="I382" i="12"/>
  <c r="H382" i="12"/>
  <c r="J381" i="12"/>
  <c r="I381" i="12"/>
  <c r="H381" i="12"/>
  <c r="J380" i="12"/>
  <c r="I380" i="12"/>
  <c r="H380" i="12"/>
  <c r="J379" i="12"/>
  <c r="I379" i="12"/>
  <c r="H379" i="12"/>
  <c r="J378" i="12"/>
  <c r="I378" i="12"/>
  <c r="H378" i="12"/>
  <c r="J377" i="12"/>
  <c r="I377" i="12"/>
  <c r="H377" i="12"/>
  <c r="J376" i="12"/>
  <c r="I376" i="12"/>
  <c r="H376" i="12"/>
  <c r="J375" i="12"/>
  <c r="I375" i="12"/>
  <c r="H375" i="12"/>
  <c r="J374" i="12"/>
  <c r="I374" i="12"/>
  <c r="H374" i="12"/>
  <c r="J373" i="12"/>
  <c r="I373" i="12"/>
  <c r="H373" i="12"/>
  <c r="J372" i="12"/>
  <c r="I372" i="12"/>
  <c r="H372" i="12"/>
  <c r="J371" i="12"/>
  <c r="I371" i="12"/>
  <c r="H371" i="12"/>
  <c r="J370" i="12"/>
  <c r="I370" i="12"/>
  <c r="H370" i="12"/>
  <c r="J369" i="12"/>
  <c r="I369" i="12"/>
  <c r="H369" i="12"/>
  <c r="J368" i="12"/>
  <c r="I368" i="12"/>
  <c r="H368" i="12"/>
  <c r="J367" i="12"/>
  <c r="I367" i="12"/>
  <c r="H367" i="12"/>
  <c r="J366" i="12"/>
  <c r="I366" i="12"/>
  <c r="H366" i="12"/>
  <c r="J365" i="12"/>
  <c r="I365" i="12"/>
  <c r="H365" i="12"/>
  <c r="J364" i="12"/>
  <c r="I364" i="12"/>
  <c r="H364" i="12"/>
  <c r="J363" i="12"/>
  <c r="I363" i="12"/>
  <c r="H363" i="12"/>
  <c r="J362" i="12"/>
  <c r="I362" i="12"/>
  <c r="H362" i="12"/>
  <c r="J361" i="12"/>
  <c r="I361" i="12"/>
  <c r="H361" i="12"/>
  <c r="J360" i="12"/>
  <c r="I360" i="12"/>
  <c r="H360" i="12"/>
  <c r="J359" i="12"/>
  <c r="I359" i="12"/>
  <c r="H359" i="12"/>
  <c r="J358" i="12"/>
  <c r="I358" i="12"/>
  <c r="H358" i="12"/>
  <c r="J357" i="12"/>
  <c r="I357" i="12"/>
  <c r="H357" i="12"/>
  <c r="J356" i="12"/>
  <c r="I356" i="12"/>
  <c r="H356" i="12"/>
  <c r="J355" i="12"/>
  <c r="I355" i="12"/>
  <c r="H355" i="12"/>
  <c r="J354" i="12"/>
  <c r="I354" i="12"/>
  <c r="H354" i="12"/>
  <c r="J353" i="12"/>
  <c r="I353" i="12"/>
  <c r="H353" i="12"/>
  <c r="J352" i="12"/>
  <c r="I352" i="12"/>
  <c r="H352" i="12"/>
  <c r="J351" i="12"/>
  <c r="I351" i="12"/>
  <c r="H351" i="12"/>
  <c r="J350" i="12"/>
  <c r="I350" i="12"/>
  <c r="H350" i="12"/>
  <c r="J349" i="12"/>
  <c r="I349" i="12"/>
  <c r="H349" i="12"/>
  <c r="J348" i="12"/>
  <c r="I348" i="12"/>
  <c r="H348" i="12"/>
  <c r="J347" i="12"/>
  <c r="I347" i="12"/>
  <c r="H347" i="12"/>
  <c r="J346" i="12"/>
  <c r="I346" i="12"/>
  <c r="H346" i="12"/>
  <c r="J345" i="12"/>
  <c r="I345" i="12"/>
  <c r="H345" i="12"/>
  <c r="J344" i="12"/>
  <c r="I344" i="12"/>
  <c r="H344" i="12"/>
  <c r="J343" i="12"/>
  <c r="I343" i="12"/>
  <c r="H343" i="12"/>
  <c r="J342" i="12"/>
  <c r="I342" i="12"/>
  <c r="H342" i="12"/>
  <c r="J341" i="12"/>
  <c r="I341" i="12"/>
  <c r="H341" i="12"/>
  <c r="J340" i="12"/>
  <c r="I340" i="12"/>
  <c r="H340" i="12"/>
  <c r="J339" i="12"/>
  <c r="I339" i="12"/>
  <c r="H339" i="12"/>
  <c r="J338" i="12"/>
  <c r="I338" i="12"/>
  <c r="H338" i="12"/>
  <c r="J337" i="12"/>
  <c r="I337" i="12"/>
  <c r="H337" i="12"/>
  <c r="J336" i="12"/>
  <c r="I336" i="12"/>
  <c r="H336" i="12"/>
  <c r="J335" i="12"/>
  <c r="I335" i="12"/>
  <c r="H335" i="12"/>
  <c r="J334" i="12"/>
  <c r="I334" i="12"/>
  <c r="H334" i="12"/>
  <c r="J333" i="12"/>
  <c r="I333" i="12"/>
  <c r="H333" i="12"/>
  <c r="J332" i="12"/>
  <c r="I332" i="12"/>
  <c r="H332" i="12"/>
  <c r="J331" i="12"/>
  <c r="I331" i="12"/>
  <c r="H331" i="12"/>
  <c r="J330" i="12"/>
  <c r="I330" i="12"/>
  <c r="H330" i="12"/>
  <c r="J329" i="12"/>
  <c r="I329" i="12"/>
  <c r="H329" i="12"/>
  <c r="J328" i="12"/>
  <c r="I328" i="12"/>
  <c r="H328" i="12"/>
  <c r="J327" i="12"/>
  <c r="I327" i="12"/>
  <c r="H327" i="12"/>
  <c r="J326" i="12"/>
  <c r="I326" i="12"/>
  <c r="H326" i="12"/>
  <c r="J325" i="12"/>
  <c r="I325" i="12"/>
  <c r="H325" i="12"/>
  <c r="J324" i="12"/>
  <c r="I324" i="12"/>
  <c r="H324" i="12"/>
  <c r="J323" i="12"/>
  <c r="I323" i="12"/>
  <c r="H323" i="12"/>
  <c r="J322" i="12"/>
  <c r="I322" i="12"/>
  <c r="H322" i="12"/>
  <c r="J321" i="12"/>
  <c r="I321" i="12"/>
  <c r="H321" i="12"/>
  <c r="J320" i="12"/>
  <c r="I320" i="12"/>
  <c r="H320" i="12"/>
  <c r="J319" i="12"/>
  <c r="I319" i="12"/>
  <c r="H319" i="12"/>
  <c r="J318" i="12"/>
  <c r="I318" i="12"/>
  <c r="H318" i="12"/>
  <c r="J317" i="12"/>
  <c r="I317" i="12"/>
  <c r="H317" i="12"/>
  <c r="J316" i="12"/>
  <c r="I316" i="12"/>
  <c r="H316" i="12"/>
  <c r="J315" i="12"/>
  <c r="I315" i="12"/>
  <c r="H315" i="12"/>
  <c r="J314" i="12"/>
  <c r="I314" i="12"/>
  <c r="H314" i="12"/>
  <c r="J313" i="12"/>
  <c r="I313" i="12"/>
  <c r="H313" i="12"/>
  <c r="J312" i="12"/>
  <c r="I312" i="12"/>
  <c r="H312" i="12"/>
  <c r="J311" i="12"/>
  <c r="I311" i="12"/>
  <c r="H311" i="12"/>
  <c r="J310" i="12"/>
  <c r="I310" i="12"/>
  <c r="H310" i="12"/>
  <c r="J309" i="12"/>
  <c r="I309" i="12"/>
  <c r="H309" i="12"/>
  <c r="J308" i="12"/>
  <c r="I308" i="12"/>
  <c r="H308" i="12"/>
  <c r="J307" i="12"/>
  <c r="I307" i="12"/>
  <c r="H307" i="12"/>
  <c r="J306" i="12"/>
  <c r="I306" i="12"/>
  <c r="H306" i="12"/>
  <c r="J305" i="12"/>
  <c r="I305" i="12"/>
  <c r="H305" i="12"/>
  <c r="J304" i="12"/>
  <c r="I304" i="12"/>
  <c r="H304" i="12"/>
  <c r="J303" i="12"/>
  <c r="I303" i="12"/>
  <c r="H303" i="12"/>
  <c r="J302" i="12"/>
  <c r="I302" i="12"/>
  <c r="H302" i="12"/>
  <c r="J301" i="12"/>
  <c r="I301" i="12"/>
  <c r="H301" i="12"/>
  <c r="J300" i="12"/>
  <c r="I300" i="12"/>
  <c r="H300" i="12"/>
  <c r="J299" i="12"/>
  <c r="I299" i="12"/>
  <c r="H299" i="12"/>
  <c r="J298" i="12"/>
  <c r="I298" i="12"/>
  <c r="H298" i="12"/>
  <c r="J297" i="12"/>
  <c r="I297" i="12"/>
  <c r="H297" i="12"/>
  <c r="J296" i="12"/>
  <c r="I296" i="12"/>
  <c r="H296" i="12"/>
  <c r="J295" i="12"/>
  <c r="I295" i="12"/>
  <c r="H295" i="12"/>
  <c r="J294" i="12"/>
  <c r="I294" i="12"/>
  <c r="H294" i="12"/>
  <c r="J293" i="12"/>
  <c r="I293" i="12"/>
  <c r="H293" i="12"/>
  <c r="J292" i="12"/>
  <c r="I292" i="12"/>
  <c r="H292" i="12"/>
  <c r="J291" i="12"/>
  <c r="I291" i="12"/>
  <c r="H291" i="12"/>
  <c r="J290" i="12"/>
  <c r="I290" i="12"/>
  <c r="H290" i="12"/>
  <c r="J289" i="12"/>
  <c r="I289" i="12"/>
  <c r="H289" i="12"/>
  <c r="J288" i="12"/>
  <c r="I288" i="12"/>
  <c r="H288" i="12"/>
  <c r="J287" i="12"/>
  <c r="I287" i="12"/>
  <c r="H287" i="12"/>
  <c r="J286" i="12"/>
  <c r="I286" i="12"/>
  <c r="H286" i="12"/>
  <c r="J285" i="12"/>
  <c r="I285" i="12"/>
  <c r="H285" i="12"/>
  <c r="J284" i="12"/>
  <c r="I284" i="12"/>
  <c r="H284" i="12"/>
  <c r="J283" i="12"/>
  <c r="I283" i="12"/>
  <c r="H283" i="12"/>
  <c r="J282" i="12"/>
  <c r="I282" i="12"/>
  <c r="H282" i="12"/>
  <c r="J281" i="12"/>
  <c r="I281" i="12"/>
  <c r="H281" i="12"/>
  <c r="J280" i="12"/>
  <c r="I280" i="12"/>
  <c r="H280" i="12"/>
  <c r="J279" i="12"/>
  <c r="I279" i="12"/>
  <c r="H279" i="12"/>
  <c r="J278" i="12"/>
  <c r="I278" i="12"/>
  <c r="H278" i="12"/>
  <c r="J277" i="12"/>
  <c r="I277" i="12"/>
  <c r="H277" i="12"/>
  <c r="J276" i="12"/>
  <c r="I276" i="12"/>
  <c r="H276" i="12"/>
  <c r="J275" i="12"/>
  <c r="I275" i="12"/>
  <c r="H275" i="12"/>
  <c r="J274" i="12"/>
  <c r="I274" i="12"/>
  <c r="H274" i="12"/>
  <c r="J273" i="12"/>
  <c r="I273" i="12"/>
  <c r="H273" i="12"/>
  <c r="J272" i="12"/>
  <c r="I272" i="12"/>
  <c r="H272" i="12"/>
  <c r="J271" i="12"/>
  <c r="I271" i="12"/>
  <c r="H271" i="12"/>
  <c r="J270" i="12"/>
  <c r="I270" i="12"/>
  <c r="H270" i="12"/>
  <c r="J269" i="12"/>
  <c r="I269" i="12"/>
  <c r="H269" i="12"/>
  <c r="J268" i="12"/>
  <c r="I268" i="12"/>
  <c r="H268" i="12"/>
  <c r="J267" i="12"/>
  <c r="I267" i="12"/>
  <c r="H267" i="12"/>
  <c r="J266" i="12"/>
  <c r="I266" i="12"/>
  <c r="H266" i="12"/>
  <c r="J265" i="12"/>
  <c r="I265" i="12"/>
  <c r="H265" i="12"/>
  <c r="J264" i="12"/>
  <c r="I264" i="12"/>
  <c r="H264" i="12"/>
  <c r="J263" i="12"/>
  <c r="I263" i="12"/>
  <c r="H263" i="12"/>
  <c r="J262" i="12"/>
  <c r="I262" i="12"/>
  <c r="H262" i="12"/>
  <c r="J261" i="12"/>
  <c r="I261" i="12"/>
  <c r="H261" i="12"/>
  <c r="J260" i="12"/>
  <c r="I260" i="12"/>
  <c r="H260" i="12"/>
  <c r="J259" i="12"/>
  <c r="I259" i="12"/>
  <c r="H259" i="12"/>
  <c r="J258" i="12"/>
  <c r="I258" i="12"/>
  <c r="H258" i="12"/>
  <c r="J257" i="12"/>
  <c r="I257" i="12"/>
  <c r="H257" i="12"/>
  <c r="J256" i="12"/>
  <c r="I256" i="12"/>
  <c r="H256" i="12"/>
  <c r="J255" i="12"/>
  <c r="I255" i="12"/>
  <c r="H255" i="12"/>
  <c r="J254" i="12"/>
  <c r="I254" i="12"/>
  <c r="H254" i="12"/>
  <c r="J253" i="12"/>
  <c r="I253" i="12"/>
  <c r="H253" i="12"/>
  <c r="J252" i="12"/>
  <c r="I252" i="12"/>
  <c r="H252" i="12"/>
  <c r="J251" i="12"/>
  <c r="I251" i="12"/>
  <c r="H251" i="12"/>
  <c r="J250" i="12"/>
  <c r="I250" i="12"/>
  <c r="H250" i="12"/>
  <c r="J249" i="12"/>
  <c r="I249" i="12"/>
  <c r="H249" i="12"/>
  <c r="J248" i="12"/>
  <c r="I248" i="12"/>
  <c r="H248" i="12"/>
  <c r="J247" i="12"/>
  <c r="I247" i="12"/>
  <c r="H247" i="12"/>
  <c r="J246" i="12"/>
  <c r="I246" i="12"/>
  <c r="H246" i="12"/>
  <c r="J245" i="12"/>
  <c r="I245" i="12"/>
  <c r="H245" i="12"/>
  <c r="J244" i="12"/>
  <c r="I244" i="12"/>
  <c r="H244" i="12"/>
  <c r="J243" i="12"/>
  <c r="I243" i="12"/>
  <c r="H243" i="12"/>
  <c r="J242" i="12"/>
  <c r="I242" i="12"/>
  <c r="H242" i="12"/>
  <c r="J241" i="12"/>
  <c r="I241" i="12"/>
  <c r="H241" i="12"/>
  <c r="J240" i="12"/>
  <c r="I240" i="12"/>
  <c r="H240" i="12"/>
  <c r="J239" i="12"/>
  <c r="I239" i="12"/>
  <c r="H239" i="12"/>
  <c r="J238" i="12"/>
  <c r="I238" i="12"/>
  <c r="H238" i="12"/>
  <c r="J237" i="12"/>
  <c r="I237" i="12"/>
  <c r="H237" i="12"/>
  <c r="J236" i="12"/>
  <c r="I236" i="12"/>
  <c r="H236" i="12"/>
  <c r="J235" i="12"/>
  <c r="I235" i="12"/>
  <c r="H235" i="12"/>
  <c r="J234" i="12"/>
  <c r="I234" i="12"/>
  <c r="H234" i="12"/>
  <c r="J233" i="12"/>
  <c r="I233" i="12"/>
  <c r="H233" i="12"/>
  <c r="J232" i="12"/>
  <c r="I232" i="12"/>
  <c r="H232" i="12"/>
  <c r="J231" i="12"/>
  <c r="I231" i="12"/>
  <c r="H231" i="12"/>
  <c r="J230" i="12"/>
  <c r="I230" i="12"/>
  <c r="H230" i="12"/>
  <c r="J229" i="12"/>
  <c r="I229" i="12"/>
  <c r="H229" i="12"/>
  <c r="J228" i="12"/>
  <c r="I228" i="12"/>
  <c r="H228" i="12"/>
  <c r="J227" i="12"/>
  <c r="I227" i="12"/>
  <c r="H227" i="12"/>
  <c r="J226" i="12"/>
  <c r="I226" i="12"/>
  <c r="H226" i="12"/>
  <c r="J225" i="12"/>
  <c r="I225" i="12"/>
  <c r="H225" i="12"/>
  <c r="J224" i="12"/>
  <c r="I224" i="12"/>
  <c r="H224" i="12"/>
  <c r="J223" i="12"/>
  <c r="I223" i="12"/>
  <c r="H223" i="12"/>
  <c r="J222" i="12"/>
  <c r="I222" i="12"/>
  <c r="H222" i="12"/>
  <c r="J221" i="12"/>
  <c r="I221" i="12"/>
  <c r="H221" i="12"/>
  <c r="J220" i="12"/>
  <c r="I220" i="12"/>
  <c r="H220" i="12"/>
  <c r="J219" i="12"/>
  <c r="I219" i="12"/>
  <c r="H219" i="12"/>
  <c r="J218" i="12"/>
  <c r="I218" i="12"/>
  <c r="H218" i="12"/>
  <c r="J217" i="12"/>
  <c r="I217" i="12"/>
  <c r="H217" i="12"/>
  <c r="J216" i="12"/>
  <c r="I216" i="12"/>
  <c r="H216" i="12"/>
  <c r="J215" i="12"/>
  <c r="I215" i="12"/>
  <c r="H215" i="12"/>
  <c r="J214" i="12"/>
  <c r="I214" i="12"/>
  <c r="H214" i="12"/>
  <c r="J213" i="12"/>
  <c r="I213" i="12"/>
  <c r="H213" i="12"/>
  <c r="J212" i="12"/>
  <c r="I212" i="12"/>
  <c r="H212" i="12"/>
  <c r="J211" i="12"/>
  <c r="I211" i="12"/>
  <c r="H211" i="12"/>
  <c r="J210" i="12"/>
  <c r="I210" i="12"/>
  <c r="H210" i="12"/>
  <c r="J209" i="12"/>
  <c r="I209" i="12"/>
  <c r="H209" i="12"/>
  <c r="J208" i="12"/>
  <c r="I208" i="12"/>
  <c r="H208" i="12"/>
  <c r="J207" i="12"/>
  <c r="I207" i="12"/>
  <c r="H207" i="12"/>
  <c r="J206" i="12"/>
  <c r="I206" i="12"/>
  <c r="H206" i="12"/>
  <c r="J205" i="12"/>
  <c r="I205" i="12"/>
  <c r="H205" i="12"/>
  <c r="J204" i="12"/>
  <c r="I204" i="12"/>
  <c r="H204" i="12"/>
  <c r="J203" i="12"/>
  <c r="I203" i="12"/>
  <c r="H203" i="12"/>
  <c r="J202" i="12"/>
  <c r="I202" i="12"/>
  <c r="H202" i="12"/>
  <c r="J201" i="12"/>
  <c r="I201" i="12"/>
  <c r="H201" i="12"/>
  <c r="J200" i="12"/>
  <c r="I200" i="12"/>
  <c r="H200" i="12"/>
  <c r="J199" i="12"/>
  <c r="I199" i="12"/>
  <c r="H199" i="12"/>
  <c r="J198" i="12"/>
  <c r="I198" i="12"/>
  <c r="H198" i="12"/>
  <c r="J197" i="12"/>
  <c r="I197" i="12"/>
  <c r="H197" i="12"/>
  <c r="J196" i="12"/>
  <c r="I196" i="12"/>
  <c r="H196" i="12"/>
  <c r="J195" i="12"/>
  <c r="I195" i="12"/>
  <c r="H195" i="12"/>
  <c r="J194" i="12"/>
  <c r="I194" i="12"/>
  <c r="H194" i="12"/>
  <c r="J193" i="12"/>
  <c r="I193" i="12"/>
  <c r="H193" i="12"/>
  <c r="J192" i="12"/>
  <c r="I192" i="12"/>
  <c r="H192" i="12"/>
  <c r="J191" i="12"/>
  <c r="I191" i="12"/>
  <c r="H191" i="12"/>
  <c r="J190" i="12"/>
  <c r="I190" i="12"/>
  <c r="H190" i="12"/>
  <c r="J189" i="12"/>
  <c r="I189" i="12"/>
  <c r="H189" i="12"/>
  <c r="J188" i="12"/>
  <c r="I188" i="12"/>
  <c r="H188" i="12"/>
  <c r="J187" i="12"/>
  <c r="I187" i="12"/>
  <c r="H187" i="12"/>
  <c r="J186" i="12"/>
  <c r="I186" i="12"/>
  <c r="H186" i="12"/>
  <c r="J185" i="12"/>
  <c r="I185" i="12"/>
  <c r="H185" i="12"/>
  <c r="J184" i="12"/>
  <c r="I184" i="12"/>
  <c r="H184" i="12"/>
  <c r="J183" i="12"/>
  <c r="I183" i="12"/>
  <c r="H183" i="12"/>
  <c r="J182" i="12"/>
  <c r="I182" i="12"/>
  <c r="H182" i="12"/>
  <c r="J181" i="12"/>
  <c r="I181" i="12"/>
  <c r="H181" i="12"/>
  <c r="J180" i="12"/>
  <c r="I180" i="12"/>
  <c r="H180" i="12"/>
  <c r="J179" i="12"/>
  <c r="I179" i="12"/>
  <c r="H179" i="12"/>
  <c r="J178" i="12"/>
  <c r="I178" i="12"/>
  <c r="H178" i="12"/>
  <c r="J177" i="12"/>
  <c r="I177" i="12"/>
  <c r="H177" i="12"/>
  <c r="J176" i="12"/>
  <c r="I176" i="12"/>
  <c r="H176" i="12"/>
  <c r="J175" i="12"/>
  <c r="I175" i="12"/>
  <c r="H175" i="12"/>
  <c r="J174" i="12"/>
  <c r="I174" i="12"/>
  <c r="H174" i="12"/>
  <c r="J173" i="12"/>
  <c r="I173" i="12"/>
  <c r="H173" i="12"/>
  <c r="J172" i="12"/>
  <c r="I172" i="12"/>
  <c r="H172" i="12"/>
  <c r="J171" i="12"/>
  <c r="I171" i="12"/>
  <c r="H171" i="12"/>
  <c r="J170" i="12"/>
  <c r="I170" i="12"/>
  <c r="H170" i="12"/>
  <c r="J169" i="12"/>
  <c r="I169" i="12"/>
  <c r="H169" i="12"/>
  <c r="J168" i="12"/>
  <c r="I168" i="12"/>
  <c r="H168" i="12"/>
  <c r="J167" i="12"/>
  <c r="I167" i="12"/>
  <c r="H167" i="12"/>
  <c r="J166" i="12"/>
  <c r="I166" i="12"/>
  <c r="H166" i="12"/>
  <c r="J165" i="12"/>
  <c r="I165" i="12"/>
  <c r="H165" i="12"/>
  <c r="J164" i="12"/>
  <c r="I164" i="12"/>
  <c r="H164" i="12"/>
  <c r="J163" i="12"/>
  <c r="I163" i="12"/>
  <c r="H163" i="12"/>
  <c r="J162" i="12"/>
  <c r="I162" i="12"/>
  <c r="H162" i="12"/>
  <c r="J161" i="12"/>
  <c r="I161" i="12"/>
  <c r="H161" i="12"/>
  <c r="J160" i="12"/>
  <c r="I160" i="12"/>
  <c r="H160" i="12"/>
  <c r="J159" i="12"/>
  <c r="I159" i="12"/>
  <c r="H159" i="12"/>
  <c r="J158" i="12"/>
  <c r="I158" i="12"/>
  <c r="H158" i="12"/>
  <c r="J157" i="12"/>
  <c r="I157" i="12"/>
  <c r="H157" i="12"/>
  <c r="J156" i="12"/>
  <c r="I156" i="12"/>
  <c r="H156" i="12"/>
  <c r="J155" i="12"/>
  <c r="I155" i="12"/>
  <c r="H155" i="12"/>
  <c r="J154" i="12"/>
  <c r="I154" i="12"/>
  <c r="H154" i="12"/>
  <c r="J153" i="12"/>
  <c r="I153" i="12"/>
  <c r="H153" i="12"/>
  <c r="J152" i="12"/>
  <c r="I152" i="12"/>
  <c r="H152" i="12"/>
  <c r="J151" i="12"/>
  <c r="I151" i="12"/>
  <c r="H151" i="12"/>
  <c r="J150" i="12"/>
  <c r="I150" i="12"/>
  <c r="H150" i="12"/>
  <c r="J149" i="12"/>
  <c r="I149" i="12"/>
  <c r="H149" i="12"/>
  <c r="J148" i="12"/>
  <c r="I148" i="12"/>
  <c r="H148" i="12"/>
  <c r="J147" i="12"/>
  <c r="I147" i="12"/>
  <c r="H147" i="12"/>
  <c r="J146" i="12"/>
  <c r="I146" i="12"/>
  <c r="H146" i="12"/>
  <c r="J145" i="12"/>
  <c r="I145" i="12"/>
  <c r="H145" i="12"/>
  <c r="J144" i="12"/>
  <c r="I144" i="12"/>
  <c r="H144" i="12"/>
  <c r="J143" i="12"/>
  <c r="I143" i="12"/>
  <c r="H143" i="12"/>
  <c r="J142" i="12"/>
  <c r="I142" i="12"/>
  <c r="H142" i="12"/>
  <c r="J141" i="12"/>
  <c r="I141" i="12"/>
  <c r="H141" i="12"/>
  <c r="J140" i="12"/>
  <c r="I140" i="12"/>
  <c r="H140" i="12"/>
  <c r="J139" i="12"/>
  <c r="I139" i="12"/>
  <c r="H139" i="12"/>
  <c r="J138" i="12"/>
  <c r="I138" i="12"/>
  <c r="H138" i="12"/>
  <c r="J137" i="12"/>
  <c r="I137" i="12"/>
  <c r="H137" i="12"/>
  <c r="J136" i="12"/>
  <c r="I136" i="12"/>
  <c r="H136" i="12"/>
  <c r="J135" i="12"/>
  <c r="I135" i="12"/>
  <c r="H135" i="12"/>
  <c r="J134" i="12"/>
  <c r="I134" i="12"/>
  <c r="H134" i="12"/>
  <c r="J133" i="12"/>
  <c r="I133" i="12"/>
  <c r="H133" i="12"/>
  <c r="J132" i="12"/>
  <c r="I132" i="12"/>
  <c r="H132" i="12"/>
  <c r="J131" i="12"/>
  <c r="I131" i="12"/>
  <c r="H131" i="12"/>
  <c r="J130" i="12"/>
  <c r="I130" i="12"/>
  <c r="H130" i="12"/>
  <c r="J129" i="12"/>
  <c r="I129" i="12"/>
  <c r="H129" i="12"/>
  <c r="J128" i="12"/>
  <c r="I128" i="12"/>
  <c r="H128" i="12"/>
  <c r="J127" i="12"/>
  <c r="I127" i="12"/>
  <c r="H127" i="12"/>
  <c r="J126" i="12"/>
  <c r="I126" i="12"/>
  <c r="H126" i="12"/>
  <c r="J125" i="12"/>
  <c r="I125" i="12"/>
  <c r="H125" i="12"/>
  <c r="J124" i="12"/>
  <c r="I124" i="12"/>
  <c r="H124" i="12"/>
  <c r="J123" i="12"/>
  <c r="I123" i="12"/>
  <c r="H123" i="12"/>
  <c r="J122" i="12"/>
  <c r="I122" i="12"/>
  <c r="H122" i="12"/>
  <c r="J121" i="12"/>
  <c r="I121" i="12"/>
  <c r="H121" i="12"/>
  <c r="J120" i="12"/>
  <c r="I120" i="12"/>
  <c r="H120" i="12"/>
  <c r="J119" i="12"/>
  <c r="I119" i="12"/>
  <c r="H119" i="12"/>
  <c r="J118" i="12"/>
  <c r="I118" i="12"/>
  <c r="H118" i="12"/>
  <c r="J117" i="12"/>
  <c r="I117" i="12"/>
  <c r="H117" i="12"/>
  <c r="J116" i="12"/>
  <c r="I116" i="12"/>
  <c r="H116" i="12"/>
  <c r="J115" i="12"/>
  <c r="I115" i="12"/>
  <c r="H115" i="12"/>
  <c r="J114" i="12"/>
  <c r="I114" i="12"/>
  <c r="H114" i="12"/>
  <c r="J113" i="12"/>
  <c r="I113" i="12"/>
  <c r="H113" i="12"/>
  <c r="J112" i="12"/>
  <c r="I112" i="12"/>
  <c r="H112" i="12"/>
  <c r="J111" i="12"/>
  <c r="I111" i="12"/>
  <c r="H111" i="12"/>
  <c r="J110" i="12"/>
  <c r="I110" i="12"/>
  <c r="H110" i="12"/>
  <c r="J109" i="12"/>
  <c r="I109" i="12"/>
  <c r="H109" i="12"/>
  <c r="J108" i="12"/>
  <c r="I108" i="12"/>
  <c r="H108" i="12"/>
  <c r="J107" i="12"/>
  <c r="I107" i="12"/>
  <c r="H107" i="12"/>
  <c r="J106" i="12"/>
  <c r="I106" i="12"/>
  <c r="H106" i="12"/>
  <c r="J105" i="12"/>
  <c r="I105" i="12"/>
  <c r="H105" i="12"/>
  <c r="J104" i="12"/>
  <c r="I104" i="12"/>
  <c r="H104" i="12"/>
  <c r="J103" i="12"/>
  <c r="I103" i="12"/>
  <c r="H103" i="12"/>
  <c r="J102" i="12"/>
  <c r="I102" i="12"/>
  <c r="H102" i="12"/>
  <c r="J101" i="12"/>
  <c r="I101" i="12"/>
  <c r="H101" i="12"/>
  <c r="J100" i="12"/>
  <c r="I100" i="12"/>
  <c r="H100" i="12"/>
  <c r="J99" i="12"/>
  <c r="I99" i="12"/>
  <c r="H99" i="12"/>
  <c r="J98" i="12"/>
  <c r="I98" i="12"/>
  <c r="H98" i="12"/>
  <c r="J97" i="12"/>
  <c r="I97" i="12"/>
  <c r="H97" i="12"/>
  <c r="J96" i="12"/>
  <c r="I96" i="12"/>
  <c r="H96" i="12"/>
  <c r="J95" i="12"/>
  <c r="I95" i="12"/>
  <c r="H95" i="12"/>
  <c r="J94" i="12"/>
  <c r="I94" i="12"/>
  <c r="H94" i="12"/>
  <c r="J93" i="12"/>
  <c r="I93" i="12"/>
  <c r="H93" i="12"/>
  <c r="J92" i="12"/>
  <c r="I92" i="12"/>
  <c r="H92" i="12"/>
  <c r="J91" i="12"/>
  <c r="I91" i="12"/>
  <c r="H91" i="12"/>
  <c r="J90" i="12"/>
  <c r="I90" i="12"/>
  <c r="H90" i="12"/>
  <c r="J89" i="12"/>
  <c r="I89" i="12"/>
  <c r="H89" i="12"/>
  <c r="J88" i="12"/>
  <c r="I88" i="12"/>
  <c r="H88" i="12"/>
  <c r="J87" i="12"/>
  <c r="I87" i="12"/>
  <c r="H87" i="12"/>
  <c r="J86" i="12"/>
  <c r="I86" i="12"/>
  <c r="H86" i="12"/>
  <c r="J85" i="12"/>
  <c r="I85" i="12"/>
  <c r="H85" i="12"/>
  <c r="J84" i="12"/>
  <c r="I84" i="12"/>
  <c r="H84" i="12"/>
  <c r="J83" i="12"/>
  <c r="I83" i="12"/>
  <c r="H83" i="12"/>
  <c r="J82" i="12"/>
  <c r="I82" i="12"/>
  <c r="H82" i="12"/>
  <c r="J81" i="12"/>
  <c r="I81" i="12"/>
  <c r="H81" i="12"/>
  <c r="J80" i="12"/>
  <c r="I80" i="12"/>
  <c r="H80" i="12"/>
  <c r="J79" i="12"/>
  <c r="I79" i="12"/>
  <c r="H79" i="12"/>
  <c r="J78" i="12"/>
  <c r="I78" i="12"/>
  <c r="H78" i="12"/>
  <c r="J77" i="12"/>
  <c r="I77" i="12"/>
  <c r="H77" i="12"/>
  <c r="J76" i="12"/>
  <c r="I76" i="12"/>
  <c r="H76" i="12"/>
  <c r="J75" i="12"/>
  <c r="I75" i="12"/>
  <c r="H75" i="12"/>
  <c r="J74" i="12"/>
  <c r="I74" i="12"/>
  <c r="H74" i="12"/>
  <c r="J73" i="12"/>
  <c r="I73" i="12"/>
  <c r="H73" i="12"/>
  <c r="J72" i="12"/>
  <c r="I72" i="12"/>
  <c r="H72" i="12"/>
  <c r="J71" i="12"/>
  <c r="I71" i="12"/>
  <c r="H71" i="12"/>
  <c r="J70" i="12"/>
  <c r="I70" i="12"/>
  <c r="H70" i="12"/>
  <c r="J69" i="12"/>
  <c r="I69" i="12"/>
  <c r="H69" i="12"/>
  <c r="J68" i="12"/>
  <c r="I68" i="12"/>
  <c r="H68" i="12"/>
  <c r="J67" i="12"/>
  <c r="I67" i="12"/>
  <c r="H67" i="12"/>
  <c r="J66" i="12"/>
  <c r="I66" i="12"/>
  <c r="H66" i="12"/>
  <c r="J65" i="12"/>
  <c r="I65" i="12"/>
  <c r="H65" i="12"/>
  <c r="J64" i="12"/>
  <c r="I64" i="12"/>
  <c r="H64" i="12"/>
  <c r="J63" i="12"/>
  <c r="I63" i="12"/>
  <c r="H63" i="12"/>
  <c r="J62" i="12"/>
  <c r="I62" i="12"/>
  <c r="H62" i="12"/>
  <c r="J61" i="12"/>
  <c r="I61" i="12"/>
  <c r="H61" i="12"/>
  <c r="J60" i="12"/>
  <c r="I60" i="12"/>
  <c r="H60" i="12"/>
  <c r="J59" i="12"/>
  <c r="I59" i="12"/>
  <c r="H59" i="12"/>
  <c r="J58" i="12"/>
  <c r="I58" i="12"/>
  <c r="H58" i="12"/>
  <c r="J57" i="12"/>
  <c r="I57" i="12"/>
  <c r="H57" i="12"/>
  <c r="J56" i="12"/>
  <c r="I56" i="12"/>
  <c r="H56" i="12"/>
  <c r="J55" i="12"/>
  <c r="I55" i="12"/>
  <c r="H55" i="12"/>
  <c r="J54" i="12"/>
  <c r="I54" i="12"/>
  <c r="H54" i="12"/>
  <c r="J53" i="12"/>
  <c r="I53" i="12"/>
  <c r="H53" i="12"/>
  <c r="J52" i="12"/>
  <c r="I52" i="12"/>
  <c r="H52" i="12"/>
  <c r="J51" i="12"/>
  <c r="I51" i="12"/>
  <c r="H51" i="12"/>
  <c r="J50" i="12"/>
  <c r="I50" i="12"/>
  <c r="H50" i="12"/>
  <c r="J49" i="12"/>
  <c r="I49" i="12"/>
  <c r="H49" i="12"/>
  <c r="J48" i="12"/>
  <c r="I48" i="12"/>
  <c r="H48" i="12"/>
  <c r="J47" i="12"/>
  <c r="I47" i="12"/>
  <c r="H47" i="12"/>
  <c r="J46" i="12"/>
  <c r="I46" i="12"/>
  <c r="H46" i="12"/>
  <c r="J45" i="12"/>
  <c r="I45" i="12"/>
  <c r="H45" i="12"/>
  <c r="J44" i="12"/>
  <c r="I44" i="12"/>
  <c r="H44" i="12"/>
  <c r="J43" i="12"/>
  <c r="I43" i="12"/>
  <c r="H43" i="12"/>
  <c r="J42" i="12"/>
  <c r="I42" i="12"/>
  <c r="H42" i="12"/>
  <c r="J41" i="12"/>
  <c r="I41" i="12"/>
  <c r="H41" i="12"/>
  <c r="J40" i="12"/>
  <c r="I40" i="12"/>
  <c r="H40" i="12"/>
  <c r="J39" i="12"/>
  <c r="I39" i="12"/>
  <c r="H39" i="12"/>
  <c r="J38" i="12"/>
  <c r="I38" i="12"/>
  <c r="H38" i="12"/>
  <c r="J37" i="12"/>
  <c r="I37" i="12"/>
  <c r="H37" i="12"/>
  <c r="J36" i="12"/>
  <c r="I36" i="12"/>
  <c r="H36" i="12"/>
  <c r="J35" i="12"/>
  <c r="I35" i="12"/>
  <c r="H35" i="12"/>
  <c r="J34" i="12"/>
  <c r="I34" i="12"/>
  <c r="H34" i="12"/>
  <c r="J33" i="12"/>
  <c r="I33" i="12"/>
  <c r="H33" i="12"/>
  <c r="J32" i="12"/>
  <c r="I32" i="12"/>
  <c r="H32" i="12"/>
  <c r="J31" i="12"/>
  <c r="I31" i="12"/>
  <c r="H31" i="12"/>
  <c r="J30" i="12"/>
  <c r="I30" i="12"/>
  <c r="H30" i="12"/>
  <c r="J29" i="12"/>
  <c r="I29" i="12"/>
  <c r="H29" i="12"/>
  <c r="J28" i="12"/>
  <c r="I28" i="12"/>
  <c r="H28" i="12"/>
  <c r="J27" i="12"/>
  <c r="I27" i="12"/>
  <c r="H27" i="12"/>
  <c r="J26" i="12"/>
  <c r="I26" i="12"/>
  <c r="H26" i="12"/>
  <c r="J25" i="12"/>
  <c r="I25" i="12"/>
  <c r="H25" i="12"/>
  <c r="J24" i="12"/>
  <c r="I24" i="12"/>
  <c r="H24" i="12"/>
  <c r="J23" i="12"/>
  <c r="I23" i="12"/>
  <c r="H23" i="12"/>
  <c r="J22" i="12"/>
  <c r="I22" i="12"/>
  <c r="H22" i="12"/>
  <c r="J21" i="12"/>
  <c r="I21" i="12"/>
  <c r="H21" i="12"/>
  <c r="J20" i="12"/>
  <c r="I20" i="12"/>
  <c r="H20" i="12"/>
  <c r="J19" i="12"/>
  <c r="I19" i="12"/>
  <c r="H19" i="12"/>
  <c r="J18" i="12"/>
  <c r="I18" i="12"/>
  <c r="H18" i="12"/>
  <c r="J17" i="12"/>
  <c r="I17" i="12"/>
  <c r="H17" i="12"/>
  <c r="J16" i="12"/>
  <c r="I16" i="12"/>
  <c r="H16" i="12"/>
  <c r="J15" i="12"/>
  <c r="I15" i="12"/>
  <c r="H15" i="12"/>
  <c r="J14" i="12"/>
  <c r="I14" i="12"/>
  <c r="H14" i="12"/>
  <c r="J13" i="12"/>
  <c r="I13" i="12"/>
  <c r="H13" i="12"/>
  <c r="J12" i="12"/>
  <c r="I12" i="12"/>
  <c r="H12" i="12"/>
  <c r="J11" i="12"/>
  <c r="I11" i="12"/>
  <c r="H11" i="12"/>
  <c r="J10" i="12"/>
  <c r="I10" i="12"/>
  <c r="H10" i="12"/>
  <c r="J9" i="12"/>
  <c r="I9" i="12"/>
  <c r="H9" i="12"/>
  <c r="J8" i="12"/>
  <c r="I8" i="12"/>
  <c r="H8" i="12"/>
  <c r="J7" i="12"/>
  <c r="I7" i="12"/>
  <c r="H7" i="12"/>
  <c r="J6" i="12"/>
  <c r="I6" i="12"/>
  <c r="H6" i="12"/>
  <c r="J5" i="12"/>
  <c r="I5" i="12"/>
  <c r="H5" i="12"/>
  <c r="J4" i="12"/>
  <c r="I4" i="12"/>
  <c r="H4" i="12"/>
  <c r="J3" i="12"/>
  <c r="I3" i="12"/>
  <c r="H3" i="12"/>
  <c r="J2" i="12"/>
  <c r="I2" i="12"/>
  <c r="H2" i="12"/>
</calcChain>
</file>

<file path=xl/sharedStrings.xml><?xml version="1.0" encoding="utf-8"?>
<sst xmlns="http://schemas.openxmlformats.org/spreadsheetml/2006/main" count="23325" uniqueCount="6586">
  <si>
    <t>BU</t>
  </si>
  <si>
    <t>Cabang</t>
  </si>
  <si>
    <t>Invoice No.</t>
  </si>
  <si>
    <t>Tipe Kendaraan</t>
  </si>
  <si>
    <t>Exterior Color Code</t>
  </si>
  <si>
    <t>Colour Desc</t>
  </si>
  <si>
    <t>Chasis</t>
  </si>
  <si>
    <t>No Mesin</t>
  </si>
  <si>
    <t>Sales Force ID</t>
  </si>
  <si>
    <t>Sales Person</t>
  </si>
  <si>
    <t>Supervisor</t>
  </si>
  <si>
    <t>Customer No</t>
  </si>
  <si>
    <t>Customer</t>
  </si>
  <si>
    <t>Customer Class</t>
  </si>
  <si>
    <t>NAMA STNK</t>
  </si>
  <si>
    <t>Owner Adress</t>
  </si>
  <si>
    <t>Owner District</t>
  </si>
  <si>
    <t>Owner City</t>
  </si>
  <si>
    <t>Method Of Payment</t>
  </si>
  <si>
    <t>Faktur Pajak</t>
  </si>
  <si>
    <t>Harga OTR</t>
  </si>
  <si>
    <t>Harga Unit</t>
  </si>
  <si>
    <t>BBN</t>
  </si>
  <si>
    <t>PPN</t>
  </si>
  <si>
    <t>Accessories Optional</t>
  </si>
  <si>
    <t>Accessories Konsorsium</t>
  </si>
  <si>
    <t>Harga Discount</t>
  </si>
  <si>
    <t>Harga Total AR</t>
  </si>
  <si>
    <t>Outstanding AR</t>
  </si>
  <si>
    <t>Total Discount Approved</t>
  </si>
  <si>
    <t>Delivery Date</t>
  </si>
  <si>
    <t>Tanggal Act GI</t>
  </si>
  <si>
    <t>Invoice Type</t>
  </si>
  <si>
    <t>Qty</t>
  </si>
  <si>
    <t>NPWP</t>
  </si>
  <si>
    <t>Tanggal Prospect</t>
  </si>
  <si>
    <t>SPK No.</t>
  </si>
  <si>
    <t>Tanggal SPK</t>
  </si>
  <si>
    <t>SPK Transaction Date</t>
  </si>
  <si>
    <t>SPK Created Date</t>
  </si>
  <si>
    <t>RRN No.</t>
  </si>
  <si>
    <t>AFI Submit Date</t>
  </si>
  <si>
    <t>Invoice Due Date</t>
  </si>
  <si>
    <t>DO TAM No.</t>
  </si>
  <si>
    <t>DO TAM Date</t>
  </si>
  <si>
    <t>Promise Delivery Date</t>
  </si>
  <si>
    <t>Referral Amount</t>
  </si>
  <si>
    <t>INNOVA</t>
  </si>
  <si>
    <t>218</t>
  </si>
  <si>
    <t>ATTITUDE BLACK MICA</t>
  </si>
  <si>
    <t>CASH</t>
  </si>
  <si>
    <t>089</t>
  </si>
  <si>
    <t>KOTA JAKARTA TIMUR</t>
  </si>
  <si>
    <t>HILUX</t>
  </si>
  <si>
    <t>YARIS</t>
  </si>
  <si>
    <t>KAB. GARUT</t>
  </si>
  <si>
    <t>KOTA JAKARTA SELATAN</t>
  </si>
  <si>
    <t>KOTA JAKARTA PUSAT</t>
  </si>
  <si>
    <t>AVANZA</t>
  </si>
  <si>
    <t>W101RE-LMMFJ-00</t>
  </si>
  <si>
    <t>W09</t>
  </si>
  <si>
    <t>WHITE</t>
  </si>
  <si>
    <t>KOTA TANGERANG</t>
  </si>
  <si>
    <t>PT. MANDIRI TUNAS FINANCE</t>
  </si>
  <si>
    <t>X12</t>
  </si>
  <si>
    <t>BLACK MICA</t>
  </si>
  <si>
    <t>W101RE-LBMFJ-00</t>
  </si>
  <si>
    <t>CALYA</t>
  </si>
  <si>
    <t>X13</t>
  </si>
  <si>
    <t>BLACK</t>
  </si>
  <si>
    <t>KOTA JAKARTA BARAT</t>
  </si>
  <si>
    <t>KOTA JAKARTA UTARA</t>
  </si>
  <si>
    <t>RUSH</t>
  </si>
  <si>
    <t>AGYA</t>
  </si>
  <si>
    <t>A351RA-GBEFJ-00</t>
  </si>
  <si>
    <t>FORTUNER</t>
  </si>
  <si>
    <t>KOTA BEKASI</t>
  </si>
  <si>
    <t>1G3</t>
  </si>
  <si>
    <t>GRAY METALLIC</t>
  </si>
  <si>
    <t>KEC. KEBAYORAN BARU</t>
  </si>
  <si>
    <t>KOTA DEPOK</t>
  </si>
  <si>
    <t>SILVER METALLIC</t>
  </si>
  <si>
    <t>202</t>
  </si>
  <si>
    <t>Invoice</t>
  </si>
  <si>
    <t>W100RE-LBDFJ-00</t>
  </si>
  <si>
    <t>KOTA SERANG</t>
  </si>
  <si>
    <t>PLATINUM WHITE PEARL</t>
  </si>
  <si>
    <t>KOTA TANGERANG SELATAN</t>
  </si>
  <si>
    <t>B401RA-GQZFJ-20</t>
  </si>
  <si>
    <t>PT. TOYOTA ASTRA FINANCIAL SERVICES</t>
  </si>
  <si>
    <t>RAIZE</t>
  </si>
  <si>
    <t>KEC. TANAH ABANG</t>
  </si>
  <si>
    <t>KAB. BEKASI</t>
  </si>
  <si>
    <t>1D6</t>
  </si>
  <si>
    <t>MAGH10R-BPXHBD-00</t>
  </si>
  <si>
    <t>KEC. KEMBANGAN</t>
  </si>
  <si>
    <t>3Q3</t>
  </si>
  <si>
    <t>DARK RED MICA MET.</t>
  </si>
  <si>
    <t>HIACE</t>
  </si>
  <si>
    <t>058</t>
  </si>
  <si>
    <t>KEC. CAKUNG</t>
  </si>
  <si>
    <t>KKB BCA</t>
  </si>
  <si>
    <t>KAB. BOGOR</t>
  </si>
  <si>
    <t>UNIT KKB PT. BANK CENTRAL ASIA</t>
  </si>
  <si>
    <t>PT. ASTRA SEDAYA FINANCE</t>
  </si>
  <si>
    <t>KEC. JAGAKARSA</t>
  </si>
  <si>
    <t>KAB. BANDUNG BARAT</t>
  </si>
  <si>
    <t>KAB. KARAWANG</t>
  </si>
  <si>
    <t>NYC200R-DHXHBD-01</t>
  </si>
  <si>
    <t>PT</t>
  </si>
  <si>
    <t>INDIVIDU</t>
  </si>
  <si>
    <t>Jan</t>
  </si>
  <si>
    <t>GUN125R-DTFSXD-30</t>
  </si>
  <si>
    <t>GUN125R-DTTHXD-40</t>
  </si>
  <si>
    <t>2PS</t>
  </si>
  <si>
    <t>BLACK - PLATINUM WHITE PEARL</t>
  </si>
  <si>
    <t>F800RE-GQGFJ-40</t>
  </si>
  <si>
    <t>No</t>
  </si>
  <si>
    <t>MTF</t>
  </si>
  <si>
    <t>TAFS</t>
  </si>
  <si>
    <t>OTHERS</t>
  </si>
  <si>
    <t>ACC</t>
  </si>
  <si>
    <t>GUN166R-SDTHXD-31</t>
  </si>
  <si>
    <t>GUN166R-SDTHXD-32</t>
  </si>
  <si>
    <t>Sumber Prospek</t>
  </si>
  <si>
    <t>Profil Pembelian</t>
  </si>
  <si>
    <t>Pekerjaan</t>
  </si>
  <si>
    <t>Sales Person2</t>
  </si>
  <si>
    <t>Supervisor3</t>
  </si>
  <si>
    <t>Customer Class4</t>
  </si>
  <si>
    <t>Method Of Payment5</t>
  </si>
  <si>
    <t>Row Labels</t>
  </si>
  <si>
    <t>Grand Total</t>
  </si>
  <si>
    <t>Sum of Qty</t>
  </si>
  <si>
    <t xml:space="preserve">Invoice Date </t>
  </si>
  <si>
    <t>Month</t>
  </si>
  <si>
    <t>Thn</t>
  </si>
  <si>
    <t>Model2</t>
  </si>
  <si>
    <t>Nama Leasing</t>
  </si>
  <si>
    <t>KOTA CIMAHI</t>
  </si>
  <si>
    <t>KAB. BANDUNG</t>
  </si>
  <si>
    <t>KOTA BANDUNG</t>
  </si>
  <si>
    <t>KAB. TASIKMALAYA</t>
  </si>
  <si>
    <t>KAB. SUKABUMI</t>
  </si>
  <si>
    <t>KAB. CIANJUR</t>
  </si>
  <si>
    <t>WIRASWASTA</t>
  </si>
  <si>
    <t>DATABASE</t>
  </si>
  <si>
    <t>REPLACEMENT</t>
  </si>
  <si>
    <t>PROFESIONAL</t>
  </si>
  <si>
    <t>REFERENSI</t>
  </si>
  <si>
    <t>RO</t>
  </si>
  <si>
    <t>IKLAN</t>
  </si>
  <si>
    <t>Model1</t>
  </si>
  <si>
    <t>Model3</t>
  </si>
  <si>
    <t>INV ZENIX HYBRID</t>
  </si>
  <si>
    <t>INV REBORN</t>
  </si>
  <si>
    <t>PMA</t>
  </si>
  <si>
    <t>KAB. SUBANG</t>
  </si>
  <si>
    <t>KAB. SUMEDANG</t>
  </si>
  <si>
    <t>KAB. INDRAMAYU</t>
  </si>
  <si>
    <t>CITY</t>
  </si>
  <si>
    <t>FIRST BUYER</t>
  </si>
  <si>
    <t>ADDITIONAL</t>
  </si>
  <si>
    <t>0000000000000000</t>
  </si>
  <si>
    <t>A351RA-GBEFJ-10</t>
  </si>
  <si>
    <t>KAB. TANGERANG (PLAT B)</t>
  </si>
  <si>
    <t>KEC. KALIDERES</t>
  </si>
  <si>
    <t>KAB. TANGERANG (PLAT A)</t>
  </si>
  <si>
    <t>ALPHARD HYBRID</t>
  </si>
  <si>
    <t>PT. CLIPAN FINANCE INDONESIA TBK</t>
  </si>
  <si>
    <t>KEC. SUKASARI</t>
  </si>
  <si>
    <t>14/07/25</t>
  </si>
  <si>
    <t>NYC200R-DHXHBD-03</t>
  </si>
  <si>
    <t>GDH321R-EDFDYD-10</t>
  </si>
  <si>
    <t>MAGH10R-BPXHBD-10</t>
  </si>
  <si>
    <t>MAGH10R-BRXMBD-10</t>
  </si>
  <si>
    <t>MAGH10R-BRXMBD-11</t>
  </si>
  <si>
    <t>TGN110R-ATMSKD-11</t>
  </si>
  <si>
    <t>19/12/25</t>
  </si>
  <si>
    <t>13/12/25</t>
  </si>
  <si>
    <t>22/12/25</t>
  </si>
  <si>
    <t>26/12/25</t>
  </si>
  <si>
    <t>09/01/26</t>
  </si>
  <si>
    <t>12/01/26</t>
  </si>
  <si>
    <t>TGN110R-ATMSKD-10</t>
  </si>
  <si>
    <t>03/01/26</t>
  </si>
  <si>
    <t>27/01/26</t>
  </si>
  <si>
    <t>08/01/26</t>
  </si>
  <si>
    <t>11/01/26</t>
  </si>
  <si>
    <t>30/12/25</t>
  </si>
  <si>
    <t>29/01/26</t>
  </si>
  <si>
    <t>22/01/26</t>
  </si>
  <si>
    <t>GUN142R-MDTSXD-30</t>
  </si>
  <si>
    <t>02/12/25</t>
  </si>
  <si>
    <t>14/01/26</t>
  </si>
  <si>
    <t>15/01/26</t>
  </si>
  <si>
    <t>31/12/25</t>
  </si>
  <si>
    <t>30/01/26</t>
  </si>
  <si>
    <t>17/01/26</t>
  </si>
  <si>
    <t>21/01/26</t>
  </si>
  <si>
    <t>GUN142R-MDMSXD-30</t>
  </si>
  <si>
    <t>05/01/26</t>
  </si>
  <si>
    <t>10/01/26</t>
  </si>
  <si>
    <t>07/01/26</t>
  </si>
  <si>
    <t>23/01/26</t>
  </si>
  <si>
    <t>25/01/26</t>
  </si>
  <si>
    <t>26/01/26</t>
  </si>
  <si>
    <t>19/01/26</t>
  </si>
  <si>
    <t>MAGH10R-BPXHBD-11</t>
  </si>
  <si>
    <t>MAGH10R-BRXLBD-11</t>
  </si>
  <si>
    <t>06/02/26</t>
  </si>
  <si>
    <t>03/02/26</t>
  </si>
  <si>
    <t>06/01/26</t>
  </si>
  <si>
    <t>31/01/26</t>
  </si>
  <si>
    <t>24/01/26</t>
  </si>
  <si>
    <t>14/02/26</t>
  </si>
  <si>
    <t>28/01/26</t>
  </si>
  <si>
    <t>13/01/26</t>
  </si>
  <si>
    <t>13/02/26</t>
  </si>
  <si>
    <t>09/02/26</t>
  </si>
  <si>
    <t>05/02/26</t>
  </si>
  <si>
    <t>10/02/26</t>
  </si>
  <si>
    <t>24/02/26</t>
  </si>
  <si>
    <t>01/03/26</t>
  </si>
  <si>
    <t>25/02/26</t>
  </si>
  <si>
    <t>20/01/26</t>
  </si>
  <si>
    <t>22/02/26</t>
  </si>
  <si>
    <t>20/02/26</t>
  </si>
  <si>
    <t>27/02/26</t>
  </si>
  <si>
    <t>08/02/26</t>
  </si>
  <si>
    <t>21/02/26</t>
  </si>
  <si>
    <t>18/02/26</t>
  </si>
  <si>
    <t>02/03/26</t>
  </si>
  <si>
    <t>19/02/26</t>
  </si>
  <si>
    <t>11/02/26</t>
  </si>
  <si>
    <t>12/02/26</t>
  </si>
  <si>
    <t>2026007057</t>
  </si>
  <si>
    <t>26/02/26</t>
  </si>
  <si>
    <t>28/02/26</t>
  </si>
  <si>
    <t>A251RA-GBXFJ-10</t>
  </si>
  <si>
    <t>2026009630</t>
  </si>
  <si>
    <t>04/02/26</t>
  </si>
  <si>
    <t>09/03/26</t>
  </si>
  <si>
    <t>15/03/26</t>
  </si>
  <si>
    <t>16/03/26</t>
  </si>
  <si>
    <t>A250RA-GBVVJ-30</t>
  </si>
  <si>
    <t>12/03/26</t>
  </si>
  <si>
    <t>GUN156R-SDTHXD-32</t>
  </si>
  <si>
    <t>14/03/26</t>
  </si>
  <si>
    <t>NYC200R-DHXHBD-02</t>
  </si>
  <si>
    <t>2026001877</t>
  </si>
  <si>
    <t>17/03/26</t>
  </si>
  <si>
    <t>07/03/26</t>
  </si>
  <si>
    <t>2025062621</t>
  </si>
  <si>
    <t>06/03/26</t>
  </si>
  <si>
    <t>13/03/26</t>
  </si>
  <si>
    <t>22/01/26 17.08</t>
  </si>
  <si>
    <t>28/02/26 08.00</t>
  </si>
  <si>
    <t>Feb</t>
  </si>
  <si>
    <t>04/03/26</t>
  </si>
  <si>
    <t>23/02/26</t>
  </si>
  <si>
    <t>16/02/26</t>
  </si>
  <si>
    <t>KREDIT</t>
  </si>
  <si>
    <t>11/03/26</t>
  </si>
  <si>
    <t>F800RE-GQMFJ-30</t>
  </si>
  <si>
    <t>20/03/26</t>
  </si>
  <si>
    <t>08/03/26</t>
  </si>
  <si>
    <t>21/02/26 11.18</t>
  </si>
  <si>
    <t>B401RA-GMZFJ-20</t>
  </si>
  <si>
    <t>S28</t>
  </si>
  <si>
    <t>Silver Metallic</t>
  </si>
  <si>
    <t>18/03/26</t>
  </si>
  <si>
    <t>KEC. CENGKARENG</t>
  </si>
  <si>
    <t>10/03/26</t>
  </si>
  <si>
    <t>05/03/26</t>
  </si>
  <si>
    <t>17/02/26</t>
  </si>
  <si>
    <t>F800RE-GMGFJ-40</t>
  </si>
  <si>
    <t>26/03/26</t>
  </si>
  <si>
    <t>07/02/26</t>
  </si>
  <si>
    <t>GUN166R-SDTHXD-33</t>
  </si>
  <si>
    <t>02/02/26</t>
  </si>
  <si>
    <t>TGN110R-ATMHKD-10</t>
  </si>
  <si>
    <t>13/04/26</t>
  </si>
  <si>
    <t>040</t>
  </si>
  <si>
    <t>SUPER WHITE II</t>
  </si>
  <si>
    <t>AAHH40R-PFXLB-02</t>
  </si>
  <si>
    <t>PLATINUM WHITE PEARL MICA</t>
  </si>
  <si>
    <t>KEC. CIPUTAT</t>
  </si>
  <si>
    <t>2026012641</t>
  </si>
  <si>
    <t>KEC. MAMPANG PRAPATAN</t>
  </si>
  <si>
    <t>14/04/26</t>
  </si>
  <si>
    <t>KEC. PONDOK AREN</t>
  </si>
  <si>
    <t>Credit Memo</t>
  </si>
  <si>
    <t>MAGA10R-BRXLBD-10</t>
  </si>
  <si>
    <t>28/03/26</t>
  </si>
  <si>
    <t>27/03/26</t>
  </si>
  <si>
    <t>2026015488</t>
  </si>
  <si>
    <t>30/03/26</t>
  </si>
  <si>
    <t>11/04/26</t>
  </si>
  <si>
    <t>22/03/26</t>
  </si>
  <si>
    <t>2026010878</t>
  </si>
  <si>
    <t>16/12/25</t>
  </si>
  <si>
    <t>2026020074</t>
  </si>
  <si>
    <t>09/04/26</t>
  </si>
  <si>
    <t>KEC. KELAPA GADING</t>
  </si>
  <si>
    <t>2026015675</t>
  </si>
  <si>
    <t>KEC. PAL MERAH</t>
  </si>
  <si>
    <t>07/02/26 12.07</t>
  </si>
  <si>
    <t>10/04/26</t>
  </si>
  <si>
    <t>12/04/26</t>
  </si>
  <si>
    <t>R40</t>
  </si>
  <si>
    <t>RED</t>
  </si>
  <si>
    <t>29/03/26</t>
  </si>
  <si>
    <t>31/03/26</t>
  </si>
  <si>
    <t>PT. SURYA SUDECO</t>
  </si>
  <si>
    <t>PT SURYA SUDECO</t>
  </si>
  <si>
    <t>0013318217062000</t>
  </si>
  <si>
    <t>2026014878</t>
  </si>
  <si>
    <t>PNS</t>
  </si>
  <si>
    <t>PAMERAN</t>
  </si>
  <si>
    <t>INV ZENIX GAS</t>
  </si>
  <si>
    <t>month</t>
  </si>
  <si>
    <t>spv</t>
  </si>
  <si>
    <t>total</t>
  </si>
  <si>
    <t>leasing</t>
  </si>
  <si>
    <t>class</t>
  </si>
  <si>
    <t>cash kredit</t>
  </si>
  <si>
    <t>W102RE-LBVFJ-10</t>
  </si>
  <si>
    <t>W100RE-LBDFJ-10</t>
  </si>
  <si>
    <t>W101RE-LBMFJ-10</t>
  </si>
  <si>
    <t>W102RE-LBVFJ-03</t>
  </si>
  <si>
    <t>1E7</t>
  </si>
  <si>
    <t>GUN112R-ATMHXD-10</t>
  </si>
  <si>
    <t>A250RA-GBVVJ-31</t>
  </si>
  <si>
    <t>KDH223R-LEMDY-00</t>
  </si>
  <si>
    <t>W102RE-LBVFJ-11</t>
  </si>
  <si>
    <t>W102RE-LBVFJ-08</t>
  </si>
  <si>
    <t>W102RE-LBVFJ-09</t>
  </si>
  <si>
    <t>W102RE-LBVFJ-06</t>
  </si>
  <si>
    <t>Mar</t>
  </si>
  <si>
    <t>24/03/26</t>
  </si>
  <si>
    <t>03/03/26</t>
  </si>
  <si>
    <t>25/04/26</t>
  </si>
  <si>
    <t>08/12/25</t>
  </si>
  <si>
    <t>30/04/26</t>
  </si>
  <si>
    <t>15/05/26</t>
  </si>
  <si>
    <t>02/05/26</t>
  </si>
  <si>
    <t>17/04/26</t>
  </si>
  <si>
    <t>25/03/26</t>
  </si>
  <si>
    <t>23/03/26</t>
  </si>
  <si>
    <t>21/03/26</t>
  </si>
  <si>
    <t>04/04/26</t>
  </si>
  <si>
    <t>19/03/26</t>
  </si>
  <si>
    <t>01/04/26</t>
  </si>
  <si>
    <t>2026021911</t>
  </si>
  <si>
    <t>2026029385</t>
  </si>
  <si>
    <t>KEC. JATIASIH</t>
  </si>
  <si>
    <t>PT. BCA FINANCE</t>
  </si>
  <si>
    <t>08/04/26</t>
  </si>
  <si>
    <t>10/03/26 16.31</t>
  </si>
  <si>
    <t>23/04/26</t>
  </si>
  <si>
    <t>26/04/26</t>
  </si>
  <si>
    <t>PT. ADIRA DINAMIKA MULTI FINANCE TBK</t>
  </si>
  <si>
    <t>2026031141</t>
  </si>
  <si>
    <t>2026031888</t>
  </si>
  <si>
    <t>06/04/26</t>
  </si>
  <si>
    <t>27/04/26</t>
  </si>
  <si>
    <t>16/04/26</t>
  </si>
  <si>
    <t>02/04/26</t>
  </si>
  <si>
    <t>VELOZ</t>
  </si>
  <si>
    <t>BCAF</t>
  </si>
  <si>
    <t>ADIRA</t>
  </si>
  <si>
    <t>2026039036</t>
  </si>
  <si>
    <t>W101RE-LMMFJ-10</t>
  </si>
  <si>
    <t>KEC. CIPUTAT TIMUR</t>
  </si>
  <si>
    <t>SUTRISNO</t>
  </si>
  <si>
    <t>R79</t>
  </si>
  <si>
    <t>RED M. M</t>
  </si>
  <si>
    <t>KEC. BEJI</t>
  </si>
  <si>
    <t>2026035815</t>
  </si>
  <si>
    <t>A250RA-GBXVJ-10</t>
  </si>
  <si>
    <t>KEC. CILANDAK</t>
  </si>
  <si>
    <t>2026009148</t>
  </si>
  <si>
    <t>2026035253</t>
  </si>
  <si>
    <t>2026038014</t>
  </si>
  <si>
    <t>W102RE-LBVFJ-07</t>
  </si>
  <si>
    <t>W100RE-LMDFJ-00</t>
  </si>
  <si>
    <t>2026023496</t>
  </si>
  <si>
    <t>MAGH10R-BRXLBD-10</t>
  </si>
  <si>
    <t>Apr</t>
  </si>
  <si>
    <t>14/05/26</t>
  </si>
  <si>
    <t>24/04/26</t>
  </si>
  <si>
    <t>29/04/26</t>
  </si>
  <si>
    <t>22/04/26</t>
  </si>
  <si>
    <t>15/04/26</t>
  </si>
  <si>
    <t>21/04/26</t>
  </si>
  <si>
    <t>11/05/26</t>
  </si>
  <si>
    <t>07/04/26</t>
  </si>
  <si>
    <t>18/04/26</t>
  </si>
  <si>
    <t>28/04/26</t>
  </si>
  <si>
    <t>13/05/26</t>
  </si>
  <si>
    <t>01/05/26</t>
  </si>
  <si>
    <t>09/05/26</t>
  </si>
  <si>
    <t>06/05/26</t>
  </si>
  <si>
    <t>20/04/26</t>
  </si>
  <si>
    <t>04/05/26</t>
  </si>
  <si>
    <t>08/05/26</t>
  </si>
  <si>
    <t>05/05/26</t>
  </si>
  <si>
    <t>12/05/26</t>
  </si>
  <si>
    <t>23/05/26</t>
  </si>
  <si>
    <t>03/04/26</t>
  </si>
  <si>
    <t>07/05/26</t>
  </si>
  <si>
    <t>06/06/26</t>
  </si>
  <si>
    <t>07/06/26</t>
  </si>
  <si>
    <t>30/05/26</t>
  </si>
  <si>
    <t>16/05/26</t>
  </si>
  <si>
    <t>20/05/26</t>
  </si>
  <si>
    <t>14/06/26</t>
  </si>
  <si>
    <t>10/05/26</t>
  </si>
  <si>
    <t>29/05/26</t>
  </si>
  <si>
    <t>23/04/26 16.52</t>
  </si>
  <si>
    <t>04/06/26</t>
  </si>
  <si>
    <t>13/06/26</t>
  </si>
  <si>
    <t>PT. MANDIRI UTAMA FINANCE</t>
  </si>
  <si>
    <t>MULYADI</t>
  </si>
  <si>
    <t>May</t>
  </si>
  <si>
    <t>27/05/26</t>
  </si>
  <si>
    <t>12/06/26</t>
  </si>
  <si>
    <t>19/05/26</t>
  </si>
  <si>
    <t>28/06/26</t>
  </si>
  <si>
    <t>26/05/26</t>
  </si>
  <si>
    <t>28/05/26</t>
  </si>
  <si>
    <t>21/05/26</t>
  </si>
  <si>
    <t>22/05/26</t>
  </si>
  <si>
    <t>09/06/26</t>
  </si>
  <si>
    <t>18/05/26</t>
  </si>
  <si>
    <t>05/06/26</t>
  </si>
  <si>
    <t>01/06/26</t>
  </si>
  <si>
    <t>03/06/26</t>
  </si>
  <si>
    <t>02/06/26</t>
  </si>
  <si>
    <t>11/06/26</t>
  </si>
  <si>
    <t>17/05/26</t>
  </si>
  <si>
    <t>25/05/26</t>
  </si>
  <si>
    <t>08/06/26</t>
  </si>
  <si>
    <t>31/05/26</t>
  </si>
  <si>
    <t>28/05/26 14.45</t>
  </si>
  <si>
    <t>24/05/26</t>
  </si>
  <si>
    <t>W100RE-LMDFJ-10</t>
  </si>
  <si>
    <t>KEC. GUNUNG PUTRI</t>
  </si>
  <si>
    <t>03/05/26</t>
  </si>
  <si>
    <t>2026055501</t>
  </si>
  <si>
    <t>17/06/26</t>
  </si>
  <si>
    <t>24/06/26</t>
  </si>
  <si>
    <t>F800RE-GMMFJ-30</t>
  </si>
  <si>
    <t>03/07/26</t>
  </si>
  <si>
    <t>27/06/26</t>
  </si>
  <si>
    <t>10/07/26</t>
  </si>
  <si>
    <t>GUN112R-ATMSXD-10</t>
  </si>
  <si>
    <t>25/06/26</t>
  </si>
  <si>
    <t>12/07/26</t>
  </si>
  <si>
    <t>14/07/26</t>
  </si>
  <si>
    <t>2026046820</t>
  </si>
  <si>
    <t>Jun</t>
  </si>
  <si>
    <t>22/06/26</t>
  </si>
  <si>
    <t>20/06/26</t>
  </si>
  <si>
    <t>08/07/26</t>
  </si>
  <si>
    <t>23/06/26</t>
  </si>
  <si>
    <t>10/06/26</t>
  </si>
  <si>
    <t>07/07/26</t>
  </si>
  <si>
    <t>19/06/26</t>
  </si>
  <si>
    <t>01/07/26</t>
  </si>
  <si>
    <t>15/06/26</t>
  </si>
  <si>
    <t>18/06/26</t>
  </si>
  <si>
    <t>30/06/26</t>
  </si>
  <si>
    <t>29/06/26</t>
  </si>
  <si>
    <t>26/06/26</t>
  </si>
  <si>
    <t>2026068025</t>
  </si>
  <si>
    <t>13/07/26</t>
  </si>
  <si>
    <t>21/06/26</t>
  </si>
  <si>
    <t>09/07/26</t>
  </si>
  <si>
    <t>06/07/26</t>
  </si>
  <si>
    <t>04/07/26</t>
  </si>
  <si>
    <t>2026059014</t>
  </si>
  <si>
    <t>KEC. SERANG</t>
  </si>
  <si>
    <t>23/07/26</t>
  </si>
  <si>
    <t>30/07/26</t>
  </si>
  <si>
    <t>GUN110R-ATTHXD-10</t>
  </si>
  <si>
    <t>AAHH40R-PFXLB-11</t>
  </si>
  <si>
    <t>22/07/26</t>
  </si>
  <si>
    <t>26/07/26</t>
  </si>
  <si>
    <t>29/07/26</t>
  </si>
  <si>
    <t>MAGA10R-BRXMBD-11</t>
  </si>
  <si>
    <t>A351RA-GBEFJ-FB</t>
  </si>
  <si>
    <t>KEC. CIBITUNG</t>
  </si>
  <si>
    <t>25/07/26</t>
  </si>
  <si>
    <t>27/07/26</t>
  </si>
  <si>
    <t>NYC200R-DHXMBD-00</t>
  </si>
  <si>
    <t>10/08/26</t>
  </si>
  <si>
    <t>17/07/26</t>
  </si>
  <si>
    <t>26/06/26 17.12</t>
  </si>
  <si>
    <t>2026059168</t>
  </si>
  <si>
    <t>19/06/26 11.59</t>
  </si>
  <si>
    <t>KEC. ANJATAN</t>
  </si>
  <si>
    <t>KC</t>
  </si>
  <si>
    <t>146ARI2603-0819</t>
  </si>
  <si>
    <t>MHKAA1BY4TJ012974</t>
  </si>
  <si>
    <t>1NR-G318806</t>
  </si>
  <si>
    <t>KCMG072432</t>
  </si>
  <si>
    <t>DENO</t>
  </si>
  <si>
    <t>FERYANTO</t>
  </si>
  <si>
    <t>CST-000817510</t>
  </si>
  <si>
    <t>AA SUGANDA</t>
  </si>
  <si>
    <t>LENA MAULANI</t>
  </si>
  <si>
    <t>RANCAKIHIANG</t>
  </si>
  <si>
    <t>KEC. RANCAEKEK</t>
  </si>
  <si>
    <t>KC-26-000112</t>
  </si>
  <si>
    <t>13/03/26 13.56</t>
  </si>
  <si>
    <t>B702018</t>
  </si>
  <si>
    <t>2026021998</t>
  </si>
  <si>
    <t>17/03/26 13.28</t>
  </si>
  <si>
    <t>146ARI2602-0740</t>
  </si>
  <si>
    <t>JTFST22P7S0054511</t>
  </si>
  <si>
    <t>1KD-B228570</t>
  </si>
  <si>
    <t>KCMK24005</t>
  </si>
  <si>
    <t>JAJANG NURJAMAN</t>
  </si>
  <si>
    <t>CST-000812711</t>
  </si>
  <si>
    <t>ABDUL ROJAK</t>
  </si>
  <si>
    <t>KOMP. GBA 3 BLOK 0-10 NO.7</t>
  </si>
  <si>
    <t>KEC. BOJONGSOANG</t>
  </si>
  <si>
    <t>001-26.64462157</t>
  </si>
  <si>
    <t>KC-25-001142</t>
  </si>
  <si>
    <t>10/02/26 15.06</t>
  </si>
  <si>
    <t>AP00500</t>
  </si>
  <si>
    <t>2026009044</t>
  </si>
  <si>
    <t>20/02/26 11.00</t>
  </si>
  <si>
    <t>146ARI2602-1382</t>
  </si>
  <si>
    <t>LIVE MEDSOS</t>
  </si>
  <si>
    <t>MHKA6GK6JTJ089051</t>
  </si>
  <si>
    <t>3NR-H984913</t>
  </si>
  <si>
    <t>KCMG042414</t>
  </si>
  <si>
    <t>RIZKI RISMAWAN</t>
  </si>
  <si>
    <t>ALVIN</t>
  </si>
  <si>
    <t>CST-000814363</t>
  </si>
  <si>
    <t>ACEP AHMAD NURHOLIS</t>
  </si>
  <si>
    <t>IIS AISAH</t>
  </si>
  <si>
    <t>KP. CIROYOM</t>
  </si>
  <si>
    <t>KEC. TAROGONG KALER</t>
  </si>
  <si>
    <t>KC-26-000037</t>
  </si>
  <si>
    <t>BO02359</t>
  </si>
  <si>
    <t>02/03/26 09.51</t>
  </si>
  <si>
    <t>146ARI2604-0936</t>
  </si>
  <si>
    <t>MHKAA1BY8TJ014579</t>
  </si>
  <si>
    <t>1NR-G324300</t>
  </si>
  <si>
    <t>KCMG052513</t>
  </si>
  <si>
    <t>DENI ALFIAN</t>
  </si>
  <si>
    <t>CST-000822013</t>
  </si>
  <si>
    <t>ADE SONJAYA</t>
  </si>
  <si>
    <t>MIRA RAHMWATI</t>
  </si>
  <si>
    <t>KP BABAKAN STASIUN</t>
  </si>
  <si>
    <t>KEC. CICALENGKA</t>
  </si>
  <si>
    <t>3204254902960016</t>
  </si>
  <si>
    <t>KC-26-000190</t>
  </si>
  <si>
    <t>18/04/26 13.36</t>
  </si>
  <si>
    <t>D701615</t>
  </si>
  <si>
    <t>23/04/26 13.25</t>
  </si>
  <si>
    <t>146ARI2604-0385</t>
  </si>
  <si>
    <t>JTF2A9CP9T6012689</t>
  </si>
  <si>
    <t>1GD-9715449</t>
  </si>
  <si>
    <t>KCMG032507</t>
  </si>
  <si>
    <t>SENOAJI</t>
  </si>
  <si>
    <t>CST-000815813</t>
  </si>
  <si>
    <t>AFAN FANHUR</t>
  </si>
  <si>
    <t>KP SUKARAME</t>
  </si>
  <si>
    <t>KEC. LEMBANG</t>
  </si>
  <si>
    <t>0987654321234567</t>
  </si>
  <si>
    <t>KC-26-000048</t>
  </si>
  <si>
    <t>03/03/26 17.30</t>
  </si>
  <si>
    <t>CP00241</t>
  </si>
  <si>
    <t>2026028005</t>
  </si>
  <si>
    <t>10/04/26 17.13</t>
  </si>
  <si>
    <t>146ARI2601-1151</t>
  </si>
  <si>
    <t>MHKAB1BY3TJ014132</t>
  </si>
  <si>
    <t>2NR-4F37943</t>
  </si>
  <si>
    <t>KCMG072528</t>
  </si>
  <si>
    <t>GIYONO</t>
  </si>
  <si>
    <t>MUHAMMAD CAISARIVA</t>
  </si>
  <si>
    <t>CST-000810117</t>
  </si>
  <si>
    <t>AGUS GUNAWAN</t>
  </si>
  <si>
    <t>BTN GADUNG PERMAI BLOK A.2 NO.19B</t>
  </si>
  <si>
    <t>KEC. KARANGTENGAH</t>
  </si>
  <si>
    <t>001-26.64460831</t>
  </si>
  <si>
    <t>KC-25-001060</t>
  </si>
  <si>
    <t>28/01/26 14.07</t>
  </si>
  <si>
    <t>A701943</t>
  </si>
  <si>
    <t>2026008442</t>
  </si>
  <si>
    <t>30/01/26 14.07</t>
  </si>
  <si>
    <t>146ARI2604-0403</t>
  </si>
  <si>
    <t>KARY SWASTA</t>
  </si>
  <si>
    <t>MHFJB8EM4T1190140</t>
  </si>
  <si>
    <t>2GD-5960169</t>
  </si>
  <si>
    <t>KCMG042509</t>
  </si>
  <si>
    <t>ERICK JANUAR LISAPALY</t>
  </si>
  <si>
    <t>CST-000819508</t>
  </si>
  <si>
    <t>AGUS MARHAENDRA</t>
  </si>
  <si>
    <t>Jl BATU INDAH RAYA NO 7</t>
  </si>
  <si>
    <t>KEC. BANDUNG KIDUL</t>
  </si>
  <si>
    <t>KC-26-000150</t>
  </si>
  <si>
    <t>01/04/26 11.48</t>
  </si>
  <si>
    <t>DC00168</t>
  </si>
  <si>
    <t>2026035159</t>
  </si>
  <si>
    <t>10/04/26 11.17</t>
  </si>
  <si>
    <t>146ARI2602-0203</t>
  </si>
  <si>
    <t>KARY BUMN</t>
  </si>
  <si>
    <t>MHFABAAA6T0049014</t>
  </si>
  <si>
    <t>M20A-NF25942</t>
  </si>
  <si>
    <t>KCMG052525</t>
  </si>
  <si>
    <t>AGUS SUPARMAN</t>
  </si>
  <si>
    <t>CST-000811215</t>
  </si>
  <si>
    <t>AHMAD AKBAR</t>
  </si>
  <si>
    <t>JLN SAPUJAGAT BLOK D4 NO 53</t>
  </si>
  <si>
    <t>KEC. CIBEUNYING KALER</t>
  </si>
  <si>
    <t>001-26.64462116</t>
  </si>
  <si>
    <t>KC-25-001115</t>
  </si>
  <si>
    <t>31/01/26 20.19</t>
  </si>
  <si>
    <t>BJ00381</t>
  </si>
  <si>
    <t>2026013565</t>
  </si>
  <si>
    <t>09/02/26 20.10</t>
  </si>
  <si>
    <t>146ARI2601-0974</t>
  </si>
  <si>
    <t>MHFJB8EM3T1183292</t>
  </si>
  <si>
    <t>2GD-5925431</t>
  </si>
  <si>
    <t>KCMK25002</t>
  </si>
  <si>
    <t>RAHMAWATI</t>
  </si>
  <si>
    <t>CST-000809482</t>
  </si>
  <si>
    <t>AHMAD SHIDDIQ</t>
  </si>
  <si>
    <t>MUHAMMAD YUSUF</t>
  </si>
  <si>
    <t>Jl. Cikudapateuhkolot No. 118</t>
  </si>
  <si>
    <t>KEC. BATUNUNGGAL</t>
  </si>
  <si>
    <t>001-26.64460830</t>
  </si>
  <si>
    <t>KC-25-001005</t>
  </si>
  <si>
    <t>24/01/26 10.39</t>
  </si>
  <si>
    <t>AC01483</t>
  </si>
  <si>
    <t>2026005686</t>
  </si>
  <si>
    <t>29/01/26 15.38</t>
  </si>
  <si>
    <t>146ARI2604-1132</t>
  </si>
  <si>
    <t>MHFA71BY2T0006156</t>
  </si>
  <si>
    <t>2NR-Y688502</t>
  </si>
  <si>
    <t>KCMG042511</t>
  </si>
  <si>
    <t>DADAN DARMADI</t>
  </si>
  <si>
    <t>CST-000822626</t>
  </si>
  <si>
    <t>AHMAD YANI</t>
  </si>
  <si>
    <t>JL.RH.ABDUL HALIM KP SUKANAMPA NO. 34</t>
  </si>
  <si>
    <t>KEC. CIMAHI TENGAH</t>
  </si>
  <si>
    <t>KC-26-000236</t>
  </si>
  <si>
    <t>23/04/26 12.05</t>
  </si>
  <si>
    <t>D801874</t>
  </si>
  <si>
    <t>2026042386</t>
  </si>
  <si>
    <t>25/04/26 10.30</t>
  </si>
  <si>
    <t>146ARI2603-0823</t>
  </si>
  <si>
    <t>MHKA6GJ6JTJ223907</t>
  </si>
  <si>
    <t>3NR-H986999</t>
  </si>
  <si>
    <t>CST-000816995</t>
  </si>
  <si>
    <t>AKHMAD KHALIMI</t>
  </si>
  <si>
    <t>SARIJADI FLAT 11 NO 2</t>
  </si>
  <si>
    <t>KC-26-000107</t>
  </si>
  <si>
    <t>10/03/26 14.21</t>
  </si>
  <si>
    <t>CO00864</t>
  </si>
  <si>
    <t>2026026784</t>
  </si>
  <si>
    <t>17/03/26 07.48</t>
  </si>
  <si>
    <t>146ARI2602-0387</t>
  </si>
  <si>
    <t>MHFAAAAA0T0048749</t>
  </si>
  <si>
    <t>M20A-NF28587</t>
  </si>
  <si>
    <t>CST-000810425</t>
  </si>
  <si>
    <t>AKHMAD SOBARNA</t>
  </si>
  <si>
    <t>JL ENCEP KARTAWIRA</t>
  </si>
  <si>
    <t>KEC. CIMAHI UTARA</t>
  </si>
  <si>
    <t>001-26.64462125</t>
  </si>
  <si>
    <t>KC-25-001045</t>
  </si>
  <si>
    <t>30/01/26 09.14</t>
  </si>
  <si>
    <t>BJ00600</t>
  </si>
  <si>
    <t>2026014991</t>
  </si>
  <si>
    <t>12/02/26 18.42</t>
  </si>
  <si>
    <t>146ARI2604-0111</t>
  </si>
  <si>
    <t>MHFABAAA7T0048860</t>
  </si>
  <si>
    <t>M20A-NF23860</t>
  </si>
  <si>
    <t>CST-000807213</t>
  </si>
  <si>
    <t>ANA MARDIANA</t>
  </si>
  <si>
    <t>YUS'RA PRATAMA MA'RUP</t>
  </si>
  <si>
    <t>JL. GALUNGGUNG I NO.1</t>
  </si>
  <si>
    <t>KEC. LENGKONG</t>
  </si>
  <si>
    <t>3273126411720001</t>
  </si>
  <si>
    <t>KC-26-000175</t>
  </si>
  <si>
    <t>31/03/26 11.59</t>
  </si>
  <si>
    <t>BJ00177</t>
  </si>
  <si>
    <t>2026012057</t>
  </si>
  <si>
    <t>03/04/26 14.17</t>
  </si>
  <si>
    <t>146ARI2601-0357</t>
  </si>
  <si>
    <t>MHFABBAA5T0462953</t>
  </si>
  <si>
    <t>M20A-NF07457</t>
  </si>
  <si>
    <t>001-26.64460575</t>
  </si>
  <si>
    <t>KC-25-000968</t>
  </si>
  <si>
    <t>07/01/26 14.11</t>
  </si>
  <si>
    <t>AJ00393</t>
  </si>
  <si>
    <t>18/01/26</t>
  </si>
  <si>
    <t>2026001507</t>
  </si>
  <si>
    <t>10/01/26 17.42</t>
  </si>
  <si>
    <t>146ARI2604-0406</t>
  </si>
  <si>
    <t>MHKAB1BY8TJ018693</t>
  </si>
  <si>
    <t>2NR-4F71966</t>
  </si>
  <si>
    <t>KCMG012503</t>
  </si>
  <si>
    <t>DERI NURSANDI</t>
  </si>
  <si>
    <t>CST-000818612</t>
  </si>
  <si>
    <t>ANA PRIATNA</t>
  </si>
  <si>
    <t>TUTI JUHAERIAH</t>
  </si>
  <si>
    <t>DUSUN KAUM KIDUL</t>
  </si>
  <si>
    <t>KEC. DARMARAJA</t>
  </si>
  <si>
    <t>KC-26-000138</t>
  </si>
  <si>
    <t>25/03/26 16.11</t>
  </si>
  <si>
    <t>D700477</t>
  </si>
  <si>
    <t>2026034286</t>
  </si>
  <si>
    <t>10/04/26 11.18</t>
  </si>
  <si>
    <t>146ARI2603-1335</t>
  </si>
  <si>
    <t>MR0BB3CD1T5818526</t>
  </si>
  <si>
    <t>2GD-J160692</t>
  </si>
  <si>
    <t>KCMG052428</t>
  </si>
  <si>
    <t>MUHAMMAD FADIL FAHMI RUSTANDI</t>
  </si>
  <si>
    <t>CST-000817376</t>
  </si>
  <si>
    <t>ANDI KURNIA PRANATA</t>
  </si>
  <si>
    <t>PERUMAHAN PESONA CIBEUREUM PERMAI BLOK A NO.19</t>
  </si>
  <si>
    <t>KEC. SUKARAJA</t>
  </si>
  <si>
    <t>KC-26-000054</t>
  </si>
  <si>
    <t>12/03/26 16.04</t>
  </si>
  <si>
    <t>CB01937</t>
  </si>
  <si>
    <t>2026032351</t>
  </si>
  <si>
    <t>01/04/26 11.16</t>
  </si>
  <si>
    <t>146ARI2603-0206</t>
  </si>
  <si>
    <t>MHKAB1BYXTJ016329</t>
  </si>
  <si>
    <t>2NR-4F56888</t>
  </si>
  <si>
    <t>KCMK25001</t>
  </si>
  <si>
    <t>RIDWAN DWI AZHARI</t>
  </si>
  <si>
    <t>CST-000813444</t>
  </si>
  <si>
    <t>ANDIKA YANUAR ARDIANSYAH</t>
  </si>
  <si>
    <t>KP. GANDOL</t>
  </si>
  <si>
    <t>KEC. CIBIRU</t>
  </si>
  <si>
    <t>002-26.36649374</t>
  </si>
  <si>
    <t>KC-26-000024</t>
  </si>
  <si>
    <t>14/02/26 10.34</t>
  </si>
  <si>
    <t>B702900</t>
  </si>
  <si>
    <t>2026023884</t>
  </si>
  <si>
    <t>05/03/26 08.36</t>
  </si>
  <si>
    <t>146ARI2601-0612</t>
  </si>
  <si>
    <t>MHKAB1BY4TJ013118</t>
  </si>
  <si>
    <t>2NR-4F29251</t>
  </si>
  <si>
    <t>KCMG072433</t>
  </si>
  <si>
    <t>AHMAD MAULANA</t>
  </si>
  <si>
    <t>CST-000808170</t>
  </si>
  <si>
    <t>ANDREAS WIDHA PUSPITA</t>
  </si>
  <si>
    <t>JALAN BANJARSARI 12 NO 19</t>
  </si>
  <si>
    <t>KEC. ARCAMANIK</t>
  </si>
  <si>
    <t>001-26.64460596</t>
  </si>
  <si>
    <t>KC-25-001004</t>
  </si>
  <si>
    <t>14/01/26 11.05</t>
  </si>
  <si>
    <t>A700967</t>
  </si>
  <si>
    <t>2026002921</t>
  </si>
  <si>
    <t>17/01/26 10.34</t>
  </si>
  <si>
    <t>146ARI2603-0416</t>
  </si>
  <si>
    <t>MR0AD9AA0T0001787</t>
  </si>
  <si>
    <t>2GD-1941062</t>
  </si>
  <si>
    <t>CST-000816348</t>
  </si>
  <si>
    <t>ANDRES WIJAYA</t>
  </si>
  <si>
    <t>GUTA WIJAYA</t>
  </si>
  <si>
    <t>KP. KEBANTENAN</t>
  </si>
  <si>
    <t>001-26.64462994</t>
  </si>
  <si>
    <t>KC-26-000101</t>
  </si>
  <si>
    <t>06/03/26 15.41</t>
  </si>
  <si>
    <t>BB01608</t>
  </si>
  <si>
    <t>2026022815</t>
  </si>
  <si>
    <t>10/03/26 15.10</t>
  </si>
  <si>
    <t>146ARI2603-1324</t>
  </si>
  <si>
    <t>MHKAA1BY5TJ012790</t>
  </si>
  <si>
    <t>1NR-G318618</t>
  </si>
  <si>
    <t>KCMG022606</t>
  </si>
  <si>
    <t>RIDWAN MUSTOFA</t>
  </si>
  <si>
    <t>CST-000816104</t>
  </si>
  <si>
    <t>ANDRI SULAEMAN</t>
  </si>
  <si>
    <t>WIDIAWATI</t>
  </si>
  <si>
    <t>JL CIJERUK</t>
  </si>
  <si>
    <t>KC-26-000087</t>
  </si>
  <si>
    <t>05/03/26 10.42</t>
  </si>
  <si>
    <t>B701610</t>
  </si>
  <si>
    <t>2026019641</t>
  </si>
  <si>
    <t>01/04/26 09.14</t>
  </si>
  <si>
    <t>146ARI2601-1302</t>
  </si>
  <si>
    <t>MHFABBAA8S0450648</t>
  </si>
  <si>
    <t>M20A-NE07814</t>
  </si>
  <si>
    <t>CMMG122342</t>
  </si>
  <si>
    <t>REGYAWAN KURNIA</t>
  </si>
  <si>
    <t>CST-000810252</t>
  </si>
  <si>
    <t>ANNE ROSTIAWATI, SE</t>
  </si>
  <si>
    <t>KP.SUBANG JAYA</t>
  </si>
  <si>
    <t>KEC. SUKABUMI</t>
  </si>
  <si>
    <t>KC-25-001022</t>
  </si>
  <si>
    <t>29/01/26 11.59</t>
  </si>
  <si>
    <t>GJ01126</t>
  </si>
  <si>
    <t>2025061866</t>
  </si>
  <si>
    <t>11/07/25</t>
  </si>
  <si>
    <t>31/01/26 16.30</t>
  </si>
  <si>
    <t>146ARI2602-1160</t>
  </si>
  <si>
    <t>MHFAA8GSXS0932849</t>
  </si>
  <si>
    <t>1GD-J120643</t>
  </si>
  <si>
    <t>KCMG052519</t>
  </si>
  <si>
    <t>LUVITA DAMAYANTI</t>
  </si>
  <si>
    <t>CST-000813627</t>
  </si>
  <si>
    <t>ANTONIUS</t>
  </si>
  <si>
    <t>WIWI T WANGSADINATA CHARIF</t>
  </si>
  <si>
    <t>JL CIBADAK NO 16</t>
  </si>
  <si>
    <t>KEC. ASTANA ANYAR</t>
  </si>
  <si>
    <t>PT. MAYBANK FINANCE INDONESIA</t>
  </si>
  <si>
    <t>KC-26-000011</t>
  </si>
  <si>
    <t>15/02/26</t>
  </si>
  <si>
    <t>16/02/26 13.17</t>
  </si>
  <si>
    <t>KF00717</t>
  </si>
  <si>
    <t>2025103111</t>
  </si>
  <si>
    <t>27/11/25</t>
  </si>
  <si>
    <t>26/02/26 11.03</t>
  </si>
  <si>
    <t>146ARI2604-0465</t>
  </si>
  <si>
    <t>MHKA6GJ6JTJ223078</t>
  </si>
  <si>
    <t>3NR-H985174</t>
  </si>
  <si>
    <t>CST-000820352</t>
  </si>
  <si>
    <t>ARIS SAEPUDIN</t>
  </si>
  <si>
    <t>DEDE JUBAEDAH</t>
  </si>
  <si>
    <t>KP WARUNGLAHANG</t>
  </si>
  <si>
    <t>002-26.36649907</t>
  </si>
  <si>
    <t>KC-26-000159</t>
  </si>
  <si>
    <t>07/04/26 15.24</t>
  </si>
  <si>
    <t>BO02448</t>
  </si>
  <si>
    <t>2026021946</t>
  </si>
  <si>
    <t>15/04/26 13.13</t>
  </si>
  <si>
    <t>146ARI2603-0539</t>
  </si>
  <si>
    <t>MHKAB1BC4TJ081617</t>
  </si>
  <si>
    <t>WA-A239242</t>
  </si>
  <si>
    <t>CST-000816693</t>
  </si>
  <si>
    <t>ASEP MULYANA</t>
  </si>
  <si>
    <t>ICEU ARINI</t>
  </si>
  <si>
    <t>KP. JAMBATAN</t>
  </si>
  <si>
    <t>KEC. BALEENDAH</t>
  </si>
  <si>
    <t>KC-26-000096</t>
  </si>
  <si>
    <t>09/03/26 11.18</t>
  </si>
  <si>
    <t>CR00809</t>
  </si>
  <si>
    <t>2026028614</t>
  </si>
  <si>
    <t>13/03/26 08.00</t>
  </si>
  <si>
    <t>146ARI2604-0522</t>
  </si>
  <si>
    <t>MHFAA8GSXT0936367</t>
  </si>
  <si>
    <t>1GD-5956095</t>
  </si>
  <si>
    <t>CST-000819426</t>
  </si>
  <si>
    <t>BAGUS PRAKOSO</t>
  </si>
  <si>
    <t>ASRAMA 11 YON ARMED 4 KEBUN RUMPUT</t>
  </si>
  <si>
    <t>KC-26-000154</t>
  </si>
  <si>
    <t>31/03/26 20.14</t>
  </si>
  <si>
    <t>DF00103</t>
  </si>
  <si>
    <t>2026036647</t>
  </si>
  <si>
    <t>14/04/26 10.05</t>
  </si>
  <si>
    <t>146ARI2603-1333</t>
  </si>
  <si>
    <t>MHFABAAA1T0050863</t>
  </si>
  <si>
    <t>M20A-NF38279</t>
  </si>
  <si>
    <t>CST-000819387</t>
  </si>
  <si>
    <t>BARA HUDAYA</t>
  </si>
  <si>
    <t>ENENG KURNIANINGSIH</t>
  </si>
  <si>
    <t>TAMAN GRAHA ASRI BLOK I.5 NO.10</t>
  </si>
  <si>
    <t>KC-26-000169</t>
  </si>
  <si>
    <t>31/03/26 15.00</t>
  </si>
  <si>
    <t>CJ01450</t>
  </si>
  <si>
    <t>2026029875</t>
  </si>
  <si>
    <t>04/04/26 14.51</t>
  </si>
  <si>
    <t>146ARI2601-0265</t>
  </si>
  <si>
    <t>MHKAB1BCXSJ075903</t>
  </si>
  <si>
    <t>WA-A223867</t>
  </si>
  <si>
    <t>KCMG112540</t>
  </si>
  <si>
    <t>KHARISMA GALIH PUTRA</t>
  </si>
  <si>
    <t>CST-000807221</t>
  </si>
  <si>
    <t>BILL ALFA EFRAIM</t>
  </si>
  <si>
    <t>TAMAN RAHAYU II D.8-14</t>
  </si>
  <si>
    <t>KEC. MARGAASIH</t>
  </si>
  <si>
    <t>001-26.64460571</t>
  </si>
  <si>
    <t>KC-25-000977</t>
  </si>
  <si>
    <t>07/01/26 14.33</t>
  </si>
  <si>
    <t>LR01962</t>
  </si>
  <si>
    <t>2025114468</t>
  </si>
  <si>
    <t>10/02/26 11.00</t>
  </si>
  <si>
    <t>146ARI2601-0770</t>
  </si>
  <si>
    <t>MHKA6GK6JSJ086818</t>
  </si>
  <si>
    <t>3NR-H971363</t>
  </si>
  <si>
    <t>KCMG052429</t>
  </si>
  <si>
    <t>TOPIK HIDAYAT</t>
  </si>
  <si>
    <t>CST-000808391</t>
  </si>
  <si>
    <t>BOBY MARTA MULYADI</t>
  </si>
  <si>
    <t>DEWI SINTA</t>
  </si>
  <si>
    <t>KP CIRANTEUN PEUNTAS</t>
  </si>
  <si>
    <t>001-26.64460816</t>
  </si>
  <si>
    <t>KC-25-001007</t>
  </si>
  <si>
    <t>15/01/26 15.05</t>
  </si>
  <si>
    <t>LO00608</t>
  </si>
  <si>
    <t>2025104922</t>
  </si>
  <si>
    <t>04/12/25</t>
  </si>
  <si>
    <t>29/01/26 09.15</t>
  </si>
  <si>
    <t>146ARI2603-0962</t>
  </si>
  <si>
    <t>MHKAB1BY6TJ015226</t>
  </si>
  <si>
    <t>2NR-4F46841</t>
  </si>
  <si>
    <t>KCMG122541</t>
  </si>
  <si>
    <t>GALIH HARISTIANTO</t>
  </si>
  <si>
    <t>CST-000812092</t>
  </si>
  <si>
    <t>BOSAR LANDINA SIAHAAN</t>
  </si>
  <si>
    <t>PARDOMUAN SINAGA</t>
  </si>
  <si>
    <t>HUJUNG KULON</t>
  </si>
  <si>
    <t>KEC. CIMAHI SELATAN</t>
  </si>
  <si>
    <t>3277015603730003</t>
  </si>
  <si>
    <t>KC-25-001124</t>
  </si>
  <si>
    <t>B700899</t>
  </si>
  <si>
    <t>2026014270</t>
  </si>
  <si>
    <t>19/03/26 09.47</t>
  </si>
  <si>
    <t>146ARI2603-0600</t>
  </si>
  <si>
    <t>MHFA71BYXT0002582</t>
  </si>
  <si>
    <t>2NR-Y662599</t>
  </si>
  <si>
    <t>KCMG042424</t>
  </si>
  <si>
    <t>INDAH PITALOKA</t>
  </si>
  <si>
    <t>CST-000817464</t>
  </si>
  <si>
    <t>BUDHI SANTOSO</t>
  </si>
  <si>
    <t>KP CICARITA</t>
  </si>
  <si>
    <t>KEC. PARONGPONG</t>
  </si>
  <si>
    <t>KC-26-000122</t>
  </si>
  <si>
    <t>13/03/26 10.40</t>
  </si>
  <si>
    <t>C801077</t>
  </si>
  <si>
    <t>2026027084</t>
  </si>
  <si>
    <t>16/03/26 10.26</t>
  </si>
  <si>
    <t>146ARI2604-1010</t>
  </si>
  <si>
    <t>MHFJB8EM8T1191324</t>
  </si>
  <si>
    <t>2GD-1955192</t>
  </si>
  <si>
    <t>KCMG012502</t>
  </si>
  <si>
    <t>DADI SOBARI</t>
  </si>
  <si>
    <t>CST-000815341</t>
  </si>
  <si>
    <t>BUDI ARIFIN TAUFAN E.G.</t>
  </si>
  <si>
    <t>JL PASIR IMPUN BARAT NO 44</t>
  </si>
  <si>
    <t>KEC. MANDALAJATI</t>
  </si>
  <si>
    <t>KC-26-000038</t>
  </si>
  <si>
    <t>28/02/26 12.13</t>
  </si>
  <si>
    <t>DC01400</t>
  </si>
  <si>
    <t>2026041366</t>
  </si>
  <si>
    <t>23/04/26 15.25</t>
  </si>
  <si>
    <t>146ARI2601-0829</t>
  </si>
  <si>
    <t>MHFJB8EM4T1182569</t>
  </si>
  <si>
    <t>2GD-5920109</t>
  </si>
  <si>
    <t>KCMG112537</t>
  </si>
  <si>
    <t>DEAN NUR IMAN</t>
  </si>
  <si>
    <t>CST-000809017</t>
  </si>
  <si>
    <t>BUDI KRISTANDA</t>
  </si>
  <si>
    <t>Citra garden I Ext blok AA3/5</t>
  </si>
  <si>
    <t>001-26.64460820</t>
  </si>
  <si>
    <t>KC-25-001009</t>
  </si>
  <si>
    <t>20/01/26 16.32</t>
  </si>
  <si>
    <t>AC00791</t>
  </si>
  <si>
    <t>2026003595</t>
  </si>
  <si>
    <t>23/01/26 13.37</t>
  </si>
  <si>
    <t>146ARI2603-0379</t>
  </si>
  <si>
    <t>JTFST22PXS0054177</t>
  </si>
  <si>
    <t>1KD-B226371</t>
  </si>
  <si>
    <t>CST-000816243</t>
  </si>
  <si>
    <t>BUKAIR MARDIZ PUTRA</t>
  </si>
  <si>
    <t>ILHAM SABRI RAHMAD</t>
  </si>
  <si>
    <t>KOMPLEK GRIYA CARAKA BLOK C.52</t>
  </si>
  <si>
    <t>001-26.64462993</t>
  </si>
  <si>
    <t>KC-26-000085</t>
  </si>
  <si>
    <t>06/03/26 09.55</t>
  </si>
  <si>
    <t>AP00042</t>
  </si>
  <si>
    <t>2026000380</t>
  </si>
  <si>
    <t>13/03/26 11.00</t>
  </si>
  <si>
    <t>146ARI2603-0341</t>
  </si>
  <si>
    <t>MHKAB1BYXTJ016802</t>
  </si>
  <si>
    <t>2NR-4F57177</t>
  </si>
  <si>
    <t>KCMG052516</t>
  </si>
  <si>
    <t>YENI</t>
  </si>
  <si>
    <t>CST-000815336</t>
  </si>
  <si>
    <t>CAHYA BUDIMAN</t>
  </si>
  <si>
    <t>KP. BALEKAMBANG</t>
  </si>
  <si>
    <t>KEC. MAJALAYA</t>
  </si>
  <si>
    <t>002-26.36649381</t>
  </si>
  <si>
    <t>KC-26-000070</t>
  </si>
  <si>
    <t>28/02/26 12.04</t>
  </si>
  <si>
    <t>B702232</t>
  </si>
  <si>
    <t>2026025813</t>
  </si>
  <si>
    <t>09/03/26 16.04</t>
  </si>
  <si>
    <t>146ARI2601-0368</t>
  </si>
  <si>
    <t>JTFST22P0S0054270</t>
  </si>
  <si>
    <t>1KD-B226762</t>
  </si>
  <si>
    <t>CST-000807218</t>
  </si>
  <si>
    <t>CEPI SURYANA</t>
  </si>
  <si>
    <t>DEWI SHINTA</t>
  </si>
  <si>
    <t>GG POLISI DALAM NO 98</t>
  </si>
  <si>
    <t>KEC. CICENDO</t>
  </si>
  <si>
    <t>001-26.64460576</t>
  </si>
  <si>
    <t>KC-25-000969</t>
  </si>
  <si>
    <t>07/01/26 14.38</t>
  </si>
  <si>
    <t>AP00130</t>
  </si>
  <si>
    <t>2026001299</t>
  </si>
  <si>
    <t>10/01/26 14.15</t>
  </si>
  <si>
    <t>146ARI2602-1384</t>
  </si>
  <si>
    <t>MHFABBAA4T0465486</t>
  </si>
  <si>
    <t>M20A-NF28110</t>
  </si>
  <si>
    <t>CST-000815008</t>
  </si>
  <si>
    <t>CHARLIE PUTRA HAMONANGAN TAMBUN</t>
  </si>
  <si>
    <t>HENDRI YANTO</t>
  </si>
  <si>
    <t>JL. DAKOTA BARAT NO. 4</t>
  </si>
  <si>
    <t>KC-26-000066</t>
  </si>
  <si>
    <t>26/02/26 11.07</t>
  </si>
  <si>
    <t>BJ00697</t>
  </si>
  <si>
    <t>2026014393</t>
  </si>
  <si>
    <t>02/03/26 22.35</t>
  </si>
  <si>
    <t>146ARI2602-1344</t>
  </si>
  <si>
    <t>MENGURUS RMH T</t>
  </si>
  <si>
    <t>MHFJB8EM4T1183513</t>
  </si>
  <si>
    <t>2GD-5928669</t>
  </si>
  <si>
    <t>CST-000813087</t>
  </si>
  <si>
    <t>CHRISTINE ILLONA HALIM</t>
  </si>
  <si>
    <t>JL. BADAK SINGA NO. 3</t>
  </si>
  <si>
    <t>KEC. COBLONG</t>
  </si>
  <si>
    <t>KC-25-001148</t>
  </si>
  <si>
    <t>12/02/26 09.23</t>
  </si>
  <si>
    <t>AC01701</t>
  </si>
  <si>
    <t>2026006417</t>
  </si>
  <si>
    <t>05/03/26 10.30</t>
  </si>
  <si>
    <t>146ARI2602-1388</t>
  </si>
  <si>
    <t>JTFST22P2S0054481</t>
  </si>
  <si>
    <t>1KD-B228365</t>
  </si>
  <si>
    <t>CST-000815404</t>
  </si>
  <si>
    <t>CUCU SURAHMAN</t>
  </si>
  <si>
    <t>TAUFIK IRPAN MAULANA</t>
  </si>
  <si>
    <t>KP RANCA KASIAT</t>
  </si>
  <si>
    <t>KEC. PAMEUNGPEUK</t>
  </si>
  <si>
    <t>KC-26-000044</t>
  </si>
  <si>
    <t>28/02/26 20.04</t>
  </si>
  <si>
    <t>AP00530</t>
  </si>
  <si>
    <t>2026009839</t>
  </si>
  <si>
    <t>02/03/26 14.56</t>
  </si>
  <si>
    <t>146ARI2602-0331</t>
  </si>
  <si>
    <t>MHKAA1BY9TJ011710</t>
  </si>
  <si>
    <t>1NR-G316911</t>
  </si>
  <si>
    <t>CST-000811198</t>
  </si>
  <si>
    <t>CV. STAR WEKLY RENTAL MOBIL</t>
  </si>
  <si>
    <t>CV STAR WEKLY RENTAL MOBIL</t>
  </si>
  <si>
    <t>JL TURANGGA BARAT B1 NO 1</t>
  </si>
  <si>
    <t>001-26.64462122</t>
  </si>
  <si>
    <t>KC-25-001109</t>
  </si>
  <si>
    <t>31/01/26 19.28</t>
  </si>
  <si>
    <t>A702081</t>
  </si>
  <si>
    <t>2026009676</t>
  </si>
  <si>
    <t>11/02/26 19.05</t>
  </si>
  <si>
    <t>146ARI2601-1297</t>
  </si>
  <si>
    <t>MHFJB8EM9T1183930</t>
  </si>
  <si>
    <t>2GD-5929768</t>
  </si>
  <si>
    <t>CST-000810951</t>
  </si>
  <si>
    <t>JL TURANGGA BARAT BLOK B1 NO.1</t>
  </si>
  <si>
    <t>0614471092422000</t>
  </si>
  <si>
    <t>KC-25-001003</t>
  </si>
  <si>
    <t>31/01/26 13.07</t>
  </si>
  <si>
    <t>AC02120</t>
  </si>
  <si>
    <t>2026009852</t>
  </si>
  <si>
    <t>03/02/26 11.34</t>
  </si>
  <si>
    <t>146ARI2602-0716</t>
  </si>
  <si>
    <t>MHKAB1BY4TJ015015</t>
  </si>
  <si>
    <t>2NR-4F42731</t>
  </si>
  <si>
    <t>CST-000813120</t>
  </si>
  <si>
    <t>CV. SUGEMA BERKAH MULIA</t>
  </si>
  <si>
    <t>CV SUGEMA BERKAH MULIA</t>
  </si>
  <si>
    <t>JALAN CIBEUNYING PERMAI RAYA NO. 15</t>
  </si>
  <si>
    <t>001-26.64462155</t>
  </si>
  <si>
    <t>6033480204230000</t>
  </si>
  <si>
    <t>KC-25-001150</t>
  </si>
  <si>
    <t>12/02/26 11.16</t>
  </si>
  <si>
    <t>B700552</t>
  </si>
  <si>
    <t>2026014441</t>
  </si>
  <si>
    <t>19/02/26 10.16</t>
  </si>
  <si>
    <t>146ARI2604-1269</t>
  </si>
  <si>
    <t>NGC200R-DHXMKD-00</t>
  </si>
  <si>
    <t>MHFAA8AF4T0083704</t>
  </si>
  <si>
    <t>2NR-Y686164</t>
  </si>
  <si>
    <t>CST-000807635</t>
  </si>
  <si>
    <t>CV. NOERA BY REISHA</t>
  </si>
  <si>
    <t>WIDYA DWI HARDIANTI</t>
  </si>
  <si>
    <t>KP RANDUKURUNG VILLA PAKUHAJI NO.5</t>
  </si>
  <si>
    <t>KEC. NGAMPRAH</t>
  </si>
  <si>
    <t>0439414921445000</t>
  </si>
  <si>
    <t>KC-25-000960</t>
  </si>
  <si>
    <t>10/01/26 08.43</t>
  </si>
  <si>
    <t>D100084</t>
  </si>
  <si>
    <t>2026043779</t>
  </si>
  <si>
    <t>28/04/26 11.42</t>
  </si>
  <si>
    <t>146ARI2604-1185</t>
  </si>
  <si>
    <t>FJA300R-GNUZY-14</t>
  </si>
  <si>
    <t>JTMAA7BJ0T4142149</t>
  </si>
  <si>
    <t>F33A-0146890</t>
  </si>
  <si>
    <t>CST-000822773</t>
  </si>
  <si>
    <t>CV. BERKAH MAJU REJEKI</t>
  </si>
  <si>
    <t>CV BERKAH MAJU REJEKI</t>
  </si>
  <si>
    <t>JL KS TUBUN 2-C/30</t>
  </si>
  <si>
    <t>KC-26-000224</t>
  </si>
  <si>
    <t>24/04/26 14.01</t>
  </si>
  <si>
    <t>DM00021</t>
  </si>
  <si>
    <t>2026043047</t>
  </si>
  <si>
    <t>28/04/26 11.29</t>
  </si>
  <si>
    <t>146ARI2601-0961</t>
  </si>
  <si>
    <t>MHKAB1BY2TJ012761</t>
  </si>
  <si>
    <t>2NR-4F27851</t>
  </si>
  <si>
    <t>CST-000809877</t>
  </si>
  <si>
    <t>DADAN</t>
  </si>
  <si>
    <t>Jl.Batununggal Molek V no.7</t>
  </si>
  <si>
    <t>001-26.64460825</t>
  </si>
  <si>
    <t>KC-25-001051</t>
  </si>
  <si>
    <t>27/01/26 11.53</t>
  </si>
  <si>
    <t>A700343</t>
  </si>
  <si>
    <t>2026001061</t>
  </si>
  <si>
    <t>28/01/26 09.54</t>
  </si>
  <si>
    <t>146ARI2604-0990</t>
  </si>
  <si>
    <t>MHKA6GJ6JTJ225608</t>
  </si>
  <si>
    <t>3NR-H991881</t>
  </si>
  <si>
    <t>CST-000822271</t>
  </si>
  <si>
    <t>DADAN SAEFULOH</t>
  </si>
  <si>
    <t>CHICA AYU LESTARIDA</t>
  </si>
  <si>
    <t>KP LEMBANGBADAK</t>
  </si>
  <si>
    <t>KC-26-000152</t>
  </si>
  <si>
    <t>20/04/26 18.31</t>
  </si>
  <si>
    <t>DO01514</t>
  </si>
  <si>
    <t>2026040850</t>
  </si>
  <si>
    <t>30/04/26 09.56</t>
  </si>
  <si>
    <t>146ARI2602-1390</t>
  </si>
  <si>
    <t>MHKAB1BY0TJ016663</t>
  </si>
  <si>
    <t>2NR-4F55310</t>
  </si>
  <si>
    <t>CST-000815401</t>
  </si>
  <si>
    <t>DANI MAULUDI</t>
  </si>
  <si>
    <t>KP.CISEUPAN</t>
  </si>
  <si>
    <t>KEC. CUGENANG</t>
  </si>
  <si>
    <t>KC-25-001139</t>
  </si>
  <si>
    <t>28/02/26 19.32</t>
  </si>
  <si>
    <t>B702045</t>
  </si>
  <si>
    <t>2026021336</t>
  </si>
  <si>
    <t>04/03/26 19.22</t>
  </si>
  <si>
    <t>146ARI2602-0357</t>
  </si>
  <si>
    <t>MHFAA8GS4T0934176</t>
  </si>
  <si>
    <t>1GD-5923324</t>
  </si>
  <si>
    <t>CST-000812294</t>
  </si>
  <si>
    <t>DANI RAMDANI</t>
  </si>
  <si>
    <t>JL. BBK CIPARAY GG. ELOS II</t>
  </si>
  <si>
    <t>KEC. BABAKAN CIPARAY</t>
  </si>
  <si>
    <t>001-26.64462123</t>
  </si>
  <si>
    <t>KC-25-001145</t>
  </si>
  <si>
    <t>09/02/26 15.24</t>
  </si>
  <si>
    <t>AF00535</t>
  </si>
  <si>
    <t>2026005344</t>
  </si>
  <si>
    <t>11/02/26 18.32</t>
  </si>
  <si>
    <t>146ARI2601-1299</t>
  </si>
  <si>
    <t>JTFST22P6S0054337</t>
  </si>
  <si>
    <t>1KD-B227241</t>
  </si>
  <si>
    <t>CST-000809270</t>
  </si>
  <si>
    <t>DARKASYI</t>
  </si>
  <si>
    <t>KP PASARKEMIS</t>
  </si>
  <si>
    <t>KC-25-001030</t>
  </si>
  <si>
    <t>22/01/26 13.00</t>
  </si>
  <si>
    <t>AP00272</t>
  </si>
  <si>
    <t>2026004724</t>
  </si>
  <si>
    <t>02/02/26 10.50</t>
  </si>
  <si>
    <t>146ARI2601-1208</t>
  </si>
  <si>
    <t>MHKE8FB3JTK117367</t>
  </si>
  <si>
    <t>2NR-4F38516</t>
  </si>
  <si>
    <t>KCMG012605</t>
  </si>
  <si>
    <t>JUARNA KARMAN PUTRA</t>
  </si>
  <si>
    <t>CST-000809939</t>
  </si>
  <si>
    <t>DARPAN HISMANTO</t>
  </si>
  <si>
    <t>JL KEBON GEDANG III</t>
  </si>
  <si>
    <t>001-26.64460838</t>
  </si>
  <si>
    <t>KC-25-000996</t>
  </si>
  <si>
    <t>27/01/26 15.10</t>
  </si>
  <si>
    <t>AG01921</t>
  </si>
  <si>
    <t>31/01/26 11.04</t>
  </si>
  <si>
    <t>146ARI2602-1301</t>
  </si>
  <si>
    <t>MHKA6GJ6JTJ221991</t>
  </si>
  <si>
    <t>3NR-H982231</t>
  </si>
  <si>
    <t>KCMG112539</t>
  </si>
  <si>
    <t>RIDWAN EFENDI</t>
  </si>
  <si>
    <t>CST-000815020</t>
  </si>
  <si>
    <t>DEA AMELIA</t>
  </si>
  <si>
    <t>JAJANG SURYA</t>
  </si>
  <si>
    <t>JL PELINDUNG HEWAN GG MESJID DARUSSALAM NO 162</t>
  </si>
  <si>
    <t>KC-26-000065</t>
  </si>
  <si>
    <t>26/02/26 11.41</t>
  </si>
  <si>
    <t>BO01046</t>
  </si>
  <si>
    <t>2026015565</t>
  </si>
  <si>
    <t>03/03/26 11.09</t>
  </si>
  <si>
    <t>146ARI2601-1263</t>
  </si>
  <si>
    <t>MHKAB1BY9TJ014216</t>
  </si>
  <si>
    <t>2NR-4F38329</t>
  </si>
  <si>
    <t>KCMG012603</t>
  </si>
  <si>
    <t>BADII ADITIA</t>
  </si>
  <si>
    <t>CST-000809763</t>
  </si>
  <si>
    <t>DEDE KURNIAWAN</t>
  </si>
  <si>
    <t>JL. CIPEDES TENGAH</t>
  </si>
  <si>
    <t>KEC. SUKAJADI</t>
  </si>
  <si>
    <t>001-26.64460845</t>
  </si>
  <si>
    <t>KC-25-001034</t>
  </si>
  <si>
    <t>26/01/26 15.08</t>
  </si>
  <si>
    <t>A702015</t>
  </si>
  <si>
    <t>2026009723</t>
  </si>
  <si>
    <t>30/01/26 11.21</t>
  </si>
  <si>
    <t>146ARI2604-1128</t>
  </si>
  <si>
    <t>MHKA6GJ6JTJ224039</t>
  </si>
  <si>
    <t>3NR-H987210</t>
  </si>
  <si>
    <t>CST-000821580</t>
  </si>
  <si>
    <t>DEDEN DENI RAMDANI</t>
  </si>
  <si>
    <t>KOMP. GRAND CENDANA RESIDENCE JL. CENDANA UTARA 6 NO. 780</t>
  </si>
  <si>
    <t>KEC. ARJASARI</t>
  </si>
  <si>
    <t>CIMB NIAGA FINANCE</t>
  </si>
  <si>
    <t>KC-26-000203</t>
  </si>
  <si>
    <t>15/04/26 16.26</t>
  </si>
  <si>
    <t>CO01141</t>
  </si>
  <si>
    <t>2026027129</t>
  </si>
  <si>
    <t>24/04/26 16.08</t>
  </si>
  <si>
    <t>146ARI2602-0365</t>
  </si>
  <si>
    <t>MHKAB1BC3TJ078935</t>
  </si>
  <si>
    <t>WA-A229858</t>
  </si>
  <si>
    <t>CST-000812396</t>
  </si>
  <si>
    <t>DEDEN KUSNADI S.PD</t>
  </si>
  <si>
    <t>KP CIBODAS</t>
  </si>
  <si>
    <t>001-26.64462124</t>
  </si>
  <si>
    <t>KC-25-001138</t>
  </si>
  <si>
    <t>09/02/26 17.38</t>
  </si>
  <si>
    <t>BR00151</t>
  </si>
  <si>
    <t>2026012688</t>
  </si>
  <si>
    <t>12/02/26 08.42</t>
  </si>
  <si>
    <t>146ARI2603-0510</t>
  </si>
  <si>
    <t>MHKAA1BY7TJ011804</t>
  </si>
  <si>
    <t>1NR-G317097</t>
  </si>
  <si>
    <t>CST-000811203</t>
  </si>
  <si>
    <t>DEDI HARTONO</t>
  </si>
  <si>
    <t>KP KRONJO</t>
  </si>
  <si>
    <t>KEC. KRONJO</t>
  </si>
  <si>
    <t>002-26.36649390</t>
  </si>
  <si>
    <t>KC-25-001092</t>
  </si>
  <si>
    <t>31/01/26 19.40</t>
  </si>
  <si>
    <t>A702259</t>
  </si>
  <si>
    <t>2026010976</t>
  </si>
  <si>
    <t>12/03/26 12.18</t>
  </si>
  <si>
    <t>146ARI2601-0448</t>
  </si>
  <si>
    <t xml:space="preserve">WALK IN </t>
  </si>
  <si>
    <t>MAGH10R-BRXMBD-00</t>
  </si>
  <si>
    <t>MHFABAAA0S0040209</t>
  </si>
  <si>
    <t>M20A-ND97801</t>
  </si>
  <si>
    <t>CST-000807670</t>
  </si>
  <si>
    <t>DEDI SUHERMAN</t>
  </si>
  <si>
    <t>NUGRAHA</t>
  </si>
  <si>
    <t>JL BINONG JATI</t>
  </si>
  <si>
    <t>001-26.64460583</t>
  </si>
  <si>
    <t>KC-25-000982</t>
  </si>
  <si>
    <t>10/01/26 10.51</t>
  </si>
  <si>
    <t>FJ00867</t>
  </si>
  <si>
    <t>2025052565</t>
  </si>
  <si>
    <t>11/06/25</t>
  </si>
  <si>
    <t>13/01/26 15.07</t>
  </si>
  <si>
    <t>146ARI2601-0371</t>
  </si>
  <si>
    <t>TNI / POLRI</t>
  </si>
  <si>
    <t>JTFST22P4S0054062</t>
  </si>
  <si>
    <t>1KD-B225508</t>
  </si>
  <si>
    <t>CST-000807110</t>
  </si>
  <si>
    <t>DEDIT AVO KURNIAWAN</t>
  </si>
  <si>
    <t>JL BATUNUNGGAL PERMAI I NO 35</t>
  </si>
  <si>
    <t>001-26.64460577</t>
  </si>
  <si>
    <t>KC-25-000918</t>
  </si>
  <si>
    <t>06/01/26 16.55</t>
  </si>
  <si>
    <t>AP00016</t>
  </si>
  <si>
    <t>2026000808</t>
  </si>
  <si>
    <t>10/01/26 15.30</t>
  </si>
  <si>
    <t>146ARI2604-1188</t>
  </si>
  <si>
    <t>MHFABBAA1T0469804</t>
  </si>
  <si>
    <t>M20A-NF57745</t>
  </si>
  <si>
    <t>CST-000821689</t>
  </si>
  <si>
    <t>DENDI HOLIUS</t>
  </si>
  <si>
    <t>CITRA GARDEN BINTARO CELOSIA ALSTONIA A/21</t>
  </si>
  <si>
    <t>KC-26-000202</t>
  </si>
  <si>
    <t>16/04/26 13.40</t>
  </si>
  <si>
    <t>DJ00705</t>
  </si>
  <si>
    <t>2026038741</t>
  </si>
  <si>
    <t>25/04/26 10.17</t>
  </si>
  <si>
    <t>146ARI2601-0582</t>
  </si>
  <si>
    <t>MHFJB8EM3T1182143</t>
  </si>
  <si>
    <t>2GD-1902836</t>
  </si>
  <si>
    <t>CST-000808203</t>
  </si>
  <si>
    <t>DENI SABTOHADI</t>
  </si>
  <si>
    <t>SRI MARYANTI</t>
  </si>
  <si>
    <t>JL HEGARMANAH NO 119A</t>
  </si>
  <si>
    <t>001-26.64460590</t>
  </si>
  <si>
    <t>KC-25-000994</t>
  </si>
  <si>
    <t>14/01/26 13.29</t>
  </si>
  <si>
    <t>AC00261</t>
  </si>
  <si>
    <t>2026001141</t>
  </si>
  <si>
    <t>16/01/26 11.54</t>
  </si>
  <si>
    <t>146ARI2601-0278</t>
  </si>
  <si>
    <t>MAGA10R-BRXMBD-00</t>
  </si>
  <si>
    <t>MHFAAAAA5S0043884</t>
  </si>
  <si>
    <t>M20A-ND92463</t>
  </si>
  <si>
    <t>CST-000806849</t>
  </si>
  <si>
    <t>DESRIYAN DWI PUTRA</t>
  </si>
  <si>
    <t>DESRIYAN DWI PUTRA SE</t>
  </si>
  <si>
    <t>JL KORMA IV BlOK 1-2 NO 06</t>
  </si>
  <si>
    <t>KEC. KELAPA DUA</t>
  </si>
  <si>
    <t>001-26.64460570</t>
  </si>
  <si>
    <t>KC-25-000974</t>
  </si>
  <si>
    <t>04/01/26</t>
  </si>
  <si>
    <t>05/01/26 11.14</t>
  </si>
  <si>
    <t>FJ00954</t>
  </si>
  <si>
    <t>2025052825</t>
  </si>
  <si>
    <t>12/06/25</t>
  </si>
  <si>
    <t>09/01/26 10.27</t>
  </si>
  <si>
    <t>146ARI2602-0402</t>
  </si>
  <si>
    <t>XJ7</t>
  </si>
  <si>
    <t>BLACK WHITE</t>
  </si>
  <si>
    <t>MHKAA1BA4TJ184392</t>
  </si>
  <si>
    <t>1KR-B029795</t>
  </si>
  <si>
    <t>CST-000812686</t>
  </si>
  <si>
    <t>DEVINA MARDIANI WANGSAJAYA</t>
  </si>
  <si>
    <t>PARAKANWAAS IV NO.5</t>
  </si>
  <si>
    <t>001-26.64462130</t>
  </si>
  <si>
    <t>KC-25-001144</t>
  </si>
  <si>
    <t>10/02/26 14.34</t>
  </si>
  <si>
    <t>BZ00088</t>
  </si>
  <si>
    <t>2026012384</t>
  </si>
  <si>
    <t>15/02/26 11.12</t>
  </si>
  <si>
    <t>146ARI2604-1301</t>
  </si>
  <si>
    <t>MHFJB8EM8T1192036</t>
  </si>
  <si>
    <t>2GD-1959893</t>
  </si>
  <si>
    <t>CST-000820727</t>
  </si>
  <si>
    <t>DIAN HARDIANSYAH</t>
  </si>
  <si>
    <t>KEC. CIPATAT</t>
  </si>
  <si>
    <t>KC-26-000168</t>
  </si>
  <si>
    <t>09/04/26 16.11</t>
  </si>
  <si>
    <t>DC02043</t>
  </si>
  <si>
    <t>2026043507</t>
  </si>
  <si>
    <t>28/04/26 10.49</t>
  </si>
  <si>
    <t>146ARI2604-0988</t>
  </si>
  <si>
    <t>MHKA6GJ6JTJ225859</t>
  </si>
  <si>
    <t>3NR-H991875</t>
  </si>
  <si>
    <t>CST-000821220</t>
  </si>
  <si>
    <t>DIAN YANTI IRAWATI S.I KOM</t>
  </si>
  <si>
    <t>HJ. EUIS MERTINI</t>
  </si>
  <si>
    <t>JL RANCA ENDAH I NO 11A/50</t>
  </si>
  <si>
    <t>KEC. GEDEBAGE</t>
  </si>
  <si>
    <t>KC-26-000161</t>
  </si>
  <si>
    <t>13/04/26 15.55</t>
  </si>
  <si>
    <t>DO01894</t>
  </si>
  <si>
    <t>22/04/26 10.25</t>
  </si>
  <si>
    <t>146ARI2603-0435</t>
  </si>
  <si>
    <t>MHFA71BYXT0001982</t>
  </si>
  <si>
    <t>2NR-Y658896</t>
  </si>
  <si>
    <t>CST-000813840</t>
  </si>
  <si>
    <t>DIANA FITRI WIDYA SARI</t>
  </si>
  <si>
    <t>MIKHA JULIUS SANTOSO</t>
  </si>
  <si>
    <t>JL DAGO ASRI B21 A</t>
  </si>
  <si>
    <t>001-26.64462998</t>
  </si>
  <si>
    <t>3273026508790003</t>
  </si>
  <si>
    <t>KC-26-000014</t>
  </si>
  <si>
    <t>18/02/26 11.32</t>
  </si>
  <si>
    <t>C800517</t>
  </si>
  <si>
    <t>2026024452</t>
  </si>
  <si>
    <t>10/03/26 23.17</t>
  </si>
  <si>
    <t>146ARI2601-0933</t>
  </si>
  <si>
    <t>GUN156R-SDTHXD-33</t>
  </si>
  <si>
    <t>MHFBA3FS6T1174643</t>
  </si>
  <si>
    <t>1GD-5926330</t>
  </si>
  <si>
    <t>KCMG052518</t>
  </si>
  <si>
    <t>YANI ANDRIYANI</t>
  </si>
  <si>
    <t>CST-000809768</t>
  </si>
  <si>
    <t>DICKY LESMANA</t>
  </si>
  <si>
    <t>KOMP. PATRAMAYA NO. 32</t>
  </si>
  <si>
    <t>KEC. RANCASARI</t>
  </si>
  <si>
    <t>001-26.64460817</t>
  </si>
  <si>
    <t>KC-25-001048</t>
  </si>
  <si>
    <t>26/01/26 15.33</t>
  </si>
  <si>
    <t>AF00783</t>
  </si>
  <si>
    <t>2026008172</t>
  </si>
  <si>
    <t>04/02/26 09.28</t>
  </si>
  <si>
    <t>146ARI2603-0821</t>
  </si>
  <si>
    <t>MHFABAAA1T0048384</t>
  </si>
  <si>
    <t>M20A-NF17323</t>
  </si>
  <si>
    <t>CST-000817997</t>
  </si>
  <si>
    <t>DICKY SENJAYASH., M.SI</t>
  </si>
  <si>
    <t>H.HENDAR SUPRIADY</t>
  </si>
  <si>
    <t>MARGAHAYU KENCANA D10 NO 6</t>
  </si>
  <si>
    <t>KEC. MARGAHAYU</t>
  </si>
  <si>
    <t>KC-26-000104</t>
  </si>
  <si>
    <t>16/03/26 18.48</t>
  </si>
  <si>
    <t>AJ01904</t>
  </si>
  <si>
    <t>20/03/26 18.36</t>
  </si>
  <si>
    <t>146ARI2602-0240</t>
  </si>
  <si>
    <t>MHKA6GK6JTJ088392</t>
  </si>
  <si>
    <t>3NR-H981129</t>
  </si>
  <si>
    <t>CST-000811674</t>
  </si>
  <si>
    <t>DIKKY RIZQI MAULANA SETIAWAN</t>
  </si>
  <si>
    <t>KP. CIRATEUN PEUNTAS</t>
  </si>
  <si>
    <t>001-26.64462111</t>
  </si>
  <si>
    <t>3217011612940012</t>
  </si>
  <si>
    <t>KC-25-001129</t>
  </si>
  <si>
    <t>04/02/26 16.42</t>
  </si>
  <si>
    <t>BO00410</t>
  </si>
  <si>
    <t>2026013172</t>
  </si>
  <si>
    <t>28/02/26 16.00</t>
  </si>
  <si>
    <t>146ARI2601-1291</t>
  </si>
  <si>
    <t>MHKAA1BA1TJ182471</t>
  </si>
  <si>
    <t>1KR-B028357</t>
  </si>
  <si>
    <t>CST-000810152</t>
  </si>
  <si>
    <t>DINI APRIYANI S.KEP NERS</t>
  </si>
  <si>
    <t>ASEP HIDAYAT SE</t>
  </si>
  <si>
    <t>DUSUN CIKEUYEUP</t>
  </si>
  <si>
    <t>KC-25-001044</t>
  </si>
  <si>
    <t>29/01/26 11.51</t>
  </si>
  <si>
    <t>AZ00914</t>
  </si>
  <si>
    <t>2026010518</t>
  </si>
  <si>
    <t>02/02/26 11.35</t>
  </si>
  <si>
    <t>146ARI2603-1149</t>
  </si>
  <si>
    <t>MHFJB8EM8T1189248</t>
  </si>
  <si>
    <t>2GD-5960167</t>
  </si>
  <si>
    <t>CST-000815810</t>
  </si>
  <si>
    <t>DODI ARIYANTO</t>
  </si>
  <si>
    <t>KIRCON</t>
  </si>
  <si>
    <t>KEC. KIARACONDONG</t>
  </si>
  <si>
    <t>KC-26-000071</t>
  </si>
  <si>
    <t>03/03/26 17.22</t>
  </si>
  <si>
    <t>CC01162</t>
  </si>
  <si>
    <t>2026031099</t>
  </si>
  <si>
    <t>28/03/26 17.06</t>
  </si>
  <si>
    <t>146ARI2601-0764</t>
  </si>
  <si>
    <t>MHFABAAA6T0048137</t>
  </si>
  <si>
    <t>M20A-NF13944</t>
  </si>
  <si>
    <t>KCMG112538</t>
  </si>
  <si>
    <t>AGTHY EIKA PRATIWI</t>
  </si>
  <si>
    <t>CST-000808985</t>
  </si>
  <si>
    <t>DODY WAHYUDI</t>
  </si>
  <si>
    <t>ILHAM BINTANG RACHMAN</t>
  </si>
  <si>
    <t>JLN CIKAMPEK 5 NO 29</t>
  </si>
  <si>
    <t>KEC. ANTAPANI</t>
  </si>
  <si>
    <t>001-26.64460814</t>
  </si>
  <si>
    <t>KC-25-001023</t>
  </si>
  <si>
    <t>20/01/26 15.08</t>
  </si>
  <si>
    <t>AJ01361</t>
  </si>
  <si>
    <t>2026005189</t>
  </si>
  <si>
    <t>24/01/26 14.55</t>
  </si>
  <si>
    <t>146ARI2602-1334</t>
  </si>
  <si>
    <t>MHFAA8GS7T0934804</t>
  </si>
  <si>
    <t>1GD-J148208</t>
  </si>
  <si>
    <t>CST-000815101</t>
  </si>
  <si>
    <t>DONI</t>
  </si>
  <si>
    <t>NATHAN ANGKASA</t>
  </si>
  <si>
    <t>JL. CIPARAY</t>
  </si>
  <si>
    <t>KC-26-000027</t>
  </si>
  <si>
    <t>26/02/26 17.51</t>
  </si>
  <si>
    <t>BF00213</t>
  </si>
  <si>
    <t>2026013770</t>
  </si>
  <si>
    <t>146ARI2602-1150</t>
  </si>
  <si>
    <t>MHKAA1BA3TJ184660</t>
  </si>
  <si>
    <t>1KR-B032666</t>
  </si>
  <si>
    <t>CST-000814663</t>
  </si>
  <si>
    <t>DR. IMAS ROSIDAWATI</t>
  </si>
  <si>
    <t>IBRAHIM SYARIEF</t>
  </si>
  <si>
    <t>JL. SEKAR GAMBIR I NO. 19</t>
  </si>
  <si>
    <t>KC-26-000046</t>
  </si>
  <si>
    <t>23/02/26 17.49</t>
  </si>
  <si>
    <t>BZ00528</t>
  </si>
  <si>
    <t>2026018628</t>
  </si>
  <si>
    <t>28/02/26 17.26</t>
  </si>
  <si>
    <t>146ARI2604-0596</t>
  </si>
  <si>
    <t>MHKAB1BC4TJ082993</t>
  </si>
  <si>
    <t>WA-A242123</t>
  </si>
  <si>
    <t>KCMG042609</t>
  </si>
  <si>
    <t>ANDRI JAYA LAKSANA</t>
  </si>
  <si>
    <t>CST-000821356</t>
  </si>
  <si>
    <t>DRS H AMRUL HIDAYAT. MM</t>
  </si>
  <si>
    <t>ACHMAD FUADY</t>
  </si>
  <si>
    <t>JL MARGASARI NO 201</t>
  </si>
  <si>
    <t>KEC. BUAHBATU</t>
  </si>
  <si>
    <t>KC-26-000158</t>
  </si>
  <si>
    <t>14/04/26 12.04</t>
  </si>
  <si>
    <t>DR00069</t>
  </si>
  <si>
    <t>2026033297</t>
  </si>
  <si>
    <t>18/04/26 11.56</t>
  </si>
  <si>
    <t>146ARI2603-1283</t>
  </si>
  <si>
    <t>JTF2A9CP3S6012220</t>
  </si>
  <si>
    <t>1GD-9695474</t>
  </si>
  <si>
    <t>CST-000818911</t>
  </si>
  <si>
    <t>DWI AFNI KUSUMAWARDHANI</t>
  </si>
  <si>
    <t>SITI CHAERUNNISA</t>
  </si>
  <si>
    <t>KOMP. BUMI PANYILEUKAN BLOK Q 4 NO.10</t>
  </si>
  <si>
    <t>KEC. PANYILEUKAN</t>
  </si>
  <si>
    <t>KC-26-000124</t>
  </si>
  <si>
    <t>30/03/26 13.26</t>
  </si>
  <si>
    <t>BP00426</t>
  </si>
  <si>
    <t>2026020654</t>
  </si>
  <si>
    <t>31/03/26 16.35</t>
  </si>
  <si>
    <t>146ARI2602-0695</t>
  </si>
  <si>
    <t>MHFAA8GS5T0935031</t>
  </si>
  <si>
    <t>1GD-J149489</t>
  </si>
  <si>
    <t>CST-000812976</t>
  </si>
  <si>
    <t>DWI SUSI'ADDIN</t>
  </si>
  <si>
    <t>HENI PRIYANTI</t>
  </si>
  <si>
    <t>JL. CENDRAWASIH V NO.46</t>
  </si>
  <si>
    <t>001-26.64462154</t>
  </si>
  <si>
    <t>KC-26-000002</t>
  </si>
  <si>
    <t>11/02/26 15.20</t>
  </si>
  <si>
    <t>BF00480</t>
  </si>
  <si>
    <t>2026016263</t>
  </si>
  <si>
    <t>17/02/26 16.09</t>
  </si>
  <si>
    <t>146ARI2601-0732</t>
  </si>
  <si>
    <t>MHFABBAA5T0463522</t>
  </si>
  <si>
    <t>M20A-NF10353</t>
  </si>
  <si>
    <t>CST-000808547</t>
  </si>
  <si>
    <t>DWI YUNITA WIBOWO</t>
  </si>
  <si>
    <t>JL. SUKAMANAH NO.48</t>
  </si>
  <si>
    <t>KEC. ANDIR</t>
  </si>
  <si>
    <t>001-26.64460720</t>
  </si>
  <si>
    <t>KC-25-001012</t>
  </si>
  <si>
    <t>16/01/26</t>
  </si>
  <si>
    <t>17/01/26 12.09</t>
  </si>
  <si>
    <t>AJ01055</t>
  </si>
  <si>
    <t>2026004640</t>
  </si>
  <si>
    <t>22/01/26 09.50</t>
  </si>
  <si>
    <t>146ARI2601-1293</t>
  </si>
  <si>
    <t>MHKAA1BY9TJ011836</t>
  </si>
  <si>
    <t>1NR-G317177</t>
  </si>
  <si>
    <t>CST-000810249</t>
  </si>
  <si>
    <t>EDAH</t>
  </si>
  <si>
    <t>JL SENJANO. 12 KOPO ELOK</t>
  </si>
  <si>
    <t>KC-25-001029</t>
  </si>
  <si>
    <t>29/01/26 15.33</t>
  </si>
  <si>
    <t>A702403</t>
  </si>
  <si>
    <t>2026010291</t>
  </si>
  <si>
    <t>01/02/26 16.41</t>
  </si>
  <si>
    <t>146ARI2603-0473</t>
  </si>
  <si>
    <t>MHKAB1BA2TJ159116</t>
  </si>
  <si>
    <t>WA-A236570</t>
  </si>
  <si>
    <t>CST-000816843</t>
  </si>
  <si>
    <t>ELANG ADING PRATAMA</t>
  </si>
  <si>
    <t>DEA ARIANTI</t>
  </si>
  <si>
    <t>JL. TURANGGA BARAT NO. 103</t>
  </si>
  <si>
    <t>002-26.36649387</t>
  </si>
  <si>
    <t>KC-26-000093</t>
  </si>
  <si>
    <t>09/03/26 16.42</t>
  </si>
  <si>
    <t>BZ00945</t>
  </si>
  <si>
    <t>2026023514</t>
  </si>
  <si>
    <t>13/03/26 13.24</t>
  </si>
  <si>
    <t>146ARI2604-0524</t>
  </si>
  <si>
    <t>MHFABAAA7T0049281</t>
  </si>
  <si>
    <t>M20A-NF28843</t>
  </si>
  <si>
    <t>KCMG012604</t>
  </si>
  <si>
    <t>SYAFRIL AGUNG SEFILA</t>
  </si>
  <si>
    <t>CST-000820022</t>
  </si>
  <si>
    <t>ELSA SUNDARI RUSTAM.S.SOS</t>
  </si>
  <si>
    <t>JL.PERMATA TAMANSARI II NO 98</t>
  </si>
  <si>
    <t>KC-26-000181</t>
  </si>
  <si>
    <t>06/04/26 09.58</t>
  </si>
  <si>
    <t>BJ00876</t>
  </si>
  <si>
    <t>2026015140</t>
  </si>
  <si>
    <t>14/04/26 08.58</t>
  </si>
  <si>
    <t>146ARI2604-1282</t>
  </si>
  <si>
    <t>MHKAA1BY8TJ013111</t>
  </si>
  <si>
    <t>1NR-G319168</t>
  </si>
  <si>
    <t>CST-000822830</t>
  </si>
  <si>
    <t>EMA MAESAROH</t>
  </si>
  <si>
    <t>KP CANGKUANG</t>
  </si>
  <si>
    <t>KC-26-000220</t>
  </si>
  <si>
    <t>24/04/26 14.16</t>
  </si>
  <si>
    <t>B702334</t>
  </si>
  <si>
    <t>30/04/26 13.49</t>
  </si>
  <si>
    <t>146ARI2602-1342</t>
  </si>
  <si>
    <t>MHKA6GJ6JTJ222771</t>
  </si>
  <si>
    <t>3NR-H984303</t>
  </si>
  <si>
    <t>CST-000814722</t>
  </si>
  <si>
    <t>ENDAH TRI REZEKI</t>
  </si>
  <si>
    <t>JL. BABAKAN DESE</t>
  </si>
  <si>
    <t>KC-26-000015</t>
  </si>
  <si>
    <t>24/02/26 12.17</t>
  </si>
  <si>
    <t>BO02007</t>
  </si>
  <si>
    <t>2026020079</t>
  </si>
  <si>
    <t>28/02/26 09.36</t>
  </si>
  <si>
    <t>146ARI2604-0642</t>
  </si>
  <si>
    <t>MHFJB8EM2T1190783</t>
  </si>
  <si>
    <t>2GD-5965566</t>
  </si>
  <si>
    <t>CST-000820284</t>
  </si>
  <si>
    <t>ERIKSA RANO SAPUTRA</t>
  </si>
  <si>
    <t>JL. CIBATU IX NO. 18</t>
  </si>
  <si>
    <t>KC-26-000080</t>
  </si>
  <si>
    <t>07/04/26 12.00</t>
  </si>
  <si>
    <t>DC00817</t>
  </si>
  <si>
    <t>16/04/26 09.19</t>
  </si>
  <si>
    <t>146ARI2604-0786</t>
  </si>
  <si>
    <t>MHKAB1BY6TJ017624</t>
  </si>
  <si>
    <t>2NR-4F62587</t>
  </si>
  <si>
    <t>CST-000821724</t>
  </si>
  <si>
    <t>ERLINA</t>
  </si>
  <si>
    <t>SANDI HADIAN</t>
  </si>
  <si>
    <t>JL.PANGAMPAAN NO. 334/19B</t>
  </si>
  <si>
    <t>KEC. REGOL</t>
  </si>
  <si>
    <t>KC-26-000197</t>
  </si>
  <si>
    <t>16/04/26 16.02</t>
  </si>
  <si>
    <t>C700786</t>
  </si>
  <si>
    <t>2026026943</t>
  </si>
  <si>
    <t>18/04/26 08.00</t>
  </si>
  <si>
    <t>146ARI2603-0958</t>
  </si>
  <si>
    <t>MR0BB3CD6T6409139</t>
  </si>
  <si>
    <t>2GD-J159398</t>
  </si>
  <si>
    <t>CST-000817864</t>
  </si>
  <si>
    <t>ERMAN</t>
  </si>
  <si>
    <t>MANGLAYANG REGENCY BLOK E6/10</t>
  </si>
  <si>
    <t>KEC. CILEUNYI</t>
  </si>
  <si>
    <t>KC-26-000091</t>
  </si>
  <si>
    <t>16/03/26 10.55</t>
  </si>
  <si>
    <t>CB01433</t>
  </si>
  <si>
    <t>28/03/26 08.44</t>
  </si>
  <si>
    <t>146ARI2602-1299</t>
  </si>
  <si>
    <t>MHKA6GJ6JTJ221964</t>
  </si>
  <si>
    <t>3NR-H982173</t>
  </si>
  <si>
    <t>CST-000814101</t>
  </si>
  <si>
    <t>ERNA KURNIAWATI</t>
  </si>
  <si>
    <t>IRFAN GINANJAR</t>
  </si>
  <si>
    <t>GG BUKIT JARIAN 2</t>
  </si>
  <si>
    <t>KEC. CIDADAP</t>
  </si>
  <si>
    <t>KC-26-000026</t>
  </si>
  <si>
    <t>19/02/26 14.59</t>
  </si>
  <si>
    <t>BO01018</t>
  </si>
  <si>
    <t>27/02/26 14.48</t>
  </si>
  <si>
    <t>146ARI2604-0439</t>
  </si>
  <si>
    <t>MHKAB1BC4TJ079429</t>
  </si>
  <si>
    <t>WA-A233348</t>
  </si>
  <si>
    <t>CST-000820701</t>
  </si>
  <si>
    <t>ERNI</t>
  </si>
  <si>
    <t>KP. BARU</t>
  </si>
  <si>
    <t>KEC. PASEH</t>
  </si>
  <si>
    <t>KC-26-000172</t>
  </si>
  <si>
    <t>09/04/26 15.16</t>
  </si>
  <si>
    <t>BR00651</t>
  </si>
  <si>
    <t>2026016859</t>
  </si>
  <si>
    <t>12/04/26 13.39</t>
  </si>
  <si>
    <t>146ARI2601-0584</t>
  </si>
  <si>
    <t>MHFJB8EMXT1182480</t>
  </si>
  <si>
    <t>2GD-5919596</t>
  </si>
  <si>
    <t>CST-000808260</t>
  </si>
  <si>
    <t>ESTI KURNIA</t>
  </si>
  <si>
    <t>LEVY FAREL NUGRAHA</t>
  </si>
  <si>
    <t>JL. SUMARMO NO 110/180</t>
  </si>
  <si>
    <t>001-26.64460591</t>
  </si>
  <si>
    <t>KC-25-000995</t>
  </si>
  <si>
    <t>14/01/26 16.59</t>
  </si>
  <si>
    <t>AC00623</t>
  </si>
  <si>
    <t>2026002919</t>
  </si>
  <si>
    <t>20/01/26 16.47</t>
  </si>
  <si>
    <t>146ARI2602-0868</t>
  </si>
  <si>
    <t>MHKAB1BY7TJ012836</t>
  </si>
  <si>
    <t>2NR-4F29384</t>
  </si>
  <si>
    <t>CST-000813820</t>
  </si>
  <si>
    <t>EUIS EKA</t>
  </si>
  <si>
    <t>KP RANCAKASO</t>
  </si>
  <si>
    <t>KEC. SOLOKANJERUK</t>
  </si>
  <si>
    <t>001-26.64462162</t>
  </si>
  <si>
    <t>KC-25-001119</t>
  </si>
  <si>
    <t>18/02/26 10.56</t>
  </si>
  <si>
    <t>A700363</t>
  </si>
  <si>
    <t>2026001712</t>
  </si>
  <si>
    <t>21/02/26 08.33</t>
  </si>
  <si>
    <t>146ARI2602-0873</t>
  </si>
  <si>
    <t>JTF2A9CPXS6012022</t>
  </si>
  <si>
    <t>1GD-9681977</t>
  </si>
  <si>
    <t>CST-000808583</t>
  </si>
  <si>
    <t>FADZAR INDRIAWAN</t>
  </si>
  <si>
    <t>SAUFA ADHA PARAMARTA</t>
  </si>
  <si>
    <t>Jl BATU INDAH I NO 2</t>
  </si>
  <si>
    <t>PT. BPD JATENG</t>
  </si>
  <si>
    <t>3310262712700001</t>
  </si>
  <si>
    <t>KC-25-000999</t>
  </si>
  <si>
    <t>17/01/26 13.54</t>
  </si>
  <si>
    <t>AP00343</t>
  </si>
  <si>
    <t>2026005363</t>
  </si>
  <si>
    <t>21/02/26 13.37</t>
  </si>
  <si>
    <t>146ARI2602-0863</t>
  </si>
  <si>
    <t>146ARI2601-0825</t>
  </si>
  <si>
    <t>FADZAR INDRIAWAN, S.SOS</t>
  </si>
  <si>
    <t>31/01/26 13.37</t>
  </si>
  <si>
    <t>146ARI2603-0509</t>
  </si>
  <si>
    <t>MHFABAAA6T0049157</t>
  </si>
  <si>
    <t>M20A-NF27176</t>
  </si>
  <si>
    <t>CST-000817195</t>
  </si>
  <si>
    <t>FAILLAH</t>
  </si>
  <si>
    <t>FAILLAH. , S.Si.</t>
  </si>
  <si>
    <t>JL BUNGURSARI VII NO.10</t>
  </si>
  <si>
    <t>KEC. CIBEUNYING KIDUL</t>
  </si>
  <si>
    <t>002-26.36649389</t>
  </si>
  <si>
    <t>KC-26-000047</t>
  </si>
  <si>
    <t>11/03/26 15.56</t>
  </si>
  <si>
    <t>BJ00655</t>
  </si>
  <si>
    <t>2026014801</t>
  </si>
  <si>
    <t>16/03/26 14.59</t>
  </si>
  <si>
    <t>146ARI2602-0147</t>
  </si>
  <si>
    <t>MHKE8FA3JTK140136</t>
  </si>
  <si>
    <t>2NR-4F42840</t>
  </si>
  <si>
    <t>CST-000810984</t>
  </si>
  <si>
    <t>FARID HERMAWAN</t>
  </si>
  <si>
    <t>JL RANDUSARI RAYA NO 27</t>
  </si>
  <si>
    <t>001-26.64462112</t>
  </si>
  <si>
    <t>KC-25-001094</t>
  </si>
  <si>
    <t>31/01/26 13.50</t>
  </si>
  <si>
    <t>BG00150</t>
  </si>
  <si>
    <t>2026011458</t>
  </si>
  <si>
    <t>06/02/26 15.29</t>
  </si>
  <si>
    <t>146ARI2602-1232</t>
  </si>
  <si>
    <t>MHKAB1BY3TJ015023</t>
  </si>
  <si>
    <t>2NR-4F42728</t>
  </si>
  <si>
    <t>CST-000814113</t>
  </si>
  <si>
    <t>FAUDRIE MOHAMADIVA, SE</t>
  </si>
  <si>
    <t>FAUDRIE MOHAMADIVA SE</t>
  </si>
  <si>
    <t>JL LEUWIANYAR VI NO E 9</t>
  </si>
  <si>
    <t>KEC. BOJONGLOA KIDUL</t>
  </si>
  <si>
    <t>3217061909940009</t>
  </si>
  <si>
    <t>KC-26-000020</t>
  </si>
  <si>
    <t>19/02/26 15.33</t>
  </si>
  <si>
    <t>B700467</t>
  </si>
  <si>
    <t>2026013816</t>
  </si>
  <si>
    <t>28/02/26 15.03</t>
  </si>
  <si>
    <t>146ARI2604-0331</t>
  </si>
  <si>
    <t>MHFABBAA6T0468986</t>
  </si>
  <si>
    <t>M20A-NF50824</t>
  </si>
  <si>
    <t>CST-000820066</t>
  </si>
  <si>
    <t>FEBI AGUSTIAN</t>
  </si>
  <si>
    <t>NURUL FAUZIAH RAHAYU</t>
  </si>
  <si>
    <t>THE JARRDIN CIHAMPELAS NO. 1501</t>
  </si>
  <si>
    <t>KC-26-000183</t>
  </si>
  <si>
    <t>06/04/26 11.58</t>
  </si>
  <si>
    <t>CJ02213</t>
  </si>
  <si>
    <t>2026033243</t>
  </si>
  <si>
    <t>10/04/26 11.00</t>
  </si>
  <si>
    <t>146ARI2604-0526</t>
  </si>
  <si>
    <t>MHKAB1BY1TJ014968</t>
  </si>
  <si>
    <t>2NR-4F43983</t>
  </si>
  <si>
    <t>CST-000820869</t>
  </si>
  <si>
    <t>FITRI MULYANI</t>
  </si>
  <si>
    <t>KP. KIARAEUNYEUH</t>
  </si>
  <si>
    <t>KEC. KATAPANG</t>
  </si>
  <si>
    <t>KC-26-000209</t>
  </si>
  <si>
    <t>10/04/26 16.06</t>
  </si>
  <si>
    <t>B700426</t>
  </si>
  <si>
    <t>2026013778</t>
  </si>
  <si>
    <t>18/04/26 09.32</t>
  </si>
  <si>
    <t>146ARI2602-0745</t>
  </si>
  <si>
    <t>MHKAB1BA2TJ155647</t>
  </si>
  <si>
    <t>WA-A229691</t>
  </si>
  <si>
    <t>CST-000813817</t>
  </si>
  <si>
    <t>FITRI NURFHANIA PUTRI</t>
  </si>
  <si>
    <t>JL YUPITER TIMUR 1</t>
  </si>
  <si>
    <t>KEC. BUAH BATU</t>
  </si>
  <si>
    <t>001-26.64462158</t>
  </si>
  <si>
    <t>KC-26-000033</t>
  </si>
  <si>
    <t>18/02/26 10.36</t>
  </si>
  <si>
    <t>AZ00773</t>
  </si>
  <si>
    <t>2026009730</t>
  </si>
  <si>
    <t>19/02/26 09.49</t>
  </si>
  <si>
    <t>146ARI2604-1071</t>
  </si>
  <si>
    <t>MHKAB1BC2TJ083902</t>
  </si>
  <si>
    <t>WA-A245469</t>
  </si>
  <si>
    <t>CST-000822430</t>
  </si>
  <si>
    <t>FITRIAN RUDIANTO</t>
  </si>
  <si>
    <t>KP WARUNG JAMBE</t>
  </si>
  <si>
    <t>KC-26-000221</t>
  </si>
  <si>
    <t>22/04/26 09.23</t>
  </si>
  <si>
    <t>DR01005</t>
  </si>
  <si>
    <t>2026042248</t>
  </si>
  <si>
    <t>25/04/26 19.48</t>
  </si>
  <si>
    <t>146ARI2604-1127</t>
  </si>
  <si>
    <t>MAGA10R-BRXMBD-10</t>
  </si>
  <si>
    <t>MHFAAAAA6T0050246</t>
  </si>
  <si>
    <t>M20A-NF62619</t>
  </si>
  <si>
    <t>CST-000773131</t>
  </si>
  <si>
    <t>GRACE KRISNA RAHAKBAU</t>
  </si>
  <si>
    <t>USEP SUDIRMAN, SH.</t>
  </si>
  <si>
    <t>GRIYA CEMPAKA ARUM A-11 NO 44</t>
  </si>
  <si>
    <t>KC-26-000193</t>
  </si>
  <si>
    <t>15/04/26 14.31</t>
  </si>
  <si>
    <t>DJ01272</t>
  </si>
  <si>
    <t>2026041341</t>
  </si>
  <si>
    <t>28/04/26 09.15</t>
  </si>
  <si>
    <t>146ARI2601-1276</t>
  </si>
  <si>
    <t>MHFABBAA0S0446318</t>
  </si>
  <si>
    <t>M20A-ND74191</t>
  </si>
  <si>
    <t>CST-000810401</t>
  </si>
  <si>
    <t>GUSTIAN AIDIL FITRI</t>
  </si>
  <si>
    <t>GITA FARIDILLA</t>
  </si>
  <si>
    <t>PALEDANG INDAH C.9</t>
  </si>
  <si>
    <t>001-26.64460846</t>
  </si>
  <si>
    <t>KC-25-001027</t>
  </si>
  <si>
    <t>29/01/26 18.35</t>
  </si>
  <si>
    <t>DJ02505</t>
  </si>
  <si>
    <t>2025038483</t>
  </si>
  <si>
    <t>29/04/25</t>
  </si>
  <si>
    <t>04/02/26 18.23</t>
  </si>
  <si>
    <t>146ARI2603-0573</t>
  </si>
  <si>
    <t>MHKA6GJ6JTJ223051</t>
  </si>
  <si>
    <t>3NR-H985148</t>
  </si>
  <si>
    <t>CST-000816678</t>
  </si>
  <si>
    <t>H. CHANDRA RESTURAMANDITA SUBRATA</t>
  </si>
  <si>
    <t>JL. AH NASUTION NO. 7</t>
  </si>
  <si>
    <t>KEC. UJUNGBERUNG</t>
  </si>
  <si>
    <t>KC-26-000061</t>
  </si>
  <si>
    <t>09/03/26 10.39</t>
  </si>
  <si>
    <t>BO02461</t>
  </si>
  <si>
    <t>2026023009</t>
  </si>
  <si>
    <t>13/03/26 09.39</t>
  </si>
  <si>
    <t>146ARI2604-0755</t>
  </si>
  <si>
    <t>JTFST22P8T0054678</t>
  </si>
  <si>
    <t>1KD-B229716</t>
  </si>
  <si>
    <t>CST-000821065</t>
  </si>
  <si>
    <t>H. YULIMAN RUCHIMAT</t>
  </si>
  <si>
    <t>KP WARUNG LOBAK</t>
  </si>
  <si>
    <t>KC-26-000184</t>
  </si>
  <si>
    <t>13/04/26 09.26</t>
  </si>
  <si>
    <t>BP00160</t>
  </si>
  <si>
    <t>2026018766</t>
  </si>
  <si>
    <t>18/04/26 09.05</t>
  </si>
  <si>
    <t>146ARI2602-0972</t>
  </si>
  <si>
    <t>MHFABAAA6T0048168</t>
  </si>
  <si>
    <t>M20A-NF15288</t>
  </si>
  <si>
    <t>CST-000814237</t>
  </si>
  <si>
    <t>HAPSARI RETNO DEWANTI</t>
  </si>
  <si>
    <t>PURI BOTANICAL BLOK G/6 NO 17</t>
  </si>
  <si>
    <t>KC-26-000025</t>
  </si>
  <si>
    <t>20/02/26 14.09</t>
  </si>
  <si>
    <t>AJ01505</t>
  </si>
  <si>
    <t>2026007404</t>
  </si>
  <si>
    <t>27/02/26 11.10</t>
  </si>
  <si>
    <t>146ARI2603-1314</t>
  </si>
  <si>
    <t>MHKAB1BY6TJ018322</t>
  </si>
  <si>
    <t>2NR-4F68635</t>
  </si>
  <si>
    <t>CST-000817301</t>
  </si>
  <si>
    <t>HARTON</t>
  </si>
  <si>
    <t>GUGUM GUMILAR</t>
  </si>
  <si>
    <t>CURUG CANDUNG</t>
  </si>
  <si>
    <t>KC-26-000117</t>
  </si>
  <si>
    <t>16/03/26 13.54</t>
  </si>
  <si>
    <t>C701795</t>
  </si>
  <si>
    <t>04/04/26 08.00</t>
  </si>
  <si>
    <t>146ARI2604-1432</t>
  </si>
  <si>
    <t>MHKAA1BY8TJ014243</t>
  </si>
  <si>
    <t>1NR-G323598</t>
  </si>
  <si>
    <t>CST-000823744</t>
  </si>
  <si>
    <t>HASAN SADIKIN, A.MD</t>
  </si>
  <si>
    <t>EMA PURNAMA</t>
  </si>
  <si>
    <t>BOJONGSOANG 33 A</t>
  </si>
  <si>
    <t>KC-26-000230</t>
  </si>
  <si>
    <t>30/04/26 20.25</t>
  </si>
  <si>
    <t>D701083</t>
  </si>
  <si>
    <t>2026035913</t>
  </si>
  <si>
    <t>08/05/26 15.00</t>
  </si>
  <si>
    <t>146ARI2602-0308</t>
  </si>
  <si>
    <t>MHKA6GJ6JTJ221563</t>
  </si>
  <si>
    <t>3NR-H981066</t>
  </si>
  <si>
    <t>CST-000812291</t>
  </si>
  <si>
    <t>HASIM</t>
  </si>
  <si>
    <t>DONI ROMDONI</t>
  </si>
  <si>
    <t>JL SUKAATI V</t>
  </si>
  <si>
    <t>001-26.64462119</t>
  </si>
  <si>
    <t>KC-25-001133</t>
  </si>
  <si>
    <t>09/02/26 14.38</t>
  </si>
  <si>
    <t>BO00403</t>
  </si>
  <si>
    <t>2026013317</t>
  </si>
  <si>
    <t>13/02/26 09.47</t>
  </si>
  <si>
    <t>146ARI2601-1185</t>
  </si>
  <si>
    <t>MHKA6GJ6JTJ220737</t>
  </si>
  <si>
    <t>3NR-H979195</t>
  </si>
  <si>
    <t>CST-000809883</t>
  </si>
  <si>
    <t>HELEN RYANITA NAINGGOLAN</t>
  </si>
  <si>
    <t>HELEN RYANITA NAINGGOLAN, S.H,M.Kn</t>
  </si>
  <si>
    <t>JL. PESONA 1 D. 18 KOMP. GRAHA PESONA</t>
  </si>
  <si>
    <t>KEC. CINAMBO</t>
  </si>
  <si>
    <t>001-26.64460832</t>
  </si>
  <si>
    <t>KC-25-001053</t>
  </si>
  <si>
    <t>27/01/26 12.10</t>
  </si>
  <si>
    <t>AO01894</t>
  </si>
  <si>
    <t>2026008217</t>
  </si>
  <si>
    <t>30/01/26 09.35</t>
  </si>
  <si>
    <t>146ARI2601-1187</t>
  </si>
  <si>
    <t>MHKA6GJ6JTJ219880</t>
  </si>
  <si>
    <t>3NR-H977094</t>
  </si>
  <si>
    <t>CST-000809882</t>
  </si>
  <si>
    <t>HELEN RYANITA NAINGGOLAN NAINGGOLAN</t>
  </si>
  <si>
    <t>HELEN RYANITA NAINGGOLAN, S.H, M.Kn</t>
  </si>
  <si>
    <t>001-26.64460833</t>
  </si>
  <si>
    <t>KC-25-001052</t>
  </si>
  <si>
    <t>27/01/26 12.06</t>
  </si>
  <si>
    <t>AO00666</t>
  </si>
  <si>
    <t>2026007068</t>
  </si>
  <si>
    <t>30/01/26 09.25</t>
  </si>
  <si>
    <t>146ARI2604-1406</t>
  </si>
  <si>
    <t>P20</t>
  </si>
  <si>
    <t>PURPLISH SILVER MICA METALLIC</t>
  </si>
  <si>
    <t>MHKAB1BYXTJ019859</t>
  </si>
  <si>
    <t>2NR-4F86862</t>
  </si>
  <si>
    <t>CST-000820676</t>
  </si>
  <si>
    <t>HENDI</t>
  </si>
  <si>
    <t>KP BUKIT MULYA</t>
  </si>
  <si>
    <t>KC-26-000194</t>
  </si>
  <si>
    <t>09/04/26 14.24</t>
  </si>
  <si>
    <t>D703217</t>
  </si>
  <si>
    <t>2026045657</t>
  </si>
  <si>
    <t>01/05/26 13.56</t>
  </si>
  <si>
    <t>146ARI2602-1092</t>
  </si>
  <si>
    <t>4T3</t>
  </si>
  <si>
    <t>BRONZE M.M.</t>
  </si>
  <si>
    <t>MHKA6GJ6JTJ222322</t>
  </si>
  <si>
    <t>3NR-H983249</t>
  </si>
  <si>
    <t>CST-000813184</t>
  </si>
  <si>
    <t>HERMAN ASTONO</t>
  </si>
  <si>
    <t>MANGLAYANG REGENCY BLOK . E.5/10</t>
  </si>
  <si>
    <t>KC-26-000022</t>
  </si>
  <si>
    <t>12/02/26 14.29</t>
  </si>
  <si>
    <t>BO01517</t>
  </si>
  <si>
    <t>2026017407</t>
  </si>
  <si>
    <t>25/02/26 12.08</t>
  </si>
  <si>
    <t>146ARI2602-0853</t>
  </si>
  <si>
    <t>MHKAB1BC9TJ079362</t>
  </si>
  <si>
    <t>WA-A233321</t>
  </si>
  <si>
    <t>CST-000808792</t>
  </si>
  <si>
    <t>HERMAN SUGIANTO</t>
  </si>
  <si>
    <t>DESI PUTRI SUSANTI</t>
  </si>
  <si>
    <t>Jl.RAA WIRANATA KUSUMAH KOMP HEGAR ASRI RESIDENCE BLOK J NO. 5</t>
  </si>
  <si>
    <t>001-26.64462160</t>
  </si>
  <si>
    <t>KC-25-000979</t>
  </si>
  <si>
    <t>19/01/26 14.26</t>
  </si>
  <si>
    <t>BR00570</t>
  </si>
  <si>
    <t>2026016554</t>
  </si>
  <si>
    <t>23/02/26 10.46</t>
  </si>
  <si>
    <t>146ARI2603-0263</t>
  </si>
  <si>
    <t>MHFBA3FS3T1175118</t>
  </si>
  <si>
    <t>1GD-J154058</t>
  </si>
  <si>
    <t>CST-000815418</t>
  </si>
  <si>
    <t>HERMANSYAH</t>
  </si>
  <si>
    <t>TAUFIK FATHURAHMAN</t>
  </si>
  <si>
    <t>RANCACATANG</t>
  </si>
  <si>
    <t>002-26.36649377</t>
  </si>
  <si>
    <t>KC-26-000051</t>
  </si>
  <si>
    <t>28/02/26 21.42</t>
  </si>
  <si>
    <t>CF00074</t>
  </si>
  <si>
    <t>2026025649</t>
  </si>
  <si>
    <t>07/03/26 16.21</t>
  </si>
  <si>
    <t>146ARI2601-1304</t>
  </si>
  <si>
    <t>MHKA6GJ6JTJ221238</t>
  </si>
  <si>
    <t>3NR-H980382</t>
  </si>
  <si>
    <t>CST-000810247</t>
  </si>
  <si>
    <t>HERMAWAN S.IP</t>
  </si>
  <si>
    <t>RISA MAULIDA</t>
  </si>
  <si>
    <t>Jl NEGLASARI</t>
  </si>
  <si>
    <t>KC-25-001041</t>
  </si>
  <si>
    <t>29/01/26 11.57</t>
  </si>
  <si>
    <t>AO02460</t>
  </si>
  <si>
    <t>2026011223</t>
  </si>
  <si>
    <t>10/02/26 12.00</t>
  </si>
  <si>
    <t>146ARI2604-1298</t>
  </si>
  <si>
    <t>MHFA71BY9T0005649</t>
  </si>
  <si>
    <t>2NR-Y685193</t>
  </si>
  <si>
    <t>KCMG072529</t>
  </si>
  <si>
    <t>FANI PERMANI</t>
  </si>
  <si>
    <t>CST-000823200</t>
  </si>
  <si>
    <t>HERTI NOPTIKA DEWI</t>
  </si>
  <si>
    <t>JL. RAYA SOREANG NO. 203</t>
  </si>
  <si>
    <t>KEC. SOREANG</t>
  </si>
  <si>
    <t>KC-26-000263</t>
  </si>
  <si>
    <t>27/04/26 17.22</t>
  </si>
  <si>
    <t>D801400</t>
  </si>
  <si>
    <t>2026040857</t>
  </si>
  <si>
    <t>04/05/26 16.56</t>
  </si>
  <si>
    <t>146ARI2601-0344</t>
  </si>
  <si>
    <t>MHKA6GJ6JTJ219413</t>
  </si>
  <si>
    <t>3NR-H975919</t>
  </si>
  <si>
    <t>CST-000806700</t>
  </si>
  <si>
    <t>IHSAN TAUPIK HIDAYAT</t>
  </si>
  <si>
    <t>ELISA</t>
  </si>
  <si>
    <t>PERUMAHAN BUMI PADMA BLOK I-I</t>
  </si>
  <si>
    <t>KEC. PACET</t>
  </si>
  <si>
    <t>001-26.64460574</t>
  </si>
  <si>
    <t>KC-25-000955</t>
  </si>
  <si>
    <t>28/12/25</t>
  </si>
  <si>
    <t>03/01/26 09.43</t>
  </si>
  <si>
    <t>AO00029</t>
  </si>
  <si>
    <t>2026000184</t>
  </si>
  <si>
    <t>12/01/26 09.32</t>
  </si>
  <si>
    <t>146ARI2601-0609</t>
  </si>
  <si>
    <t>MR0AW9AA3S0343498</t>
  </si>
  <si>
    <t>1TR-B359995</t>
  </si>
  <si>
    <t>CST-000808274</t>
  </si>
  <si>
    <t>ILHAM WIRYA PRAJA</t>
  </si>
  <si>
    <t>LUTHFI AUDRY MIFTAHUSSALAM</t>
  </si>
  <si>
    <t>KMP CUKANG HAUR</t>
  </si>
  <si>
    <t>001-26.64460594</t>
  </si>
  <si>
    <t>KC-25-001017</t>
  </si>
  <si>
    <t>14/01/26 19.50</t>
  </si>
  <si>
    <t>KB01032</t>
  </si>
  <si>
    <t>2025098552</t>
  </si>
  <si>
    <t>13/11/25</t>
  </si>
  <si>
    <t>16/01/26 19.19</t>
  </si>
  <si>
    <t>146ARI2601-0746</t>
  </si>
  <si>
    <t>MR0AW9AA4S0343476</t>
  </si>
  <si>
    <t>1TR-B359232</t>
  </si>
  <si>
    <t>CST-000808804</t>
  </si>
  <si>
    <t>KP CUKANG HAUR</t>
  </si>
  <si>
    <t>001-26.64460811</t>
  </si>
  <si>
    <t>KC-25-001019</t>
  </si>
  <si>
    <t>19/01/26 14.56</t>
  </si>
  <si>
    <t>KB00929</t>
  </si>
  <si>
    <t>22/01/26 14.12</t>
  </si>
  <si>
    <t>146ARI2602-0693</t>
  </si>
  <si>
    <t>MHKA6GJ6JTJ221556</t>
  </si>
  <si>
    <t>3NR-H981286</t>
  </si>
  <si>
    <t>CST-000812689</t>
  </si>
  <si>
    <t>IMAN JUANDA</t>
  </si>
  <si>
    <t>PESONA PRIMA CITAPEN BLOK B1 NO.44</t>
  </si>
  <si>
    <t>KEC. CIHAMPELAS</t>
  </si>
  <si>
    <t>001-26.64462153</t>
  </si>
  <si>
    <t>KC-25-001136</t>
  </si>
  <si>
    <t>10/02/26 14.47</t>
  </si>
  <si>
    <t>BO00460</t>
  </si>
  <si>
    <t>2026013660</t>
  </si>
  <si>
    <t>19/02/26 14.16</t>
  </si>
  <si>
    <t>146ARI2604-1370</t>
  </si>
  <si>
    <t>MHKAB1BY4TJ019890</t>
  </si>
  <si>
    <t>2NR-4F85882</t>
  </si>
  <si>
    <t>CST-000821851</t>
  </si>
  <si>
    <t>IMAS SUMARNI</t>
  </si>
  <si>
    <t>KP PASAR PEUNDEUY</t>
  </si>
  <si>
    <t>KC-26-000196</t>
  </si>
  <si>
    <t>17/04/26 14.43</t>
  </si>
  <si>
    <t>D703166</t>
  </si>
  <si>
    <t>2026045367</t>
  </si>
  <si>
    <t>30/04/26 14.07</t>
  </si>
  <si>
    <t>146ARI2602-1386</t>
  </si>
  <si>
    <t>MHFABBAA7T0466969</t>
  </si>
  <si>
    <t>M20A-NF37560</t>
  </si>
  <si>
    <t>CST-000815400</t>
  </si>
  <si>
    <t>INDRA BUDI</t>
  </si>
  <si>
    <t>ASPOL JL NIAS BLOK A1</t>
  </si>
  <si>
    <t>KEC. SUMUR BANDUNG</t>
  </si>
  <si>
    <t>3278042310730009</t>
  </si>
  <si>
    <t>KC-26-000084</t>
  </si>
  <si>
    <t>28/02/26 18.10</t>
  </si>
  <si>
    <t>BJ02248</t>
  </si>
  <si>
    <t>2026022977</t>
  </si>
  <si>
    <t>08/03/26 17.37</t>
  </si>
  <si>
    <t>146ARI2601-1301</t>
  </si>
  <si>
    <t>MHFJB8EM8T1183952</t>
  </si>
  <si>
    <t>2GD-5930086</t>
  </si>
  <si>
    <t>CST-000811110</t>
  </si>
  <si>
    <t>ITA HITAYATI</t>
  </si>
  <si>
    <t>KOMP BIR B-3 NO 9</t>
  </si>
  <si>
    <t>KC-25-001121</t>
  </si>
  <si>
    <t>31/01/26 16.54</t>
  </si>
  <si>
    <t>AC02191</t>
  </si>
  <si>
    <t>05/02/26 14.00</t>
  </si>
  <si>
    <t>146ARI2602-0309</t>
  </si>
  <si>
    <t>MHFBA3FSXT1174421</t>
  </si>
  <si>
    <t>1GD-5918718</t>
  </si>
  <si>
    <t>CST-000807243</t>
  </si>
  <si>
    <t>IWAN KURNIAWAN</t>
  </si>
  <si>
    <t>JL TERUSAN CIBIUK CANGKUANG NO 7</t>
  </si>
  <si>
    <t>KEC. DAYEUHKOLOT</t>
  </si>
  <si>
    <t>001-26.64462120</t>
  </si>
  <si>
    <t>KC-25-000931</t>
  </si>
  <si>
    <t>07/01/26 15.37</t>
  </si>
  <si>
    <t>AF00240</t>
  </si>
  <si>
    <t>2026001978</t>
  </si>
  <si>
    <t>10/02/26 14.38</t>
  </si>
  <si>
    <t>146ARI2604-1357</t>
  </si>
  <si>
    <t>MHFJB8EM0T1192242</t>
  </si>
  <si>
    <t>2GD-1961597</t>
  </si>
  <si>
    <t>CST-000822829</t>
  </si>
  <si>
    <t>JACKY</t>
  </si>
  <si>
    <t>AGUS HASAN MUNANDAR</t>
  </si>
  <si>
    <t>JL. CARINGIN BLK NO. 116</t>
  </si>
  <si>
    <t>3273031408900001</t>
  </si>
  <si>
    <t>KC-26-000250</t>
  </si>
  <si>
    <t>24/04/26 14.14</t>
  </si>
  <si>
    <t>DC02367</t>
  </si>
  <si>
    <t>2026044790</t>
  </si>
  <si>
    <t>30/04/26 14.03</t>
  </si>
  <si>
    <t>146ARI2604-0528</t>
  </si>
  <si>
    <t>MHFJB8EM0T1190300</t>
  </si>
  <si>
    <t>2GD-5961459</t>
  </si>
  <si>
    <t>CST-000811686</t>
  </si>
  <si>
    <t>JANURI</t>
  </si>
  <si>
    <t>SUPARMI</t>
  </si>
  <si>
    <t>JL.KRAMAT NO.150</t>
  </si>
  <si>
    <t>KEC. CINERE</t>
  </si>
  <si>
    <t>KC-25-001125</t>
  </si>
  <si>
    <t>04/02/26 17.19</t>
  </si>
  <si>
    <t>DC00301</t>
  </si>
  <si>
    <t>14/04/26 17.44</t>
  </si>
  <si>
    <t>146ARI2604-1120</t>
  </si>
  <si>
    <t>MHFABBAA5T0469093</t>
  </si>
  <si>
    <t>M20A-NF51254</t>
  </si>
  <si>
    <t>CST-000822489</t>
  </si>
  <si>
    <t>JOSEFA DESMA RAMADHAN, SH</t>
  </si>
  <si>
    <t>FARZA NABIL PUTRA</t>
  </si>
  <si>
    <t>PONDOK PADALARANG INDAH A1.3</t>
  </si>
  <si>
    <t>KEC. PADALARANG</t>
  </si>
  <si>
    <t>KC-26-000242</t>
  </si>
  <si>
    <t>22/04/26 12.13</t>
  </si>
  <si>
    <t>CJ02649</t>
  </si>
  <si>
    <t>25/04/26 08.00</t>
  </si>
  <si>
    <t>146ARI2601-0759</t>
  </si>
  <si>
    <t>JTF2A9CP1S6011082</t>
  </si>
  <si>
    <t>1GD-9641400</t>
  </si>
  <si>
    <t>CST-000808857</t>
  </si>
  <si>
    <t>KHAIRIL HIDAYA</t>
  </si>
  <si>
    <t>Jl BATU INDAH 5 NO 1</t>
  </si>
  <si>
    <t>001-26.64460813</t>
  </si>
  <si>
    <t>KC-25-001024</t>
  </si>
  <si>
    <t>19/01/26 19.49</t>
  </si>
  <si>
    <t>KP00135</t>
  </si>
  <si>
    <t>2025096341</t>
  </si>
  <si>
    <t>07/11/25</t>
  </si>
  <si>
    <t>31/01/26 19.27</t>
  </si>
  <si>
    <t>146ARI2604-1434</t>
  </si>
  <si>
    <t>MR0BB3CD4T5819105</t>
  </si>
  <si>
    <t>2GD-J169433</t>
  </si>
  <si>
    <t>CST-000823762</t>
  </si>
  <si>
    <t>KHAIRUL UT AMA SIMANJUNTAK</t>
  </si>
  <si>
    <t>JULIANA PANJAITAN</t>
  </si>
  <si>
    <t>JL. CYNTHIA RAYA BLOK CB 10</t>
  </si>
  <si>
    <t>KC-26-000255</t>
  </si>
  <si>
    <t>30/04/26 22.24</t>
  </si>
  <si>
    <t>EB00029</t>
  </si>
  <si>
    <t>2026046289</t>
  </si>
  <si>
    <t>05/05/26 15.02</t>
  </si>
  <si>
    <t>146ARI2604-1303</t>
  </si>
  <si>
    <t>MHFJB8EM1T1191942</t>
  </si>
  <si>
    <t>2GD-1958895</t>
  </si>
  <si>
    <t>CST-000823096</t>
  </si>
  <si>
    <t>KHOERUDIN</t>
  </si>
  <si>
    <t>RISMA YULIANTI</t>
  </si>
  <si>
    <t>JL PADASUKA</t>
  </si>
  <si>
    <t>KC-26-000273</t>
  </si>
  <si>
    <t>27/04/26 11.46</t>
  </si>
  <si>
    <t>DC01922</t>
  </si>
  <si>
    <t>2026043953</t>
  </si>
  <si>
    <t>04/05/26 11.15</t>
  </si>
  <si>
    <t>146ARI2603-1062</t>
  </si>
  <si>
    <t>MHKAA1BY9TJ012887</t>
  </si>
  <si>
    <t>1NR-G318738</t>
  </si>
  <si>
    <t>CST-000817884</t>
  </si>
  <si>
    <t>KIKI KOSWARA</t>
  </si>
  <si>
    <t>RANI RAHMAWATI S.Pd</t>
  </si>
  <si>
    <t>KP. BUNISARI</t>
  </si>
  <si>
    <t>KC-26-000136</t>
  </si>
  <si>
    <t>16/03/26 11.52</t>
  </si>
  <si>
    <t>B701782</t>
  </si>
  <si>
    <t>2026020749</t>
  </si>
  <si>
    <t>27/03/26 11.36</t>
  </si>
  <si>
    <t>146ARI2601-0648</t>
  </si>
  <si>
    <t>MHKA6GK6JSJ086696</t>
  </si>
  <si>
    <t>3NR-H970994</t>
  </si>
  <si>
    <t>CST-000807537</t>
  </si>
  <si>
    <t>KONI KUSTIKAH</t>
  </si>
  <si>
    <t>DUSUN CIJANGGEL</t>
  </si>
  <si>
    <t>KEC. TANJUNGSARI</t>
  </si>
  <si>
    <t>PT. INDOMOBIL FINANCE</t>
  </si>
  <si>
    <t>001-26.64460579</t>
  </si>
  <si>
    <t>KC-25-000976</t>
  </si>
  <si>
    <t>09/01/26 14.21</t>
  </si>
  <si>
    <t>LO00175</t>
  </si>
  <si>
    <t>19/01/26 14.10</t>
  </si>
  <si>
    <t>146ARI2604-0306</t>
  </si>
  <si>
    <t>MHFJB8EMXT1189591</t>
  </si>
  <si>
    <t>2GD-5954980</t>
  </si>
  <si>
    <t>CST-000813123</t>
  </si>
  <si>
    <t>KONKON WISASTERA WIDJAJA</t>
  </si>
  <si>
    <t>JL. IPONG NO. 8</t>
  </si>
  <si>
    <t>KC-25-001146</t>
  </si>
  <si>
    <t>12/02/26 11.24</t>
  </si>
  <si>
    <t>CC01473</t>
  </si>
  <si>
    <t>2026032828</t>
  </si>
  <si>
    <t>07/04/26 09.55</t>
  </si>
  <si>
    <t>146ARI2602-1285</t>
  </si>
  <si>
    <t>MHKA6GJ6JTJ222591</t>
  </si>
  <si>
    <t>3NR-H983942</t>
  </si>
  <si>
    <t>CST-000814717</t>
  </si>
  <si>
    <t>KUSMAYA</t>
  </si>
  <si>
    <t>JL. MERKURI TIMUR III-Z NO.22</t>
  </si>
  <si>
    <t>KC-26-000043</t>
  </si>
  <si>
    <t>24/02/26 12.02</t>
  </si>
  <si>
    <t>BO01759</t>
  </si>
  <si>
    <t>2026018993</t>
  </si>
  <si>
    <t>28/02/26 11.28</t>
  </si>
  <si>
    <t>146ARI2602-1188</t>
  </si>
  <si>
    <t>PELAJAR / MAHASISWA</t>
  </si>
  <si>
    <t>MHKA6GJ6JTJ222802</t>
  </si>
  <si>
    <t>3NR-H984263</t>
  </si>
  <si>
    <t>CST-000814727</t>
  </si>
  <si>
    <t>LOIS HASADUNGAN MANURUNG</t>
  </si>
  <si>
    <t>SUSI AMYA NAPITULU</t>
  </si>
  <si>
    <t>RSTA BLOK 57 LT. 4 NO. 4</t>
  </si>
  <si>
    <t>KC-26-000068</t>
  </si>
  <si>
    <t>24/02/26 12.34</t>
  </si>
  <si>
    <t>BO02111</t>
  </si>
  <si>
    <t>06/03/26 12.11</t>
  </si>
  <si>
    <t>146ARI2603-0275</t>
  </si>
  <si>
    <t>MHFABAAA1T0050071</t>
  </si>
  <si>
    <t>M20A-NF38263</t>
  </si>
  <si>
    <t>CST-000815972</t>
  </si>
  <si>
    <t>LUTHVY INDAKA</t>
  </si>
  <si>
    <t>KOMP. MGG JL. DACOTA 3 NO.5</t>
  </si>
  <si>
    <t>PT. BANK SYARIAH INDONESIA</t>
  </si>
  <si>
    <t>002-26.36649378</t>
  </si>
  <si>
    <t>KC-26-000082</t>
  </si>
  <si>
    <t>04/03/26 14.42</t>
  </si>
  <si>
    <t>BJ02443</t>
  </si>
  <si>
    <t>2026022373</t>
  </si>
  <si>
    <t>10/03/26 14.12</t>
  </si>
  <si>
    <t>146ARI2604-0311</t>
  </si>
  <si>
    <t>MHFAA8GS5T0936180</t>
  </si>
  <si>
    <t>1GD-5959193</t>
  </si>
  <si>
    <t>CST-000818915</t>
  </si>
  <si>
    <t>M RIZAL</t>
  </si>
  <si>
    <t>JL. DAYANA III DB 003</t>
  </si>
  <si>
    <t>KC-26-000129</t>
  </si>
  <si>
    <t>27/03/26 16.30</t>
  </si>
  <si>
    <t>CF00814</t>
  </si>
  <si>
    <t>2026033718</t>
  </si>
  <si>
    <t>07/04/26 08.54</t>
  </si>
  <si>
    <t>146ARI2602-1094</t>
  </si>
  <si>
    <t>JTFST22P5S0054443</t>
  </si>
  <si>
    <t>1KD-B228113</t>
  </si>
  <si>
    <t>CST-000812826</t>
  </si>
  <si>
    <t>M WARSO ADI</t>
  </si>
  <si>
    <t>NIKEN RAHMA SAWITRI</t>
  </si>
  <si>
    <t>KP.SADANG</t>
  </si>
  <si>
    <t>1703140801770001</t>
  </si>
  <si>
    <t>KC-25-001132</t>
  </si>
  <si>
    <t>11/02/26 08.31</t>
  </si>
  <si>
    <t>AP00419</t>
  </si>
  <si>
    <t>2026007126</t>
  </si>
  <si>
    <t>24/02/26 15.43</t>
  </si>
  <si>
    <t>146ARI2602-1186</t>
  </si>
  <si>
    <t>MHFJB8EM5T1186646</t>
  </si>
  <si>
    <t>2GD-5943883</t>
  </si>
  <si>
    <t>CST-000814032</t>
  </si>
  <si>
    <t>MANSUR SOLIHIN LUBIS</t>
  </si>
  <si>
    <t>SANTIKA</t>
  </si>
  <si>
    <t>KP RAWA TENGAH</t>
  </si>
  <si>
    <t>KC-26-000009</t>
  </si>
  <si>
    <t>19/02/26 11.11</t>
  </si>
  <si>
    <t>BC01947</t>
  </si>
  <si>
    <t>25/02/26 08.29</t>
  </si>
  <si>
    <t>146ARI2602-1354</t>
  </si>
  <si>
    <t>MR0BB3CDXT5818329</t>
  </si>
  <si>
    <t>2GD-J156065</t>
  </si>
  <si>
    <t>CST-000815182</t>
  </si>
  <si>
    <t>MARSONO</t>
  </si>
  <si>
    <t>7, Jl. Mampang Prapatan XI No.83-85</t>
  </si>
  <si>
    <t>KC-26-000060</t>
  </si>
  <si>
    <t>27/02/26 12.53</t>
  </si>
  <si>
    <t>BB01555</t>
  </si>
  <si>
    <t>2026022092</t>
  </si>
  <si>
    <t>03/03/26 12.18</t>
  </si>
  <si>
    <t>146ARI2601-0461</t>
  </si>
  <si>
    <t>MHFJB8EM9T1182440</t>
  </si>
  <si>
    <t>2GD-5919253</t>
  </si>
  <si>
    <t>CST-000807678</t>
  </si>
  <si>
    <t>MARYANTI UTAMI NINGSIH</t>
  </si>
  <si>
    <t>CIGENDING</t>
  </si>
  <si>
    <t>001-26.64460585</t>
  </si>
  <si>
    <t>KC-25-000990</t>
  </si>
  <si>
    <t>10/01/26 11.01</t>
  </si>
  <si>
    <t>AC00655</t>
  </si>
  <si>
    <t>2026002390</t>
  </si>
  <si>
    <t>15/01/26 10.50</t>
  </si>
  <si>
    <t>146ARI2603-0667</t>
  </si>
  <si>
    <t>MHFA71BY3T0002908</t>
  </si>
  <si>
    <t>2NR-Y664414</t>
  </si>
  <si>
    <t>CST-000815339</t>
  </si>
  <si>
    <t>MAWARDI</t>
  </si>
  <si>
    <t>KOMPLEK PASIR ENDAH I BLOK C67</t>
  </si>
  <si>
    <t>KC-26-000055</t>
  </si>
  <si>
    <t>28/02/26 12.08</t>
  </si>
  <si>
    <t>C801250</t>
  </si>
  <si>
    <t>2026027764</t>
  </si>
  <si>
    <t>16/03/26 15.42</t>
  </si>
  <si>
    <t>146ARI2602-0134</t>
  </si>
  <si>
    <t>MHKAB1BY0TJ012743</t>
  </si>
  <si>
    <t>2NR-4F28365</t>
  </si>
  <si>
    <t>CST-000807855</t>
  </si>
  <si>
    <t>MEGA RIZKI TANIA</t>
  </si>
  <si>
    <t>KP SUKAWANGI</t>
  </si>
  <si>
    <t>001-26.64462110</t>
  </si>
  <si>
    <t>KC-25-001001</t>
  </si>
  <si>
    <t>12/01/26 12.07</t>
  </si>
  <si>
    <t>A700272</t>
  </si>
  <si>
    <t>2026000687</t>
  </si>
  <si>
    <t>05/02/26 10.04</t>
  </si>
  <si>
    <t>146ARI2604-0939</t>
  </si>
  <si>
    <t>MHKAA1BA4TJ184490</t>
  </si>
  <si>
    <t>1KR-B029459</t>
  </si>
  <si>
    <t>CST-000822263</t>
  </si>
  <si>
    <t>MEILIANAWATI GUNAWAN</t>
  </si>
  <si>
    <t>GUNAWAN SUTAWIDJAJA</t>
  </si>
  <si>
    <t>TAMAN KOPO INDAH II BLOK I. A 1 NO 4</t>
  </si>
  <si>
    <t>KC-26-000204</t>
  </si>
  <si>
    <t>19/04/26</t>
  </si>
  <si>
    <t>20/04/26 17.32</t>
  </si>
  <si>
    <t>BZ00277</t>
  </si>
  <si>
    <t>2026014922</t>
  </si>
  <si>
    <t>24/04/26 17.10</t>
  </si>
  <si>
    <t>146ARI2601-1306</t>
  </si>
  <si>
    <t>MHKAA1BYXTJ012011</t>
  </si>
  <si>
    <t>1NR-G317323</t>
  </si>
  <si>
    <t>CST-000811194</t>
  </si>
  <si>
    <t>MOCHAMAD ARIEF HIDAYAT PUTRA</t>
  </si>
  <si>
    <t>KOTA ARJASARI BLOCK H</t>
  </si>
  <si>
    <t>KC-25-001103</t>
  </si>
  <si>
    <t>31/01/26 19.32</t>
  </si>
  <si>
    <t>A702775</t>
  </si>
  <si>
    <t>2026011240</t>
  </si>
  <si>
    <t>03/02/26 12.23</t>
  </si>
  <si>
    <t>146ARI2603-0699</t>
  </si>
  <si>
    <t>MHKAA1BY6TJ013429</t>
  </si>
  <si>
    <t>1NR-G320086</t>
  </si>
  <si>
    <t>CST-000816725</t>
  </si>
  <si>
    <t>MOH SOFIYULOH</t>
  </si>
  <si>
    <t>JL. BINONG KULON V</t>
  </si>
  <si>
    <t>KC-26-000092</t>
  </si>
  <si>
    <t>09/03/26 12.09</t>
  </si>
  <si>
    <t>C701289</t>
  </si>
  <si>
    <t>16/03/26 10.30</t>
  </si>
  <si>
    <t>146ARI2602-1374</t>
  </si>
  <si>
    <t>MHFJB8EM8T1187970</t>
  </si>
  <si>
    <t>2GD-5950098</t>
  </si>
  <si>
    <t>CST-000814709</t>
  </si>
  <si>
    <t>MUCHAMAD RIDWAN S.</t>
  </si>
  <si>
    <t>JL. CISEBE NO.21</t>
  </si>
  <si>
    <t>KC-26-000063</t>
  </si>
  <si>
    <t>24/02/26 11.28</t>
  </si>
  <si>
    <t>BC03413</t>
  </si>
  <si>
    <t>2026022552</t>
  </si>
  <si>
    <t>02/03/26 18.48</t>
  </si>
  <si>
    <t>146ARI2604-0681</t>
  </si>
  <si>
    <t>JTF2A9CPXT6012684</t>
  </si>
  <si>
    <t>1GD-9717748</t>
  </si>
  <si>
    <t>CST-000821061</t>
  </si>
  <si>
    <t>MUCHAMMAD TAUFIQURROHMAN</t>
  </si>
  <si>
    <t>ADINA ISLAMIYA SALSABILA BASTOMI</t>
  </si>
  <si>
    <t>KC-26-000182</t>
  </si>
  <si>
    <t>13/04/26 09.15</t>
  </si>
  <si>
    <t>CP00213</t>
  </si>
  <si>
    <t>16/04/26 11.29</t>
  </si>
  <si>
    <t>146ARI2603-0430</t>
  </si>
  <si>
    <t>MHKA6GK6JTJ089386</t>
  </si>
  <si>
    <t>3NR-H986822</t>
  </si>
  <si>
    <t>CST-000816791</t>
  </si>
  <si>
    <t>MUHAMAD RAMDAN</t>
  </si>
  <si>
    <t>KP.LEBAK BIRU</t>
  </si>
  <si>
    <t>KEC. CIPARAY</t>
  </si>
  <si>
    <t>001-26.64462995</t>
  </si>
  <si>
    <t>KC-26-000019</t>
  </si>
  <si>
    <t>09/03/26 14.31</t>
  </si>
  <si>
    <t>CO00951</t>
  </si>
  <si>
    <t>2026026130</t>
  </si>
  <si>
    <t>11/03/26 19.33</t>
  </si>
  <si>
    <t>146ARI2601-0855</t>
  </si>
  <si>
    <t>MHKAA1BY3TJ011539</t>
  </si>
  <si>
    <t>1NR-G316612</t>
  </si>
  <si>
    <t>CST-000808173</t>
  </si>
  <si>
    <t>MUHAMAD UJANG ADIYASA</t>
  </si>
  <si>
    <t>KP PULO BABULAK</t>
  </si>
  <si>
    <t>KEC. RAJEG</t>
  </si>
  <si>
    <t>001-26.64460819</t>
  </si>
  <si>
    <t>KC-25-000980</t>
  </si>
  <si>
    <t>14/01/26 11.15</t>
  </si>
  <si>
    <t>A701678</t>
  </si>
  <si>
    <t>2026006470</t>
  </si>
  <si>
    <t>28/01/26 10.00</t>
  </si>
  <si>
    <t>146ARI2604-0340</t>
  </si>
  <si>
    <t>MHKA6GJ6JTJ223870</t>
  </si>
  <si>
    <t>3NR-H986729</t>
  </si>
  <si>
    <t>CST-000818227</t>
  </si>
  <si>
    <t>MUHAMAD YUSUP</t>
  </si>
  <si>
    <t>KP SADANG</t>
  </si>
  <si>
    <t>KEC. BOJONGPICUNG</t>
  </si>
  <si>
    <t>KC-26-000119</t>
  </si>
  <si>
    <t>18/03/26 10.03</t>
  </si>
  <si>
    <t>CO00981</t>
  </si>
  <si>
    <t>2026026183</t>
  </si>
  <si>
    <t>10/04/26 12.43</t>
  </si>
  <si>
    <t>146ARI2604-1374</t>
  </si>
  <si>
    <t>MHKA6GJ6JTJ225491</t>
  </si>
  <si>
    <t>3NR-H991038</t>
  </si>
  <si>
    <t>CST-000823498</t>
  </si>
  <si>
    <t>YULI ASTUTI</t>
  </si>
  <si>
    <t>KP SANGHEULANG RT:001 RW:003 KEL.KARYALAKSANA KEC.IBUN KABUPATEN BANDUNG</t>
  </si>
  <si>
    <t>KEC. IBUN</t>
  </si>
  <si>
    <t>KC-26-000252</t>
  </si>
  <si>
    <t>29/04/26 16.05</t>
  </si>
  <si>
    <t>DO01223</t>
  </si>
  <si>
    <t>2026044173</t>
  </si>
  <si>
    <t>06/05/26 08.00</t>
  </si>
  <si>
    <t>146ARI2604-0597</t>
  </si>
  <si>
    <t>MHFJB8EM5T1188073</t>
  </si>
  <si>
    <t>2GD-5947923</t>
  </si>
  <si>
    <t>CST-000820705</t>
  </si>
  <si>
    <t>MUSTAROCHIM</t>
  </si>
  <si>
    <t>LEBAK BULUS</t>
  </si>
  <si>
    <t>KC-26-000166</t>
  </si>
  <si>
    <t>09/04/26 15.33</t>
  </si>
  <si>
    <t>BC03477</t>
  </si>
  <si>
    <t>2026023472</t>
  </si>
  <si>
    <t>15/04/26 15.08</t>
  </si>
  <si>
    <t>146ARI2604-0980</t>
  </si>
  <si>
    <t>MHKA6GJ6JTJ225850</t>
  </si>
  <si>
    <t>3NR-H991854</t>
  </si>
  <si>
    <t>CST-000821698</t>
  </si>
  <si>
    <t>N.LILIS KOMALASARI, AMA.PD</t>
  </si>
  <si>
    <t>DENI SAEPULLOH, SPD.I</t>
  </si>
  <si>
    <t>KP.CIPAKSA</t>
  </si>
  <si>
    <t>KEC. CISOMPET</t>
  </si>
  <si>
    <t>KC-26-000200</t>
  </si>
  <si>
    <t>16/04/26 14.00</t>
  </si>
  <si>
    <t>DO01915</t>
  </si>
  <si>
    <t>22/04/26 10.13</t>
  </si>
  <si>
    <t>146ARI2602-0731</t>
  </si>
  <si>
    <t>JTFST22P8S0054453</t>
  </si>
  <si>
    <t>1KD-B228153</t>
  </si>
  <si>
    <t>CST-000813630</t>
  </si>
  <si>
    <t>NAIFA KANIAWATI EPENDI</t>
  </si>
  <si>
    <t>GG CIKAWAO DLM III NO 74/36A</t>
  </si>
  <si>
    <t>001-26.64462156</t>
  </si>
  <si>
    <t>KC-26-000007</t>
  </si>
  <si>
    <t>16/02/26 14.32</t>
  </si>
  <si>
    <t>AP00389</t>
  </si>
  <si>
    <t>2026006532</t>
  </si>
  <si>
    <t>23/02/26 11.28</t>
  </si>
  <si>
    <t>146ARI2603-0321</t>
  </si>
  <si>
    <t>MHFJB8EMXT1186254</t>
  </si>
  <si>
    <t>2GD-5939696</t>
  </si>
  <si>
    <t>CST-000815775</t>
  </si>
  <si>
    <t>NANA SURYANA</t>
  </si>
  <si>
    <t>LIA RISMAYANTI</t>
  </si>
  <si>
    <t>BBK CIPARAY GG.MAMA APIN 1/50</t>
  </si>
  <si>
    <t>KEC. BOJONGLOA KALER</t>
  </si>
  <si>
    <t>002-26.36649380</t>
  </si>
  <si>
    <t>KC-26-000081</t>
  </si>
  <si>
    <t>03/03/26 16.12</t>
  </si>
  <si>
    <t>BC01726</t>
  </si>
  <si>
    <t>2026017527</t>
  </si>
  <si>
    <t>09/03/26 09.24</t>
  </si>
  <si>
    <t>146ARI2602-1234</t>
  </si>
  <si>
    <t>MHKA6GJ6JTJ222387</t>
  </si>
  <si>
    <t>3NR-H983330</t>
  </si>
  <si>
    <t>CST-000814939</t>
  </si>
  <si>
    <t>NANANG SUNTARA</t>
  </si>
  <si>
    <t>ATO HAMDAN</t>
  </si>
  <si>
    <t>KP. BABAKAN HARJA</t>
  </si>
  <si>
    <t>KC-26-000035</t>
  </si>
  <si>
    <t>25/02/26 16.37</t>
  </si>
  <si>
    <t>BO02860</t>
  </si>
  <si>
    <t>2026017895</t>
  </si>
  <si>
    <t>27/02/26 16.29</t>
  </si>
  <si>
    <t>146ARI2603-0627</t>
  </si>
  <si>
    <t>KDH223R-LEMDY-01</t>
  </si>
  <si>
    <t>Silver Mica Metallic</t>
  </si>
  <si>
    <t>JTFST22P0S0054494</t>
  </si>
  <si>
    <t>1KD-B228450</t>
  </si>
  <si>
    <t>CST-000815391</t>
  </si>
  <si>
    <t>NANANG SYAMSUDIN</t>
  </si>
  <si>
    <t>PT GAGAH RAJIN BERANI</t>
  </si>
  <si>
    <t>KAMPUNG RANCAKASIAT</t>
  </si>
  <si>
    <t>KC-26-000050</t>
  </si>
  <si>
    <t>28/02/26 16.07</t>
  </si>
  <si>
    <t>AP00506</t>
  </si>
  <si>
    <t>2026008580</t>
  </si>
  <si>
    <t>16/03/26 15.54</t>
  </si>
  <si>
    <t>146ARI2604-1130</t>
  </si>
  <si>
    <t>MHKA6GK6JTJ090421</t>
  </si>
  <si>
    <t>3NR-H992042</t>
  </si>
  <si>
    <t>KCMG042608</t>
  </si>
  <si>
    <t>ARDIAN PURNAMA</t>
  </si>
  <si>
    <t>CST-000822726</t>
  </si>
  <si>
    <t>NANDANG EFFENDI</t>
  </si>
  <si>
    <t>RITA FEBRIANI</t>
  </si>
  <si>
    <t>KP DAYAMEKAR</t>
  </si>
  <si>
    <t>KEC. CIKALONGWETAN</t>
  </si>
  <si>
    <t>KC-26-000192</t>
  </si>
  <si>
    <t>DO01976</t>
  </si>
  <si>
    <t>2026041336</t>
  </si>
  <si>
    <t>28/04/26 16.34</t>
  </si>
  <si>
    <t>146ARI2601-0453</t>
  </si>
  <si>
    <t>MHKAB1BY0TJ012757</t>
  </si>
  <si>
    <t>2NR-4F28459</t>
  </si>
  <si>
    <t>CST-000806976</t>
  </si>
  <si>
    <t>NENENG RESTI SUDRAJAT</t>
  </si>
  <si>
    <t>DENI HAMDANI AROM</t>
  </si>
  <si>
    <t>KP PASIRRARANGAN</t>
  </si>
  <si>
    <t>KEC. PASIRKUDA</t>
  </si>
  <si>
    <t>001-26.64460584</t>
  </si>
  <si>
    <t>3203325612870001</t>
  </si>
  <si>
    <t>KC-25-000958</t>
  </si>
  <si>
    <t>24/12/25</t>
  </si>
  <si>
    <t>06/01/26 08.35</t>
  </si>
  <si>
    <t>A700353</t>
  </si>
  <si>
    <t>13/01/26 08.50</t>
  </si>
  <si>
    <t>146ARI2604-1423</t>
  </si>
  <si>
    <t>MHFABAAA8T0051296</t>
  </si>
  <si>
    <t>M20A-NF51080</t>
  </si>
  <si>
    <t>CST-000823563</t>
  </si>
  <si>
    <t>NENG DIDAH, A.MD</t>
  </si>
  <si>
    <t>H NANA SUPRIATNA</t>
  </si>
  <si>
    <t>JL SUKALUYU</t>
  </si>
  <si>
    <t>KC-26-000218</t>
  </si>
  <si>
    <t>30/04/26 09.28</t>
  </si>
  <si>
    <t>CJ02564</t>
  </si>
  <si>
    <t>2026033348</t>
  </si>
  <si>
    <t>05/05/26 09.03</t>
  </si>
  <si>
    <t>146ARI2603-0541</t>
  </si>
  <si>
    <t>MHKAB1BY3TJ017726</t>
  </si>
  <si>
    <t>2NR-4F63132</t>
  </si>
  <si>
    <t>CST-000810248</t>
  </si>
  <si>
    <t>NIKE HARDIANTI</t>
  </si>
  <si>
    <t>JL CISARANTEN NO 59</t>
  </si>
  <si>
    <t>KC-25-001038</t>
  </si>
  <si>
    <t>29/01/26 11.54</t>
  </si>
  <si>
    <t>C700816</t>
  </si>
  <si>
    <t>2026028623</t>
  </si>
  <si>
    <t>13/03/26 19.20</t>
  </si>
  <si>
    <t>146ARI2602-0866</t>
  </si>
  <si>
    <t>MHKA6GJ6JTJ221876</t>
  </si>
  <si>
    <t>3NR-H981240</t>
  </si>
  <si>
    <t>CST-000813404</t>
  </si>
  <si>
    <t>NOVI AYUSTIANAH</t>
  </si>
  <si>
    <t>JL. CIBADUYUT RAYA NO. 183A</t>
  </si>
  <si>
    <t>001-26.64462161</t>
  </si>
  <si>
    <t>KC-26-000023</t>
  </si>
  <si>
    <t>13/02/26 18.04</t>
  </si>
  <si>
    <t>BO00947</t>
  </si>
  <si>
    <t>2026016716</t>
  </si>
  <si>
    <t>21/02/26 17.00</t>
  </si>
  <si>
    <t>146ARI2601-0263</t>
  </si>
  <si>
    <t>MHFAA8GS4S0933706</t>
  </si>
  <si>
    <t>1GD-J139240</t>
  </si>
  <si>
    <t>CST-000807082</t>
  </si>
  <si>
    <t>NOVI RATNA KOMALA</t>
  </si>
  <si>
    <t>JL. CIGADUNG PESANTREN NO. 160 E</t>
  </si>
  <si>
    <t>001-26.64460572</t>
  </si>
  <si>
    <t>KC-25-000948</t>
  </si>
  <si>
    <t>06/01/26 15.08</t>
  </si>
  <si>
    <t>LF01041</t>
  </si>
  <si>
    <t>2025114620</t>
  </si>
  <si>
    <t>12/01/26 10.51</t>
  </si>
  <si>
    <t>146ARI2603-1285</t>
  </si>
  <si>
    <t>MHKAB1BY0TJ018123</t>
  </si>
  <si>
    <t>2NR-4F65843</t>
  </si>
  <si>
    <t>CST-000819273</t>
  </si>
  <si>
    <t>NUR'AENI</t>
  </si>
  <si>
    <t>JL.PASIRLEUTIK</t>
  </si>
  <si>
    <t>KC-26-000174</t>
  </si>
  <si>
    <t>30/03/26 17.38</t>
  </si>
  <si>
    <t>C701510</t>
  </si>
  <si>
    <t>2026031264</t>
  </si>
  <si>
    <t>31/03/26 08.00</t>
  </si>
  <si>
    <t>146ARI2604-0699</t>
  </si>
  <si>
    <t>MHFJB8EM3T1190663</t>
  </si>
  <si>
    <t>2GD-5964663</t>
  </si>
  <si>
    <t>CST-000820886</t>
  </si>
  <si>
    <t>NURHUDA</t>
  </si>
  <si>
    <t>KOMPLEK USB YPKP JL AKUTANSI NO 1</t>
  </si>
  <si>
    <t>KEC. CIMENYAN</t>
  </si>
  <si>
    <t>KC-26-000162</t>
  </si>
  <si>
    <t>10/04/26 17.50</t>
  </si>
  <si>
    <t>DC00655</t>
  </si>
  <si>
    <t>2026038622</t>
  </si>
  <si>
    <t>16/04/26 14.49</t>
  </si>
  <si>
    <t>146ARI2604-0753</t>
  </si>
  <si>
    <t>MHKA6GJ6JTJ225467</t>
  </si>
  <si>
    <t>3NR-H990799</t>
  </si>
  <si>
    <t>CST-000821420</t>
  </si>
  <si>
    <t>NURJANAH</t>
  </si>
  <si>
    <t>KP SAYANG TENGAH</t>
  </si>
  <si>
    <t>KEC. CIKANCUNG</t>
  </si>
  <si>
    <t>KC-26-000212</t>
  </si>
  <si>
    <t>14/04/26 15.57</t>
  </si>
  <si>
    <t>DO01332</t>
  </si>
  <si>
    <t>2026038092</t>
  </si>
  <si>
    <t>21/04/26 14.28</t>
  </si>
  <si>
    <t>146ARI2604-0664</t>
  </si>
  <si>
    <t>MR0AD9AA2T0001810</t>
  </si>
  <si>
    <t>2GD-1946483</t>
  </si>
  <si>
    <t>CST-000820469</t>
  </si>
  <si>
    <t>PENDI RONI PUSLA</t>
  </si>
  <si>
    <t>ASRAMA YON ZIPUR 9</t>
  </si>
  <si>
    <t>KC-26-000156</t>
  </si>
  <si>
    <t>08/04/26 11.13</t>
  </si>
  <si>
    <t>CB01719</t>
  </si>
  <si>
    <t>2026031664</t>
  </si>
  <si>
    <t>16/04/26 10.12</t>
  </si>
  <si>
    <t>146ARI2601-0845</t>
  </si>
  <si>
    <t>MHKAB1BY7TJ012741</t>
  </si>
  <si>
    <t>2NR-4F27938</t>
  </si>
  <si>
    <t>CST-000809023</t>
  </si>
  <si>
    <t>PIPIT SUNDARI</t>
  </si>
  <si>
    <t>KP CICEURI</t>
  </si>
  <si>
    <t>KEC. RONGGA</t>
  </si>
  <si>
    <t>001-26.64460818</t>
  </si>
  <si>
    <t>KC-25-001028</t>
  </si>
  <si>
    <t>20/01/26 16.52</t>
  </si>
  <si>
    <t>A700256</t>
  </si>
  <si>
    <t>25/01/26 16.42</t>
  </si>
  <si>
    <t>146ARI2601-0610</t>
  </si>
  <si>
    <t>GUN125R-BTFLXD-30</t>
  </si>
  <si>
    <t>MR0DB8CB2S6009548</t>
  </si>
  <si>
    <t>2GD-D556611</t>
  </si>
  <si>
    <t>CST-000807857</t>
  </si>
  <si>
    <t>PT. BHINNEKA KREASI PRATAMA</t>
  </si>
  <si>
    <t>PT BHINNEKA KREASI PRATAMA</t>
  </si>
  <si>
    <t>ALAMANDA TOWER LT.2 UNIT H.1 HARKA OFFICE, JALAN TB. SIMATUPANG NOMOR 23-24</t>
  </si>
  <si>
    <t>001-26.64460595</t>
  </si>
  <si>
    <t>0283602159016000</t>
  </si>
  <si>
    <t>KC-25-000970</t>
  </si>
  <si>
    <t>12/01/26 11.59</t>
  </si>
  <si>
    <t>LB01509</t>
  </si>
  <si>
    <t>2025111254</t>
  </si>
  <si>
    <t>16/01/26 10.19</t>
  </si>
  <si>
    <t>146ARI2601-0858</t>
  </si>
  <si>
    <t>MR0ACAEAXT0241895</t>
  </si>
  <si>
    <t>2GD-D564151</t>
  </si>
  <si>
    <t>CST-000809413</t>
  </si>
  <si>
    <t>PT. ITER AERO INDUSTRI</t>
  </si>
  <si>
    <t>PT ITER AERO INDUSTRI NO 26</t>
  </si>
  <si>
    <t>JL PASIR PANJANG NO 126</t>
  </si>
  <si>
    <t>001-26.64460826</t>
  </si>
  <si>
    <t>KC-25-001032</t>
  </si>
  <si>
    <t>23/01/26 11.28</t>
  </si>
  <si>
    <t>AB01679</t>
  </si>
  <si>
    <t>2026007112</t>
  </si>
  <si>
    <t>24/01/26 11.16</t>
  </si>
  <si>
    <t>146ARI2603-0817</t>
  </si>
  <si>
    <t>MHFABAAA2T0049642</t>
  </si>
  <si>
    <t>M20A-NF32473</t>
  </si>
  <si>
    <t>CST-000817912</t>
  </si>
  <si>
    <t>PT. KARYACIPT.A PELANGI BANGSA</t>
  </si>
  <si>
    <t>PT KARYACIPTA PELANGI BANGSA</t>
  </si>
  <si>
    <t>JL CANDRA KIRANA NO 2 LANTAI IV</t>
  </si>
  <si>
    <t>0929963312422000</t>
  </si>
  <si>
    <t>KC-26-000108</t>
  </si>
  <si>
    <t>16/03/26 13.23</t>
  </si>
  <si>
    <t>BJ01505</t>
  </si>
  <si>
    <t>2026017851</t>
  </si>
  <si>
    <t>17/03/26 13.30</t>
  </si>
  <si>
    <t>146ARI2601-0931</t>
  </si>
  <si>
    <t>MHFABBAA0T0464271</t>
  </si>
  <si>
    <t>M20A-NF17787</t>
  </si>
  <si>
    <t>CST-000809451</t>
  </si>
  <si>
    <t>PT. KURNIA ARTHA PRATIWI</t>
  </si>
  <si>
    <t>PERSEROAN TERBATAS BADAN KURNIA ARTHA PRATIWI</t>
  </si>
  <si>
    <t>JALAN RAYA PAMUCATAN KM 22,5</t>
  </si>
  <si>
    <t>001-26.64460810</t>
  </si>
  <si>
    <t>KC-25-001040</t>
  </si>
  <si>
    <t>23/01/26 14.30</t>
  </si>
  <si>
    <t>AJ01978</t>
  </si>
  <si>
    <t>2026008155</t>
  </si>
  <si>
    <t>27/01/26 10.08</t>
  </si>
  <si>
    <t>146ARI2601-0934</t>
  </si>
  <si>
    <t>MHFABBAAXT0464049</t>
  </si>
  <si>
    <t>M20A-NF16482</t>
  </si>
  <si>
    <t>CST-000809450</t>
  </si>
  <si>
    <t>PT. KURNIA PARAMA ADHARA</t>
  </si>
  <si>
    <t>PERSEROAN TERBATAS BADAN KURNIA PARAMA ADHARA</t>
  </si>
  <si>
    <t>JL. RAYA PAMUCATAN KM 22,5</t>
  </si>
  <si>
    <t>001-26.64460823</t>
  </si>
  <si>
    <t>KC-25-001037</t>
  </si>
  <si>
    <t>23/01/26 14.41</t>
  </si>
  <si>
    <t>AJ01692</t>
  </si>
  <si>
    <t>2026007193</t>
  </si>
  <si>
    <t>27/01/26 09.59</t>
  </si>
  <si>
    <t>146ARI2601-0942</t>
  </si>
  <si>
    <t>MHFABBAAXT0464391</t>
  </si>
  <si>
    <t>M20A-NF18846</t>
  </si>
  <si>
    <t>CST-000809449</t>
  </si>
  <si>
    <t>001-26.64460824</t>
  </si>
  <si>
    <t>KC-25-001039</t>
  </si>
  <si>
    <t>23/01/26 14.36</t>
  </si>
  <si>
    <t>AJ02162</t>
  </si>
  <si>
    <t>2026008618</t>
  </si>
  <si>
    <t>28/01/26 09.49</t>
  </si>
  <si>
    <t>146ARI2604-1299</t>
  </si>
  <si>
    <t>MHKAB1BYXTJ019621</t>
  </si>
  <si>
    <t>2NR-4F83514</t>
  </si>
  <si>
    <t>CST-000822174</t>
  </si>
  <si>
    <t>PT. MAXIMILES TRANSPORTASI INDONESIA</t>
  </si>
  <si>
    <t>PT MAXIMILES TRANSPORTASI INDONESIA</t>
  </si>
  <si>
    <t>GEDEBAGE SELATAN NO 178</t>
  </si>
  <si>
    <t>KC-26-000217</t>
  </si>
  <si>
    <t>20/04/26 14.56</t>
  </si>
  <si>
    <t>D702614</t>
  </si>
  <si>
    <t>2026043369</t>
  </si>
  <si>
    <t>29/04/26 17.10</t>
  </si>
  <si>
    <t>146ARI2604-1190</t>
  </si>
  <si>
    <t>MHFJB8EM1T1191892</t>
  </si>
  <si>
    <t>2GD-1958601</t>
  </si>
  <si>
    <t>KC-26-000215</t>
  </si>
  <si>
    <t>20/04/26 14.52</t>
  </si>
  <si>
    <t>DC01976</t>
  </si>
  <si>
    <t>2026042768</t>
  </si>
  <si>
    <t>28/04/26 17.25</t>
  </si>
  <si>
    <t>146ARI2604-0530</t>
  </si>
  <si>
    <t>JTNACAAH3T8016488</t>
  </si>
  <si>
    <t>A25A-6492912</t>
  </si>
  <si>
    <t>CST-000802665</t>
  </si>
  <si>
    <t>PT. MULYA KENCANA METALINDO</t>
  </si>
  <si>
    <t>MULYA KENCANA METALINDO</t>
  </si>
  <si>
    <t>JALAN PASIR KOJA NO. 109B</t>
  </si>
  <si>
    <t>000.000.000.0-000.000</t>
  </si>
  <si>
    <t>03/12/25</t>
  </si>
  <si>
    <t>KC-25-000846</t>
  </si>
  <si>
    <t>05/12/25 16.39</t>
  </si>
  <si>
    <t>DN00124</t>
  </si>
  <si>
    <t>2026036053</t>
  </si>
  <si>
    <t>14/04/26 16.48</t>
  </si>
  <si>
    <t>146ARI2603-0241</t>
  </si>
  <si>
    <t>MHFA71BY8T0001978</t>
  </si>
  <si>
    <t>2NR-Y659211</t>
  </si>
  <si>
    <t>CST-000802501</t>
  </si>
  <si>
    <t>PT. POLARIS PRIMA CHEMICALS</t>
  </si>
  <si>
    <t>JALAN CARINGIN NO. 256</t>
  </si>
  <si>
    <t>001-26.64463216</t>
  </si>
  <si>
    <t>KC-25-000860</t>
  </si>
  <si>
    <t>04/12/25 18.01</t>
  </si>
  <si>
    <t>C800496</t>
  </si>
  <si>
    <t>2026024640</t>
  </si>
  <si>
    <t>06/03/26 11.00</t>
  </si>
  <si>
    <t>146ARI2602-0395</t>
  </si>
  <si>
    <t>MHKAB1BY0TJ013665</t>
  </si>
  <si>
    <t>2NR-4F32757</t>
  </si>
  <si>
    <t>CST-000811573</t>
  </si>
  <si>
    <t>PT. PROTEX INDONESIA</t>
  </si>
  <si>
    <t>PROTEX INDONESIA</t>
  </si>
  <si>
    <t>JALAN SADANG RAHAYU C-9</t>
  </si>
  <si>
    <t>001-26.64462126</t>
  </si>
  <si>
    <t>KC-25-001116</t>
  </si>
  <si>
    <t>04/02/26 09.34</t>
  </si>
  <si>
    <t>A703325</t>
  </si>
  <si>
    <t>15/02/26 09.27</t>
  </si>
  <si>
    <t>146ARI2601-1240</t>
  </si>
  <si>
    <t>GDH321R-EDFDYD-11</t>
  </si>
  <si>
    <t>JTF2A9CP7S6011572</t>
  </si>
  <si>
    <t>1GD-9662187</t>
  </si>
  <si>
    <t>CST-000808304</t>
  </si>
  <si>
    <t>PT. RAGAM JAVAYA DESTINASI</t>
  </si>
  <si>
    <t>PT RAGAM JAVAYA DESTINASI</t>
  </si>
  <si>
    <t>SOVEREIGN  ,PLAZA ,LANTAI 12 ,JL. TB SIMATUPANG NO 36</t>
  </si>
  <si>
    <t>001-26.64460844</t>
  </si>
  <si>
    <t>1000000005566549</t>
  </si>
  <si>
    <t>KC-25-000988</t>
  </si>
  <si>
    <t>15/01/26 09.46</t>
  </si>
  <si>
    <t>LP00217</t>
  </si>
  <si>
    <t>2026003806</t>
  </si>
  <si>
    <t>31/01/26 09.35</t>
  </si>
  <si>
    <t>146ARI2602-0474</t>
  </si>
  <si>
    <t>MHKAB1BY3TJ013580</t>
  </si>
  <si>
    <t>2NR-4F36263</t>
  </si>
  <si>
    <t>CST-000812296</t>
  </si>
  <si>
    <t>PT. SERLINDO PRIMA ENERGI</t>
  </si>
  <si>
    <t>PT SERLINDO PRIMA ENERGI</t>
  </si>
  <si>
    <t>JL. PINUS RAYA NO 135 PERUMAHAN PINUS REGENCY</t>
  </si>
  <si>
    <t>001-26.64462149</t>
  </si>
  <si>
    <t>KC-25-001134</t>
  </si>
  <si>
    <t>09/02/26 15.06</t>
  </si>
  <si>
    <t>A703218</t>
  </si>
  <si>
    <t>2026011429</t>
  </si>
  <si>
    <t>14/02/26 09.07</t>
  </si>
  <si>
    <t>146ARI2604-0521</t>
  </si>
  <si>
    <t>MHFABBAA9T0469386</t>
  </si>
  <si>
    <t>M20A-NF54453</t>
  </si>
  <si>
    <t>CST-000783953</t>
  </si>
  <si>
    <t>JL. GEMPOL NO. 52</t>
  </si>
  <si>
    <t>KC-26-000205</t>
  </si>
  <si>
    <t>13/04/26 14.35</t>
  </si>
  <si>
    <t>DJ00165</t>
  </si>
  <si>
    <t>2026035633</t>
  </si>
  <si>
    <t>17/04/26 12.54</t>
  </si>
  <si>
    <t>146ARI2602-0489</t>
  </si>
  <si>
    <t>MHKAA1BYXTJ012364</t>
  </si>
  <si>
    <t>1NR-G317878</t>
  </si>
  <si>
    <t>001-26.64462144</t>
  </si>
  <si>
    <t>KC-25-001077</t>
  </si>
  <si>
    <t>30/01/26 21.08</t>
  </si>
  <si>
    <t>B700697</t>
  </si>
  <si>
    <t>2026016040</t>
  </si>
  <si>
    <t>14/02/26 12.55</t>
  </si>
  <si>
    <t>146ARI2602-0490</t>
  </si>
  <si>
    <t>MHKAA1BYXTJ012347</t>
  </si>
  <si>
    <t>1NR-G317880</t>
  </si>
  <si>
    <t>CST-000773455</t>
  </si>
  <si>
    <t>001-26.64462145</t>
  </si>
  <si>
    <t>KC-25-001078</t>
  </si>
  <si>
    <t>30/01/26 16.27</t>
  </si>
  <si>
    <t>B700661</t>
  </si>
  <si>
    <t>14/02/26 14.27</t>
  </si>
  <si>
    <t>146ARI2602-0491</t>
  </si>
  <si>
    <t>MHKAA1BY9TJ012341</t>
  </si>
  <si>
    <t>1NR-G317956</t>
  </si>
  <si>
    <t>001-26.64462146</t>
  </si>
  <si>
    <t>KC-25-001080</t>
  </si>
  <si>
    <t>30/01/26 16.21</t>
  </si>
  <si>
    <t>B700719</t>
  </si>
  <si>
    <t>14/02/26 14.08</t>
  </si>
  <si>
    <t>146ARI2602-0492</t>
  </si>
  <si>
    <t>MHKAA1BY9TJ012355</t>
  </si>
  <si>
    <t>1NR-G317879</t>
  </si>
  <si>
    <t>001-26.64462147</t>
  </si>
  <si>
    <t>KC-25-001079</t>
  </si>
  <si>
    <t>30/01/26 16.25</t>
  </si>
  <si>
    <t>B700741</t>
  </si>
  <si>
    <t>14/02/26 14.16</t>
  </si>
  <si>
    <t>146ARI2602-0419</t>
  </si>
  <si>
    <t>MHKAA1BY6TJ012362</t>
  </si>
  <si>
    <t>1NR-G317942</t>
  </si>
  <si>
    <t>001-26.64462133</t>
  </si>
  <si>
    <t>KC-25-001068</t>
  </si>
  <si>
    <t>30/01/26 21.04</t>
  </si>
  <si>
    <t>B700776</t>
  </si>
  <si>
    <t>2026015987</t>
  </si>
  <si>
    <t>13/02/26 12.27</t>
  </si>
  <si>
    <t>146ARI2602-0421</t>
  </si>
  <si>
    <t>MHKAA1BY6TJ012359</t>
  </si>
  <si>
    <t>1NR-G317944</t>
  </si>
  <si>
    <t>001-26.64462134</t>
  </si>
  <si>
    <t>KC-25-001069</t>
  </si>
  <si>
    <t>30/01/26 20.52</t>
  </si>
  <si>
    <t>B700752</t>
  </si>
  <si>
    <t>2026015829</t>
  </si>
  <si>
    <t>13/02/26 16.42</t>
  </si>
  <si>
    <t>146ARI2602-0424</t>
  </si>
  <si>
    <t>MHKAA1BY5TJ012353</t>
  </si>
  <si>
    <t>1NR-G317844</t>
  </si>
  <si>
    <t>001-26.64462135</t>
  </si>
  <si>
    <t>KC-25-001070</t>
  </si>
  <si>
    <t>30/01/26 21.32</t>
  </si>
  <si>
    <t>B700733</t>
  </si>
  <si>
    <t>2026015416</t>
  </si>
  <si>
    <t>13/02/26 13.13</t>
  </si>
  <si>
    <t>146ARI2602-0427</t>
  </si>
  <si>
    <t>MHKAA1BY4TJ012344</t>
  </si>
  <si>
    <t>1NR-G317840</t>
  </si>
  <si>
    <t>001-26.64462136</t>
  </si>
  <si>
    <t>KC-25-001071</t>
  </si>
  <si>
    <t>30/01/26 21.26</t>
  </si>
  <si>
    <t>B700764</t>
  </si>
  <si>
    <t>13/02/26 12.35</t>
  </si>
  <si>
    <t>146ARI2602-0428</t>
  </si>
  <si>
    <t>MHKAA1BY3TJ012349</t>
  </si>
  <si>
    <t>1NR-G317819</t>
  </si>
  <si>
    <t>001-26.64462137</t>
  </si>
  <si>
    <t>KC-25-001072</t>
  </si>
  <si>
    <t>30/01/26 21.21</t>
  </si>
  <si>
    <t>B700677</t>
  </si>
  <si>
    <t>13/02/26 13.26</t>
  </si>
  <si>
    <t>146ARI2602-0429</t>
  </si>
  <si>
    <t>MHKAA1BY2TJ012343</t>
  </si>
  <si>
    <t>1NR-G317816</t>
  </si>
  <si>
    <t>001-26.64462138</t>
  </si>
  <si>
    <t>KC-25-001073</t>
  </si>
  <si>
    <t>30/01/26 21.15</t>
  </si>
  <si>
    <t>B700708</t>
  </si>
  <si>
    <t>13/02/26 14.32</t>
  </si>
  <si>
    <t>146ARI2602-0430</t>
  </si>
  <si>
    <t>MHKAA1BY1TJ012382</t>
  </si>
  <si>
    <t>1NR-G317821</t>
  </si>
  <si>
    <t>001-26.64462139</t>
  </si>
  <si>
    <t>KC-25-001074</t>
  </si>
  <si>
    <t>31/01/26 09.01</t>
  </si>
  <si>
    <t>B700755</t>
  </si>
  <si>
    <t>13/02/26 08.40</t>
  </si>
  <si>
    <t>146ARI2602-0431</t>
  </si>
  <si>
    <t>MHKAA1BY1TJ012365</t>
  </si>
  <si>
    <t>1NR-G317790</t>
  </si>
  <si>
    <t>001-26.64462140</t>
  </si>
  <si>
    <t>KC-25-001075</t>
  </si>
  <si>
    <t>30/01/26 21.12</t>
  </si>
  <si>
    <t>B700706</t>
  </si>
  <si>
    <t>13/02/26 16.34</t>
  </si>
  <si>
    <t>146ARI2602-0433</t>
  </si>
  <si>
    <t>MHKAA1BY5TJ012370</t>
  </si>
  <si>
    <t>1NR-G317845</t>
  </si>
  <si>
    <t>001-26.64462141</t>
  </si>
  <si>
    <t>KC-25-001076</t>
  </si>
  <si>
    <t>30/01/26 20.59</t>
  </si>
  <si>
    <t>B700770</t>
  </si>
  <si>
    <t>2026015823</t>
  </si>
  <si>
    <t>13/02/26 12.48</t>
  </si>
  <si>
    <t>146ARI2602-0435</t>
  </si>
  <si>
    <t>MHFAAAAA1T0048789</t>
  </si>
  <si>
    <t>M20A-NF29018</t>
  </si>
  <si>
    <t>001-26.64462142</t>
  </si>
  <si>
    <t>KC-25-001083</t>
  </si>
  <si>
    <t>30/01/26 15.16</t>
  </si>
  <si>
    <t>BJ00778</t>
  </si>
  <si>
    <t>13/02/26 14.49</t>
  </si>
  <si>
    <t>146ARI2602-0200</t>
  </si>
  <si>
    <t>MHKAA1BY5TJ012000</t>
  </si>
  <si>
    <t>1NR-G317300</t>
  </si>
  <si>
    <t>001-26.64462114</t>
  </si>
  <si>
    <t>KC-25-001082</t>
  </si>
  <si>
    <t>30/01/26 14.41</t>
  </si>
  <si>
    <t>A702748</t>
  </si>
  <si>
    <t>2026012025</t>
  </si>
  <si>
    <t>09/02/26 14.37</t>
  </si>
  <si>
    <t>146ARI2602-0399</t>
  </si>
  <si>
    <t>MHFAAAAA6T0048769</t>
  </si>
  <si>
    <t>M20A-NF28733</t>
  </si>
  <si>
    <t>001-26.64462127</t>
  </si>
  <si>
    <t>KC-25-001085</t>
  </si>
  <si>
    <t>30/01/26 15.01</t>
  </si>
  <si>
    <t>BJ00672</t>
  </si>
  <si>
    <t>2026014328</t>
  </si>
  <si>
    <t>12/02/26 15.05</t>
  </si>
  <si>
    <t>146ARI2602-0400</t>
  </si>
  <si>
    <t>MHFAAAAA9T0048801</t>
  </si>
  <si>
    <t>M20A-NF29970</t>
  </si>
  <si>
    <t>001-26.64462128</t>
  </si>
  <si>
    <t>KC-25-001084</t>
  </si>
  <si>
    <t>30/01/26 15.06</t>
  </si>
  <si>
    <t>BJ00777</t>
  </si>
  <si>
    <t>12/02/26 14.43</t>
  </si>
  <si>
    <t>146ARI2602-0401</t>
  </si>
  <si>
    <t>MHKAA1BY3TJ012335</t>
  </si>
  <si>
    <t>1NR-G317806</t>
  </si>
  <si>
    <t>001-26.64462129</t>
  </si>
  <si>
    <t>KC-25-001081</t>
  </si>
  <si>
    <t>30/01/26 15.24</t>
  </si>
  <si>
    <t>B700633</t>
  </si>
  <si>
    <t>2026014865</t>
  </si>
  <si>
    <t>12/02/26 14.32</t>
  </si>
  <si>
    <t>146ARI2602-0149</t>
  </si>
  <si>
    <t>MHKAA1BY7TJ012080</t>
  </si>
  <si>
    <t>1NR-G317493</t>
  </si>
  <si>
    <t>001-26.64462113</t>
  </si>
  <si>
    <t>KC-25-001087</t>
  </si>
  <si>
    <t>30/01/26 16.43</t>
  </si>
  <si>
    <t>B700070</t>
  </si>
  <si>
    <t>2026011765</t>
  </si>
  <si>
    <t>08/02/26 14.55</t>
  </si>
  <si>
    <t>146ARI2602-0174</t>
  </si>
  <si>
    <t>MHKAA1BY0TJ012096</t>
  </si>
  <si>
    <t>1NR-G317424</t>
  </si>
  <si>
    <t>001-26.64462109</t>
  </si>
  <si>
    <t>KC-25-001086</t>
  </si>
  <si>
    <t>30/01/26 16.33</t>
  </si>
  <si>
    <t>B700095</t>
  </si>
  <si>
    <t>2026012627</t>
  </si>
  <si>
    <t>08/02/26 14.59</t>
  </si>
  <si>
    <t>146ARI2601-1088</t>
  </si>
  <si>
    <t>MHKAB1BY2TJ014350</t>
  </si>
  <si>
    <t>2NR-4F39141</t>
  </si>
  <si>
    <t>001-26.64460828</t>
  </si>
  <si>
    <t>KC-25-001063</t>
  </si>
  <si>
    <t>27/01/26 14.41</t>
  </si>
  <si>
    <t>A702405</t>
  </si>
  <si>
    <t>2026009034</t>
  </si>
  <si>
    <t>30/01/26 17.02</t>
  </si>
  <si>
    <t>146ARI2601-0857</t>
  </si>
  <si>
    <t>MHKAB1BY2TJ013974</t>
  </si>
  <si>
    <t>2NR-4F35157</t>
  </si>
  <si>
    <t>CST-000809499</t>
  </si>
  <si>
    <t>JL. SOEKARNO HATTA NO. 352</t>
  </si>
  <si>
    <t>001-26.64460822</t>
  </si>
  <si>
    <t>KC-25-001046</t>
  </si>
  <si>
    <t>23/01/26 16.59</t>
  </si>
  <si>
    <t>A701712</t>
  </si>
  <si>
    <t>25/01/26 15.31</t>
  </si>
  <si>
    <t>146ARI2601-1284</t>
  </si>
  <si>
    <t>MHKAB1BY7TJ014022</t>
  </si>
  <si>
    <t>2NR-4F37313</t>
  </si>
  <si>
    <t>001-26.64460850</t>
  </si>
  <si>
    <t>KC-25-001101</t>
  </si>
  <si>
    <t>30/01/26 17.22</t>
  </si>
  <si>
    <t>A701790</t>
  </si>
  <si>
    <t>02/02/26 16.50</t>
  </si>
  <si>
    <t>146ARI2603-1337</t>
  </si>
  <si>
    <t>MHKAB1BY9TJ018282</t>
  </si>
  <si>
    <t>2NR-4F67784</t>
  </si>
  <si>
    <t>KC-26-000163</t>
  </si>
  <si>
    <t>26/03/26 16.21</t>
  </si>
  <si>
    <t>C701726</t>
  </si>
  <si>
    <t>2026032493</t>
  </si>
  <si>
    <t>01/04/26 14.43</t>
  </si>
  <si>
    <t>146ARI2601-1189</t>
  </si>
  <si>
    <t>MHFJB8EM0T1183766</t>
  </si>
  <si>
    <t>2GD-5928386</t>
  </si>
  <si>
    <t>CST-000809926</t>
  </si>
  <si>
    <t>PT. TEKNOLOGI REKAYASA KATUP</t>
  </si>
  <si>
    <t>PT TEKNOLOGI REKAYASA KATUP</t>
  </si>
  <si>
    <t>THE CITY RESORT RESIDENCES KOMP RUKAN MALIBU I NO.12 RT:006 RW: 014</t>
  </si>
  <si>
    <t>001-26.64460851</t>
  </si>
  <si>
    <t>0743746422034000</t>
  </si>
  <si>
    <t>KC-25-001062</t>
  </si>
  <si>
    <t>27/01/26 14.51</t>
  </si>
  <si>
    <t>AC02018</t>
  </si>
  <si>
    <t>2026008420</t>
  </si>
  <si>
    <t>02/02/26 08.00</t>
  </si>
  <si>
    <t>146ARI2603-0434</t>
  </si>
  <si>
    <t>MHFA71BY5T0001081</t>
  </si>
  <si>
    <t>2NR-Y649087</t>
  </si>
  <si>
    <t>CST-000816835</t>
  </si>
  <si>
    <t>PT. TOYOTA ASTRA FINANCIAL SERVICE</t>
  </si>
  <si>
    <t>JL. BKR NO.118</t>
  </si>
  <si>
    <t>001-26.64462997</t>
  </si>
  <si>
    <t>KC-26-000102</t>
  </si>
  <si>
    <t>09/03/26 16.26</t>
  </si>
  <si>
    <t>B800087</t>
  </si>
  <si>
    <t>2026021093</t>
  </si>
  <si>
    <t>11/03/26 16.41</t>
  </si>
  <si>
    <t>146ARI2602-0311</t>
  </si>
  <si>
    <t>MHKA6GJ6JTJ221350</t>
  </si>
  <si>
    <t>3NR-H980221</t>
  </si>
  <si>
    <t>CST-000811756</t>
  </si>
  <si>
    <t>PUJIONO</t>
  </si>
  <si>
    <t>KINKIN SEPTIANI</t>
  </si>
  <si>
    <t>BPR PUSKOPAD</t>
  </si>
  <si>
    <t>001-26.64462121</t>
  </si>
  <si>
    <t>KC-25-001089</t>
  </si>
  <si>
    <t>05/02/26 11.19</t>
  </si>
  <si>
    <t>BO00086</t>
  </si>
  <si>
    <t>2026012001</t>
  </si>
  <si>
    <t>10/02/26 16.36</t>
  </si>
  <si>
    <t>146ARI2602-1392</t>
  </si>
  <si>
    <t>MHFABBAA2T0466233</t>
  </si>
  <si>
    <t>M20A-NF33835</t>
  </si>
  <si>
    <t>CST-000815084</t>
  </si>
  <si>
    <t>R YONI WIYARTO</t>
  </si>
  <si>
    <t>R. YONI WIYARTO</t>
  </si>
  <si>
    <t>JL JURANG NO 616 A / 181</t>
  </si>
  <si>
    <t>KC-26-000030</t>
  </si>
  <si>
    <t>26/02/26 16.17</t>
  </si>
  <si>
    <t>BJ01458</t>
  </si>
  <si>
    <t>2026017931</t>
  </si>
  <si>
    <t>01/03/26 15.54</t>
  </si>
  <si>
    <t>146ARI2601-1295</t>
  </si>
  <si>
    <t>MHKA6GJ6JTJ221168</t>
  </si>
  <si>
    <t>3NR-H980104</t>
  </si>
  <si>
    <t>CST-000810243</t>
  </si>
  <si>
    <t>RAHMAT BUDIMAN</t>
  </si>
  <si>
    <t>JL.CINTA ASIH NO.237/122</t>
  </si>
  <si>
    <t>KC-25-000997</t>
  </si>
  <si>
    <t>29/01/26 11.33</t>
  </si>
  <si>
    <t>AO02410</t>
  </si>
  <si>
    <t>2026011029</t>
  </si>
  <si>
    <t>02/02/26 10.13</t>
  </si>
  <si>
    <t>146ARI2603-0850</t>
  </si>
  <si>
    <t>MHFAB8BF0T0038156</t>
  </si>
  <si>
    <t>2NR-Y640736</t>
  </si>
  <si>
    <t>CST-000817926</t>
  </si>
  <si>
    <t>RAHMAT NUGRAHA</t>
  </si>
  <si>
    <t>ANA MARLIANA</t>
  </si>
  <si>
    <t>KOMP. GRAHA INDAH KAV C4 JL. CILEMBER</t>
  </si>
  <si>
    <t>KC-26-000109</t>
  </si>
  <si>
    <t>16/03/26 13.56</t>
  </si>
  <si>
    <t>B100087</t>
  </si>
  <si>
    <t>2026013933</t>
  </si>
  <si>
    <t>18/03/26 13.23</t>
  </si>
  <si>
    <t>146ARI2602-1332</t>
  </si>
  <si>
    <t>MHKAB1BC8TJ079868</t>
  </si>
  <si>
    <t>WA-A235824</t>
  </si>
  <si>
    <t>CST-000814823</t>
  </si>
  <si>
    <t>RAKA MAHARDIKA</t>
  </si>
  <si>
    <t>RARAS LINTANG KIRANA</t>
  </si>
  <si>
    <t>JL JATI INDAH NO 5</t>
  </si>
  <si>
    <t>0000000000000099</t>
  </si>
  <si>
    <t>KC-26-000032</t>
  </si>
  <si>
    <t>25/02/26 08.42</t>
  </si>
  <si>
    <t>BR01048</t>
  </si>
  <si>
    <t>2026022294</t>
  </si>
  <si>
    <t>28/02/26 09.35</t>
  </si>
  <si>
    <t>146ARI2603-1061</t>
  </si>
  <si>
    <t>MHFABAAA0T0050725</t>
  </si>
  <si>
    <t>M20A-NF44657</t>
  </si>
  <si>
    <t>CST-000818723</t>
  </si>
  <si>
    <t>RAMDHANI AKBAR</t>
  </si>
  <si>
    <t>JL. TERUSAN SERSAN BAJURI NO. 39 KP. KANCAH</t>
  </si>
  <si>
    <t>KC-26-000094</t>
  </si>
  <si>
    <t>26/03/26 13.26</t>
  </si>
  <si>
    <t>CJ01204</t>
  </si>
  <si>
    <t>2026028412</t>
  </si>
  <si>
    <t>31/03/26 13.01</t>
  </si>
  <si>
    <t>146ARI2603-0631</t>
  </si>
  <si>
    <t>MHKAA1BY9TJ013392</t>
  </si>
  <si>
    <t>1NR-G320147</t>
  </si>
  <si>
    <t>CST-000813635</t>
  </si>
  <si>
    <t>RANA WAHYUDI</t>
  </si>
  <si>
    <t>JL DR SETIABUDHI GG BP DIRA</t>
  </si>
  <si>
    <t>KC-26-000028</t>
  </si>
  <si>
    <t>16/02/26 13.26</t>
  </si>
  <si>
    <t>C701132</t>
  </si>
  <si>
    <t>14/03/26 11.21</t>
  </si>
  <si>
    <t>146ARI2604-1045</t>
  </si>
  <si>
    <t>MHKE8FB3JTK120123</t>
  </si>
  <si>
    <t>2NR-4F80026</t>
  </si>
  <si>
    <t>CST-000822429</t>
  </si>
  <si>
    <t>RATNA DEWI NASUTION</t>
  </si>
  <si>
    <t>JL HAUR PANCUH III</t>
  </si>
  <si>
    <t>KC-26-000214</t>
  </si>
  <si>
    <t>22/04/26 09.00</t>
  </si>
  <si>
    <t>DG01501</t>
  </si>
  <si>
    <t>2026040798</t>
  </si>
  <si>
    <t>24/04/26 22.18</t>
  </si>
  <si>
    <t>146ARI2603-0444</t>
  </si>
  <si>
    <t>MHFA71BY0T0002543</t>
  </si>
  <si>
    <t>2NR-Y660948</t>
  </si>
  <si>
    <t>CST-000809203</t>
  </si>
  <si>
    <t>RAYENDRO</t>
  </si>
  <si>
    <t>VILLAR WIBAWA WICAKSANA</t>
  </si>
  <si>
    <t>GADING TUTUKA I BLOK L2 NO 36</t>
  </si>
  <si>
    <t>002-26.36649384</t>
  </si>
  <si>
    <t>KC-25-001000</t>
  </si>
  <si>
    <t>21/01/26 19.12</t>
  </si>
  <si>
    <t>C801008</t>
  </si>
  <si>
    <t>2026026670</t>
  </si>
  <si>
    <t>12/03/26 18.05</t>
  </si>
  <si>
    <t>146ARI2603-0239</t>
  </si>
  <si>
    <t>MHKA6GJ6JTJ223245</t>
  </si>
  <si>
    <t>3NR-H985593</t>
  </si>
  <si>
    <t>CST-000815778</t>
  </si>
  <si>
    <t>RESTU ADITIA</t>
  </si>
  <si>
    <t>KP ANCOL</t>
  </si>
  <si>
    <t>001-26.64463215</t>
  </si>
  <si>
    <t>KC-26-000042</t>
  </si>
  <si>
    <t>03/03/26 16.21</t>
  </si>
  <si>
    <t>BO02724</t>
  </si>
  <si>
    <t>2026023191</t>
  </si>
  <si>
    <t>06/03/26 10.30</t>
  </si>
  <si>
    <t>146ARI2601-0534</t>
  </si>
  <si>
    <t>MR0BB3CD8S5818067</t>
  </si>
  <si>
    <t>2GD-J144613</t>
  </si>
  <si>
    <t>CST-000805432</t>
  </si>
  <si>
    <t>REZA FEBRIAN</t>
  </si>
  <si>
    <t>REZA FEBRIAN, AMdPT</t>
  </si>
  <si>
    <t>SUWARNA MAS RESIDENCE KAV 29</t>
  </si>
  <si>
    <t>001-26.64460588</t>
  </si>
  <si>
    <t>3206191502910003</t>
  </si>
  <si>
    <t>KC-25-000930</t>
  </si>
  <si>
    <t>23/12/25 15.22</t>
  </si>
  <si>
    <t>AB01221</t>
  </si>
  <si>
    <t>2026000780</t>
  </si>
  <si>
    <t>14/01/26 16.29</t>
  </si>
  <si>
    <t>146ARI2604-1327</t>
  </si>
  <si>
    <t>MR0BB3CD6T5818912</t>
  </si>
  <si>
    <t>2GD-J166815</t>
  </si>
  <si>
    <t>CST-000820295</t>
  </si>
  <si>
    <t>RIANDA PRAKARSA</t>
  </si>
  <si>
    <t>KC-26-000111</t>
  </si>
  <si>
    <t>07/04/26 15.13</t>
  </si>
  <si>
    <t>DB02060</t>
  </si>
  <si>
    <t>2026044087</t>
  </si>
  <si>
    <t>29/04/26 10.29</t>
  </si>
  <si>
    <t>146ARI2604-0612</t>
  </si>
  <si>
    <t>JTF2A9CP3T6012865</t>
  </si>
  <si>
    <t>1GD-9724585</t>
  </si>
  <si>
    <t>CST-000820696</t>
  </si>
  <si>
    <t>RIDWAN MUHAMAD RIDWAN</t>
  </si>
  <si>
    <t>TATI MARYATI HJ</t>
  </si>
  <si>
    <t>KP WARUNG</t>
  </si>
  <si>
    <t>KEC. PASIRJAMBU</t>
  </si>
  <si>
    <t>KC-26-000206</t>
  </si>
  <si>
    <t>09/04/26 15.14</t>
  </si>
  <si>
    <t>CP00293</t>
  </si>
  <si>
    <t>2026029072</t>
  </si>
  <si>
    <t>16/04/26 13.43</t>
  </si>
  <si>
    <t>146ARI2601-0484</t>
  </si>
  <si>
    <t>MHKAA1BY1SJ010453</t>
  </si>
  <si>
    <t>1NR-G315239</t>
  </si>
  <si>
    <t>KCMG082531</t>
  </si>
  <si>
    <t>DENI SETIAWAN</t>
  </si>
  <si>
    <t>CST-000804351</t>
  </si>
  <si>
    <t>RIKI KUSTIMAN</t>
  </si>
  <si>
    <t>MANDA MAULUDIANTY</t>
  </si>
  <si>
    <t>CLUSTER CIPTA PESONA KAVLING 3</t>
  </si>
  <si>
    <t>001-26.64460581</t>
  </si>
  <si>
    <t>KC-25-000911</t>
  </si>
  <si>
    <t>16/12/25 12.23</t>
  </si>
  <si>
    <t>L704312</t>
  </si>
  <si>
    <t>2025113323</t>
  </si>
  <si>
    <t>14/01/26 10.35</t>
  </si>
  <si>
    <t>146ARI2601-0766</t>
  </si>
  <si>
    <t>MHKAA1BY9TJ010864</t>
  </si>
  <si>
    <t>1NR-G316058</t>
  </si>
  <si>
    <t>CST-000808852</t>
  </si>
  <si>
    <t>PT BAGJA KUSTI PERSADA</t>
  </si>
  <si>
    <t>001-26.64460815</t>
  </si>
  <si>
    <t>KC-25-000993</t>
  </si>
  <si>
    <t>19/01/26 18.48</t>
  </si>
  <si>
    <t>A700383</t>
  </si>
  <si>
    <t>2026002343</t>
  </si>
  <si>
    <t>146ARI2602-0202</t>
  </si>
  <si>
    <t>MHKE8FB3JTK117380</t>
  </si>
  <si>
    <t>2NR-4F38969</t>
  </si>
  <si>
    <t>CST-000811960</t>
  </si>
  <si>
    <t>RINA</t>
  </si>
  <si>
    <t>SUJIANTO</t>
  </si>
  <si>
    <t>KP  SUKAJADI</t>
  </si>
  <si>
    <t>KEC. CANGKUANG</t>
  </si>
  <si>
    <t>001-26.64462115</t>
  </si>
  <si>
    <t>KC-25-001131</t>
  </si>
  <si>
    <t>06/02/26 15.02</t>
  </si>
  <si>
    <t>AG01920</t>
  </si>
  <si>
    <t>12/02/26 14.52</t>
  </si>
  <si>
    <t>146ARI2601-0532</t>
  </si>
  <si>
    <t>MHFABAAA2T0047728</t>
  </si>
  <si>
    <t>M20A-NF08328</t>
  </si>
  <si>
    <t>CST-000807171</t>
  </si>
  <si>
    <t>RISDEVI RENTA RIA MANALU</t>
  </si>
  <si>
    <t>JL. CISITU LAMA III NO. 24-A/154C</t>
  </si>
  <si>
    <t>001-26.64460587</t>
  </si>
  <si>
    <t>KC-25-000972</t>
  </si>
  <si>
    <t>07/01/26 11.21</t>
  </si>
  <si>
    <t>AJ00574</t>
  </si>
  <si>
    <t>14/01/26 08.56</t>
  </si>
  <si>
    <t>146ARI2602-0467</t>
  </si>
  <si>
    <t>MHFJB8EM8T1185233</t>
  </si>
  <si>
    <t>2GD-5936961</t>
  </si>
  <si>
    <t>CST-000809334</t>
  </si>
  <si>
    <t>RIZKY MULYAWAN</t>
  </si>
  <si>
    <t>Jl ADIWINANGUN NO 20</t>
  </si>
  <si>
    <t>001-26.64462143</t>
  </si>
  <si>
    <t>KC-25-001035</t>
  </si>
  <si>
    <t>22/01/26 16.28</t>
  </si>
  <si>
    <t>BC00666</t>
  </si>
  <si>
    <t>2026013714</t>
  </si>
  <si>
    <t>16/02/26 16.00</t>
  </si>
  <si>
    <t>146ARI2603-1016</t>
  </si>
  <si>
    <t>MR0BB3CD6T6409142</t>
  </si>
  <si>
    <t>2GD-J159558</t>
  </si>
  <si>
    <t>CST-000816783</t>
  </si>
  <si>
    <t>RIZKY PRAMOEDYA FIRDAUS RAMADHAN</t>
  </si>
  <si>
    <t>TIARA AMELIA LESTARI</t>
  </si>
  <si>
    <t>Jl CIRIRIP NO.29</t>
  </si>
  <si>
    <t>KEC. CILILIN</t>
  </si>
  <si>
    <t>6133893454210000</t>
  </si>
  <si>
    <t>KC-26-000077</t>
  </si>
  <si>
    <t>09/03/26 14.18</t>
  </si>
  <si>
    <t>CB01264</t>
  </si>
  <si>
    <t>2026030659</t>
  </si>
  <si>
    <t>26/03/26 09.08</t>
  </si>
  <si>
    <t>146ARI2604-0985</t>
  </si>
  <si>
    <t>MHFA71BY0T0005250</t>
  </si>
  <si>
    <t>2NR-Y683397</t>
  </si>
  <si>
    <t>CST-000822328</t>
  </si>
  <si>
    <t>ROBY SEPTIADI, S.IK</t>
  </si>
  <si>
    <t>KLUSTER KIARQ RESIDENCR BLOK PIRUS NO. 1B KIARA SARIRAYA</t>
  </si>
  <si>
    <t>KC-26-000249</t>
  </si>
  <si>
    <t>21/04/26 12.40</t>
  </si>
  <si>
    <t>D800897</t>
  </si>
  <si>
    <t>2026038725</t>
  </si>
  <si>
    <t>29/04/26 11.04</t>
  </si>
  <si>
    <t>146ARI2604-0884</t>
  </si>
  <si>
    <t>MHFA71BY8T0004881</t>
  </si>
  <si>
    <t>2NR-Y681026</t>
  </si>
  <si>
    <t>CST-000822093</t>
  </si>
  <si>
    <t>S NAILUL MUNA ALJAMALIAH S.PD M.PD</t>
  </si>
  <si>
    <t>S NAILUL MUNA ALJAMALIAH, S.Pd, M.Pd</t>
  </si>
  <si>
    <t>JL RAYA BATUJAJAR NO 342</t>
  </si>
  <si>
    <t>KEC. BATUJAJAR</t>
  </si>
  <si>
    <t>KC-26-000211</t>
  </si>
  <si>
    <t>20/04/26 10.17</t>
  </si>
  <si>
    <t>D800582</t>
  </si>
  <si>
    <t>2026038488</t>
  </si>
  <si>
    <t>24/04/26 08.46</t>
  </si>
  <si>
    <t>146ARI2604-1285</t>
  </si>
  <si>
    <t>MHFAA8GS1T0937049</t>
  </si>
  <si>
    <t>1GD-5973188</t>
  </si>
  <si>
    <t>CST-000822431</t>
  </si>
  <si>
    <t>SALMAN RIADI</t>
  </si>
  <si>
    <t>KOMP GRIYA PESONA JL SARIWATES NO. 19</t>
  </si>
  <si>
    <t>KC-26-000213</t>
  </si>
  <si>
    <t>22/04/26 09.15</t>
  </si>
  <si>
    <t>DF00914</t>
  </si>
  <si>
    <t>2026043641</t>
  </si>
  <si>
    <t>28/04/26 19.22</t>
  </si>
  <si>
    <t>146ARI2603-0507</t>
  </si>
  <si>
    <t>MHKA6GJ6JTJ223074</t>
  </si>
  <si>
    <t>3NR-H985168</t>
  </si>
  <si>
    <t>CST-000814816</t>
  </si>
  <si>
    <t>SANSAN SAMSUROJI</t>
  </si>
  <si>
    <t>KP. KADUNENGGANG</t>
  </si>
  <si>
    <t>KEC. CIMAUNG</t>
  </si>
  <si>
    <t>002-26.36649388</t>
  </si>
  <si>
    <t>KC-26-000056</t>
  </si>
  <si>
    <t>24/02/26 19.06</t>
  </si>
  <si>
    <t>BO02534</t>
  </si>
  <si>
    <t>12/03/26 08.00</t>
  </si>
  <si>
    <t>146ARI2604-1430</t>
  </si>
  <si>
    <t>MHFJB8EM1T1192525</t>
  </si>
  <si>
    <t>2GD-1963826</t>
  </si>
  <si>
    <t>CST-000822173</t>
  </si>
  <si>
    <t>SAPTA SATRIA JAYA</t>
  </si>
  <si>
    <t>ADE TAUFIK ROHMAN</t>
  </si>
  <si>
    <t>KP CIPUTIH</t>
  </si>
  <si>
    <t>KC-26-000219</t>
  </si>
  <si>
    <t>20/04/26 14.46</t>
  </si>
  <si>
    <t>DC02660</t>
  </si>
  <si>
    <t>2026046154</t>
  </si>
  <si>
    <t>01/05/26 16.53</t>
  </si>
  <si>
    <t>146ARI2601-0374</t>
  </si>
  <si>
    <t>MHFAB8BF9S0035657</t>
  </si>
  <si>
    <t>2NR-Y600752</t>
  </si>
  <si>
    <t>CST-000807237</t>
  </si>
  <si>
    <t>SHIFA KHONITA TESLA BOSE</t>
  </si>
  <si>
    <t>DR. SHIFA KHONITA TESLA BOSE</t>
  </si>
  <si>
    <t>PERUM GARDEN VIEW BLOK D3 NO. 2</t>
  </si>
  <si>
    <t>KEC. JALANCAGAK</t>
  </si>
  <si>
    <t>001-26.64460578</t>
  </si>
  <si>
    <t>3213125306950001</t>
  </si>
  <si>
    <t>KC-25-000973</t>
  </si>
  <si>
    <t>07/01/26 15.15</t>
  </si>
  <si>
    <t>L100096</t>
  </si>
  <si>
    <t>2025105843</t>
  </si>
  <si>
    <t>16/01/26 15.08</t>
  </si>
  <si>
    <t>146ARI2601-0586</t>
  </si>
  <si>
    <t>JTFST22P7S0054055</t>
  </si>
  <si>
    <t>1KD-B225923</t>
  </si>
  <si>
    <t>CST-000807883</t>
  </si>
  <si>
    <t>SHOLAH IKBALUDIN</t>
  </si>
  <si>
    <t>Kp teladan</t>
  </si>
  <si>
    <t>KEC. CISARUA</t>
  </si>
  <si>
    <t>001-26.64460592</t>
  </si>
  <si>
    <t>KC-25-000989</t>
  </si>
  <si>
    <t>12/01/26 14.13</t>
  </si>
  <si>
    <t>AP00013</t>
  </si>
  <si>
    <t>2026000116</t>
  </si>
  <si>
    <t>14/01/26 15.31</t>
  </si>
  <si>
    <t>146ARI2601-1280</t>
  </si>
  <si>
    <t>MHFJB8EM1T1184392</t>
  </si>
  <si>
    <t>2GD-5932227</t>
  </si>
  <si>
    <t>CST-000810740</t>
  </si>
  <si>
    <t>SHOPA ARBI</t>
  </si>
  <si>
    <t>KP KUBANG MAREME</t>
  </si>
  <si>
    <t>001-26.64460848</t>
  </si>
  <si>
    <t>KC-25-001042</t>
  </si>
  <si>
    <t>30/01/26 18.18</t>
  </si>
  <si>
    <t>AC02561</t>
  </si>
  <si>
    <t>2026010314</t>
  </si>
  <si>
    <t>02/02/26 16.04</t>
  </si>
  <si>
    <t>146ARI2601-0731</t>
  </si>
  <si>
    <t>MHFAB8BF4S0035419</t>
  </si>
  <si>
    <t>2NR-Y597317</t>
  </si>
  <si>
    <t>CST-000808777</t>
  </si>
  <si>
    <t>SINTA LESTIAWATI</t>
  </si>
  <si>
    <t>JL. MEGA NO. 1 KOPO ELOK</t>
  </si>
  <si>
    <t>001-26.64460719</t>
  </si>
  <si>
    <t>KC-25-001020</t>
  </si>
  <si>
    <t>19/01/26 13.56</t>
  </si>
  <si>
    <t>L100035</t>
  </si>
  <si>
    <t>2025104357</t>
  </si>
  <si>
    <t>24/01/26 08.38</t>
  </si>
  <si>
    <t>146ARI2604-1372</t>
  </si>
  <si>
    <t>MHKE8FB3JTK120448</t>
  </si>
  <si>
    <t>2NR-4F84355</t>
  </si>
  <si>
    <t>CST-000819738</t>
  </si>
  <si>
    <t>SITI PATMAWATI</t>
  </si>
  <si>
    <t>KP PANGGUH</t>
  </si>
  <si>
    <t>KC-26-000134</t>
  </si>
  <si>
    <t>02/04/26 15.17</t>
  </si>
  <si>
    <t>DG02354</t>
  </si>
  <si>
    <t>2026044110</t>
  </si>
  <si>
    <t>30/04/26 15.09</t>
  </si>
  <si>
    <t>146ARI2603-0446</t>
  </si>
  <si>
    <t>MHFJB8EM6T1188681</t>
  </si>
  <si>
    <t>2GD-5950901</t>
  </si>
  <si>
    <t>CST-000812713</t>
  </si>
  <si>
    <t>SODIKIN</t>
  </si>
  <si>
    <t>002-26.36649385</t>
  </si>
  <si>
    <t>KC-25-001140</t>
  </si>
  <si>
    <t>10/02/26 15.07</t>
  </si>
  <si>
    <t>CC00625</t>
  </si>
  <si>
    <t>2026026923</t>
  </si>
  <si>
    <t>11/03/26 14.39</t>
  </si>
  <si>
    <t>146ARI2603-0582</t>
  </si>
  <si>
    <t>MHKA6GJ6JTJ224036</t>
  </si>
  <si>
    <t>3NR-H987233</t>
  </si>
  <si>
    <t>CST-000816839</t>
  </si>
  <si>
    <t>SOFYAN ADI SAPUTRO</t>
  </si>
  <si>
    <t>TERUSAN KOPO KM. 9</t>
  </si>
  <si>
    <t>KC-26-000089</t>
  </si>
  <si>
    <t>09/03/26 16.34</t>
  </si>
  <si>
    <t>CO01117</t>
  </si>
  <si>
    <t>2026027380</t>
  </si>
  <si>
    <t>14/03/26 13.07</t>
  </si>
  <si>
    <t>146ARI2602-0403</t>
  </si>
  <si>
    <t>MHKAA1BYXTJ011926</t>
  </si>
  <si>
    <t>1NR-G317201</t>
  </si>
  <si>
    <t>CST-000810946</t>
  </si>
  <si>
    <t>SRI MULYATI</t>
  </si>
  <si>
    <t>KMP. BABAKAN CEBEK</t>
  </si>
  <si>
    <t>001-26.64462117</t>
  </si>
  <si>
    <t>KC-25-001093</t>
  </si>
  <si>
    <t>31/01/26 12.48</t>
  </si>
  <si>
    <t>A702600</t>
  </si>
  <si>
    <t>2026010313</t>
  </si>
  <si>
    <t>13/02/26 11.43</t>
  </si>
  <si>
    <t>146ARI2602-1066</t>
  </si>
  <si>
    <t>A351RA-GBEFJ-GB</t>
  </si>
  <si>
    <t>MHKAB1BC5TJ079665</t>
  </si>
  <si>
    <t>WA-A234438</t>
  </si>
  <si>
    <t>CST-000813961</t>
  </si>
  <si>
    <t>SRI UTARI</t>
  </si>
  <si>
    <t>KOMP BOJONG MALAKA INDAH BLOK G 11 NO 35</t>
  </si>
  <si>
    <t>KC-26-000008</t>
  </si>
  <si>
    <t>18/02/26 16.33</t>
  </si>
  <si>
    <t>BR00855</t>
  </si>
  <si>
    <t>2026019146</t>
  </si>
  <si>
    <t>24/02/26 10.38</t>
  </si>
  <si>
    <t>146ARI2604-1026</t>
  </si>
  <si>
    <t>MHFABAAA5T0051840</t>
  </si>
  <si>
    <t>M20A-NF59687</t>
  </si>
  <si>
    <t>CST-000822435</t>
  </si>
  <si>
    <t>SRI WAHYUNI</t>
  </si>
  <si>
    <t>GILANG RAMADHAN</t>
  </si>
  <si>
    <t>JL. GUNTURSARI WETAN I NO. 15A</t>
  </si>
  <si>
    <t>KC-26-000232</t>
  </si>
  <si>
    <t>22/04/26 09.11</t>
  </si>
  <si>
    <t>DJ00980</t>
  </si>
  <si>
    <t>2026040231</t>
  </si>
  <si>
    <t>28/04/26 11.00</t>
  </si>
  <si>
    <t>146ARI2604-0798</t>
  </si>
  <si>
    <t>MHFA71BY0T0005278</t>
  </si>
  <si>
    <t>2NR-Y683470</t>
  </si>
  <si>
    <t>CST-000821790</t>
  </si>
  <si>
    <t>STEPHEN HIMAWAN</t>
  </si>
  <si>
    <t>FELICIA MANUELA HIMAWAN</t>
  </si>
  <si>
    <t>TAMAN HOLIS INDAH B-8 NO 81</t>
  </si>
  <si>
    <t>KEC. BANDUNG KULON</t>
  </si>
  <si>
    <t>KC-26-000191</t>
  </si>
  <si>
    <t>17/04/26 10.32</t>
  </si>
  <si>
    <t>D801000</t>
  </si>
  <si>
    <t>2026039706</t>
  </si>
  <si>
    <t>20/04/26 16.13</t>
  </si>
  <si>
    <t>146ARI2601-1282</t>
  </si>
  <si>
    <t>MHKAB1BC0TJ077726</t>
  </si>
  <si>
    <t>WA-A229125</t>
  </si>
  <si>
    <t>CST-000810246</t>
  </si>
  <si>
    <t>SUCIPTO</t>
  </si>
  <si>
    <t>KOMPLEK ANEKA BAKTI JL.SETIA BAKTI NO.9</t>
  </si>
  <si>
    <t>001-26.64460849</t>
  </si>
  <si>
    <t>KC-25-000992</t>
  </si>
  <si>
    <t>29/01/26 11.45</t>
  </si>
  <si>
    <t>AR00953</t>
  </si>
  <si>
    <t>2026008586</t>
  </si>
  <si>
    <t>31/01/26 16.53</t>
  </si>
  <si>
    <t>146ARI2601-0530</t>
  </si>
  <si>
    <t>MR0KB8CD0S1164895</t>
  </si>
  <si>
    <t>2GD-D555264</t>
  </si>
  <si>
    <t>CST-000807585</t>
  </si>
  <si>
    <t>SUGIANTO</t>
  </si>
  <si>
    <t>IR SUGIANTO</t>
  </si>
  <si>
    <t>GRAND TARUMA SENOPATI NO 20</t>
  </si>
  <si>
    <t>KEC. TELUKJAMBE TIMUR</t>
  </si>
  <si>
    <t>001-26.64460582</t>
  </si>
  <si>
    <t>KC-25-000950</t>
  </si>
  <si>
    <t>10/01/26 09.18</t>
  </si>
  <si>
    <t>LB01002</t>
  </si>
  <si>
    <t>2025109085</t>
  </si>
  <si>
    <t>15/01/26 14.59</t>
  </si>
  <si>
    <t>146ARI2604-0423</t>
  </si>
  <si>
    <t>MHKA6GJ6JTJ223984</t>
  </si>
  <si>
    <t>3NR-H986857</t>
  </si>
  <si>
    <t>CST-000820739</t>
  </si>
  <si>
    <t>SUPARTI</t>
  </si>
  <si>
    <t>POS KIDUL</t>
  </si>
  <si>
    <t>KC-26-000133</t>
  </si>
  <si>
    <t>09/04/26 16.50</t>
  </si>
  <si>
    <t>CO01061</t>
  </si>
  <si>
    <t>2026029632</t>
  </si>
  <si>
    <t>18/04/26 16.27</t>
  </si>
  <si>
    <t>146ARI2601-0727</t>
  </si>
  <si>
    <t>JTF2A9CP6S6011949</t>
  </si>
  <si>
    <t>1GD-9677847</t>
  </si>
  <si>
    <t>CST-000807689</t>
  </si>
  <si>
    <t>SUSANTI</t>
  </si>
  <si>
    <t>Kp pasarkemis</t>
  </si>
  <si>
    <t>001-26.64460717</t>
  </si>
  <si>
    <t>KC-25-000971</t>
  </si>
  <si>
    <t>10/01/26 11.17</t>
  </si>
  <si>
    <t>AP00053</t>
  </si>
  <si>
    <t>2026000128</t>
  </si>
  <si>
    <t>20/01/26 10.38</t>
  </si>
  <si>
    <t>146ARI2601-1278</t>
  </si>
  <si>
    <t>MHKAB1BY3TJ012753</t>
  </si>
  <si>
    <t>2NR-4F28277</t>
  </si>
  <si>
    <t>CST-000810567</t>
  </si>
  <si>
    <t>TARWIN</t>
  </si>
  <si>
    <t>GEGERKALONG GIRANG NO. 121</t>
  </si>
  <si>
    <t>001-26.64460847</t>
  </si>
  <si>
    <t>KC-25-001088</t>
  </si>
  <si>
    <t>30/01/26 13.18</t>
  </si>
  <si>
    <t>A700313</t>
  </si>
  <si>
    <t>02/02/26 10.51</t>
  </si>
  <si>
    <t>146ARI2604-0889</t>
  </si>
  <si>
    <t>MHKAB1BC4TJ083691</t>
  </si>
  <si>
    <t>WA-A245057</t>
  </si>
  <si>
    <t>CST-000821218</t>
  </si>
  <si>
    <t>TITA HERAWATI</t>
  </si>
  <si>
    <t>CUKANGBATU</t>
  </si>
  <si>
    <t>KEC. SAGULING</t>
  </si>
  <si>
    <t>KC-26-000207</t>
  </si>
  <si>
    <t>13/04/26 15.51</t>
  </si>
  <si>
    <t>DR00765</t>
  </si>
  <si>
    <t>2026040086</t>
  </si>
  <si>
    <t>21/04/26 14.19</t>
  </si>
  <si>
    <t>146ARI2601-1089</t>
  </si>
  <si>
    <t>MHFABBAA9S0450738</t>
  </si>
  <si>
    <t>M20A-NE13167</t>
  </si>
  <si>
    <t>CST-000809776</t>
  </si>
  <si>
    <t>TONDI NIKITA LUBIS</t>
  </si>
  <si>
    <t>THE PAKUBUWONO RESIDENCE C 15 F JL PAKUBUWONO VI NO 68</t>
  </si>
  <si>
    <t>001-26.64460829</t>
  </si>
  <si>
    <t>3276092508900001</t>
  </si>
  <si>
    <t>KC-25-001047</t>
  </si>
  <si>
    <t>26/01/26 15.41</t>
  </si>
  <si>
    <t>GJ01431</t>
  </si>
  <si>
    <t>31/01/26 08.39</t>
  </si>
  <si>
    <t>146ARI2604-0329</t>
  </si>
  <si>
    <t>MHFJB8EM1T1189737</t>
  </si>
  <si>
    <t>2GD-5956374</t>
  </si>
  <si>
    <t>CST-000797304</t>
  </si>
  <si>
    <t>TONI HARTONO</t>
  </si>
  <si>
    <t>GG PESANTREN NO 44 / 197 C</t>
  </si>
  <si>
    <t>30/10/25</t>
  </si>
  <si>
    <t>KC-26-000141</t>
  </si>
  <si>
    <t>28/03/26 12.01</t>
  </si>
  <si>
    <t>CC01667</t>
  </si>
  <si>
    <t>2026033295</t>
  </si>
  <si>
    <t>07/04/26 10.15</t>
  </si>
  <si>
    <t>146ARI2602-0457</t>
  </si>
  <si>
    <t>Ro</t>
  </si>
  <si>
    <t>MHFJB8EM1T1184957</t>
  </si>
  <si>
    <t>2GD-5935721</t>
  </si>
  <si>
    <t>CST-000812853</t>
  </si>
  <si>
    <t>NATASYA KUSUMA AYU SIWI</t>
  </si>
  <si>
    <t>GG PESANTREN NO.44/19U</t>
  </si>
  <si>
    <t>001-26.64462131</t>
  </si>
  <si>
    <t>KC-25-001149</t>
  </si>
  <si>
    <t>11/02/26 10.15</t>
  </si>
  <si>
    <t>BC00350</t>
  </si>
  <si>
    <t>14/02/26 13.59</t>
  </si>
  <si>
    <t>146ARI2603-0251</t>
  </si>
  <si>
    <t>MHFA71BYXT0001870</t>
  </si>
  <si>
    <t>2NR-Y658088</t>
  </si>
  <si>
    <t>CST-000808306</t>
  </si>
  <si>
    <t>KP PASAR KEMIS</t>
  </si>
  <si>
    <t>002-26.36649376</t>
  </si>
  <si>
    <t>KC-25-001014</t>
  </si>
  <si>
    <t>15/01/26 10.01</t>
  </si>
  <si>
    <t>C800263</t>
  </si>
  <si>
    <t>2026024027</t>
  </si>
  <si>
    <t>07/03/26 11.00</t>
  </si>
  <si>
    <t>146ARI2604-0938</t>
  </si>
  <si>
    <t>MHFJB8EM6T1191161</t>
  </si>
  <si>
    <t>2GD-1954116</t>
  </si>
  <si>
    <t>CST-000821354</t>
  </si>
  <si>
    <t>TONY</t>
  </si>
  <si>
    <t>JAM TJIONG BENG</t>
  </si>
  <si>
    <t>JL. CIGURIANG NO. 51</t>
  </si>
  <si>
    <t>KC-26-000139</t>
  </si>
  <si>
    <t>14/04/26 12.00</t>
  </si>
  <si>
    <t>DC01233</t>
  </si>
  <si>
    <t>2026040087</t>
  </si>
  <si>
    <t>21/04/26 13.00</t>
  </si>
  <si>
    <t>146ARI2601-0528</t>
  </si>
  <si>
    <t>MHFABAAA7T0047756</t>
  </si>
  <si>
    <t>M20A-NF07617</t>
  </si>
  <si>
    <t>CST-000807856</t>
  </si>
  <si>
    <t>TOYIB JAELANI</t>
  </si>
  <si>
    <t>YOSHIMI SALSABILA</t>
  </si>
  <si>
    <t>JL CIJAGRA</t>
  </si>
  <si>
    <t>001-26.64460580</t>
  </si>
  <si>
    <t>KC-25-001002</t>
  </si>
  <si>
    <t>12/01/26 12.01</t>
  </si>
  <si>
    <t>AJ00581</t>
  </si>
  <si>
    <t>15/01/26 09.54</t>
  </si>
  <si>
    <t>146ARI2601-0831</t>
  </si>
  <si>
    <t>MHKA6GK6JTJ087784</t>
  </si>
  <si>
    <t>3NR-H976813</t>
  </si>
  <si>
    <t>CST-000809009</t>
  </si>
  <si>
    <t>TRIA ARIANY LESMANAYANTI</t>
  </si>
  <si>
    <t>DUSUN SUKAMULYA</t>
  </si>
  <si>
    <t>KEC. BLANAKAN</t>
  </si>
  <si>
    <t>001-26.64460821</t>
  </si>
  <si>
    <t>KC-25-001026</t>
  </si>
  <si>
    <t>20/01/26 16.17</t>
  </si>
  <si>
    <t>AO00477</t>
  </si>
  <si>
    <t>2026001773</t>
  </si>
  <si>
    <t>26/01/26 09.24</t>
  </si>
  <si>
    <t>146ARI2601-0572</t>
  </si>
  <si>
    <t>MHKAB1BY6TJ013122</t>
  </si>
  <si>
    <t>2NR-4F28592</t>
  </si>
  <si>
    <t>KCMG102536</t>
  </si>
  <si>
    <t>INTAN OCTAVIA</t>
  </si>
  <si>
    <t>CST-000807853</t>
  </si>
  <si>
    <t>UCU KOMARUDIN</t>
  </si>
  <si>
    <t>PT EDU MEDIA DIGITAL</t>
  </si>
  <si>
    <t>KOMPLEK DUTA REGENCY CIHANJUANG A.21</t>
  </si>
  <si>
    <t>001-26.64460589</t>
  </si>
  <si>
    <t>KC-25-000965</t>
  </si>
  <si>
    <t>12/01/26 12.19</t>
  </si>
  <si>
    <t>A700991</t>
  </si>
  <si>
    <t>2026002999</t>
  </si>
  <si>
    <t>15/01/26 11.14</t>
  </si>
  <si>
    <t>146ARI2604-1331</t>
  </si>
  <si>
    <t>MHKA6GJ6JTJ226292</t>
  </si>
  <si>
    <t>3NR-H993042</t>
  </si>
  <si>
    <t>CST-000822993</t>
  </si>
  <si>
    <t>UDIN</t>
  </si>
  <si>
    <t>KP WAAS</t>
  </si>
  <si>
    <t>KC-26-000256</t>
  </si>
  <si>
    <t>25/04/26 15.01</t>
  </si>
  <si>
    <t>DO02657</t>
  </si>
  <si>
    <t>29/04/26 14.45</t>
  </si>
  <si>
    <t>146ARI2603-0432</t>
  </si>
  <si>
    <t>MHFABAAA1T0049826</t>
  </si>
  <si>
    <t>M20A-NF34383</t>
  </si>
  <si>
    <t>CST-000812783</t>
  </si>
  <si>
    <t>WANTI SAEFUDIN</t>
  </si>
  <si>
    <t>KOMP SARI BUNGA BAKUNG RESIDENCE A-113</t>
  </si>
  <si>
    <t>001-26.64462996</t>
  </si>
  <si>
    <t>KC-26-000001</t>
  </si>
  <si>
    <t>10/02/26 16.45</t>
  </si>
  <si>
    <t>BJ01914</t>
  </si>
  <si>
    <t>2026020754</t>
  </si>
  <si>
    <t>146ARI2603-0295</t>
  </si>
  <si>
    <t>MHFABAAA2T0050368</t>
  </si>
  <si>
    <t>M20A-NF40805</t>
  </si>
  <si>
    <t>CST-000814174</t>
  </si>
  <si>
    <t>WAWAN SETIAWAN</t>
  </si>
  <si>
    <t>CICADAS GG SIMPANG</t>
  </si>
  <si>
    <t>002-26.36649379</t>
  </si>
  <si>
    <t>KC-26-000034</t>
  </si>
  <si>
    <t>20/02/26 09.28</t>
  </si>
  <si>
    <t>CJ00421</t>
  </si>
  <si>
    <t>2026025209</t>
  </si>
  <si>
    <t>08/03/26 14.54</t>
  </si>
  <si>
    <t>146ARI2602-1089</t>
  </si>
  <si>
    <t>MHKAB1BY4TJ016178</t>
  </si>
  <si>
    <t>2NR-4F52562</t>
  </si>
  <si>
    <t>CST-000813362</t>
  </si>
  <si>
    <t>WAWAT</t>
  </si>
  <si>
    <t>DUSUN GALUMPIT</t>
  </si>
  <si>
    <t>KEC. CIKAUM</t>
  </si>
  <si>
    <t>KC-26-000004</t>
  </si>
  <si>
    <t>13/02/26 15.25</t>
  </si>
  <si>
    <t>B702824</t>
  </si>
  <si>
    <t>2026019220</t>
  </si>
  <si>
    <t>24/02/26 09.15</t>
  </si>
  <si>
    <t>146ARI2603-0558</t>
  </si>
  <si>
    <t>MHKA6GJ6JTJ223805</t>
  </si>
  <si>
    <t>3NR-H986722</t>
  </si>
  <si>
    <t>CST-000817177</t>
  </si>
  <si>
    <t>WIARSIH</t>
  </si>
  <si>
    <t>PRM GRIYA HUSADA IBNU SINA A9</t>
  </si>
  <si>
    <t>KEC. SUMEDANG UTARA</t>
  </si>
  <si>
    <t>KC-26-000095</t>
  </si>
  <si>
    <t>11/03/26 14.14</t>
  </si>
  <si>
    <t>CO00838</t>
  </si>
  <si>
    <t>14/03/26 15.40</t>
  </si>
  <si>
    <t>146ARI2602-0599</t>
  </si>
  <si>
    <t>MHFABBAA5T0465738</t>
  </si>
  <si>
    <t>M20A-NF29722</t>
  </si>
  <si>
    <t>CST-000812292</t>
  </si>
  <si>
    <t>WINDA SUSANNA</t>
  </si>
  <si>
    <t>KOMP SAUYUNAN IV/10</t>
  </si>
  <si>
    <t>001-26.64462152</t>
  </si>
  <si>
    <t>KC-25-001141</t>
  </si>
  <si>
    <t>12/02/26 16.15</t>
  </si>
  <si>
    <t>BJ00931</t>
  </si>
  <si>
    <t>2026015568</t>
  </si>
  <si>
    <t>25/02/26 09.43</t>
  </si>
  <si>
    <t>146ARI2601-0729</t>
  </si>
  <si>
    <t>MHKAB1BY3TJ013014</t>
  </si>
  <si>
    <t>2NR-4F31103</t>
  </si>
  <si>
    <t>CST-000808498</t>
  </si>
  <si>
    <t>YANTHY WIDYA SARI</t>
  </si>
  <si>
    <t>DASURI RACHMAT</t>
  </si>
  <si>
    <t>KOMP. PERMATA BIRUBLOK R-165</t>
  </si>
  <si>
    <t>001-26.64460718</t>
  </si>
  <si>
    <t>KC-25-001010</t>
  </si>
  <si>
    <t>17/01/26 12.04</t>
  </si>
  <si>
    <t>A700821</t>
  </si>
  <si>
    <t>2026002638</t>
  </si>
  <si>
    <t>22/01/26 16.20</t>
  </si>
  <si>
    <t>146ARI2604-1050</t>
  </si>
  <si>
    <t>MHKAB1BC6TJ083787</t>
  </si>
  <si>
    <t>WA-A245364</t>
  </si>
  <si>
    <t>CST-000817689</t>
  </si>
  <si>
    <t>YANTI TRIWAN MARETA</t>
  </si>
  <si>
    <t>ROBBY HIDAYAT</t>
  </si>
  <si>
    <t>JL. MARGALUYU NO 97B</t>
  </si>
  <si>
    <t>KC-26-000090</t>
  </si>
  <si>
    <t>14/03/26 12.24</t>
  </si>
  <si>
    <t>DR00836</t>
  </si>
  <si>
    <t>2026041405</t>
  </si>
  <si>
    <t>25/04/26 11.43</t>
  </si>
  <si>
    <t>146ARI2604-0404</t>
  </si>
  <si>
    <t>MHKAA1BY2TJ014092</t>
  </si>
  <si>
    <t>1NR-G322449</t>
  </si>
  <si>
    <t>CST-000820249</t>
  </si>
  <si>
    <t>YAYAT DURIAT, AMD</t>
  </si>
  <si>
    <t>KOMP. GBA 3 BLOK C.4 NO. 7</t>
  </si>
  <si>
    <t>KC-26-000177</t>
  </si>
  <si>
    <t>07/04/26 10.33</t>
  </si>
  <si>
    <t>D700773</t>
  </si>
  <si>
    <t>2026034758</t>
  </si>
  <si>
    <t>11/04/26 10.00</t>
  </si>
  <si>
    <t>146ARI2604-0933</t>
  </si>
  <si>
    <t>MHKE8FA3JTK143264</t>
  </si>
  <si>
    <t>2NR-4F75044</t>
  </si>
  <si>
    <t>CST-000822121</t>
  </si>
  <si>
    <t>YENI HARIPAH</t>
  </si>
  <si>
    <t>KP. LIO JAMBU</t>
  </si>
  <si>
    <t>KEC. LEUWISADENG</t>
  </si>
  <si>
    <t>KC-26-000244</t>
  </si>
  <si>
    <t>20/04/26 11.41</t>
  </si>
  <si>
    <t>DG00817</t>
  </si>
  <si>
    <t>2026036497</t>
  </si>
  <si>
    <t>23/04/26 10.15</t>
  </si>
  <si>
    <t>146ARI2603-1331</t>
  </si>
  <si>
    <t>MHKAA1BA0TJ184518</t>
  </si>
  <si>
    <t>1KR-B031023</t>
  </si>
  <si>
    <t>CST-000819414</t>
  </si>
  <si>
    <t>YERMIA RETNO ANDREAS</t>
  </si>
  <si>
    <t>DUSUN MARGAMULYA</t>
  </si>
  <si>
    <t>KEC. CIASEM</t>
  </si>
  <si>
    <t>3213095601930003</t>
  </si>
  <si>
    <t>KC-26-000106</t>
  </si>
  <si>
    <t>31/03/26 17.46</t>
  </si>
  <si>
    <t>BZ00338</t>
  </si>
  <si>
    <t>2026014561</t>
  </si>
  <si>
    <t>01/04/26 17.39</t>
  </si>
  <si>
    <t>146ARI2601-0396</t>
  </si>
  <si>
    <t>MHKAB1BA4TJ155391</t>
  </si>
  <si>
    <t>WA-A224971</t>
  </si>
  <si>
    <t>CST-000807265</t>
  </si>
  <si>
    <t>YESI KUSARI</t>
  </si>
  <si>
    <t>PARAMESWARI SANG GALUH KAMULYAN</t>
  </si>
  <si>
    <t>JL. CISITU LAMA NO. 10/160-B</t>
  </si>
  <si>
    <t>001-26.64460573</t>
  </si>
  <si>
    <t>KC-25-000975</t>
  </si>
  <si>
    <t>07/01/26 16.50</t>
  </si>
  <si>
    <t>AZ00061</t>
  </si>
  <si>
    <t>2026001062</t>
  </si>
  <si>
    <t>12/01/26 10.30</t>
  </si>
  <si>
    <t>146ARI2602-0414</t>
  </si>
  <si>
    <t>MHKAB1BAXTJ158862</t>
  </si>
  <si>
    <t>WA-A232634</t>
  </si>
  <si>
    <t>KCMG052521</t>
  </si>
  <si>
    <t>DIAN SITI NURWENDAH</t>
  </si>
  <si>
    <t>CST-000811029</t>
  </si>
  <si>
    <t>YOGA FEBRIANSYAH SETIAWAN</t>
  </si>
  <si>
    <t>PERUM GRAND PERMATA BLOK B NO 03</t>
  </si>
  <si>
    <t>KEC. SEPATAN</t>
  </si>
  <si>
    <t>001-26.64462132</t>
  </si>
  <si>
    <t>KC-25-001058</t>
  </si>
  <si>
    <t>31/01/26 14.52</t>
  </si>
  <si>
    <t>BZ00349</t>
  </si>
  <si>
    <t>13/02/26 14.38</t>
  </si>
  <si>
    <t>146ARI2603-1102</t>
  </si>
  <si>
    <t>MHKAB1BCXTJ081816</t>
  </si>
  <si>
    <t>WA-A239995</t>
  </si>
  <si>
    <t>CST-000817723</t>
  </si>
  <si>
    <t>YOGI SAID ALFANI</t>
  </si>
  <si>
    <t>JL. CYNTHIA RAYA BLOK CB 59</t>
  </si>
  <si>
    <t>KC-26-000130</t>
  </si>
  <si>
    <t>16/03/26 12.35</t>
  </si>
  <si>
    <t>CR00970</t>
  </si>
  <si>
    <t>2026030253</t>
  </si>
  <si>
    <t>28/03/26 09.25</t>
  </si>
  <si>
    <t>146ARI2602-0306</t>
  </si>
  <si>
    <t>MHKA6GJ6JTJ221694</t>
  </si>
  <si>
    <t>3NR-H981533</t>
  </si>
  <si>
    <t>CST-000812282</t>
  </si>
  <si>
    <t>YOHANES</t>
  </si>
  <si>
    <t>TANTI OKTAPIANTI</t>
  </si>
  <si>
    <t>RANDUKURUNG</t>
  </si>
  <si>
    <t>001-26.64462118</t>
  </si>
  <si>
    <t>KC-25-001135</t>
  </si>
  <si>
    <t>09/02/26 14.40</t>
  </si>
  <si>
    <t>BO00542</t>
  </si>
  <si>
    <t>2026014237</t>
  </si>
  <si>
    <t>13/02/26 14.12</t>
  </si>
  <si>
    <t>146ARI2601-0748</t>
  </si>
  <si>
    <t>MHKA6GJ6JTJ219431</t>
  </si>
  <si>
    <t>3NR-H976057</t>
  </si>
  <si>
    <t>KCMG012602</t>
  </si>
  <si>
    <t>HINGKI ZULFIKAR</t>
  </si>
  <si>
    <t>CST-000807840</t>
  </si>
  <si>
    <t>YOPI ALMA ARIJ</t>
  </si>
  <si>
    <t>CIKONENG</t>
  </si>
  <si>
    <t>001-26.64460812</t>
  </si>
  <si>
    <t>KC-25-000908</t>
  </si>
  <si>
    <t>12/01/26 11.05</t>
  </si>
  <si>
    <t>AO00024</t>
  </si>
  <si>
    <t>2026000290</t>
  </si>
  <si>
    <t>21/01/26 10.30</t>
  </si>
  <si>
    <t>146ARI2603-0472</t>
  </si>
  <si>
    <t>MHKAB1BA4TJ155665</t>
  </si>
  <si>
    <t>WA-A229118</t>
  </si>
  <si>
    <t>CST-000817058</t>
  </si>
  <si>
    <t>YUGO NUGROHO</t>
  </si>
  <si>
    <t>BUMI PANYILEUKAN K6 NO.19</t>
  </si>
  <si>
    <t>002-26.36649382</t>
  </si>
  <si>
    <t>KC-26-000118</t>
  </si>
  <si>
    <t>10/03/26 16.58</t>
  </si>
  <si>
    <t>AZ00787</t>
  </si>
  <si>
    <t>2026009275</t>
  </si>
  <si>
    <t>11/03/26 16.50</t>
  </si>
  <si>
    <t>146ARI2604-0729</t>
  </si>
  <si>
    <t>MHFJB8EM5T1190759</t>
  </si>
  <si>
    <t>2GD-5965402</t>
  </si>
  <si>
    <t>CST-000821571</t>
  </si>
  <si>
    <t>YULIANI</t>
  </si>
  <si>
    <t>KP BARU</t>
  </si>
  <si>
    <t>KC-26-000187</t>
  </si>
  <si>
    <t>DC00845</t>
  </si>
  <si>
    <t>18/04/26 16.14</t>
  </si>
  <si>
    <t>146ARI2601-1238</t>
  </si>
  <si>
    <t>MHKAB1BY1TJ014372</t>
  </si>
  <si>
    <t>2NR-4F39737</t>
  </si>
  <si>
    <t>CST-000810261</t>
  </si>
  <si>
    <t>YUNITA ASTUTI</t>
  </si>
  <si>
    <t>ACWALIANSYAH IQRAMUDDIN</t>
  </si>
  <si>
    <t>JL. LEUWI PANJANG GG. DATA BAKTI 11</t>
  </si>
  <si>
    <t>001-26.64460843</t>
  </si>
  <si>
    <t>KC-25-001050</t>
  </si>
  <si>
    <t>29/01/26 13.01</t>
  </si>
  <si>
    <t>A702383</t>
  </si>
  <si>
    <t>31/01/26 12.04</t>
  </si>
  <si>
    <t>146ARI2601-0482</t>
  </si>
  <si>
    <t>MHFJB8EM9T1181949</t>
  </si>
  <si>
    <t>2GD-1902010</t>
  </si>
  <si>
    <t>CST-000807638</t>
  </si>
  <si>
    <t>YUSEP BAIHAQI</t>
  </si>
  <si>
    <t>YUSUP BAIHAQI</t>
  </si>
  <si>
    <t>JL GUNUNG BENTANG</t>
  </si>
  <si>
    <t>001-26.64460586</t>
  </si>
  <si>
    <t>KC-25-000986</t>
  </si>
  <si>
    <t>10/01/26 08.50</t>
  </si>
  <si>
    <t>AC00180</t>
  </si>
  <si>
    <t>2026000279</t>
  </si>
  <si>
    <t>13/01/26 08.40</t>
  </si>
  <si>
    <t>146ARI2602-0870</t>
  </si>
  <si>
    <t>NYC200R-DHXHBD-07</t>
  </si>
  <si>
    <t>MHFAB8BF9S0034833</t>
  </si>
  <si>
    <t>2NR-Y588981</t>
  </si>
  <si>
    <t>CST-000813180</t>
  </si>
  <si>
    <t>ZACQY ISMAIL AL MAHDALY</t>
  </si>
  <si>
    <t>PERUMAHAN CIBUBUR COUNTRY CCAV 36</t>
  </si>
  <si>
    <t>001-26.64462163</t>
  </si>
  <si>
    <t>KC-26-000016</t>
  </si>
  <si>
    <t>12/02/26 14.46</t>
  </si>
  <si>
    <t>K100297</t>
  </si>
  <si>
    <t>2025100695</t>
  </si>
  <si>
    <t>20/11/25</t>
  </si>
  <si>
    <t>23/02/26 11.48</t>
  </si>
  <si>
    <t>146ARI2605-1133</t>
  </si>
  <si>
    <t>MHFA71BY2T0008876</t>
  </si>
  <si>
    <t>2NR-Y705404</t>
  </si>
  <si>
    <t>CST-000824264</t>
  </si>
  <si>
    <t>ABDUL ROHMAN</t>
  </si>
  <si>
    <t>KOMP. NVR BLOK C7</t>
  </si>
  <si>
    <t>KC-26-000228</t>
  </si>
  <si>
    <t>05/05/26 10.48</t>
  </si>
  <si>
    <t>E801690</t>
  </si>
  <si>
    <t>2026057161</t>
  </si>
  <si>
    <t>29/05/26 10.30</t>
  </si>
  <si>
    <t>146ARI2605-0845</t>
  </si>
  <si>
    <t>MHKA6GJ6JTJ227554</t>
  </si>
  <si>
    <t>3NR-H996334</t>
  </si>
  <si>
    <t>CST-000825775</t>
  </si>
  <si>
    <t>ADE HENDRA</t>
  </si>
  <si>
    <t>ETI</t>
  </si>
  <si>
    <t>Jl MANDALA KB KANGKUNG</t>
  </si>
  <si>
    <t>KC-26-000290</t>
  </si>
  <si>
    <t>16/05/26 09.30</t>
  </si>
  <si>
    <t>EO01602</t>
  </si>
  <si>
    <t>2026054822</t>
  </si>
  <si>
    <t>22/05/26 08.53</t>
  </si>
  <si>
    <t>146ARI2605-0887</t>
  </si>
  <si>
    <t>MHKAB1BY6TJ021348</t>
  </si>
  <si>
    <t>2NR-4F98615</t>
  </si>
  <si>
    <t>CST-000825307</t>
  </si>
  <si>
    <t>ADRYAN SYAHFRI PUTRA</t>
  </si>
  <si>
    <t>RANCA ECENG</t>
  </si>
  <si>
    <t>KC-26-000282</t>
  </si>
  <si>
    <t>12/05/26 13.19</t>
  </si>
  <si>
    <t>E702427</t>
  </si>
  <si>
    <t>2026055513</t>
  </si>
  <si>
    <t>22/05/26 09.34</t>
  </si>
  <si>
    <t>146ARI2605-1211</t>
  </si>
  <si>
    <t>MHKAB1BY0TJ021698</t>
  </si>
  <si>
    <t>2NR-4G00400</t>
  </si>
  <si>
    <t>KCMG042611</t>
  </si>
  <si>
    <t>NOVA KHAIRUNNISA SUMARNA</t>
  </si>
  <si>
    <t>CST-000827386</t>
  </si>
  <si>
    <t>AGUS PUADI ZAMZAM, SE</t>
  </si>
  <si>
    <t>LINA MARLINA, SE</t>
  </si>
  <si>
    <t>JL IBRAHIM ADJIE GG H KURDI NO 1</t>
  </si>
  <si>
    <t>KC-26-000337</t>
  </si>
  <si>
    <t>29/05/26 13.41</t>
  </si>
  <si>
    <t>E702988</t>
  </si>
  <si>
    <t>2026057620</t>
  </si>
  <si>
    <t>05/06/26 11.14</t>
  </si>
  <si>
    <t>146ARI2605-1171</t>
  </si>
  <si>
    <t>MHKA6GJ6JTJ228084</t>
  </si>
  <si>
    <t>3NR-H997663</t>
  </si>
  <si>
    <t>CST-000827280</t>
  </si>
  <si>
    <t>AGUS SAEPUDIN</t>
  </si>
  <si>
    <t>GUSTI RANIHATUTI</t>
  </si>
  <si>
    <t>KP.LEBAK SARI</t>
  </si>
  <si>
    <t>KC-26-000309</t>
  </si>
  <si>
    <t>28/05/26 14.37</t>
  </si>
  <si>
    <t>EO02464</t>
  </si>
  <si>
    <t>2026059143</t>
  </si>
  <si>
    <t>01/06/26 13.19</t>
  </si>
  <si>
    <t>146ARI2605-1209</t>
  </si>
  <si>
    <t>MHFJB8EM5T1195511</t>
  </si>
  <si>
    <t>2GD-1980269</t>
  </si>
  <si>
    <t>KCMG052613</t>
  </si>
  <si>
    <t>ARIEF PRABOWO</t>
  </si>
  <si>
    <t>CST-000827413</t>
  </si>
  <si>
    <t>AHMAD GHOZALI</t>
  </si>
  <si>
    <t>ERNA MARYANTI</t>
  </si>
  <si>
    <t>KP. PASIR HUNI</t>
  </si>
  <si>
    <t>KC-26-000351</t>
  </si>
  <si>
    <t>29/05/26 14.26</t>
  </si>
  <si>
    <t>EC02731</t>
  </si>
  <si>
    <t>2026057512</t>
  </si>
  <si>
    <t>07/06/26 14.05</t>
  </si>
  <si>
    <t>146ARI2605-0513</t>
  </si>
  <si>
    <t>MHFAB8BF4T0040248</t>
  </si>
  <si>
    <t>2NR-Y675300</t>
  </si>
  <si>
    <t>CST-000825148</t>
  </si>
  <si>
    <t>ALVIONITA TRIWIBAWA</t>
  </si>
  <si>
    <t>JL.BOJONG SOANG</t>
  </si>
  <si>
    <t>KC-26-000306</t>
  </si>
  <si>
    <t>11/05/26 13.52</t>
  </si>
  <si>
    <t>C100210</t>
  </si>
  <si>
    <t>2026048893</t>
  </si>
  <si>
    <t>16/05/26 13.11</t>
  </si>
  <si>
    <t>146ARI2605-1271</t>
  </si>
  <si>
    <t>MHKAA1BY1TJ017016</t>
  </si>
  <si>
    <t>1NR-G329043</t>
  </si>
  <si>
    <t>CST-000827134</t>
  </si>
  <si>
    <t>ANDI AMELIA</t>
  </si>
  <si>
    <t>JL BATU INDAH V NO 1</t>
  </si>
  <si>
    <t>KC-26-000348</t>
  </si>
  <si>
    <t>26/05/26 14.05</t>
  </si>
  <si>
    <t>E703097</t>
  </si>
  <si>
    <t>2026059836</t>
  </si>
  <si>
    <t>01/06/26 11.49</t>
  </si>
  <si>
    <t>146ARI2605-0832</t>
  </si>
  <si>
    <t xml:space="preserve">RO </t>
  </si>
  <si>
    <t>MHKA6GK6JTJ091094</t>
  </si>
  <si>
    <t>3NR-H995311</t>
  </si>
  <si>
    <t>CST-000826105</t>
  </si>
  <si>
    <t>ASEP SOLIHIN</t>
  </si>
  <si>
    <t>JL.PASIRLUYU SELT NO 422/205A</t>
  </si>
  <si>
    <t>KC-26-000326</t>
  </si>
  <si>
    <t>18/05/26 16.38</t>
  </si>
  <si>
    <t>EO00866</t>
  </si>
  <si>
    <t>2026050722</t>
  </si>
  <si>
    <t>24/05/26 09.39</t>
  </si>
  <si>
    <t>146ARI2605-0762</t>
  </si>
  <si>
    <t>MHKA6GJ6JTJ227320</t>
  </si>
  <si>
    <t>3NR-H995839</t>
  </si>
  <si>
    <t>CST-000824763</t>
  </si>
  <si>
    <t>ATANG PERMANA</t>
  </si>
  <si>
    <t>RISMA YANTI</t>
  </si>
  <si>
    <t>KP CILAKI</t>
  </si>
  <si>
    <t>KEC. PANGALENGAN</t>
  </si>
  <si>
    <t>3204155805900003</t>
  </si>
  <si>
    <t>KC-26-000270</t>
  </si>
  <si>
    <t>08/05/26 09.43</t>
  </si>
  <si>
    <t>EO01237</t>
  </si>
  <si>
    <t>2026053159</t>
  </si>
  <si>
    <t>22/05/26 16.01</t>
  </si>
  <si>
    <t>146ARI2605-1054</t>
  </si>
  <si>
    <t>MHKA6GJ6JTJ227745</t>
  </si>
  <si>
    <t>3NR-H996850</t>
  </si>
  <si>
    <t>CST-000826537</t>
  </si>
  <si>
    <t>CASRIPAH</t>
  </si>
  <si>
    <t>PERUMAHAN MUTIARA CITRA RESIDENCE 2 JL GUNUNG CIREMAY BLOK A8 NO 2 KP.BLOKANG</t>
  </si>
  <si>
    <t>KEC. SUKATANI</t>
  </si>
  <si>
    <t>KC-26-000300</t>
  </si>
  <si>
    <t>21/05/26 14.58</t>
  </si>
  <si>
    <t>EO01894</t>
  </si>
  <si>
    <t>2026056225</t>
  </si>
  <si>
    <t>27/05/26 14.42</t>
  </si>
  <si>
    <t>146ARI2605-1075</t>
  </si>
  <si>
    <t>MHKE8FA3JTK144706</t>
  </si>
  <si>
    <t>2NR-4F93646</t>
  </si>
  <si>
    <t>CST-000827100</t>
  </si>
  <si>
    <t>CENDRAWATI</t>
  </si>
  <si>
    <t>JL.MUKODAR SELATAN</t>
  </si>
  <si>
    <t>KC-26-000338</t>
  </si>
  <si>
    <t>26/05/26 12.19</t>
  </si>
  <si>
    <t>EG00863</t>
  </si>
  <si>
    <t>2026051766</t>
  </si>
  <si>
    <t>28/05/26 12.02</t>
  </si>
  <si>
    <t>146ARI2605-0764</t>
  </si>
  <si>
    <t>MHFABAAA3T0051111</t>
  </si>
  <si>
    <t>M20A-NF52767</t>
  </si>
  <si>
    <t>CST-000825664</t>
  </si>
  <si>
    <t>CHANDRA</t>
  </si>
  <si>
    <t>SISILIA</t>
  </si>
  <si>
    <t>JEND SUDIRMAN NO 641</t>
  </si>
  <si>
    <t>KC-26-000253</t>
  </si>
  <si>
    <t>15/05/26 13.26</t>
  </si>
  <si>
    <t>CJ01894</t>
  </si>
  <si>
    <t>2026031724</t>
  </si>
  <si>
    <t>20/05/26 16.15</t>
  </si>
  <si>
    <t>146ARI2605-1138</t>
  </si>
  <si>
    <t>MHKA6GJ6JTJ227993</t>
  </si>
  <si>
    <t>3NR-H997343</t>
  </si>
  <si>
    <t>CST-000826970</t>
  </si>
  <si>
    <t>CITA KURNIA KURNIA</t>
  </si>
  <si>
    <t>CITA KURNIA</t>
  </si>
  <si>
    <t>JLN KEBON KOPI 1 NO 132B LPK PASUNDAN</t>
  </si>
  <si>
    <t>KC-26-000264</t>
  </si>
  <si>
    <t>25/05/26 14.45</t>
  </si>
  <si>
    <t>EO02291</t>
  </si>
  <si>
    <t>2026058380</t>
  </si>
  <si>
    <t>30/05/26 11.56</t>
  </si>
  <si>
    <t>146ARI2605-0863</t>
  </si>
  <si>
    <t>MHKAA1BY3TJ016692</t>
  </si>
  <si>
    <t>1NR-G328426</t>
  </si>
  <si>
    <t>CST-000825728</t>
  </si>
  <si>
    <t>D SETIAWAN</t>
  </si>
  <si>
    <t>DELLA NURAZIZA PUTRI</t>
  </si>
  <si>
    <t>KP. DAWUAN ONCOM</t>
  </si>
  <si>
    <t>KEC. DAWUAN</t>
  </si>
  <si>
    <t>KC-26-000324</t>
  </si>
  <si>
    <t>15/05/26 16.36</t>
  </si>
  <si>
    <t>E702200</t>
  </si>
  <si>
    <t>2026054946</t>
  </si>
  <si>
    <t>22/05/26 13.46</t>
  </si>
  <si>
    <t>146ARI2605-1135</t>
  </si>
  <si>
    <t>MHKA6GJ6JTJ227830</t>
  </si>
  <si>
    <t>3NR-H996920</t>
  </si>
  <si>
    <t>CST-000827293</t>
  </si>
  <si>
    <t>DADANG SETIAWAN</t>
  </si>
  <si>
    <t>ENUR SAIDAH</t>
  </si>
  <si>
    <t>KP. PAMUCATAN</t>
  </si>
  <si>
    <t>KEC. NAGREG</t>
  </si>
  <si>
    <t>KC-26-000333</t>
  </si>
  <si>
    <t>28/05/26 15.45</t>
  </si>
  <si>
    <t>EO02099</t>
  </si>
  <si>
    <t>2026057026</t>
  </si>
  <si>
    <t>03/06/26 15.32</t>
  </si>
  <si>
    <t>146ARI2605-0774</t>
  </si>
  <si>
    <t>MHKAB1BAXTJ167965</t>
  </si>
  <si>
    <t>WA-A249066</t>
  </si>
  <si>
    <t>CST-000825903</t>
  </si>
  <si>
    <t>DADANG SURYANA</t>
  </si>
  <si>
    <t>DHELISTA RAYKA PUTRI</t>
  </si>
  <si>
    <t>JL.CIPEDES TENGAH</t>
  </si>
  <si>
    <t>KC-26-000299</t>
  </si>
  <si>
    <t>18/05/26 08.45</t>
  </si>
  <si>
    <t>EZ00258</t>
  </si>
  <si>
    <t>2026051760</t>
  </si>
  <si>
    <t>19/05/26 19.15</t>
  </si>
  <si>
    <t>146ARI2605-0557</t>
  </si>
  <si>
    <t>MHKE8FA3JTK144568</t>
  </si>
  <si>
    <t>2NR-4F92339</t>
  </si>
  <si>
    <t>CST-000825270</t>
  </si>
  <si>
    <t>DARMAWAN</t>
  </si>
  <si>
    <t>KP HAREMPOY</t>
  </si>
  <si>
    <t>KEC. CURUGKEMBAR</t>
  </si>
  <si>
    <t>KC-26-000286</t>
  </si>
  <si>
    <t>12/05/26 10.26</t>
  </si>
  <si>
    <t>EG00690</t>
  </si>
  <si>
    <t>2026050709</t>
  </si>
  <si>
    <t>19/05/26 09.42</t>
  </si>
  <si>
    <t>146ARI2605-0511</t>
  </si>
  <si>
    <t>MHFA71BY7T0005875</t>
  </si>
  <si>
    <t>2NR-Y686946</t>
  </si>
  <si>
    <t>CST-000825177</t>
  </si>
  <si>
    <t>DEWI NURUL AMANAH</t>
  </si>
  <si>
    <t>RICO UTAMA</t>
  </si>
  <si>
    <t>JL. PAGARSIH GG ONONG NO.193/89</t>
  </si>
  <si>
    <t>KC-26-000310</t>
  </si>
  <si>
    <t>11/05/26 14.55</t>
  </si>
  <si>
    <t>D801657</t>
  </si>
  <si>
    <t>2026043580</t>
  </si>
  <si>
    <t>14/05/26 08.44</t>
  </si>
  <si>
    <t>146ARI2605-0913</t>
  </si>
  <si>
    <t>MHKE8FA3JTK145074</t>
  </si>
  <si>
    <t>2NR-4F97537</t>
  </si>
  <si>
    <t>CST-000825467</t>
  </si>
  <si>
    <t>DIDI SUTENDI</t>
  </si>
  <si>
    <t>KP. LEBAK SAAT</t>
  </si>
  <si>
    <t>KEC. CIRACAP</t>
  </si>
  <si>
    <t>KC-26-000311</t>
  </si>
  <si>
    <t>13/05/26 12.11</t>
  </si>
  <si>
    <t>EG01533</t>
  </si>
  <si>
    <t>2026055587</t>
  </si>
  <si>
    <t>23/05/26 10.34</t>
  </si>
  <si>
    <t>146ARI2605-1265</t>
  </si>
  <si>
    <t>MHKA6GJ6JTJ228146</t>
  </si>
  <si>
    <t>3NR-H997995</t>
  </si>
  <si>
    <t>CST-000825469</t>
  </si>
  <si>
    <t>DINI TARDINI</t>
  </si>
  <si>
    <t>KC-26-000254</t>
  </si>
  <si>
    <t>13/05/26 16.11</t>
  </si>
  <si>
    <t>EO02587</t>
  </si>
  <si>
    <t>2026060219</t>
  </si>
  <si>
    <t>01/06/26 12.16</t>
  </si>
  <si>
    <t>146ARI2605-0798</t>
  </si>
  <si>
    <t>MHFA71BY1T0008402</t>
  </si>
  <si>
    <t>2NR-Y701446</t>
  </si>
  <si>
    <t>CST-000825611</t>
  </si>
  <si>
    <t>EDWAR HAPUDIANSYAH</t>
  </si>
  <si>
    <t>PT GRAHA MITRA KONSULTAN</t>
  </si>
  <si>
    <t>KOMPLEK GRAND IMPERIAL A7-13 JL. CIKONENG</t>
  </si>
  <si>
    <t>KC-26-000320</t>
  </si>
  <si>
    <t>15/05/26 09.49</t>
  </si>
  <si>
    <t>E801204</t>
  </si>
  <si>
    <t>2026054486</t>
  </si>
  <si>
    <t>20/05/26 09.25</t>
  </si>
  <si>
    <t>146ARI2605-0890</t>
  </si>
  <si>
    <t>MHFA71BY9T0006915</t>
  </si>
  <si>
    <t>2NR-Y692624</t>
  </si>
  <si>
    <t>CST-000826514</t>
  </si>
  <si>
    <t>ENUR LATIFATUNUR</t>
  </si>
  <si>
    <t>RISNA ANGGRAENI</t>
  </si>
  <si>
    <t>KP. BARANANGSIANG</t>
  </si>
  <si>
    <t>KEC. TANJUNGSIANG</t>
  </si>
  <si>
    <t>KC-26-000339</t>
  </si>
  <si>
    <t>21/05/26 13.46</t>
  </si>
  <si>
    <t>D802596</t>
  </si>
  <si>
    <t>2026045427</t>
  </si>
  <si>
    <t>28/05/26 12.26</t>
  </si>
  <si>
    <t>146ARI2605-0882</t>
  </si>
  <si>
    <t>MHFA71BY4T0008328</t>
  </si>
  <si>
    <t>2NR-Y700465</t>
  </si>
  <si>
    <t>CST-000826310</t>
  </si>
  <si>
    <t>ERIK PITUAH HAPEDRIK PARDOSI</t>
  </si>
  <si>
    <t>ERIK PITUAH HALPEDRIK PARDOSI</t>
  </si>
  <si>
    <t>GG WINATA KP SEKEKONDANG</t>
  </si>
  <si>
    <t>KC-26-000303</t>
  </si>
  <si>
    <t>19/05/26 17.23</t>
  </si>
  <si>
    <t>E801197</t>
  </si>
  <si>
    <t>2026053543</t>
  </si>
  <si>
    <t>22/05/26 15.56</t>
  </si>
  <si>
    <t>146ARI2605-0555</t>
  </si>
  <si>
    <t>MHKAB1BY4TJ020487</t>
  </si>
  <si>
    <t>2NR-4F92616</t>
  </si>
  <si>
    <t>CST-000824788</t>
  </si>
  <si>
    <t>ERWAN RAMDHANI</t>
  </si>
  <si>
    <t>PUPU PURWANTI</t>
  </si>
  <si>
    <t>JL MAYAPADA DALAM</t>
  </si>
  <si>
    <t>KC-26-000279</t>
  </si>
  <si>
    <t>08/05/26 11.11</t>
  </si>
  <si>
    <t>E700996</t>
  </si>
  <si>
    <t>2026050896</t>
  </si>
  <si>
    <t>14/05/26 10.44</t>
  </si>
  <si>
    <t>146ARI2605-1019</t>
  </si>
  <si>
    <t>MHKAB1BY8TJ021576</t>
  </si>
  <si>
    <t>2NR-4G00272</t>
  </si>
  <si>
    <t>CST-000824310</t>
  </si>
  <si>
    <t>ERWIN DWI PUTRA</t>
  </si>
  <si>
    <t>KP RANCAMAYA</t>
  </si>
  <si>
    <t>KEC. TAROGONG KIDUL</t>
  </si>
  <si>
    <t>KC-26-000216</t>
  </si>
  <si>
    <t>05/05/26 12.17</t>
  </si>
  <si>
    <t>E702717</t>
  </si>
  <si>
    <t>2026057250</t>
  </si>
  <si>
    <t>26/05/26 09.05</t>
  </si>
  <si>
    <t>146ARI2605-0829</t>
  </si>
  <si>
    <t>MHFABBAA9T0472353</t>
  </si>
  <si>
    <t>M20A-NF84848</t>
  </si>
  <si>
    <t>CST-000825337</t>
  </si>
  <si>
    <t>EUIS KARYATI</t>
  </si>
  <si>
    <t>PT PRATAMA MAJU MANDIRI</t>
  </si>
  <si>
    <t>JL. PERMATA ELOK II</t>
  </si>
  <si>
    <t>KC-26-000285</t>
  </si>
  <si>
    <t>12/05/26 14.36</t>
  </si>
  <si>
    <t>EJ01471</t>
  </si>
  <si>
    <t>2026054585</t>
  </si>
  <si>
    <t>20/05/26 13.00</t>
  </si>
  <si>
    <t>146ARI2605-1192</t>
  </si>
  <si>
    <t>MHKE8FB3JTK121116</t>
  </si>
  <si>
    <t>2NR-4F97090</t>
  </si>
  <si>
    <t>CST-000827394</t>
  </si>
  <si>
    <t>EUIS KOMARIAH</t>
  </si>
  <si>
    <t>KP. JATI</t>
  </si>
  <si>
    <t>KC-26-000349</t>
  </si>
  <si>
    <t>29/05/26 13.34</t>
  </si>
  <si>
    <t>EG01536</t>
  </si>
  <si>
    <t>2026055561</t>
  </si>
  <si>
    <t>05/06/26 12.55</t>
  </si>
  <si>
    <t>146ARI2605-0307</t>
  </si>
  <si>
    <t>MHKAB1BA5TJ167873</t>
  </si>
  <si>
    <t>WA-A247333</t>
  </si>
  <si>
    <t>CST-000824506</t>
  </si>
  <si>
    <t>EUIS KUSMIRAN</t>
  </si>
  <si>
    <t>KP CIKUPA DESA BOJONG MANGGU KEC PAMEUNGPEK</t>
  </si>
  <si>
    <t>002-26.36651759</t>
  </si>
  <si>
    <t>KC-26-000294</t>
  </si>
  <si>
    <t>06/05/26 14.06</t>
  </si>
  <si>
    <t>EZ00039</t>
  </si>
  <si>
    <t>2026047276</t>
  </si>
  <si>
    <t>09/05/26 11.20</t>
  </si>
  <si>
    <t>146ARI2605-1263</t>
  </si>
  <si>
    <t>MHKA6GJ6JTJ228036</t>
  </si>
  <si>
    <t>3NR-H997495</t>
  </si>
  <si>
    <t>CST-000827538</t>
  </si>
  <si>
    <t>FRIEZA PATRIANI</t>
  </si>
  <si>
    <t>JL. VENUS TIMUR VIII NO. 11</t>
  </si>
  <si>
    <t>KC-26-000342</t>
  </si>
  <si>
    <t>30/05/26 14.31</t>
  </si>
  <si>
    <t>EO02412</t>
  </si>
  <si>
    <t>2026058646</t>
  </si>
  <si>
    <t>08/06/26 13.05</t>
  </si>
  <si>
    <t>146ARI2605-1267</t>
  </si>
  <si>
    <t>MHFJB8EM0T1195805</t>
  </si>
  <si>
    <t>2GD-1981663</t>
  </si>
  <si>
    <t>CST-000827566</t>
  </si>
  <si>
    <t>HERI HERYANTO</t>
  </si>
  <si>
    <t>SUKAMANAH</t>
  </si>
  <si>
    <t>3204350606840011</t>
  </si>
  <si>
    <t>KC-26-000359</t>
  </si>
  <si>
    <t>30/05/26 17.58</t>
  </si>
  <si>
    <t>EC03022</t>
  </si>
  <si>
    <t>2026058639</t>
  </si>
  <si>
    <t>05/06/26 17.21</t>
  </si>
  <si>
    <t>146ARI2605-0554</t>
  </si>
  <si>
    <t>MHFABBAA1T0469107</t>
  </si>
  <si>
    <t>M20A-NF51929</t>
  </si>
  <si>
    <t>CST-000825317</t>
  </si>
  <si>
    <t>HJ. WIWIN SUSTIWARA</t>
  </si>
  <si>
    <t>LULU DWIARTI NINGTIAS</t>
  </si>
  <si>
    <t>JL. SUKAATI KOMP.AMAYA RESIDENT NO. A8</t>
  </si>
  <si>
    <t>KC-26-000238</t>
  </si>
  <si>
    <t>12/05/26 13.37</t>
  </si>
  <si>
    <t>CJ02661</t>
  </si>
  <si>
    <t>2026033856</t>
  </si>
  <si>
    <t>16/05/26 10.39</t>
  </si>
  <si>
    <t>146ARI2605-0412</t>
  </si>
  <si>
    <t>MHKAB1BC8TJ085508</t>
  </si>
  <si>
    <t>WA-A247473</t>
  </si>
  <si>
    <t>CST-000823573</t>
  </si>
  <si>
    <t>IKA DAIKAH</t>
  </si>
  <si>
    <t>KP. SINDANG RERET</t>
  </si>
  <si>
    <t>KC-26-000245</t>
  </si>
  <si>
    <t>30/04/26 09.50</t>
  </si>
  <si>
    <t>ER00163</t>
  </si>
  <si>
    <t>2026048902</t>
  </si>
  <si>
    <t>11/05/26 19.37</t>
  </si>
  <si>
    <t>146ARI2605-0778</t>
  </si>
  <si>
    <t>MHFJB8EMXT1193222</t>
  </si>
  <si>
    <t>2GD-1968991</t>
  </si>
  <si>
    <t>CST-000826133</t>
  </si>
  <si>
    <t>IMAM BUDIMAN</t>
  </si>
  <si>
    <t>ASTRI NURNIANI</t>
  </si>
  <si>
    <t>KP CISONDARI</t>
  </si>
  <si>
    <t>KC-26-000297</t>
  </si>
  <si>
    <t>18/05/26 17.04</t>
  </si>
  <si>
    <t>EC00624</t>
  </si>
  <si>
    <t>2026049438</t>
  </si>
  <si>
    <t>21/05/26 14.57</t>
  </si>
  <si>
    <t>146ARI2605-0889</t>
  </si>
  <si>
    <t>A251RA-GMXFJ-10</t>
  </si>
  <si>
    <t>MHKAB1BA8TJ168063</t>
  </si>
  <si>
    <t>WA-A250940</t>
  </si>
  <si>
    <t>CST-000815093</t>
  </si>
  <si>
    <t>IVAN HOTMA ZAKARIA</t>
  </si>
  <si>
    <t>HJ. ATI RISYANTI</t>
  </si>
  <si>
    <t>JL. PAK GATOTVVI NO. 211-A KPAD</t>
  </si>
  <si>
    <t>KC-26-000049</t>
  </si>
  <si>
    <t>26/02/26 16.46</t>
  </si>
  <si>
    <t>EZ00516</t>
  </si>
  <si>
    <t>2026055898</t>
  </si>
  <si>
    <t>25/05/26 12.36</t>
  </si>
  <si>
    <t>146ARI2605-0414</t>
  </si>
  <si>
    <t>MHKA6GJ6JTJ226797</t>
  </si>
  <si>
    <t>3NR-H994587</t>
  </si>
  <si>
    <t>CST-000823902</t>
  </si>
  <si>
    <t>JAJANG NURDIN</t>
  </si>
  <si>
    <t>TEDI SUTRIYADI</t>
  </si>
  <si>
    <t>KP BABAKAN</t>
  </si>
  <si>
    <t>KC-26-000259</t>
  </si>
  <si>
    <t>02/05/26 12.44</t>
  </si>
  <si>
    <t>EO00301</t>
  </si>
  <si>
    <t>2026048801</t>
  </si>
  <si>
    <t>11/05/26 08.55</t>
  </si>
  <si>
    <t>146ARI2605-0636</t>
  </si>
  <si>
    <t>MHKE8FA3JTK144715</t>
  </si>
  <si>
    <t>2NR-4F94186</t>
  </si>
  <si>
    <t>CST-000825678</t>
  </si>
  <si>
    <t>LANNI HALOHO</t>
  </si>
  <si>
    <t>FIRNANDO SINAGA</t>
  </si>
  <si>
    <t>KP. CIKAMBUY HILIR</t>
  </si>
  <si>
    <t>KC-26-000298</t>
  </si>
  <si>
    <t>15/05/26 13.57</t>
  </si>
  <si>
    <t>EG00844</t>
  </si>
  <si>
    <t>2026052653</t>
  </si>
  <si>
    <t>18/05/26 10.54</t>
  </si>
  <si>
    <t>146ARI2605-0319</t>
  </si>
  <si>
    <t>MHKAA1BY7TJ015674</t>
  </si>
  <si>
    <t>1NR-G326458</t>
  </si>
  <si>
    <t>CST-000823413</t>
  </si>
  <si>
    <t>M. REZHA FAHLEPI M</t>
  </si>
  <si>
    <t>M.REZHA FAHLEPI M</t>
  </si>
  <si>
    <t>KP.BBK BANDUNG</t>
  </si>
  <si>
    <t>KC-26-000199</t>
  </si>
  <si>
    <t>29/04/26 11.15</t>
  </si>
  <si>
    <t>D703556</t>
  </si>
  <si>
    <t>2026046661</t>
  </si>
  <si>
    <t>08/05/26 16.13</t>
  </si>
  <si>
    <t>146ARI2605-0780</t>
  </si>
  <si>
    <t>MHKA6GJ6JTJ227351</t>
  </si>
  <si>
    <t>3NR-H993110</t>
  </si>
  <si>
    <t>CST-000825706</t>
  </si>
  <si>
    <t>MOCHAMAD RAFI ALY MAHDI</t>
  </si>
  <si>
    <t>JL MUARASARIIV NO 40</t>
  </si>
  <si>
    <t>3273170607010004.</t>
  </si>
  <si>
    <t>KC-26-000304</t>
  </si>
  <si>
    <t>15/05/26 15.05</t>
  </si>
  <si>
    <t>EO01284</t>
  </si>
  <si>
    <t>25/05/26 14.06</t>
  </si>
  <si>
    <t>146ARI2605-0848</t>
  </si>
  <si>
    <t>MHKAB1BY6TJ021124</t>
  </si>
  <si>
    <t>2NR-4F97199</t>
  </si>
  <si>
    <t>CST-000802491</t>
  </si>
  <si>
    <t>MOCHAMMAD FAUZI RACHMAT</t>
  </si>
  <si>
    <t>PT ANAK TUNGGAL SEJAHTERA</t>
  </si>
  <si>
    <t>KAMPUNG CIHARALANG NOMOR 62</t>
  </si>
  <si>
    <t>KC-25-000859</t>
  </si>
  <si>
    <t>04/12/25 17.35</t>
  </si>
  <si>
    <t>E701930</t>
  </si>
  <si>
    <t>2026054544</t>
  </si>
  <si>
    <t>21/05/26 16.48</t>
  </si>
  <si>
    <t>146ARI2605-0515</t>
  </si>
  <si>
    <t>MR0KB8CD3T1168067</t>
  </si>
  <si>
    <t>2GD-D581005</t>
  </si>
  <si>
    <t>KCMG042610</t>
  </si>
  <si>
    <t>RIZAL SAEPUL ROHMAN</t>
  </si>
  <si>
    <t>CST-000825095</t>
  </si>
  <si>
    <t>MORITS C. PADJA</t>
  </si>
  <si>
    <t>JL. MAMPANG PRAPATAN XI NO. 83-85 RT 7/RW 1 KEL. TEGAL PARANG KEC. MAMPANG PRAPAPATAN KOTA JAKARTA SELATAN</t>
  </si>
  <si>
    <t>KC-26-000275</t>
  </si>
  <si>
    <t>11/05/26 11.13</t>
  </si>
  <si>
    <t>DB02038</t>
  </si>
  <si>
    <t>2026045624</t>
  </si>
  <si>
    <t>20/05/26 09.17</t>
  </si>
  <si>
    <t>146ARI2605-1013</t>
  </si>
  <si>
    <t>MHFAA8GS7T0938027</t>
  </si>
  <si>
    <t>1GD-5992499</t>
  </si>
  <si>
    <t>CST-000825667</t>
  </si>
  <si>
    <t>MUHAMAD EDY</t>
  </si>
  <si>
    <t>JL. CYNTHIA RAYA BLOX XA</t>
  </si>
  <si>
    <t>KC-26-000323</t>
  </si>
  <si>
    <t>15/05/26 15.20</t>
  </si>
  <si>
    <t>EF00922</t>
  </si>
  <si>
    <t>2026056292</t>
  </si>
  <si>
    <t>27/05/26 19.29</t>
  </si>
  <si>
    <t>146ARI2605-0356</t>
  </si>
  <si>
    <t>MHFA71BY0T0005992</t>
  </si>
  <si>
    <t>2NR-Y687611</t>
  </si>
  <si>
    <t>CST-000824656</t>
  </si>
  <si>
    <t>NENG DIDAH A.MD</t>
  </si>
  <si>
    <t>NATA ENDAH BLOK A 47</t>
  </si>
  <si>
    <t>KC-26-000280</t>
  </si>
  <si>
    <t>07/05/26 12.47</t>
  </si>
  <si>
    <t>D801587</t>
  </si>
  <si>
    <t>2026041436</t>
  </si>
  <si>
    <t>10/05/26 14.59</t>
  </si>
  <si>
    <t>146ARI2605-1036</t>
  </si>
  <si>
    <t>MHFA71BY8T0006324</t>
  </si>
  <si>
    <t>2NR-Y689362</t>
  </si>
  <si>
    <t>KCMG052612</t>
  </si>
  <si>
    <t>WULAN FITRI ANDRIYANI</t>
  </si>
  <si>
    <t>CST-000824660</t>
  </si>
  <si>
    <t>PT. LUMBUNG ENERGI INDONESIA</t>
  </si>
  <si>
    <t>PT LUMBUNG ENERGI INDONESIA</t>
  </si>
  <si>
    <t>RUKAN PARIWARNA NIAGA KULON</t>
  </si>
  <si>
    <t>1000000005147011</t>
  </si>
  <si>
    <t>KC-26-000293</t>
  </si>
  <si>
    <t>07/05/26 13.56</t>
  </si>
  <si>
    <t>D802034</t>
  </si>
  <si>
    <t>2026042983</t>
  </si>
  <si>
    <t>27/05/26 13.45</t>
  </si>
  <si>
    <t>146ARI2605-0580</t>
  </si>
  <si>
    <t>MHFAA8GS3T0937280</t>
  </si>
  <si>
    <t>1GD-5979366</t>
  </si>
  <si>
    <t>CST-000823903</t>
  </si>
  <si>
    <t>PT. PAN PUTRA SAMUDRA</t>
  </si>
  <si>
    <t>PT PAN PUTRA SAMUDRA</t>
  </si>
  <si>
    <t>JALAN BOULEVARD BARAT, PLAZA PASIFIK BLOK A3 NO.49</t>
  </si>
  <si>
    <t>0018712976043000</t>
  </si>
  <si>
    <t>KC-26-000243</t>
  </si>
  <si>
    <t>24/04/26 14.35</t>
  </si>
  <si>
    <t>DF01098</t>
  </si>
  <si>
    <t>14/05/26 08.48</t>
  </si>
  <si>
    <t>146ARI2605-0304</t>
  </si>
  <si>
    <t>MHFABAAA5T0051580</t>
  </si>
  <si>
    <t>M20A-NF55475</t>
  </si>
  <si>
    <t>CST-000824162</t>
  </si>
  <si>
    <t>PT. PINUS MERAH ABADI</t>
  </si>
  <si>
    <t>PT PINUS MERAH ABADI</t>
  </si>
  <si>
    <t>JL SOEKARNO HATTA 112</t>
  </si>
  <si>
    <t>002-26.36651757</t>
  </si>
  <si>
    <t>KC-26-000222</t>
  </si>
  <si>
    <t>04/05/26 15.47</t>
  </si>
  <si>
    <t>DJ00445</t>
  </si>
  <si>
    <t>2026036746</t>
  </si>
  <si>
    <t>12/05/26 15.33</t>
  </si>
  <si>
    <t>146ARI2605-0831</t>
  </si>
  <si>
    <t>KDH223R-LEMDY-10</t>
  </si>
  <si>
    <t>JTFST22P2T0055289</t>
  </si>
  <si>
    <t>1KD-B234735</t>
  </si>
  <si>
    <t>CST-000826085</t>
  </si>
  <si>
    <t>PT. SETIAJAYA TRANS</t>
  </si>
  <si>
    <t>PT SETIAJAYA TRANS</t>
  </si>
  <si>
    <t>DUSUN CISALAM</t>
  </si>
  <si>
    <t>KEC. MANONJAYA</t>
  </si>
  <si>
    <t>KC-26-000316</t>
  </si>
  <si>
    <t>18/05/26 15.30</t>
  </si>
  <si>
    <t>DP00532</t>
  </si>
  <si>
    <t>2026048874</t>
  </si>
  <si>
    <t>19/05/26 15.17</t>
  </si>
  <si>
    <t>146ARI2605-0303</t>
  </si>
  <si>
    <t>MHKAA1BY8TJ015747</t>
  </si>
  <si>
    <t>1NR-G326574</t>
  </si>
  <si>
    <t>002-26.36651756</t>
  </si>
  <si>
    <t>KC-26-000283</t>
  </si>
  <si>
    <t>05/05/26 16.09</t>
  </si>
  <si>
    <t>E700063</t>
  </si>
  <si>
    <t>2026047207</t>
  </si>
  <si>
    <t>10/05/26 15.38</t>
  </si>
  <si>
    <t>146ARI2605-1217</t>
  </si>
  <si>
    <t>JTFST22P6T0055439</t>
  </si>
  <si>
    <t>1KD-B236436</t>
  </si>
  <si>
    <t>CST-000827391</t>
  </si>
  <si>
    <t>PT. FOCUS RIZKY SUGIHARTO BERKAH</t>
  </si>
  <si>
    <t>JALAN RD. H. KANTI NO. 34</t>
  </si>
  <si>
    <t>KC-26-000344</t>
  </si>
  <si>
    <t>29/05/26 13.21</t>
  </si>
  <si>
    <t>EP00068</t>
  </si>
  <si>
    <t>2026048164</t>
  </si>
  <si>
    <t>08/06/26 13.00</t>
  </si>
  <si>
    <t>146ARI2605-1030</t>
  </si>
  <si>
    <t>MHFABBAA8T0472652</t>
  </si>
  <si>
    <t>M20A-NF79481</t>
  </si>
  <si>
    <t>CST-000826896</t>
  </si>
  <si>
    <t>RENI ANGGRAENI</t>
  </si>
  <si>
    <t>YANI DIAN EFRIANY</t>
  </si>
  <si>
    <t>JL.RANCA BENTANG UTARA</t>
  </si>
  <si>
    <t>KC-26-000334</t>
  </si>
  <si>
    <t>25/05/26 11.33</t>
  </si>
  <si>
    <t>EJ01873</t>
  </si>
  <si>
    <t>2026057159</t>
  </si>
  <si>
    <t>28/05/26 15.44</t>
  </si>
  <si>
    <t>146ARI2605-1269</t>
  </si>
  <si>
    <t>MHKE8FA3JTK145644</t>
  </si>
  <si>
    <t>2NR-4G03673</t>
  </si>
  <si>
    <t>CST-000827111</t>
  </si>
  <si>
    <t>RITA APRIYANTI</t>
  </si>
  <si>
    <t>KP CIASEUPAN</t>
  </si>
  <si>
    <t>KC-26-000317</t>
  </si>
  <si>
    <t>26/05/26 13.14</t>
  </si>
  <si>
    <t>EG02614</t>
  </si>
  <si>
    <t>2026060584</t>
  </si>
  <si>
    <t>30/05/26 22.23</t>
  </si>
  <si>
    <t>146ARI2605-1219</t>
  </si>
  <si>
    <t>MHKAA1BY2TJ016974</t>
  </si>
  <si>
    <t>1NR-G329137</t>
  </si>
  <si>
    <t>CST-000827429</t>
  </si>
  <si>
    <t>ROHAENI</t>
  </si>
  <si>
    <t>JL.MALEBER UTARA NO 72</t>
  </si>
  <si>
    <t>KC-26-000343</t>
  </si>
  <si>
    <t>29/05/26 16.06</t>
  </si>
  <si>
    <t>E703053</t>
  </si>
  <si>
    <t>2026058595</t>
  </si>
  <si>
    <t>31/05/26 15.11</t>
  </si>
  <si>
    <t>146ARI2605-1261</t>
  </si>
  <si>
    <t>MHKAB1BY5TJ022040</t>
  </si>
  <si>
    <t>2NR-4G03185</t>
  </si>
  <si>
    <t>CST-000827385</t>
  </si>
  <si>
    <t>RONI PURNAMA</t>
  </si>
  <si>
    <t>DUSUN HONJE</t>
  </si>
  <si>
    <t>KEC. PAMULIHAN</t>
  </si>
  <si>
    <t>KC-26-000332</t>
  </si>
  <si>
    <t>29/05/26 12.38</t>
  </si>
  <si>
    <t>E703425</t>
  </si>
  <si>
    <t>2026060196</t>
  </si>
  <si>
    <t>01/06/26 18.01</t>
  </si>
  <si>
    <t>146ARI2605-0915</t>
  </si>
  <si>
    <t>MHKAB1BC2TJ086153</t>
  </si>
  <si>
    <t>WA-A250883</t>
  </si>
  <si>
    <t>CST-000825723</t>
  </si>
  <si>
    <t>ROSSA LITA SE</t>
  </si>
  <si>
    <t>KOMP UJUNGBERUNG INDAH BLOK B26 NO 13</t>
  </si>
  <si>
    <t>KC-26-000276</t>
  </si>
  <si>
    <t>15/05/26 16.31</t>
  </si>
  <si>
    <t>ER00820</t>
  </si>
  <si>
    <t>2026056386</t>
  </si>
  <si>
    <t>23/05/26 21.08</t>
  </si>
  <si>
    <t>146ARI2605-0384</t>
  </si>
  <si>
    <t>MHFBA3FS2T1175806</t>
  </si>
  <si>
    <t>1GD-5982498</t>
  </si>
  <si>
    <t>CST-000824496</t>
  </si>
  <si>
    <t>SAMSUL AGUNG ST</t>
  </si>
  <si>
    <t>IIS SETIAWATI</t>
  </si>
  <si>
    <t>CLUSTER GRAND MILLENIA BLOK A1 NO.1</t>
  </si>
  <si>
    <t>KC-26-000281</t>
  </si>
  <si>
    <t>06/05/26 13.45</t>
  </si>
  <si>
    <t>EF00216</t>
  </si>
  <si>
    <t>2026048551</t>
  </si>
  <si>
    <t>11/05/26 13.25</t>
  </si>
  <si>
    <t>146ARI2605-1213</t>
  </si>
  <si>
    <t>MHKA6GJ6JTJ227932</t>
  </si>
  <si>
    <t>3NR-H997268</t>
  </si>
  <si>
    <t>CST-000827256</t>
  </si>
  <si>
    <t>SITI HAERIYAH</t>
  </si>
  <si>
    <t>Jl.budhi</t>
  </si>
  <si>
    <t>KC-26-000322</t>
  </si>
  <si>
    <t>28/05/26 13.24</t>
  </si>
  <si>
    <t>EO02204</t>
  </si>
  <si>
    <t>2026057998</t>
  </si>
  <si>
    <t>02/06/26 13.11</t>
  </si>
  <si>
    <t>146ARI2605-0306</t>
  </si>
  <si>
    <t>MHFJB8EM8T1192585</t>
  </si>
  <si>
    <t>2GD-1964038</t>
  </si>
  <si>
    <t>CST-000824509</t>
  </si>
  <si>
    <t>SUKLANI</t>
  </si>
  <si>
    <t>KP.CICENDO</t>
  </si>
  <si>
    <t>002-26.36651758</t>
  </si>
  <si>
    <t>KC-26-000237</t>
  </si>
  <si>
    <t>06/05/26 14.15</t>
  </si>
  <si>
    <t>DC02662</t>
  </si>
  <si>
    <t>2026046591</t>
  </si>
  <si>
    <t>09/05/26 11.14</t>
  </si>
  <si>
    <t>146ARI2605-0405</t>
  </si>
  <si>
    <t>MHFABBAAXT0471566</t>
  </si>
  <si>
    <t>M20A-NF71648</t>
  </si>
  <si>
    <t>CST-000824488</t>
  </si>
  <si>
    <t>SURIANA WIJAYA</t>
  </si>
  <si>
    <t>AMRI FATMA DEWI</t>
  </si>
  <si>
    <t>JL.SARIMANAH II NO.94</t>
  </si>
  <si>
    <t>KC-26-000226</t>
  </si>
  <si>
    <t>06/05/26 13.29</t>
  </si>
  <si>
    <t>EJ00352</t>
  </si>
  <si>
    <t>2026049102</t>
  </si>
  <si>
    <t>13/05/26 09.47</t>
  </si>
  <si>
    <t>146ARI2605-1076</t>
  </si>
  <si>
    <t>MHKAB1BY3TJ021730</t>
  </si>
  <si>
    <t>2NR-4G00760</t>
  </si>
  <si>
    <t>CST-000826941</t>
  </si>
  <si>
    <t>TASYA AULIA</t>
  </si>
  <si>
    <t>ASRAMA YONZIPUR 9/1 KOSTRAD</t>
  </si>
  <si>
    <t>KC-26-000291</t>
  </si>
  <si>
    <t>25/05/26 13.31</t>
  </si>
  <si>
    <t>E702993</t>
  </si>
  <si>
    <t>2026058155</t>
  </si>
  <si>
    <t>03/06/26 13.05</t>
  </si>
  <si>
    <t>146ARI2605-0904</t>
  </si>
  <si>
    <t>MHKAA1BY5TJ016774</t>
  </si>
  <si>
    <t>1NR-G328599</t>
  </si>
  <si>
    <t>CST-000826560</t>
  </si>
  <si>
    <t>TEDI CAHYADI</t>
  </si>
  <si>
    <t>NENAH</t>
  </si>
  <si>
    <t>JL KADIPATEN V NO 17</t>
  </si>
  <si>
    <t>KC-26-000330</t>
  </si>
  <si>
    <t>21/05/26 16.29</t>
  </si>
  <si>
    <t>E702415</t>
  </si>
  <si>
    <t>2026055986</t>
  </si>
  <si>
    <t>22/05/26 15.47</t>
  </si>
  <si>
    <t>146ARI2605-0776</t>
  </si>
  <si>
    <t>MHFABBAA1T0472010</t>
  </si>
  <si>
    <t>M20A-NF75417</t>
  </si>
  <si>
    <t>CST-000825957</t>
  </si>
  <si>
    <t>TUTI TURIMAYANTI</t>
  </si>
  <si>
    <t>JL CIJEUNGJING SELATAN</t>
  </si>
  <si>
    <t>KC-26-000258</t>
  </si>
  <si>
    <t>18/05/26 11.02</t>
  </si>
  <si>
    <t>EJ00956</t>
  </si>
  <si>
    <t>2026051810</t>
  </si>
  <si>
    <t>27/05/26 08.48</t>
  </si>
  <si>
    <t>146ARI2605-0974</t>
  </si>
  <si>
    <t>MHKAB1BYXTJ020820</t>
  </si>
  <si>
    <t>2NR-4F95641</t>
  </si>
  <si>
    <t>CST-000826764</t>
  </si>
  <si>
    <t>VEKKY TAMBALEAN</t>
  </si>
  <si>
    <t>KP. SUKAMAJU</t>
  </si>
  <si>
    <t>KC-26-000307</t>
  </si>
  <si>
    <t>23/05/26 11.09</t>
  </si>
  <si>
    <t>E701657</t>
  </si>
  <si>
    <t>2026054917</t>
  </si>
  <si>
    <t>29/05/26 10.27</t>
  </si>
  <si>
    <t>146ARI2605-0972</t>
  </si>
  <si>
    <t>MHKA6GJ6JTJ227683</t>
  </si>
  <si>
    <t>3NR-H996714</t>
  </si>
  <si>
    <t>CST-000825724</t>
  </si>
  <si>
    <t>WILY WILDAN SURYA KUSUMAH</t>
  </si>
  <si>
    <t>JL GEGERKALONG TENGAH NO. 34</t>
  </si>
  <si>
    <t>KC-26-000314</t>
  </si>
  <si>
    <t>15/05/26 16.28</t>
  </si>
  <si>
    <t>EO01827</t>
  </si>
  <si>
    <t>25/05/26 16.18</t>
  </si>
  <si>
    <t>146ARI2605-1141</t>
  </si>
  <si>
    <t>MHKAB1BY6TJ021155</t>
  </si>
  <si>
    <t>2NR-4F97800</t>
  </si>
  <si>
    <t>CST-000827284</t>
  </si>
  <si>
    <t>YUYUN. S. PD.I</t>
  </si>
  <si>
    <t>YUYUN,S.PD.I</t>
  </si>
  <si>
    <t>GANDASARI INDAH BLOK D23</t>
  </si>
  <si>
    <t>KC-26-000272</t>
  </si>
  <si>
    <t>E702150</t>
  </si>
  <si>
    <t>2026056901</t>
  </si>
  <si>
    <t>29/05/26 11.37</t>
  </si>
  <si>
    <t>146ARI2605-0828</t>
  </si>
  <si>
    <t>MHFA71BY8T0007652</t>
  </si>
  <si>
    <t>2NR-Y696904</t>
  </si>
  <si>
    <t>CST-000826221</t>
  </si>
  <si>
    <t>ZARMEIDI SABAROEDIN</t>
  </si>
  <si>
    <t>JL SALENDRO TIMUR X NO 28</t>
  </si>
  <si>
    <t>KC-26-000312</t>
  </si>
  <si>
    <t>19/05/26 12.48</t>
  </si>
  <si>
    <t>E800468</t>
  </si>
  <si>
    <t>2026049653</t>
  </si>
  <si>
    <t>24/05/26 15.21</t>
  </si>
  <si>
    <t>146ARI2606-1386</t>
  </si>
  <si>
    <t>MHKA6GJ6JTJ230422</t>
  </si>
  <si>
    <t>3NR-5A03333</t>
  </si>
  <si>
    <t>CST-000831580</t>
  </si>
  <si>
    <t>ADE FATHU MUKTI</t>
  </si>
  <si>
    <t>KP DARUSALAM</t>
  </si>
  <si>
    <t>KEC. BUNGBULANG</t>
  </si>
  <si>
    <t>KC-26-000463</t>
  </si>
  <si>
    <t>30/06/26 08.50</t>
  </si>
  <si>
    <t>FO03240</t>
  </si>
  <si>
    <t>2026073053</t>
  </si>
  <si>
    <t>03/07/26 20.28</t>
  </si>
  <si>
    <t>146ARI2606-1438</t>
  </si>
  <si>
    <t>FJA300R-GNUSY-18</t>
  </si>
  <si>
    <t>JTMAA7BJ8T4144277</t>
  </si>
  <si>
    <t>F33A-0154083</t>
  </si>
  <si>
    <t>CST-000831717</t>
  </si>
  <si>
    <t>ADE HERYANA SH</t>
  </si>
  <si>
    <t>KP BABAKAN CIBOLANG</t>
  </si>
  <si>
    <t>KC-26-000467</t>
  </si>
  <si>
    <t>30/06/26 16.28</t>
  </si>
  <si>
    <t>EM00021</t>
  </si>
  <si>
    <t>2026056285</t>
  </si>
  <si>
    <t>03/07/26 17.10</t>
  </si>
  <si>
    <t>146ARI2606-0745</t>
  </si>
  <si>
    <t>MHKA6GJ6JTJ229155</t>
  </si>
  <si>
    <t>3NR-5A00364</t>
  </si>
  <si>
    <t>CST-000828267</t>
  </si>
  <si>
    <t>AGNI ANGGRAENI</t>
  </si>
  <si>
    <t>ILHAM FADIL PRATAMA</t>
  </si>
  <si>
    <t>JL. LEMAHNENDEUT II</t>
  </si>
  <si>
    <t>KC-26-000379</t>
  </si>
  <si>
    <t>05/06/26 11.08</t>
  </si>
  <si>
    <t>FO01368</t>
  </si>
  <si>
    <t>2026065637</t>
  </si>
  <si>
    <t>18/06/26 09.34</t>
  </si>
  <si>
    <t>146ARI2606-1383</t>
  </si>
  <si>
    <t>MHKA6GJ6JTJ230089</t>
  </si>
  <si>
    <t>3NR-5A02572</t>
  </si>
  <si>
    <t>CST-000831526</t>
  </si>
  <si>
    <t>AGUNG SIDIK ROMANSYAH</t>
  </si>
  <si>
    <t>KP. MELONG TENGAH CIMAHI SELATAN</t>
  </si>
  <si>
    <t>KC-26-000357</t>
  </si>
  <si>
    <t>29/06/26 15.29</t>
  </si>
  <si>
    <t>FO02813</t>
  </si>
  <si>
    <t>2026070871</t>
  </si>
  <si>
    <t>30/06/26 09.40</t>
  </si>
  <si>
    <t>146ARI2606-1082</t>
  </si>
  <si>
    <t>KDH223R-LEMDY-11</t>
  </si>
  <si>
    <t>JTFST22P0T0055260</t>
  </si>
  <si>
    <t>1KD-B234348</t>
  </si>
  <si>
    <t>CST-000830685</t>
  </si>
  <si>
    <t>AGUS HERMAWAN</t>
  </si>
  <si>
    <t>KP. PASAR KEMIS</t>
  </si>
  <si>
    <t>KC-26-000415</t>
  </si>
  <si>
    <t>23/06/26 09.40</t>
  </si>
  <si>
    <t>DP00281</t>
  </si>
  <si>
    <t>2026039627</t>
  </si>
  <si>
    <t>30/06/26 11.00</t>
  </si>
  <si>
    <t>146ARI2606-1416</t>
  </si>
  <si>
    <t>MHKA6GJ6JTJ230517</t>
  </si>
  <si>
    <t>3NR-5A03306</t>
  </si>
  <si>
    <t>CST-000830384</t>
  </si>
  <si>
    <t>AGUS MURSADA</t>
  </si>
  <si>
    <t>CHRISTINA WATI EFENDI</t>
  </si>
  <si>
    <t>DUSUN CUKANG LEMAH</t>
  </si>
  <si>
    <t>KC-26-000418</t>
  </si>
  <si>
    <t>20/06/26 12.20</t>
  </si>
  <si>
    <t>FO03265</t>
  </si>
  <si>
    <t>2026073147</t>
  </si>
  <si>
    <t>01/07/26 12.11</t>
  </si>
  <si>
    <t>146ARI2606-0740</t>
  </si>
  <si>
    <t>MHKA6GK6JTJ091408</t>
  </si>
  <si>
    <t>3NR-H996676</t>
  </si>
  <si>
    <t>CST-000829345</t>
  </si>
  <si>
    <t>ANANG DEDI</t>
  </si>
  <si>
    <t>TIARA DHIYA ULHAQ</t>
  </si>
  <si>
    <t>KP GURUDUG</t>
  </si>
  <si>
    <t>KC-26-000416</t>
  </si>
  <si>
    <t>12/06/26 15.50</t>
  </si>
  <si>
    <t>EO01804</t>
  </si>
  <si>
    <t>2026056053</t>
  </si>
  <si>
    <t>18/06/26 13.01</t>
  </si>
  <si>
    <t>146ARI2606-1042</t>
  </si>
  <si>
    <t>MHFJB8EM4T1196018</t>
  </si>
  <si>
    <t>2GD-1982547</t>
  </si>
  <si>
    <t>KCMG032607</t>
  </si>
  <si>
    <t>CST-000830756</t>
  </si>
  <si>
    <t>ANDRI NURMAN</t>
  </si>
  <si>
    <t>ALFINA ZULFA SHALIHA</t>
  </si>
  <si>
    <t>KOMP GRIYA MITRA BLOK B-13 NO 10</t>
  </si>
  <si>
    <t>KC-26-000398</t>
  </si>
  <si>
    <t>23/06/26 14.19</t>
  </si>
  <si>
    <t>EC03449</t>
  </si>
  <si>
    <t>29/06/26 09.02</t>
  </si>
  <si>
    <t>146ARI2606-1442</t>
  </si>
  <si>
    <t>3204080808870009</t>
  </si>
  <si>
    <t>01/07/26 09.14</t>
  </si>
  <si>
    <t>146ARI2606-1431</t>
  </si>
  <si>
    <t>146ARI2606-1039</t>
  </si>
  <si>
    <t>MHFA71BY7T0009781</t>
  </si>
  <si>
    <t>2NR-Y711511</t>
  </si>
  <si>
    <t>CST-000828084</t>
  </si>
  <si>
    <t>ANGGA MAULANA NURHUDA</t>
  </si>
  <si>
    <t>KP NYAMPAY</t>
  </si>
  <si>
    <t>KC-26-000355</t>
  </si>
  <si>
    <t>04/06/26 13.27</t>
  </si>
  <si>
    <t>F800269</t>
  </si>
  <si>
    <t>02/07/26</t>
  </si>
  <si>
    <t>2026061825</t>
  </si>
  <si>
    <t>24/06/26 06.52</t>
  </si>
  <si>
    <t>146ARI2606-0455</t>
  </si>
  <si>
    <t>MHKAB1BY9TJ022509</t>
  </si>
  <si>
    <t>2NR-4G07872</t>
  </si>
  <si>
    <t>KCMG062615</t>
  </si>
  <si>
    <t>REZA PAHLEVI PUTRA PRIBADI</t>
  </si>
  <si>
    <t>CST-000829230</t>
  </si>
  <si>
    <t>ANGGIE CHRISNA DEWI,ST</t>
  </si>
  <si>
    <t>RONALDI RAFUS, A.Md</t>
  </si>
  <si>
    <t>G-LAND PADALARANG RESIDENCE BLOK I 16</t>
  </si>
  <si>
    <t>KC-26-000394</t>
  </si>
  <si>
    <t>11/06/26 18.00</t>
  </si>
  <si>
    <t>F701059</t>
  </si>
  <si>
    <t>2026065026</t>
  </si>
  <si>
    <t>16/06/26 17.37</t>
  </si>
  <si>
    <t>146ARI2606-0677</t>
  </si>
  <si>
    <t>MHFA71BY6T0008184</t>
  </si>
  <si>
    <t>2NR-Y700122</t>
  </si>
  <si>
    <t>CST-000829593</t>
  </si>
  <si>
    <t>ANNO ADE HASOLOAN</t>
  </si>
  <si>
    <t>JL BABAKAN CIPARAY GG MISBAH</t>
  </si>
  <si>
    <t>KC-26-000419</t>
  </si>
  <si>
    <t>15/06/26 09.51</t>
  </si>
  <si>
    <t>E800996</t>
  </si>
  <si>
    <t>2026052561</t>
  </si>
  <si>
    <t>19/06/26 07.32</t>
  </si>
  <si>
    <t>146ARI2606-0260</t>
  </si>
  <si>
    <t>MHFABBAA8T0473235</t>
  </si>
  <si>
    <t>M20A-NF90068</t>
  </si>
  <si>
    <t>CST-000827954</t>
  </si>
  <si>
    <t>ANTON RAHMAT KARTA ATMAJA</t>
  </si>
  <si>
    <t>JLN. CIBIRU TONGGOH</t>
  </si>
  <si>
    <t>KC-26-000262</t>
  </si>
  <si>
    <t>03/06/26 15.17</t>
  </si>
  <si>
    <t>FJ00090</t>
  </si>
  <si>
    <t>2026061112</t>
  </si>
  <si>
    <t>10/06/26 14.37</t>
  </si>
  <si>
    <t>146ARI2606-0794</t>
  </si>
  <si>
    <t>MHKA6GJ6JTJ229490</t>
  </si>
  <si>
    <t>3NR-5A01396</t>
  </si>
  <si>
    <t>CST-000829262</t>
  </si>
  <si>
    <t>ATEN PRIATNA</t>
  </si>
  <si>
    <t>JL. CEMPAKA VIII NO.2</t>
  </si>
  <si>
    <t>KC-26-000407</t>
  </si>
  <si>
    <t>12/06/26 10.44</t>
  </si>
  <si>
    <t>FO01764</t>
  </si>
  <si>
    <t>2026067712</t>
  </si>
  <si>
    <t>16/06/26</t>
  </si>
  <si>
    <t>20/06/26 13.44</t>
  </si>
  <si>
    <t>146ARI2606-0737</t>
  </si>
  <si>
    <t>MHKA6GK6JTJ092094</t>
  </si>
  <si>
    <t>3NR-5A00736</t>
  </si>
  <si>
    <t>CST-000828305</t>
  </si>
  <si>
    <t>CANDRA RIZKI HERMAWAN</t>
  </si>
  <si>
    <t>KP CIKURUTUG</t>
  </si>
  <si>
    <t>KC-26-000371</t>
  </si>
  <si>
    <t>05/06/26 14.17</t>
  </si>
  <si>
    <t>FO01417</t>
  </si>
  <si>
    <t>2026066138</t>
  </si>
  <si>
    <t>18/06/26 10.16</t>
  </si>
  <si>
    <t>146ARI2606-1408</t>
  </si>
  <si>
    <t>MHFABBAA4T0472888</t>
  </si>
  <si>
    <t>M20A-NF81762</t>
  </si>
  <si>
    <t>CST-000831607</t>
  </si>
  <si>
    <t>CECEP ABDULAH</t>
  </si>
  <si>
    <t>SHINTIA NURHABIBAH</t>
  </si>
  <si>
    <t>KP RANCAMANYAR</t>
  </si>
  <si>
    <t>KC-26-000409</t>
  </si>
  <si>
    <t>30/06/26 10.02</t>
  </si>
  <si>
    <t>EJ02310</t>
  </si>
  <si>
    <t>2026058869</t>
  </si>
  <si>
    <t>02/07/26 09.33</t>
  </si>
  <si>
    <t>146ARI2606-0286</t>
  </si>
  <si>
    <t>MHKAB1BYXTJ022048</t>
  </si>
  <si>
    <t>2NR-4G03101</t>
  </si>
  <si>
    <t>CST-000828448</t>
  </si>
  <si>
    <t>CV. SINAR MULIA SEJATI</t>
  </si>
  <si>
    <t>CV SINAR MULIA SEJATI</t>
  </si>
  <si>
    <t>KP BOBODOLAN</t>
  </si>
  <si>
    <t>KC-26-000372</t>
  </si>
  <si>
    <t>06/06/26 13.17</t>
  </si>
  <si>
    <t>E703466</t>
  </si>
  <si>
    <t>2026062693</t>
  </si>
  <si>
    <t>12/06/26 14.00</t>
  </si>
  <si>
    <t>146ARI2606-0149</t>
  </si>
  <si>
    <t>3203111711910002</t>
  </si>
  <si>
    <t>146ARI2606-1401</t>
  </si>
  <si>
    <t>MHKA6GJ6JTJ230526</t>
  </si>
  <si>
    <t>3NR-5A03500</t>
  </si>
  <si>
    <t>CST-000830930</t>
  </si>
  <si>
    <t>DARSO</t>
  </si>
  <si>
    <t>KEC. CIPUNAGARA</t>
  </si>
  <si>
    <t>KC-26-000437</t>
  </si>
  <si>
    <t>24/06/26 19.08</t>
  </si>
  <si>
    <t>FO03424</t>
  </si>
  <si>
    <t>01/07/26 16.16</t>
  </si>
  <si>
    <t>146ARI2606-0763</t>
  </si>
  <si>
    <t>MHKA6GK6JTJ092175</t>
  </si>
  <si>
    <t>3NR-5A01091</t>
  </si>
  <si>
    <t>KCMG062617</t>
  </si>
  <si>
    <t>FADHIL MUHAMMAD</t>
  </si>
  <si>
    <t>CST-000829976</t>
  </si>
  <si>
    <t>DEVIAN</t>
  </si>
  <si>
    <t>WULAN PUSPITA SARI</t>
  </si>
  <si>
    <t>KP ANDIR KULON</t>
  </si>
  <si>
    <t>KC-26-000369</t>
  </si>
  <si>
    <t>17/06/26 19.08</t>
  </si>
  <si>
    <t>FO01810</t>
  </si>
  <si>
    <t>2026067110</t>
  </si>
  <si>
    <t>22/06/26 19.04</t>
  </si>
  <si>
    <t>146ARI2606-0765</t>
  </si>
  <si>
    <t>MHFJB8EM4T1192003</t>
  </si>
  <si>
    <t>2GD-1959709</t>
  </si>
  <si>
    <t>CST-000829840</t>
  </si>
  <si>
    <t>DIDI IRWANTO</t>
  </si>
  <si>
    <t>TAMAN KOPO INDAH V SOMMERVILLE 3 NO 42</t>
  </si>
  <si>
    <t>KC-26-000423</t>
  </si>
  <si>
    <t>17/06/26 11.28</t>
  </si>
  <si>
    <t>DC02059</t>
  </si>
  <si>
    <t>18/06/26 08.47</t>
  </si>
  <si>
    <t>146ARI2606-1444</t>
  </si>
  <si>
    <t>MHKA6GJ6JTJ230533</t>
  </si>
  <si>
    <t>3NR-5A03602</t>
  </si>
  <si>
    <t>CST-000831701</t>
  </si>
  <si>
    <t>DIKKI YUSMARYANDI</t>
  </si>
  <si>
    <t>RINTIH KURNIATI</t>
  </si>
  <si>
    <t>KP SEKECARIU</t>
  </si>
  <si>
    <t>KC-26-000470</t>
  </si>
  <si>
    <t>30/06/26 16.38</t>
  </si>
  <si>
    <t>FO03394</t>
  </si>
  <si>
    <t>30/06/26 11.25</t>
  </si>
  <si>
    <t>146ARI2606-0428</t>
  </si>
  <si>
    <t>MHKAB1BY8TJ021917</t>
  </si>
  <si>
    <t>2NR-4G02766</t>
  </si>
  <si>
    <t>CST-000829221</t>
  </si>
  <si>
    <t>EDWIN ERIK EKSTRADA SITORUS S.H</t>
  </si>
  <si>
    <t>NOVA MAULINHA NASUTION</t>
  </si>
  <si>
    <t>PADASUKA IDEAL RESIDENCE BLOK E4 NO 2</t>
  </si>
  <si>
    <t>KC-26-000375</t>
  </si>
  <si>
    <t>11/06/26 17.32</t>
  </si>
  <si>
    <t>E703308</t>
  </si>
  <si>
    <t>2026059650</t>
  </si>
  <si>
    <t>16/06/26 17.21</t>
  </si>
  <si>
    <t>146ARI2606-1210</t>
  </si>
  <si>
    <t>MHFJB8EM7T1193629</t>
  </si>
  <si>
    <t>2GD-1971266</t>
  </si>
  <si>
    <t>CST-000831122</t>
  </si>
  <si>
    <t>EKA MAULANA</t>
  </si>
  <si>
    <t>KP PASIRANDU</t>
  </si>
  <si>
    <t>KEC. SERANG BARU</t>
  </si>
  <si>
    <t>KC-26-000414</t>
  </si>
  <si>
    <t>25/06/26 18.16</t>
  </si>
  <si>
    <t>EC01003</t>
  </si>
  <si>
    <t>2026050765</t>
  </si>
  <si>
    <t>30/06/26 17.59</t>
  </si>
  <si>
    <t>146ARI2606-0978</t>
  </si>
  <si>
    <t>MHKE8FB3JTK119945</t>
  </si>
  <si>
    <t>2NR-4F77161</t>
  </si>
  <si>
    <t>CST-000830650</t>
  </si>
  <si>
    <t>ELIS KARTINI</t>
  </si>
  <si>
    <t>KP. PASIR KUKUN</t>
  </si>
  <si>
    <t>KC-26-000440</t>
  </si>
  <si>
    <t>22/06/26 17.02</t>
  </si>
  <si>
    <t>DG01179</t>
  </si>
  <si>
    <t>2026038717</t>
  </si>
  <si>
    <t>25/06/26 09.16</t>
  </si>
  <si>
    <t>146ARI2606-0512</t>
  </si>
  <si>
    <t>MHFA71BY4T0007762</t>
  </si>
  <si>
    <t>2NR-Y697575</t>
  </si>
  <si>
    <t>CST-000829227</t>
  </si>
  <si>
    <t>ELIS SARTIKA S.SOS</t>
  </si>
  <si>
    <t>ELIS SARTIKA S SOS</t>
  </si>
  <si>
    <t>CISARANTEN ENDAH</t>
  </si>
  <si>
    <t>KC-26-000376</t>
  </si>
  <si>
    <t>11/06/26 17.55</t>
  </si>
  <si>
    <t>E800591</t>
  </si>
  <si>
    <t>2026050240</t>
  </si>
  <si>
    <t>16/06/26 17.39</t>
  </si>
  <si>
    <t>146ARI2606-0904</t>
  </si>
  <si>
    <t>MHFAB8BF5T0042090</t>
  </si>
  <si>
    <t>2NR-Y699658</t>
  </si>
  <si>
    <t>CST-000827931</t>
  </si>
  <si>
    <t>ELISABETH DWI WULANDARI</t>
  </si>
  <si>
    <t>KP KALIBATA NO 48</t>
  </si>
  <si>
    <t>KC-26-000352</t>
  </si>
  <si>
    <t>03/06/26 14.06</t>
  </si>
  <si>
    <t>E100128</t>
  </si>
  <si>
    <t>2026051943</t>
  </si>
  <si>
    <t>24/06/26 08.00</t>
  </si>
  <si>
    <t>146ARI2606-0309</t>
  </si>
  <si>
    <t>MHKAB1BC9TJ087512</t>
  </si>
  <si>
    <t>WA-A253714</t>
  </si>
  <si>
    <t>CST-000828292</t>
  </si>
  <si>
    <t>FADIA NANDA HIDAYAT</t>
  </si>
  <si>
    <t>KP LEBAK WANGI</t>
  </si>
  <si>
    <t>3204114810010002</t>
  </si>
  <si>
    <t>KC-26-000363</t>
  </si>
  <si>
    <t>05/06/26 13.36</t>
  </si>
  <si>
    <t>FR00239</t>
  </si>
  <si>
    <t>2026064002</t>
  </si>
  <si>
    <t>10/06/26 17.59</t>
  </si>
  <si>
    <t>146ARI2606-0510</t>
  </si>
  <si>
    <t>MR0AW9AA3T0344247</t>
  </si>
  <si>
    <t>1TR-B427108</t>
  </si>
  <si>
    <t>CST-000829363</t>
  </si>
  <si>
    <t>FARID MUZAYANI</t>
  </si>
  <si>
    <t>JALAN H MOCH SYAHRIL NO 43</t>
  </si>
  <si>
    <t>KC-26-000397</t>
  </si>
  <si>
    <t>12/06/26 16.26</t>
  </si>
  <si>
    <t>EB00961</t>
  </si>
  <si>
    <t>2026053347</t>
  </si>
  <si>
    <t>20/06/26 16.14</t>
  </si>
  <si>
    <t>146ARI2606-1081</t>
  </si>
  <si>
    <t>MHKE8FB2JTK023765</t>
  </si>
  <si>
    <t>2NR-4G06559</t>
  </si>
  <si>
    <t>CST-000830932</t>
  </si>
  <si>
    <t>FATHARANI KHAIRUNISA</t>
  </si>
  <si>
    <t>THE AWANI RESIDENCE JL. AWANI RAYA UTARA</t>
  </si>
  <si>
    <t>KC-26-000449</t>
  </si>
  <si>
    <t>24/06/26 15.18</t>
  </si>
  <si>
    <t>FG00535</t>
  </si>
  <si>
    <t>2026063551</t>
  </si>
  <si>
    <t>26/06/26 13.31</t>
  </si>
  <si>
    <t>146ARI2606-1405</t>
  </si>
  <si>
    <t>MHFA71BY2T0011521</t>
  </si>
  <si>
    <t>2NR-Y721141</t>
  </si>
  <si>
    <t>CST-000831608</t>
  </si>
  <si>
    <t>FEBRIAN LUFHIANDA</t>
  </si>
  <si>
    <t>DIAH FEBRYANTI</t>
  </si>
  <si>
    <t>JL BATU RENGAT NO 129</t>
  </si>
  <si>
    <t>KC-26-000480</t>
  </si>
  <si>
    <t>30/06/26 10.05</t>
  </si>
  <si>
    <t>F801950</t>
  </si>
  <si>
    <t>2026071387</t>
  </si>
  <si>
    <t>01/07/26 00.02</t>
  </si>
  <si>
    <t>146ARI2606-0111</t>
  </si>
  <si>
    <t>MHKAA1BYXTJ017192</t>
  </si>
  <si>
    <t>1NR-G329662</t>
  </si>
  <si>
    <t>CST-000828133</t>
  </si>
  <si>
    <t>FERRY RIONALDY FERDINANDUS</t>
  </si>
  <si>
    <t>FERRY RIONALDY</t>
  </si>
  <si>
    <t>JL. SETRASARI INDAH KAV.1/2</t>
  </si>
  <si>
    <t>003-26.21309996</t>
  </si>
  <si>
    <t>0719761249032000</t>
  </si>
  <si>
    <t>KC-26-000288</t>
  </si>
  <si>
    <t>04/06/26 15.19</t>
  </si>
  <si>
    <t>F700005</t>
  </si>
  <si>
    <t>2026061097</t>
  </si>
  <si>
    <t>10/06/26 15.00</t>
  </si>
  <si>
    <t>146ARI2606-0932</t>
  </si>
  <si>
    <t>MHFA71BY9T0010592</t>
  </si>
  <si>
    <t>2NR-Y715942</t>
  </si>
  <si>
    <t>CST-000830586</t>
  </si>
  <si>
    <t>FINA SILFIANI</t>
  </si>
  <si>
    <t>KC-26-000427</t>
  </si>
  <si>
    <t>22/06/26 14.50</t>
  </si>
  <si>
    <t>F800968</t>
  </si>
  <si>
    <t>2026066040</t>
  </si>
  <si>
    <t>30/06/26 14.33</t>
  </si>
  <si>
    <t>146ARI2606-0660</t>
  </si>
  <si>
    <t>MHKA6GJ6JTJ229123</t>
  </si>
  <si>
    <t>3NR-5A00543</t>
  </si>
  <si>
    <t>CST-000829401</t>
  </si>
  <si>
    <t>GEDE SAEPUDIN</t>
  </si>
  <si>
    <t>KP AWILIGAR</t>
  </si>
  <si>
    <t>KEC. SAMARANG</t>
  </si>
  <si>
    <t>KC-26-000410</t>
  </si>
  <si>
    <t>13/06/26 07.59</t>
  </si>
  <si>
    <t>FO01336</t>
  </si>
  <si>
    <t>19/06/26 22.30</t>
  </si>
  <si>
    <t>146ARI2606-1343</t>
  </si>
  <si>
    <t>MHKE8FB3JTK121325</t>
  </si>
  <si>
    <t>2NR-4G01569</t>
  </si>
  <si>
    <t>CST-000830019</t>
  </si>
  <si>
    <t>GINA SYARIFATUNNISA</t>
  </si>
  <si>
    <t>KOM. MARGAHURIP ASIH</t>
  </si>
  <si>
    <t>KEC. BANJARAN</t>
  </si>
  <si>
    <t>KC-26-000411</t>
  </si>
  <si>
    <t>18/06/26 09.54</t>
  </si>
  <si>
    <t>EG02311</t>
  </si>
  <si>
    <t>2026058651</t>
  </si>
  <si>
    <t>30/06/26 19.12</t>
  </si>
  <si>
    <t>146ARI2606-0851</t>
  </si>
  <si>
    <t>MHFABAAA0T0053477</t>
  </si>
  <si>
    <t>M20A-NF81765</t>
  </si>
  <si>
    <t>CST-000830280</t>
  </si>
  <si>
    <t>GOUW TJIN HOA</t>
  </si>
  <si>
    <t>JL.RAYA DAYEUHKOLOT NO.360 B</t>
  </si>
  <si>
    <t>KC-26-000441</t>
  </si>
  <si>
    <t>19/06/26 16.22</t>
  </si>
  <si>
    <t>EJ02239</t>
  </si>
  <si>
    <t>2026059815</t>
  </si>
  <si>
    <t>21/06/26 14.55</t>
  </si>
  <si>
    <t>146ARI2606-1440</t>
  </si>
  <si>
    <t>MHKAA1BY3TJ018572</t>
  </si>
  <si>
    <t>1NR-G331850</t>
  </si>
  <si>
    <t>CST-000831522</t>
  </si>
  <si>
    <t>GUGUM GUMILAR ANGGA DJAJA</t>
  </si>
  <si>
    <t>JL MANGGAHANG I</t>
  </si>
  <si>
    <t>KC-26-000455</t>
  </si>
  <si>
    <t>29/06/26 15.19</t>
  </si>
  <si>
    <t>F702807</t>
  </si>
  <si>
    <t>2026072159</t>
  </si>
  <si>
    <t>02/07/26 10.13</t>
  </si>
  <si>
    <t>146ARI2606-0418</t>
  </si>
  <si>
    <t>MHKAA1BY4TJ012912</t>
  </si>
  <si>
    <t>1NR-G318761</t>
  </si>
  <si>
    <t>CST-000828939</t>
  </si>
  <si>
    <t>TARMAN HADITSAH</t>
  </si>
  <si>
    <t>KOMP. PRIMA SWARGA RESIDENCE BLOK G-3 NO. 18</t>
  </si>
  <si>
    <t>KC-26-000383</t>
  </si>
  <si>
    <t>10/06/26 10.27</t>
  </si>
  <si>
    <t>B701832</t>
  </si>
  <si>
    <t>2026020018</t>
  </si>
  <si>
    <t>15/06/26 10.30</t>
  </si>
  <si>
    <t>146ARI2606-1422</t>
  </si>
  <si>
    <t>MHFABBAA3T0472980</t>
  </si>
  <si>
    <t>M20A-NF86147</t>
  </si>
  <si>
    <t>CST-000831692</t>
  </si>
  <si>
    <t>HASANUDIN</t>
  </si>
  <si>
    <t>GRIYA PERMATA ASRI E9/34</t>
  </si>
  <si>
    <t>KEC. CIPOCOK JAYA</t>
  </si>
  <si>
    <t>KC-26-000481</t>
  </si>
  <si>
    <t>30/06/26 15.04</t>
  </si>
  <si>
    <t>EJ02438</t>
  </si>
  <si>
    <t>2026059528</t>
  </si>
  <si>
    <t>02/07/26 11.20</t>
  </si>
  <si>
    <t>146ARI2606-1135</t>
  </si>
  <si>
    <t>JTNACAAH3T8016863</t>
  </si>
  <si>
    <t>A25A-6511922</t>
  </si>
  <si>
    <t>CST-000831043</t>
  </si>
  <si>
    <t>HERDIA</t>
  </si>
  <si>
    <t>NOVITA MELANI SUTRISNA</t>
  </si>
  <si>
    <t>JL. VILA BANDUNG INDAH NO.56</t>
  </si>
  <si>
    <t>KC-26-000426</t>
  </si>
  <si>
    <t>25/06/26 13.06</t>
  </si>
  <si>
    <t>EN00138</t>
  </si>
  <si>
    <t>2026051972</t>
  </si>
  <si>
    <t>27/06/26 18.34</t>
  </si>
  <si>
    <t>146ARI2606-1446</t>
  </si>
  <si>
    <t>A351RA-GMEFJ-00</t>
  </si>
  <si>
    <t>MHKAB1BC5TJ088382</t>
  </si>
  <si>
    <t>WA-A256906</t>
  </si>
  <si>
    <t>CST-000831337</t>
  </si>
  <si>
    <t>IIN IRNAWATI</t>
  </si>
  <si>
    <t>JL. CIBOLERANG NO. 35</t>
  </si>
  <si>
    <t>KC-26-000466</t>
  </si>
  <si>
    <t>27/06/26 14.22</t>
  </si>
  <si>
    <t>FR01086</t>
  </si>
  <si>
    <t>2026073301</t>
  </si>
  <si>
    <t>01/07/26 10.11</t>
  </si>
  <si>
    <t>146ARI2606-0293</t>
  </si>
  <si>
    <t>MHFABBAA9T0473079</t>
  </si>
  <si>
    <t>M20A-NF86454</t>
  </si>
  <si>
    <t>CST-000828622</t>
  </si>
  <si>
    <t>IKHSAN WAHYUDI</t>
  </si>
  <si>
    <t>JL TANJUNG SARI RAYA NO 50</t>
  </si>
  <si>
    <t>KC-26-000265</t>
  </si>
  <si>
    <t>08/06/26 12.24</t>
  </si>
  <si>
    <t>EJ02567</t>
  </si>
  <si>
    <t>2026060236</t>
  </si>
  <si>
    <t>10/06/26 13.37</t>
  </si>
  <si>
    <t>146ARI2606-1044</t>
  </si>
  <si>
    <t>MHKA6GJ6JTJ229852</t>
  </si>
  <si>
    <t>3NR-5A01866</t>
  </si>
  <si>
    <t>CST-000828888</t>
  </si>
  <si>
    <t>INDRA GUNAWAN</t>
  </si>
  <si>
    <t>PERUMAHAN BUKIT BUNGA KOPO JLN DAHLIA C NO 9</t>
  </si>
  <si>
    <t>KC-26-000374</t>
  </si>
  <si>
    <t>09/06/26 16.43</t>
  </si>
  <si>
    <t>FO02346</t>
  </si>
  <si>
    <t>2026069544</t>
  </si>
  <si>
    <t>24/06/26 16.58</t>
  </si>
  <si>
    <t>146ARI2606-1403</t>
  </si>
  <si>
    <t>JTFST22P4T0055357</t>
  </si>
  <si>
    <t>1KD-B235490</t>
  </si>
  <si>
    <t>CST-000831548</t>
  </si>
  <si>
    <t>INGRINA DIANA PANDIANGAN</t>
  </si>
  <si>
    <t>JL. KEBON KOPI GG.PAMAJO NO.130</t>
  </si>
  <si>
    <t>KC-26-000438</t>
  </si>
  <si>
    <t>29/06/26 17.00</t>
  </si>
  <si>
    <t>DP00461</t>
  </si>
  <si>
    <t>2026044175</t>
  </si>
  <si>
    <t>07/07/26 10.00</t>
  </si>
  <si>
    <t>146ARI2606-1137</t>
  </si>
  <si>
    <t>MHKA6GJ6JTJ229183</t>
  </si>
  <si>
    <t>3NR-5A00661</t>
  </si>
  <si>
    <t>CST-000830096</t>
  </si>
  <si>
    <t>IRHAM AWALUDIN</t>
  </si>
  <si>
    <t>ERNI SUMARNI</t>
  </si>
  <si>
    <t>KP. CILANGKOB</t>
  </si>
  <si>
    <t>KEC. CIKALONG WETAN</t>
  </si>
  <si>
    <t>KC-26-000353</t>
  </si>
  <si>
    <t>18/06/26 13.34</t>
  </si>
  <si>
    <t>FO01414</t>
  </si>
  <si>
    <t>2026066127</t>
  </si>
  <si>
    <t>27/06/26 12.16</t>
  </si>
  <si>
    <t>146ARI2606-1111</t>
  </si>
  <si>
    <t>MHKAA1BY3TJ018586</t>
  </si>
  <si>
    <t>1NR-G331727</t>
  </si>
  <si>
    <t>CST-000830496</t>
  </si>
  <si>
    <t>IRMA ROSMAYANTI</t>
  </si>
  <si>
    <t>JL. BABAKAN PRIANGAN RAYA NO. 47</t>
  </si>
  <si>
    <t>KC-26-000442</t>
  </si>
  <si>
    <t>22/06/26 10.45</t>
  </si>
  <si>
    <t>F702827</t>
  </si>
  <si>
    <t>2026071000</t>
  </si>
  <si>
    <t>26/06/26 10.00</t>
  </si>
  <si>
    <t>146ARI2606-0933</t>
  </si>
  <si>
    <t>MHFAA8GS3T0937697</t>
  </si>
  <si>
    <t>1GD-5987576</t>
  </si>
  <si>
    <t>CST-000830499</t>
  </si>
  <si>
    <t>KERIS SAPUTRA</t>
  </si>
  <si>
    <t>KOMPLEK CHERRY FIELD CLUSTER CRESIDA, JALAN CIGANITRI 168K</t>
  </si>
  <si>
    <t>KC-26-000378</t>
  </si>
  <si>
    <t>22/06/26 10.52</t>
  </si>
  <si>
    <t>EF00489</t>
  </si>
  <si>
    <t>2026051590</t>
  </si>
  <si>
    <t>23/06/26 10.47</t>
  </si>
  <si>
    <t>146ARI2606-1379</t>
  </si>
  <si>
    <t>MHFAA8GS2T0937528</t>
  </si>
  <si>
    <t>1GD-5984267</t>
  </si>
  <si>
    <t>CST-000831478</t>
  </si>
  <si>
    <t>KURNIAWAN</t>
  </si>
  <si>
    <t>KP RANCAMALANG</t>
  </si>
  <si>
    <t>KC-26-000479</t>
  </si>
  <si>
    <t>29/06/26 13.39</t>
  </si>
  <si>
    <t>EF00338</t>
  </si>
  <si>
    <t>2026050353</t>
  </si>
  <si>
    <t>30/06/26 12.25</t>
  </si>
  <si>
    <t>146ARI2606-0430</t>
  </si>
  <si>
    <t>MHKA6GJ6JTJ228678</t>
  </si>
  <si>
    <t>3NR-H998989</t>
  </si>
  <si>
    <t>CST-000828889</t>
  </si>
  <si>
    <t>LISNAWATI</t>
  </si>
  <si>
    <t>KP.CIBEDUG</t>
  </si>
  <si>
    <t>KC-26-000364</t>
  </si>
  <si>
    <t>09/06/26 16.51</t>
  </si>
  <si>
    <t>FO00650</t>
  </si>
  <si>
    <t>2026063558</t>
  </si>
  <si>
    <t>12/06/26 14.43</t>
  </si>
  <si>
    <t>146ARI2606-0116</t>
  </si>
  <si>
    <t>MR0BB3CD1T5819384</t>
  </si>
  <si>
    <t>2GD-J172623</t>
  </si>
  <si>
    <t>CST-000824875</t>
  </si>
  <si>
    <t>M. HIBBATUL WAFI</t>
  </si>
  <si>
    <t>LULUK FITRIYAH</t>
  </si>
  <si>
    <t>KOMPLEK CHERRY FIELD CLUSTER GRAND CALISTA 168S</t>
  </si>
  <si>
    <t>003-26.21309998</t>
  </si>
  <si>
    <t>KC-26-000234</t>
  </si>
  <si>
    <t>08/05/26 18.20</t>
  </si>
  <si>
    <t>FB00201</t>
  </si>
  <si>
    <t>2026061419</t>
  </si>
  <si>
    <t>05/06/26 17.17</t>
  </si>
  <si>
    <t>146ARI2606-0769</t>
  </si>
  <si>
    <t>MHKAA1BY8TJ013092</t>
  </si>
  <si>
    <t>1NR-G319144</t>
  </si>
  <si>
    <t>CST-000828596</t>
  </si>
  <si>
    <t>MUSROIL</t>
  </si>
  <si>
    <t>KP GANDRUNG</t>
  </si>
  <si>
    <t>KC-26-000354</t>
  </si>
  <si>
    <t>08/06/26 15.13</t>
  </si>
  <si>
    <t>B702380</t>
  </si>
  <si>
    <t>2026024312</t>
  </si>
  <si>
    <t>19/06/26 12.57</t>
  </si>
  <si>
    <t>146ARI2606-1340</t>
  </si>
  <si>
    <t>MHFJB8EM5T1194388</t>
  </si>
  <si>
    <t>2GD-1975160</t>
  </si>
  <si>
    <t>CST-000830797</t>
  </si>
  <si>
    <t>NANDO WIJAYA</t>
  </si>
  <si>
    <t>JL.CIBOLERANG BARAT</t>
  </si>
  <si>
    <t>KC-26-000435</t>
  </si>
  <si>
    <t>23/06/26 16.39</t>
  </si>
  <si>
    <t>EC01788</t>
  </si>
  <si>
    <t>2026053147</t>
  </si>
  <si>
    <t>05/07/26 16.03</t>
  </si>
  <si>
    <t>146ARI2606-0675</t>
  </si>
  <si>
    <t>MHKAB1BY4TJ022787</t>
  </si>
  <si>
    <t>2NR-4G10705</t>
  </si>
  <si>
    <t>CST-000829594</t>
  </si>
  <si>
    <t>NATANAEL MUHAMAD FIKRI AL GIFARI</t>
  </si>
  <si>
    <t>JL BABAKAN CIPARAY GG H ZAKARIA</t>
  </si>
  <si>
    <t>KC-26-000434</t>
  </si>
  <si>
    <t>15/06/26 09.48</t>
  </si>
  <si>
    <t>F701581</t>
  </si>
  <si>
    <t>2026066215</t>
  </si>
  <si>
    <t>19/06/26 07.46</t>
  </si>
  <si>
    <t>146ARI2606-0771</t>
  </si>
  <si>
    <t>JTF2A9CP4T6013443</t>
  </si>
  <si>
    <t>1GD-9756926</t>
  </si>
  <si>
    <t>CST-000830149</t>
  </si>
  <si>
    <t>JIHAN KHOIRUL ALLIA</t>
  </si>
  <si>
    <t>KC-26-000436</t>
  </si>
  <si>
    <t>18/06/26 17.11</t>
  </si>
  <si>
    <t>EP00071</t>
  </si>
  <si>
    <t>23/06/26 17.02</t>
  </si>
  <si>
    <t>146ARI2606-0767</t>
  </si>
  <si>
    <t>MHKAB1BY2TJ022982</t>
  </si>
  <si>
    <t>2NR-4G12631</t>
  </si>
  <si>
    <t>CST-000828807</t>
  </si>
  <si>
    <t>NENAH RODIAH</t>
  </si>
  <si>
    <t>NANA PRIATNA</t>
  </si>
  <si>
    <t>JL RH ABDUL HALIM NO 1</t>
  </si>
  <si>
    <t>KC-26-000393</t>
  </si>
  <si>
    <t>09/06/26 11.07</t>
  </si>
  <si>
    <t>F702035</t>
  </si>
  <si>
    <t>2026067947</t>
  </si>
  <si>
    <t>19/06/26 17.54</t>
  </si>
  <si>
    <t>146ARI2606-1092</t>
  </si>
  <si>
    <t>MHKA6GK6JTJ092435</t>
  </si>
  <si>
    <t>3NR-5A02022</t>
  </si>
  <si>
    <t>CST-000828442</t>
  </si>
  <si>
    <t>NENDEN IRMAYANTI</t>
  </si>
  <si>
    <t>JL. BABAKAN SARI III NO. 260</t>
  </si>
  <si>
    <t>KC-26-000389</t>
  </si>
  <si>
    <t>06/06/26 12.34</t>
  </si>
  <si>
    <t>FO02752</t>
  </si>
  <si>
    <t>2026070753</t>
  </si>
  <si>
    <t>26/06/26 14.40</t>
  </si>
  <si>
    <t>146ARI2606-0681</t>
  </si>
  <si>
    <t>MHKAA1BY1TJ017985</t>
  </si>
  <si>
    <t>1NR-G330649</t>
  </si>
  <si>
    <t>CST-000829450</t>
  </si>
  <si>
    <t>NIA FITRIA</t>
  </si>
  <si>
    <t>TIO ILHAMI</t>
  </si>
  <si>
    <t>JL MEKARSARI 2</t>
  </si>
  <si>
    <t>3273245601960002</t>
  </si>
  <si>
    <t>KC-26-000396</t>
  </si>
  <si>
    <t>13/06/26 12.42</t>
  </si>
  <si>
    <t>F701514</t>
  </si>
  <si>
    <t>2026065483</t>
  </si>
  <si>
    <t>21/06/26 08.36</t>
  </si>
  <si>
    <t>146ARI2606-0407</t>
  </si>
  <si>
    <t>MHKAB1BC9TJ087574</t>
  </si>
  <si>
    <t>WA-A253875</t>
  </si>
  <si>
    <t>CST-000828471</t>
  </si>
  <si>
    <t>NINA FITRIYANA</t>
  </si>
  <si>
    <t>PERUM BUMI BALE ENDAH ASRI BLOK D2 NO 2</t>
  </si>
  <si>
    <t>KC-26-000362</t>
  </si>
  <si>
    <t>06/06/26 14.32</t>
  </si>
  <si>
    <t>FR00289</t>
  </si>
  <si>
    <t>2026064772</t>
  </si>
  <si>
    <t>13/06/26 14.22</t>
  </si>
  <si>
    <t>146ARI2606-0118</t>
  </si>
  <si>
    <t>MHKAB1BC2TJ087349</t>
  </si>
  <si>
    <t>WA-A252720</t>
  </si>
  <si>
    <t>CST-000827549</t>
  </si>
  <si>
    <t>PT. ALHASHMI INTERNATIONAL TRADERS</t>
  </si>
  <si>
    <t>DAWOOD</t>
  </si>
  <si>
    <t>KP. JAGABAYA KALER</t>
  </si>
  <si>
    <t>003-26.21309999</t>
  </si>
  <si>
    <t>0990102386601000</t>
  </si>
  <si>
    <t>KC-26-000335</t>
  </si>
  <si>
    <t>30/05/26 15.37</t>
  </si>
  <si>
    <t>FR00094</t>
  </si>
  <si>
    <t>2026061700</t>
  </si>
  <si>
    <t>06/06/26 15.08</t>
  </si>
  <si>
    <t>146ARI2606-0893</t>
  </si>
  <si>
    <t>JTFST22P2T0055650</t>
  </si>
  <si>
    <t>1KD-B238944</t>
  </si>
  <si>
    <t>CST-000830224</t>
  </si>
  <si>
    <t>PT FOCUS SUGIHARTO BERKAH</t>
  </si>
  <si>
    <t>JALAN RD. H KANTI NO 34</t>
  </si>
  <si>
    <t>0198240319422000</t>
  </si>
  <si>
    <t>KC-26-000413</t>
  </si>
  <si>
    <t>FP00053</t>
  </si>
  <si>
    <t>2026064937</t>
  </si>
  <si>
    <t>26/06/26 11.42</t>
  </si>
  <si>
    <t>146ARI2606-0790</t>
  </si>
  <si>
    <t>20/06/26 13.00</t>
  </si>
  <si>
    <t>146ARI2606-0791</t>
  </si>
  <si>
    <t>146ARI2606-1221</t>
  </si>
  <si>
    <t>MHFABBAA3T0474681</t>
  </si>
  <si>
    <t>M20A-NG00593</t>
  </si>
  <si>
    <t>CST-000831251</t>
  </si>
  <si>
    <t>PT. GENBODY INDONESIA SEJAHTERA</t>
  </si>
  <si>
    <t>GENBODY INDONESIA SEJAHTERA</t>
  </si>
  <si>
    <t>JALAN RAYA KOPO NO.455 BIZPARK COMMERCIA ESTATE BLOK A6 NO.06</t>
  </si>
  <si>
    <t>KC-26-000443</t>
  </si>
  <si>
    <t>FJ02384</t>
  </si>
  <si>
    <t>2026070170</t>
  </si>
  <si>
    <t>06/07/26 09.00</t>
  </si>
  <si>
    <t>146ARI2606-0679</t>
  </si>
  <si>
    <t>JTF2A9CP9T6012966</t>
  </si>
  <si>
    <t>1GD-9726556</t>
  </si>
  <si>
    <t>KCMG062614</t>
  </si>
  <si>
    <t>SINTA MUSTIKA</t>
  </si>
  <si>
    <t>CST-000829445</t>
  </si>
  <si>
    <t>PT. SINAR PELITA JAYAABADI</t>
  </si>
  <si>
    <t>PT SINAR PELITA JAYAABADI</t>
  </si>
  <si>
    <t>JL RAYA CILEUNYI KM 19 NO 8 KAMPUNG PASIR TUKUL</t>
  </si>
  <si>
    <t>KC-26-000406</t>
  </si>
  <si>
    <t>13/06/26 11.52</t>
  </si>
  <si>
    <t>DP00090</t>
  </si>
  <si>
    <t>2026034684</t>
  </si>
  <si>
    <t>20/06/26 11.30</t>
  </si>
  <si>
    <t>146ARI2606-1381</t>
  </si>
  <si>
    <t>MHKAB1BYXTJ022924</t>
  </si>
  <si>
    <t>2NR-4G11488</t>
  </si>
  <si>
    <t>CST-000794405</t>
  </si>
  <si>
    <t>KC-26-000458</t>
  </si>
  <si>
    <t>29/06/26 15.48</t>
  </si>
  <si>
    <t>F702001</t>
  </si>
  <si>
    <t>13/08/26</t>
  </si>
  <si>
    <t>2026068282</t>
  </si>
  <si>
    <t>31/07/26 08.00</t>
  </si>
  <si>
    <t>146ARI2606-0127</t>
  </si>
  <si>
    <t>MHFA71BY6T0007083</t>
  </si>
  <si>
    <t>2NR-Y693568</t>
  </si>
  <si>
    <t>CST-000797038</t>
  </si>
  <si>
    <t>PT. TETRA OETAMA PUTRA</t>
  </si>
  <si>
    <t>PT TETRA OETAMA PUTRA</t>
  </si>
  <si>
    <t>JL CIBOLERANG NO 25</t>
  </si>
  <si>
    <t>003-26.21309993</t>
  </si>
  <si>
    <t>0856966189422000</t>
  </si>
  <si>
    <t>KC-26-000370</t>
  </si>
  <si>
    <t>04/06/26 13.25</t>
  </si>
  <si>
    <t>D802825</t>
  </si>
  <si>
    <t>05/07/26</t>
  </si>
  <si>
    <t>2026046215</t>
  </si>
  <si>
    <t>08/06/26 10.53</t>
  </si>
  <si>
    <t>146ARI2606-1370</t>
  </si>
  <si>
    <t>MHKE8FA2JTK026366</t>
  </si>
  <si>
    <t>2NR-4F99360</t>
  </si>
  <si>
    <t>CST-000829071</t>
  </si>
  <si>
    <t>PT. TANI MURNI INDONESIA</t>
  </si>
  <si>
    <t>JL. PASIRKALIKI NO. 112-114</t>
  </si>
  <si>
    <t>0736367657428000</t>
  </si>
  <si>
    <t>KC-26-000400</t>
  </si>
  <si>
    <t>10/06/26 18.48</t>
  </si>
  <si>
    <t>EG01725</t>
  </si>
  <si>
    <t>2026056334</t>
  </si>
  <si>
    <t>30/06/26 18.37</t>
  </si>
  <si>
    <t>146ARI2606-1373</t>
  </si>
  <si>
    <t>MHKE8FA2JTK026418</t>
  </si>
  <si>
    <t>2NR-4G03069</t>
  </si>
  <si>
    <t>CST-000829072</t>
  </si>
  <si>
    <t>PT.TANI MURNI INDONESIA</t>
  </si>
  <si>
    <t>JL. PAAIRKALIKI NO 112-114</t>
  </si>
  <si>
    <t>KC-26-000395</t>
  </si>
  <si>
    <t>10/06/26 19.10</t>
  </si>
  <si>
    <t>EG02455</t>
  </si>
  <si>
    <t>2026059910</t>
  </si>
  <si>
    <t>30/06/26 19.02</t>
  </si>
  <si>
    <t>146ARI2606-1375</t>
  </si>
  <si>
    <t>MHKE8FA2JTK026463</t>
  </si>
  <si>
    <t>2NR-4G05464</t>
  </si>
  <si>
    <t>KC-26-000301</t>
  </si>
  <si>
    <t>10/06/26 18.27</t>
  </si>
  <si>
    <t>FG00324</t>
  </si>
  <si>
    <t>2026062741</t>
  </si>
  <si>
    <t>30/06/26 12.35</t>
  </si>
  <si>
    <t>146ARI2606-0432</t>
  </si>
  <si>
    <t>MHKA6GJ6JTJ228899</t>
  </si>
  <si>
    <t>3NR-5A00006</t>
  </si>
  <si>
    <t>CST-000826135</t>
  </si>
  <si>
    <t>RANA</t>
  </si>
  <si>
    <t>JL BABAKAN CIPARAY GG ELOS 1</t>
  </si>
  <si>
    <t>KC-26-000327</t>
  </si>
  <si>
    <t>18/05/26 17.10</t>
  </si>
  <si>
    <t>FO00997</t>
  </si>
  <si>
    <t>2026064347</t>
  </si>
  <si>
    <t>12/06/26 16.47</t>
  </si>
  <si>
    <t>146ARI2606-1338</t>
  </si>
  <si>
    <t>MHKE8FB3JTK122101</t>
  </si>
  <si>
    <t>2NR-4G14544</t>
  </si>
  <si>
    <t>CST-000831407</t>
  </si>
  <si>
    <t>RINA NURMALASARI</t>
  </si>
  <si>
    <t>FAZA INDIRA PRATAMA PUTRI</t>
  </si>
  <si>
    <t>JL. CIPADUNG WETAN</t>
  </si>
  <si>
    <t>KC-26-000469</t>
  </si>
  <si>
    <t>29/06/26 10.01</t>
  </si>
  <si>
    <t>FG01650</t>
  </si>
  <si>
    <t>2026069824</t>
  </si>
  <si>
    <t>30/06/26 14.19</t>
  </si>
  <si>
    <t>146ARI2606-0344</t>
  </si>
  <si>
    <t>MHKA6GJ6JTJ228383</t>
  </si>
  <si>
    <t>3NR-H998335</t>
  </si>
  <si>
    <t>CST-000828705</t>
  </si>
  <si>
    <t>RINTO GUNADI</t>
  </si>
  <si>
    <t>KOMP BATUKARUT REGENCY BLOK NAMBO</t>
  </si>
  <si>
    <t>KC-26-000390</t>
  </si>
  <si>
    <t>08/06/26 16.07</t>
  </si>
  <si>
    <t>FO00197</t>
  </si>
  <si>
    <t>2026061748</t>
  </si>
  <si>
    <t>12/06/26 15.48</t>
  </si>
  <si>
    <t>146ARI2606-0935</t>
  </si>
  <si>
    <t>MHKAB1BC4TJ087997</t>
  </si>
  <si>
    <t>WA-A255649</t>
  </si>
  <si>
    <t>CST-000826457</t>
  </si>
  <si>
    <t>RISKA REGITA CAHYANI</t>
  </si>
  <si>
    <t>PERUM BUKIT PURI ASRI BLOK D2 NO 17</t>
  </si>
  <si>
    <t>KC-26-000313</t>
  </si>
  <si>
    <t>21/05/26 08.52</t>
  </si>
  <si>
    <t>FR00705</t>
  </si>
  <si>
    <t>2026069695</t>
  </si>
  <si>
    <t>23/06/26 06.32</t>
  </si>
  <si>
    <t>146ARI2606-0772</t>
  </si>
  <si>
    <t>MHKA6GJ6JTJ229596</t>
  </si>
  <si>
    <t>3NR-5A01149</t>
  </si>
  <si>
    <t>CST-000826437</t>
  </si>
  <si>
    <t>RITA MARDIANI</t>
  </si>
  <si>
    <t>KP TUGU 1</t>
  </si>
  <si>
    <t>KC-26-000328</t>
  </si>
  <si>
    <t>20/05/26 17.36</t>
  </si>
  <si>
    <t>FO01932</t>
  </si>
  <si>
    <t>2026068374</t>
  </si>
  <si>
    <t>22/06/26 13.00</t>
  </si>
  <si>
    <t>146ARI2606-0227</t>
  </si>
  <si>
    <t>MHFA71BY8T0008736</t>
  </si>
  <si>
    <t>2NR-Y704282</t>
  </si>
  <si>
    <t>CST-000828445</t>
  </si>
  <si>
    <t>RITA ROSALITA, SE</t>
  </si>
  <si>
    <t>KP. CIKANDE</t>
  </si>
  <si>
    <t>KC-26-000302</t>
  </si>
  <si>
    <t>06/06/26 13.10</t>
  </si>
  <si>
    <t>E801572</t>
  </si>
  <si>
    <t>2026057151</t>
  </si>
  <si>
    <t>10/06/26 12.28</t>
  </si>
  <si>
    <t>146ARI2606-1071</t>
  </si>
  <si>
    <t>MHFJB8EM3T1193952</t>
  </si>
  <si>
    <t>2GD-1973032</t>
  </si>
  <si>
    <t>ROBY SEPTIADI</t>
  </si>
  <si>
    <t>RADEN RENI ANGGRAENI</t>
  </si>
  <si>
    <t>7174042709780003</t>
  </si>
  <si>
    <t>KC-26-000432</t>
  </si>
  <si>
    <t>24/06/26 11.46</t>
  </si>
  <si>
    <t>EC01405</t>
  </si>
  <si>
    <t>2026051650</t>
  </si>
  <si>
    <t>30/06/26 11.07</t>
  </si>
  <si>
    <t>146ARI2606-0658</t>
  </si>
  <si>
    <t>MHKA6GJ6JTJ229258</t>
  </si>
  <si>
    <t>3NR-5A00786</t>
  </si>
  <si>
    <t>CST-000828718</t>
  </si>
  <si>
    <t>SAIDI RAHMAN</t>
  </si>
  <si>
    <t>KP CIGOROWONG</t>
  </si>
  <si>
    <t>KEC. CILENGKRANG</t>
  </si>
  <si>
    <t>KC-26-000402</t>
  </si>
  <si>
    <t>09/06/26 14.37</t>
  </si>
  <si>
    <t>FO01528</t>
  </si>
  <si>
    <t>16/06/26 15.30</t>
  </si>
  <si>
    <t>146ARI2606-1419</t>
  </si>
  <si>
    <t>MHKE8FB3JTK122065</t>
  </si>
  <si>
    <t>2NR-4G14013</t>
  </si>
  <si>
    <t>CST-000831691</t>
  </si>
  <si>
    <t>SHOFYAN ABDUL RAHMAN</t>
  </si>
  <si>
    <t>JALAN KARTIKA II NO 92 G KPAD</t>
  </si>
  <si>
    <t>KC-26-000456</t>
  </si>
  <si>
    <t>30/06/26 14.53</t>
  </si>
  <si>
    <t>FG01582</t>
  </si>
  <si>
    <t>2026070766</t>
  </si>
  <si>
    <t>04/07/26 08.46</t>
  </si>
  <si>
    <t>146ARI2606-0263</t>
  </si>
  <si>
    <t>MHKA6GJ6JTJ228358</t>
  </si>
  <si>
    <t>3NR-H998309</t>
  </si>
  <si>
    <t>CST-000826897</t>
  </si>
  <si>
    <t>SONDANG SITUMORANG</t>
  </si>
  <si>
    <t>YOHAN</t>
  </si>
  <si>
    <t>APARTEMEN THE EDGE JL BAROS NO 57</t>
  </si>
  <si>
    <t>KC-26-000336</t>
  </si>
  <si>
    <t>26/05/26 09.55</t>
  </si>
  <si>
    <t>FO00248</t>
  </si>
  <si>
    <t>2026061293</t>
  </si>
  <si>
    <t>10/06/26 06.17</t>
  </si>
  <si>
    <t>146ARI2606-1215</t>
  </si>
  <si>
    <t>MHKE8FA3JTK146540</t>
  </si>
  <si>
    <t>2NR-4G16501</t>
  </si>
  <si>
    <t>CST-000831149</t>
  </si>
  <si>
    <t>SUKANDAR</t>
  </si>
  <si>
    <t>KP CITESPONG</t>
  </si>
  <si>
    <t>KC-26-000424</t>
  </si>
  <si>
    <t>26/06/26 10.38</t>
  </si>
  <si>
    <t>FG02014</t>
  </si>
  <si>
    <t>2026072122</t>
  </si>
  <si>
    <t>27/06/26 10.10</t>
  </si>
  <si>
    <t>146ARI2606-0114</t>
  </si>
  <si>
    <t>MHKAA1BY4TJ017060</t>
  </si>
  <si>
    <t>1NR-G328923</t>
  </si>
  <si>
    <t>CST-000828016</t>
  </si>
  <si>
    <t>SUSAN FITRIYANTY</t>
  </si>
  <si>
    <t>ATEP KOMARUDIN</t>
  </si>
  <si>
    <t>KP. SUKAMANAH</t>
  </si>
  <si>
    <t>003-26.21309997</t>
  </si>
  <si>
    <t>0442984274444000</t>
  </si>
  <si>
    <t>KC-26-000321</t>
  </si>
  <si>
    <t>04/06/26 07.50</t>
  </si>
  <si>
    <t>E703245</t>
  </si>
  <si>
    <t>2026059270</t>
  </si>
  <si>
    <t>06/06/26 17.45</t>
  </si>
  <si>
    <t>146ARI2606-1274</t>
  </si>
  <si>
    <t>MHKA6GK6JTJ092245</t>
  </si>
  <si>
    <t>3NR-5A01463</t>
  </si>
  <si>
    <t>CST-000830684</t>
  </si>
  <si>
    <t>SUSANTO</t>
  </si>
  <si>
    <t>JL. CIGANITRI NO. 80</t>
  </si>
  <si>
    <t>KC-26-000446</t>
  </si>
  <si>
    <t>23/06/26 09.34</t>
  </si>
  <si>
    <t>FO01984</t>
  </si>
  <si>
    <t>11/07/26</t>
  </si>
  <si>
    <t>2026068358</t>
  </si>
  <si>
    <t>29/06/26 13.00</t>
  </si>
  <si>
    <t>146ARI2606-0147</t>
  </si>
  <si>
    <t>MHKA6GJ6JTJ228406</t>
  </si>
  <si>
    <t>3NR-H998417</t>
  </si>
  <si>
    <t>CST-000828113</t>
  </si>
  <si>
    <t>TAOPIK RAHMAN</t>
  </si>
  <si>
    <t>BUMI PANYILEUKAN I.6 NO.21</t>
  </si>
  <si>
    <t>003-26.21309994</t>
  </si>
  <si>
    <t>KC-26-000346</t>
  </si>
  <si>
    <t>04/06/26 14.50</t>
  </si>
  <si>
    <t>FO00276</t>
  </si>
  <si>
    <t>2026061800</t>
  </si>
  <si>
    <t>08/06/26 13.17</t>
  </si>
  <si>
    <t>146ARI2606-0213</t>
  </si>
  <si>
    <t>MHKAB1BY0TJ022222</t>
  </si>
  <si>
    <t>2NR-4G04615</t>
  </si>
  <si>
    <t>CST-000819509</t>
  </si>
  <si>
    <t>TARINA NINGSIH</t>
  </si>
  <si>
    <t>KP.  GEMPOL</t>
  </si>
  <si>
    <t>003-26.21309995</t>
  </si>
  <si>
    <t>KC-26-000148</t>
  </si>
  <si>
    <t>01/04/26 11.54</t>
  </si>
  <si>
    <t>F700439</t>
  </si>
  <si>
    <t>2026061850</t>
  </si>
  <si>
    <t>08/06/26 09.47</t>
  </si>
  <si>
    <t>146ARI2606-0742</t>
  </si>
  <si>
    <t>MAGA10R-BRXMBD-FE</t>
  </si>
  <si>
    <t>MHFAAAAA6T0051347</t>
  </si>
  <si>
    <t>M20A-NG03341</t>
  </si>
  <si>
    <t>CST-000828597</t>
  </si>
  <si>
    <t>TEDDY FACHRUL HIDAYAT</t>
  </si>
  <si>
    <t>ENDAS</t>
  </si>
  <si>
    <t>JL. MERKURI SELATAN VII NO. 11</t>
  </si>
  <si>
    <t>KC-26-000266</t>
  </si>
  <si>
    <t>08/06/26 11.51</t>
  </si>
  <si>
    <t>FJ01382</t>
  </si>
  <si>
    <t>2026067571</t>
  </si>
  <si>
    <t>18/06/26 08.15</t>
  </si>
  <si>
    <t>146ARI2606-1040</t>
  </si>
  <si>
    <t>MHFABAAA5T0052793</t>
  </si>
  <si>
    <t>M20A-NF83827</t>
  </si>
  <si>
    <t>CST-000828780</t>
  </si>
  <si>
    <t>TITIN MARIA ULFAH</t>
  </si>
  <si>
    <t>JL. KIARA ASRI UTARA I F 52</t>
  </si>
  <si>
    <t>KC-26-000385</t>
  </si>
  <si>
    <t>09/06/26 09.21</t>
  </si>
  <si>
    <t>EJ00989</t>
  </si>
  <si>
    <t>2026051779</t>
  </si>
  <si>
    <t>24/06/26 21.53</t>
  </si>
  <si>
    <t>146ARI2606-1382</t>
  </si>
  <si>
    <t>MHKE8FB3JTK121826</t>
  </si>
  <si>
    <t>2NR-4G10126</t>
  </si>
  <si>
    <t>CST-000831535</t>
  </si>
  <si>
    <t>TOMI WARTIKA</t>
  </si>
  <si>
    <t>KP. CIPAKU PAKUTANDANG</t>
  </si>
  <si>
    <t>KC-26-000462</t>
  </si>
  <si>
    <t>29/06/26 15.58</t>
  </si>
  <si>
    <t>FG00975</t>
  </si>
  <si>
    <t>2026067815</t>
  </si>
  <si>
    <t>02/07/26 09.30</t>
  </si>
  <si>
    <t>146ARI2606-1448</t>
  </si>
  <si>
    <t>JTF2A9CPXT6013978</t>
  </si>
  <si>
    <t>1GD-9774460</t>
  </si>
  <si>
    <t>CST-000831660</t>
  </si>
  <si>
    <t>JL. TERUSAN KIARACONDONG NO. 47</t>
  </si>
  <si>
    <t>KC-26-000380</t>
  </si>
  <si>
    <t>30/06/26 13.13</t>
  </si>
  <si>
    <t>FP00046</t>
  </si>
  <si>
    <t>2026074032</t>
  </si>
  <si>
    <t>05/07/26 12.29</t>
  </si>
  <si>
    <t>146ARI2606-0792</t>
  </si>
  <si>
    <t>MHFABBAA4T0474382</t>
  </si>
  <si>
    <t>M20A-NF98989</t>
  </si>
  <si>
    <t>CST-000830220</t>
  </si>
  <si>
    <t>UDI SUHANDORO</t>
  </si>
  <si>
    <t>JL RAWAMAYA ELOK</t>
  </si>
  <si>
    <t>KC-26-000377</t>
  </si>
  <si>
    <t>FJ02007</t>
  </si>
  <si>
    <t>2026068398</t>
  </si>
  <si>
    <t>22/06/26 10.43</t>
  </si>
  <si>
    <t>146ARI2606-0743</t>
  </si>
  <si>
    <t>MHKA6GJ6JTJ229156</t>
  </si>
  <si>
    <t>3NR-5A00363</t>
  </si>
  <si>
    <t>CST-000829868</t>
  </si>
  <si>
    <t>VEGA HERDY</t>
  </si>
  <si>
    <t>CV ASWINDRA INTI REZEKI</t>
  </si>
  <si>
    <t>JALAN GAMELAN NO. 1 RT. 002 RW. 001 TURANGGA, LENGKONG KOTA BANDUNG JAWA BARAT</t>
  </si>
  <si>
    <t>KC-26-000422</t>
  </si>
  <si>
    <t>17/06/26 17.17</t>
  </si>
  <si>
    <t>FO01376</t>
  </si>
  <si>
    <t>23/06/26 17.03</t>
  </si>
  <si>
    <t>146ARI2606-0405</t>
  </si>
  <si>
    <t>MHFJB8EM1T1194016</t>
  </si>
  <si>
    <t>2GD-1973498</t>
  </si>
  <si>
    <t>CST-000828852</t>
  </si>
  <si>
    <t>WILZAN MULIA ALHADI</t>
  </si>
  <si>
    <t>JL CIBOGO ATAS</t>
  </si>
  <si>
    <t>KC-26-000391</t>
  </si>
  <si>
    <t>09/06/26 14.14</t>
  </si>
  <si>
    <t>EC01273</t>
  </si>
  <si>
    <t>18/06/26 11.30</t>
  </si>
  <si>
    <t>146ARI2606-0346</t>
  </si>
  <si>
    <t>MHFA71BY1T0010182</t>
  </si>
  <si>
    <t>2NR-Y713740</t>
  </si>
  <si>
    <t>CST-000828999</t>
  </si>
  <si>
    <t>YESI PRIMADORA, SH</t>
  </si>
  <si>
    <t>JL. SEKELOA NO 32</t>
  </si>
  <si>
    <t>KC-26-000365</t>
  </si>
  <si>
    <t>10/06/26 15.12</t>
  </si>
  <si>
    <t>F800571</t>
  </si>
  <si>
    <t>2026064101</t>
  </si>
  <si>
    <t>20/06/26 16.23</t>
  </si>
  <si>
    <t>146ARI2606-0290</t>
  </si>
  <si>
    <t>MHKA6GK6JTJ091612</t>
  </si>
  <si>
    <t>3NR-H997682</t>
  </si>
  <si>
    <t>CST-000828515</t>
  </si>
  <si>
    <t>YULIANTO</t>
  </si>
  <si>
    <t>BOMBER V, NO. 5</t>
  </si>
  <si>
    <t>KC-26-000388</t>
  </si>
  <si>
    <t>07/06/26 19.18</t>
  </si>
  <si>
    <t>EO02420</t>
  </si>
  <si>
    <t>146ARI2606-1078</t>
  </si>
  <si>
    <t>MR0ACAEA8T0242284</t>
  </si>
  <si>
    <t>2GD-D575325</t>
  </si>
  <si>
    <t>CST-000830665</t>
  </si>
  <si>
    <t>ZAKARIA AL HARUN</t>
  </si>
  <si>
    <t>KP. RANCABUAYA</t>
  </si>
  <si>
    <t>KEC. CARINGIN</t>
  </si>
  <si>
    <t>KC-26-000403</t>
  </si>
  <si>
    <t>23/06/26 11.55</t>
  </si>
  <si>
    <t>CB01044</t>
  </si>
  <si>
    <t>2026030651</t>
  </si>
  <si>
    <t>26/06/26 18.00</t>
  </si>
  <si>
    <t>146ARI2607-0305</t>
  </si>
  <si>
    <t>Jul</t>
  </si>
  <si>
    <t>MHKA6GJ6JTJ230571</t>
  </si>
  <si>
    <t>3NR-5A03694</t>
  </si>
  <si>
    <t>CST-000831187</t>
  </si>
  <si>
    <t>AA BOIE FIRMANSYAH</t>
  </si>
  <si>
    <t>KOMPLEK TAMAN KOPO KATAPANG BLOK P9 NO. 10</t>
  </si>
  <si>
    <t>003-26.21311352</t>
  </si>
  <si>
    <t>KC-26-000445</t>
  </si>
  <si>
    <t>26/06/26 13.57</t>
  </si>
  <si>
    <t>FO03395</t>
  </si>
  <si>
    <t>20/07/26</t>
  </si>
  <si>
    <t>2026073740</t>
  </si>
  <si>
    <t>07/07/26 09.36</t>
  </si>
  <si>
    <t>146ARI2607-1229</t>
  </si>
  <si>
    <t>MHFJB8EMXT1199733</t>
  </si>
  <si>
    <t>2GD-J181716</t>
  </si>
  <si>
    <t>CST-000835020</t>
  </si>
  <si>
    <t>ACHMAD FARID</t>
  </si>
  <si>
    <t>VANI YULIANITA</t>
  </si>
  <si>
    <t>ASRAMA PUSSENKAV JL. TURANGGA BARAT 1 NO. 7B</t>
  </si>
  <si>
    <t>KC-26-000506</t>
  </si>
  <si>
    <t>25/07/26 11.27</t>
  </si>
  <si>
    <t>FC03316</t>
  </si>
  <si>
    <t>2026076639</t>
  </si>
  <si>
    <t>28/07/26 12.31</t>
  </si>
  <si>
    <t>146ARI2607-1416</t>
  </si>
  <si>
    <t>31/07/26</t>
  </si>
  <si>
    <t>MHKA6GJ6JTJ231975</t>
  </si>
  <si>
    <t>3NR-5A07368</t>
  </si>
  <si>
    <t>CST-000834828</t>
  </si>
  <si>
    <t>ADE ALIMIN</t>
  </si>
  <si>
    <t>GG MESJID AL HIDAYAH I NO 26</t>
  </si>
  <si>
    <t>KC-26-000485</t>
  </si>
  <si>
    <t>18/07/26</t>
  </si>
  <si>
    <t>23/07/26 15.17</t>
  </si>
  <si>
    <t>GO02037</t>
  </si>
  <si>
    <t>14/08/26</t>
  </si>
  <si>
    <t>2026085742</t>
  </si>
  <si>
    <t>28/07/26</t>
  </si>
  <si>
    <t>01/08/26 14.00</t>
  </si>
  <si>
    <t>146ARI2607-0624</t>
  </si>
  <si>
    <t>MHKA6GJ6JTJ230586</t>
  </si>
  <si>
    <t>3NR-5A03926</t>
  </si>
  <si>
    <t>CST-000833188</t>
  </si>
  <si>
    <t>ADI BING SLAMET GEA</t>
  </si>
  <si>
    <t>HEGAR ASRI RESIDENCE</t>
  </si>
  <si>
    <t>KC-26-000477</t>
  </si>
  <si>
    <t>10/07/26 18.53</t>
  </si>
  <si>
    <t>FO03469</t>
  </si>
  <si>
    <t>2026074189</t>
  </si>
  <si>
    <t>19/07/26 18.00</t>
  </si>
  <si>
    <t>146ARI2607-0945</t>
  </si>
  <si>
    <t>GUN226R-DTTHXD-00</t>
  </si>
  <si>
    <t>MR0HA3AV9T1003457</t>
  </si>
  <si>
    <t>1GD-6038348</t>
  </si>
  <si>
    <t>CST-000833452</t>
  </si>
  <si>
    <t>AGUS DUDI SETIAWAN S, SOS</t>
  </si>
  <si>
    <t>NENG YANI HARYANI</t>
  </si>
  <si>
    <t>KC-26-000503</t>
  </si>
  <si>
    <t>13/07/26 14.51</t>
  </si>
  <si>
    <t>GB02202</t>
  </si>
  <si>
    <t>05/08/26</t>
  </si>
  <si>
    <t>2026083262</t>
  </si>
  <si>
    <t>21/07/26</t>
  </si>
  <si>
    <t>23/07/26 08.00</t>
  </si>
  <si>
    <t>146ARI2607-1429</t>
  </si>
  <si>
    <t>MHKAB1BA6TJ172984</t>
  </si>
  <si>
    <t>WA-A261679</t>
  </si>
  <si>
    <t>CST-000835796</t>
  </si>
  <si>
    <t>AMELIA SILVANA ANGGRAENI</t>
  </si>
  <si>
    <t>RANCABOLANG</t>
  </si>
  <si>
    <t>KC-26-000539</t>
  </si>
  <si>
    <t>31/07/26 20.30</t>
  </si>
  <si>
    <t>GZ00460</t>
  </si>
  <si>
    <t>2026084214</t>
  </si>
  <si>
    <t>05/08/26 20.24</t>
  </si>
  <si>
    <t>146ARI2607-0567</t>
  </si>
  <si>
    <t>MHKE8FA3JTK147193</t>
  </si>
  <si>
    <t>2NR-4G24138</t>
  </si>
  <si>
    <t>CST-000833237</t>
  </si>
  <si>
    <t>ANDRI AHMAD TOHARI</t>
  </si>
  <si>
    <t>KC-26-000513</t>
  </si>
  <si>
    <t>11/07/26 11.07</t>
  </si>
  <si>
    <t>GG00709</t>
  </si>
  <si>
    <t>2026078819</t>
  </si>
  <si>
    <t>15/07/26 09.21</t>
  </si>
  <si>
    <t>146ARI2607-0387</t>
  </si>
  <si>
    <t>MHKAA1BY5TJ019285</t>
  </si>
  <si>
    <t>1NR-G333001</t>
  </si>
  <si>
    <t>ANGGIE CHRISNA DEWI</t>
  </si>
  <si>
    <t>3211014205920007</t>
  </si>
  <si>
    <t>KC-26-000399</t>
  </si>
  <si>
    <t>06/07/26 15.16</t>
  </si>
  <si>
    <t>G700616</t>
  </si>
  <si>
    <t>2026075763</t>
  </si>
  <si>
    <t>11/07/26 08.20</t>
  </si>
  <si>
    <t>146ARI2607-1320</t>
  </si>
  <si>
    <t>MHKA6GJ6JTJ231845</t>
  </si>
  <si>
    <t>3NR-5A07017</t>
  </si>
  <si>
    <t>CST-000832769</t>
  </si>
  <si>
    <t>ANNO ADE HASOLOAN SILITONGA</t>
  </si>
  <si>
    <t>3273031110880002</t>
  </si>
  <si>
    <t>KC-26-000498</t>
  </si>
  <si>
    <t>08/07/26 11.21</t>
  </si>
  <si>
    <t>GO01785</t>
  </si>
  <si>
    <t>12/08/26</t>
  </si>
  <si>
    <t>30/07/26 11.13</t>
  </si>
  <si>
    <t>146ARI2607-0505</t>
  </si>
  <si>
    <t>MHKE8FA3JTK146979</t>
  </si>
  <si>
    <t>2NR-4G22018</t>
  </si>
  <si>
    <t>CST-000832974</t>
  </si>
  <si>
    <t>ASEP MISBAH</t>
  </si>
  <si>
    <t>JL. CIBADUYUT GG. IBU IPONG</t>
  </si>
  <si>
    <t>16/07/26</t>
  </si>
  <si>
    <t>KC-26-000490</t>
  </si>
  <si>
    <t>09/07/26 14.24</t>
  </si>
  <si>
    <t>GG00300</t>
  </si>
  <si>
    <t>2026076393</t>
  </si>
  <si>
    <t>13/07/26 19.06</t>
  </si>
  <si>
    <t>146ARI2607-1427</t>
  </si>
  <si>
    <t>MHKA6GJ6JTJ232082</t>
  </si>
  <si>
    <t>3NR-5A07697</t>
  </si>
  <si>
    <t>CST-000835785</t>
  </si>
  <si>
    <t>ASEP ROSIDIN P</t>
  </si>
  <si>
    <t>BLOK DESA</t>
  </si>
  <si>
    <t>KC-26-000552</t>
  </si>
  <si>
    <t>31/07/26 18.47</t>
  </si>
  <si>
    <t>GO02248</t>
  </si>
  <si>
    <t>2026087183</t>
  </si>
  <si>
    <t>01/08/26 18.39</t>
  </si>
  <si>
    <t>146ARI2607-0503</t>
  </si>
  <si>
    <t>MHKAA1BY4TJ019391</t>
  </si>
  <si>
    <t>1NR-G333155</t>
  </si>
  <si>
    <t>CST-000832040</t>
  </si>
  <si>
    <t>ASEP SOPYAN</t>
  </si>
  <si>
    <t>CIJAWURA GIRANG V</t>
  </si>
  <si>
    <t>KC-26-000429</t>
  </si>
  <si>
    <t>02/07/26 14.27</t>
  </si>
  <si>
    <t>G700702</t>
  </si>
  <si>
    <t>2026076955</t>
  </si>
  <si>
    <t>13/07/26 08.52</t>
  </si>
  <si>
    <t>146ARI2607-1180</t>
  </si>
  <si>
    <t>XK1</t>
  </si>
  <si>
    <t>BLACK YELLOW</t>
  </si>
  <si>
    <t>MHKAA1BA0TJ195325</t>
  </si>
  <si>
    <t>1KR-B058751</t>
  </si>
  <si>
    <t>CST-000832798</t>
  </si>
  <si>
    <t>CEP ADE HENDRIANA</t>
  </si>
  <si>
    <t>REYSA SITI KULSUM</t>
  </si>
  <si>
    <t>KP SINDANG SARI</t>
  </si>
  <si>
    <t>KC-26-000497</t>
  </si>
  <si>
    <t>08/07/26 14.26</t>
  </si>
  <si>
    <t>GZ00394</t>
  </si>
  <si>
    <t>2026084914</t>
  </si>
  <si>
    <t>24/07/26</t>
  </si>
  <si>
    <t>28/07/26 15.59</t>
  </si>
  <si>
    <t>146ARI2607-0584</t>
  </si>
  <si>
    <t>GUN112R-ATMHXD-12</t>
  </si>
  <si>
    <t>1M2</t>
  </si>
  <si>
    <t>ASH GREY</t>
  </si>
  <si>
    <t>MR0AC9EA9T0101108</t>
  </si>
  <si>
    <t>2GD-D603949</t>
  </si>
  <si>
    <t>CST-000802968</t>
  </si>
  <si>
    <t>CV. SKN AGRO TANI</t>
  </si>
  <si>
    <t>KP. BARUKAI</t>
  </si>
  <si>
    <t>KEC. CIKAJANG</t>
  </si>
  <si>
    <t>05/12/25</t>
  </si>
  <si>
    <t>KC-25-000838</t>
  </si>
  <si>
    <t>08/12/25 13.20</t>
  </si>
  <si>
    <t>GB00974</t>
  </si>
  <si>
    <t>2026078564</t>
  </si>
  <si>
    <t>14/07/26 10.00</t>
  </si>
  <si>
    <t>146ARI2607-1420</t>
  </si>
  <si>
    <t>MHKA6GJ6JTJ230585</t>
  </si>
  <si>
    <t>3NR-5A03824</t>
  </si>
  <si>
    <t>CST-000835661</t>
  </si>
  <si>
    <t>DADANG HIDAYAT</t>
  </si>
  <si>
    <t>NENG SITI MUFLIHAH</t>
  </si>
  <si>
    <t>RANCA CATANG</t>
  </si>
  <si>
    <t>KC-26-000556</t>
  </si>
  <si>
    <t>30/07/26 19.05</t>
  </si>
  <si>
    <t>FO03453</t>
  </si>
  <si>
    <t>2026074235</t>
  </si>
  <si>
    <t>01/08/26 17.53</t>
  </si>
  <si>
    <t>146ARI2607-0892</t>
  </si>
  <si>
    <t>MHFA71BY0T0012750</t>
  </si>
  <si>
    <t>2NR-Y729225</t>
  </si>
  <si>
    <t>CST-000833778</t>
  </si>
  <si>
    <t>DEDI PRASETYO</t>
  </si>
  <si>
    <t>JL. GEGERKALONG GILANG NO. 10</t>
  </si>
  <si>
    <t>15/07/26</t>
  </si>
  <si>
    <t>KC-26-000529</t>
  </si>
  <si>
    <t>15/07/26 11.26</t>
  </si>
  <si>
    <t>G800484</t>
  </si>
  <si>
    <t>04/08/26</t>
  </si>
  <si>
    <t>2026077177</t>
  </si>
  <si>
    <t>23/07/26 10.51</t>
  </si>
  <si>
    <t>146ARI2607-0870</t>
  </si>
  <si>
    <t>MHFJB8EM2T1199922</t>
  </si>
  <si>
    <t>2GD-J182067</t>
  </si>
  <si>
    <t>CST-000833812</t>
  </si>
  <si>
    <t>DENA ANUGRAH</t>
  </si>
  <si>
    <t>EMA RAHMAWATI</t>
  </si>
  <si>
    <t>KP CIJEUNGJING</t>
  </si>
  <si>
    <t>KC-26-000538</t>
  </si>
  <si>
    <t>15/07/26 13.59</t>
  </si>
  <si>
    <t>FC03504</t>
  </si>
  <si>
    <t>03/08/26</t>
  </si>
  <si>
    <t>2026077174</t>
  </si>
  <si>
    <t>27/07/26 18.41</t>
  </si>
  <si>
    <t>146ARI2607-1225</t>
  </si>
  <si>
    <t>MHKAB1BY7TJ025067</t>
  </si>
  <si>
    <t>2NR-4G29455</t>
  </si>
  <si>
    <t>CST-000833406</t>
  </si>
  <si>
    <t>DIAN HERDIANA</t>
  </si>
  <si>
    <t>METEOR BARAT I BLOK L-II NO 128</t>
  </si>
  <si>
    <t>KC-26-000502</t>
  </si>
  <si>
    <t>13/07/26 12.22</t>
  </si>
  <si>
    <t>G702384</t>
  </si>
  <si>
    <t>2026084013</t>
  </si>
  <si>
    <t>28/07/26 10.28</t>
  </si>
  <si>
    <t>146ARI2607-0397</t>
  </si>
  <si>
    <t>MHFAB8BF0T0042353</t>
  </si>
  <si>
    <t>2NR-Y701951</t>
  </si>
  <si>
    <t>CST-000832409</t>
  </si>
  <si>
    <t>DINI HANDAYANI</t>
  </si>
  <si>
    <t>ANDIR WETAN</t>
  </si>
  <si>
    <t>KC-26-000465</t>
  </si>
  <si>
    <t>06/07/26 10.54</t>
  </si>
  <si>
    <t>E100193</t>
  </si>
  <si>
    <t>2026054328</t>
  </si>
  <si>
    <t>10/07/26 10.00</t>
  </si>
  <si>
    <t>146ARI2607-1267</t>
  </si>
  <si>
    <t>MHFAA8GS1T0938377</t>
  </si>
  <si>
    <t>1GD-5997812</t>
  </si>
  <si>
    <t>CST-000835343</t>
  </si>
  <si>
    <t>DR. ERYANDA DINATA</t>
  </si>
  <si>
    <t>dr. ARIANTY ARISTA</t>
  </si>
  <si>
    <t>BLOK KIBUYUT</t>
  </si>
  <si>
    <t>KEC. BONGAS</t>
  </si>
  <si>
    <t>KC-26-000492</t>
  </si>
  <si>
    <t>28/07/26 14.08</t>
  </si>
  <si>
    <t>EF01336</t>
  </si>
  <si>
    <t>2026076708</t>
  </si>
  <si>
    <t>30/07/26 11.32</t>
  </si>
  <si>
    <t>146ARI2607-1060</t>
  </si>
  <si>
    <t>MHKA6GJ6JTJ231084</t>
  </si>
  <si>
    <t>3NR-5A04695</t>
  </si>
  <si>
    <t>CST-000834941</t>
  </si>
  <si>
    <t>DUDUNG</t>
  </si>
  <si>
    <t>KP LEMBUR PASIR</t>
  </si>
  <si>
    <t>KEC. GUNUNGHALU</t>
  </si>
  <si>
    <t>3217150107630145</t>
  </si>
  <si>
    <t>KC-26-000486</t>
  </si>
  <si>
    <t>24/07/26 13.58</t>
  </si>
  <si>
    <t>GO00421</t>
  </si>
  <si>
    <t>07/08/26</t>
  </si>
  <si>
    <t>2026076318</t>
  </si>
  <si>
    <t>31/07/26 13.49</t>
  </si>
  <si>
    <t>146ARI2607-0414</t>
  </si>
  <si>
    <t>MHKAA1BY6TJ019134</t>
  </si>
  <si>
    <t>1NR-G332813</t>
  </si>
  <si>
    <t>CST-000832677</t>
  </si>
  <si>
    <t>ENTIN WARTINI</t>
  </si>
  <si>
    <t>PERUM BUMI CITRA INDAH 2 BLOK B3 NO 7</t>
  </si>
  <si>
    <t>3217084405660023</t>
  </si>
  <si>
    <t>KC-26-000487</t>
  </si>
  <si>
    <t>07/07/26 15.57</t>
  </si>
  <si>
    <t>G700334</t>
  </si>
  <si>
    <t>2026075540</t>
  </si>
  <si>
    <t>13/07/26 13.35</t>
  </si>
  <si>
    <t>146ARI2607-0365</t>
  </si>
  <si>
    <t>MHKAA1BA6TJ195149</t>
  </si>
  <si>
    <t>1KR-B055851</t>
  </si>
  <si>
    <t>CST-000832412</t>
  </si>
  <si>
    <t>ERI PRIMANDARI</t>
  </si>
  <si>
    <t>UJUNGBERUNG INDAH BLOK 22-3A</t>
  </si>
  <si>
    <t>KC-26-000468</t>
  </si>
  <si>
    <t>06/07/26 10.58</t>
  </si>
  <si>
    <t>GZ00119</t>
  </si>
  <si>
    <t>2026076679</t>
  </si>
  <si>
    <t>16/07/26 10.41</t>
  </si>
  <si>
    <t>146ARI2607-1254</t>
  </si>
  <si>
    <t>JTF2A9CP4T6014771</t>
  </si>
  <si>
    <t>1GD-9794626</t>
  </si>
  <si>
    <t>FADZAR INDRIAWAN S.SOS</t>
  </si>
  <si>
    <t>ARSYANISA BILQIS ISTIFIRA</t>
  </si>
  <si>
    <t>KC-26-000544</t>
  </si>
  <si>
    <t>28/07/26 11.01</t>
  </si>
  <si>
    <t>GP00288</t>
  </si>
  <si>
    <t>06/08/26</t>
  </si>
  <si>
    <t>2026084408</t>
  </si>
  <si>
    <t>31/07/26 09.39</t>
  </si>
  <si>
    <t>146ARI2607-0602</t>
  </si>
  <si>
    <t>MHKE8FA3JTK146761</t>
  </si>
  <si>
    <t>2NR-4G19124</t>
  </si>
  <si>
    <t>CST-000833215</t>
  </si>
  <si>
    <t>FITRI DAMAYANTI</t>
  </si>
  <si>
    <t>KP. KEBON KALAPA</t>
  </si>
  <si>
    <t>KC-26-000500</t>
  </si>
  <si>
    <t>11/07/26 09.53</t>
  </si>
  <si>
    <t>FG02462</t>
  </si>
  <si>
    <t>2026074417</t>
  </si>
  <si>
    <t>17/07/26 08.00</t>
  </si>
  <si>
    <t>146ARI2607-0344</t>
  </si>
  <si>
    <t>MHKA6GJ6JTJ230969</t>
  </si>
  <si>
    <t>3NR-5A04420</t>
  </si>
  <si>
    <t>CST-000831745</t>
  </si>
  <si>
    <t>H ABDUL KODIR</t>
  </si>
  <si>
    <t>KP. CILENJANG</t>
  </si>
  <si>
    <t>KEC. WARUNGKONDANG</t>
  </si>
  <si>
    <t>003-26.21311351</t>
  </si>
  <si>
    <t>KC-26-000421</t>
  </si>
  <si>
    <t>30/06/26 18.55</t>
  </si>
  <si>
    <t>GO00210</t>
  </si>
  <si>
    <t>2026075646</t>
  </si>
  <si>
    <t>08/07/26 18.45</t>
  </si>
  <si>
    <t>146ARI2607-0585</t>
  </si>
  <si>
    <t>MHFJB8EM2T1196907</t>
  </si>
  <si>
    <t>2GD-1986373</t>
  </si>
  <si>
    <t>CST-000833429</t>
  </si>
  <si>
    <t>H. SIRAD</t>
  </si>
  <si>
    <t>DZAKI ZIDAN FERDINAN</t>
  </si>
  <si>
    <t>DUSUN ASTIRA</t>
  </si>
  <si>
    <t>KEC. CILAMAYA WETAN</t>
  </si>
  <si>
    <t>KC-26-000509</t>
  </si>
  <si>
    <t>13/07/26 14.14</t>
  </si>
  <si>
    <t>FC00518</t>
  </si>
  <si>
    <t>2026062046</t>
  </si>
  <si>
    <t>17/07/26 09.35</t>
  </si>
  <si>
    <t>146ARI2607-1020</t>
  </si>
  <si>
    <t>MHFJB8EM2T1199080</t>
  </si>
  <si>
    <t>2GD-J180453</t>
  </si>
  <si>
    <t>KCMG072619</t>
  </si>
  <si>
    <t>RENI NURBAYANI</t>
  </si>
  <si>
    <t>CST-000834700</t>
  </si>
  <si>
    <t>HARYSANDI</t>
  </si>
  <si>
    <t>JL. KEPODANG VI NO. 7</t>
  </si>
  <si>
    <t>KC-26-000408</t>
  </si>
  <si>
    <t>22/07/26 16.39</t>
  </si>
  <si>
    <t>FC02643</t>
  </si>
  <si>
    <t>29/07/26 13.30</t>
  </si>
  <si>
    <t>146ARI2607-1285</t>
  </si>
  <si>
    <t>MHKA6GK6JTJ092789</t>
  </si>
  <si>
    <t>3NR-5A04840</t>
  </si>
  <si>
    <t>CST-000834569</t>
  </si>
  <si>
    <t>HERAWATI</t>
  </si>
  <si>
    <t>KP.CINANGKA</t>
  </si>
  <si>
    <t>KEC. PABUARAN</t>
  </si>
  <si>
    <t>KC-26-000483</t>
  </si>
  <si>
    <t>21/07/26 17.37</t>
  </si>
  <si>
    <t>GO00589</t>
  </si>
  <si>
    <t>2026077296</t>
  </si>
  <si>
    <t>30/07/26 17.23</t>
  </si>
  <si>
    <t>146ARI2607-0455</t>
  </si>
  <si>
    <t>MHKA6GJ6JTJ230676</t>
  </si>
  <si>
    <t>3NR-5A03899</t>
  </si>
  <si>
    <t>CST-000832197</t>
  </si>
  <si>
    <t>HOTMAWATI HERMINA PINTU BATU</t>
  </si>
  <si>
    <t>JL. SUKAMANAH</t>
  </si>
  <si>
    <t>KC-26-000475</t>
  </si>
  <si>
    <t>03/07/26 14.42</t>
  </si>
  <si>
    <t>FO03639</t>
  </si>
  <si>
    <t>11/07/26 12.18</t>
  </si>
  <si>
    <t>146ARI2607-0896</t>
  </si>
  <si>
    <t>MHFA71BY4T0011049</t>
  </si>
  <si>
    <t>2NR-Y718614</t>
  </si>
  <si>
    <t>CST-000833841</t>
  </si>
  <si>
    <t>CIBOGO</t>
  </si>
  <si>
    <t>KC-26-000510</t>
  </si>
  <si>
    <t>15/07/26 15.37</t>
  </si>
  <si>
    <t>F801465</t>
  </si>
  <si>
    <t>2026068275</t>
  </si>
  <si>
    <t>23/07/26 15.10</t>
  </si>
  <si>
    <t>146ARI2607-1258</t>
  </si>
  <si>
    <t>MHKAB1BY9TJ024924</t>
  </si>
  <si>
    <t>2NR-4G27786</t>
  </si>
  <si>
    <t>CST-000825331</t>
  </si>
  <si>
    <t>INTAN PERMATA SARI</t>
  </si>
  <si>
    <t>DUSUN BUBUT LOR</t>
  </si>
  <si>
    <t>KC-26-000269</t>
  </si>
  <si>
    <t>12/05/26 14.29</t>
  </si>
  <si>
    <t>G702070</t>
  </si>
  <si>
    <t>11/08/26</t>
  </si>
  <si>
    <t>2026083075</t>
  </si>
  <si>
    <t>29/07/26 09.47</t>
  </si>
  <si>
    <t>146ARI2607-1414</t>
  </si>
  <si>
    <t>MHFAA8GS3T0937053</t>
  </si>
  <si>
    <t>1GD-5975490</t>
  </si>
  <si>
    <t>CST-000835753</t>
  </si>
  <si>
    <t>IRA YULI AULIA</t>
  </si>
  <si>
    <t>JL. KALURAHAN</t>
  </si>
  <si>
    <t>KC-26-000537</t>
  </si>
  <si>
    <t>31/07/26 15.45</t>
  </si>
  <si>
    <t>DF00888</t>
  </si>
  <si>
    <t>2026044671</t>
  </si>
  <si>
    <t>01/08/26 20.41</t>
  </si>
  <si>
    <t>146ARI2607-0406</t>
  </si>
  <si>
    <t>MHFA71BY7T0012146</t>
  </si>
  <si>
    <t>2NR-Y724886</t>
  </si>
  <si>
    <t>CST-000832520</t>
  </si>
  <si>
    <t>IRMA NURISLAMIAH</t>
  </si>
  <si>
    <t>JLN SUKAJAYA NO 24</t>
  </si>
  <si>
    <t>KC-26-000499</t>
  </si>
  <si>
    <t>06/07/26 15.45</t>
  </si>
  <si>
    <t>F802560</t>
  </si>
  <si>
    <t>2026073724</t>
  </si>
  <si>
    <t>09/07/26 10.40</t>
  </si>
  <si>
    <t>146ARI2607-0389</t>
  </si>
  <si>
    <t>MHKA6GJ6JTJ230709</t>
  </si>
  <si>
    <t>3NR-5A04009</t>
  </si>
  <si>
    <t>CST-000832181</t>
  </si>
  <si>
    <t>LINA MARLINA</t>
  </si>
  <si>
    <t>KC-26-000473</t>
  </si>
  <si>
    <t>03/07/26 14.18</t>
  </si>
  <si>
    <t>FO03565</t>
  </si>
  <si>
    <t>10/07/26 12.32</t>
  </si>
  <si>
    <t>146ARI2607-1425</t>
  </si>
  <si>
    <t>MHKAB1BY8TJ024509</t>
  </si>
  <si>
    <t>2NR-4G24536</t>
  </si>
  <si>
    <t>CST-000835518</t>
  </si>
  <si>
    <t>MOHAMAD JAMIL</t>
  </si>
  <si>
    <t>KP BBK TASIKMALAYA</t>
  </si>
  <si>
    <t>KC-26-000569</t>
  </si>
  <si>
    <t>29/07/26 15.33</t>
  </si>
  <si>
    <t>G701385</t>
  </si>
  <si>
    <t>2026079795</t>
  </si>
  <si>
    <t>31/07/26 09.13</t>
  </si>
  <si>
    <t>146ARI2607-1362</t>
  </si>
  <si>
    <t>MHKA6GK6JTJ093258</t>
  </si>
  <si>
    <t>3NR-5A06972</t>
  </si>
  <si>
    <t>CST-000835658</t>
  </si>
  <si>
    <t>MUTIARA RACHMANY SULANJANA</t>
  </si>
  <si>
    <t>JL. NURSAID NO. 66/18D</t>
  </si>
  <si>
    <t>KC-26-000578</t>
  </si>
  <si>
    <t>30/07/26 17.29</t>
  </si>
  <si>
    <t>GO01857</t>
  </si>
  <si>
    <t>2026084615</t>
  </si>
  <si>
    <t>06/08/26 16.54</t>
  </si>
  <si>
    <t>146ARI2607-0864</t>
  </si>
  <si>
    <t>MHKE8FB3JTK122352</t>
  </si>
  <si>
    <t>2NR-4G18223</t>
  </si>
  <si>
    <t>CST-000833446</t>
  </si>
  <si>
    <t>NANA KUSMANA</t>
  </si>
  <si>
    <t>GHAIDA FATHIN AGHNIYA</t>
  </si>
  <si>
    <t>SARIBUNGA BAKUNG C-72</t>
  </si>
  <si>
    <t>KC-26-000512</t>
  </si>
  <si>
    <t>13/07/26 14.41</t>
  </si>
  <si>
    <t>FG02339</t>
  </si>
  <si>
    <t>2026078758</t>
  </si>
  <si>
    <t>29/07/26 14.16</t>
  </si>
  <si>
    <t>146ARI2607-1360</t>
  </si>
  <si>
    <t>A250RA-GBVVJ-AC</t>
  </si>
  <si>
    <t>MHKAA1BA3TJ195366</t>
  </si>
  <si>
    <t>1KR-B058755</t>
  </si>
  <si>
    <t>CST-000835217</t>
  </si>
  <si>
    <t>NANA SUGIATNA</t>
  </si>
  <si>
    <t>DIAN HARYANTI</t>
  </si>
  <si>
    <t>JL KOPO GG PASAHDI NO 24</t>
  </si>
  <si>
    <t>3273041111750002</t>
  </si>
  <si>
    <t>KC-26-000541</t>
  </si>
  <si>
    <t>27/07/26 15.16</t>
  </si>
  <si>
    <t>GZ00480</t>
  </si>
  <si>
    <t>2026086699</t>
  </si>
  <si>
    <t>31/07/26 11.20</t>
  </si>
  <si>
    <t>146ARI2607-1316</t>
  </si>
  <si>
    <t>MHKA6GK6JTJ093307</t>
  </si>
  <si>
    <t>3NR-5A06146</t>
  </si>
  <si>
    <t>CST-000835155</t>
  </si>
  <si>
    <t>NUNUNG NURYAMAH</t>
  </si>
  <si>
    <t>NUNUNG NURYANAH</t>
  </si>
  <si>
    <t>KP PANDAN WANGI</t>
  </si>
  <si>
    <t>3213224906850003</t>
  </si>
  <si>
    <t>KC-26-000548</t>
  </si>
  <si>
    <t>27/07/26 11.40</t>
  </si>
  <si>
    <t>GO01920</t>
  </si>
  <si>
    <t>2026085527</t>
  </si>
  <si>
    <t>30/07/26 10.17</t>
  </si>
  <si>
    <t>146ARI2607-1358</t>
  </si>
  <si>
    <t>JTF2A9CP2T6014753</t>
  </si>
  <si>
    <t>1GD-9793513</t>
  </si>
  <si>
    <t>CST-000835577</t>
  </si>
  <si>
    <t>OKKY DWI CAHYONO</t>
  </si>
  <si>
    <t>KP. PASARKEMIS</t>
  </si>
  <si>
    <t>KC-26-000549</t>
  </si>
  <si>
    <t>30/07/26 11.23</t>
  </si>
  <si>
    <t>GP00294</t>
  </si>
  <si>
    <t>2026083301</t>
  </si>
  <si>
    <t>04/08/26 10.35</t>
  </si>
  <si>
    <t>146ARI2607-0931</t>
  </si>
  <si>
    <t>MHFJB8EM8T1199214</t>
  </si>
  <si>
    <t>2GD-J180964</t>
  </si>
  <si>
    <t>CST-000834563</t>
  </si>
  <si>
    <t>PINSENSIA SIHOTANG</t>
  </si>
  <si>
    <t>KEBON II</t>
  </si>
  <si>
    <t>KC-26-000542</t>
  </si>
  <si>
    <t>21/07/26 16.53</t>
  </si>
  <si>
    <t>FC02785</t>
  </si>
  <si>
    <t>2026080137</t>
  </si>
  <si>
    <t>28/07/26 12.10</t>
  </si>
  <si>
    <t>146ARI2607-0685</t>
  </si>
  <si>
    <t>MHKAA1BY0TJ019601</t>
  </si>
  <si>
    <t>1NR-G333449</t>
  </si>
  <si>
    <t>CST-000833554</t>
  </si>
  <si>
    <t>PIPIN FIRMANSYAH</t>
  </si>
  <si>
    <t>JL MAKAM CARINGIN GG PORIB VI E</t>
  </si>
  <si>
    <t>KC-26-000527</t>
  </si>
  <si>
    <t>14/07/26 08.42</t>
  </si>
  <si>
    <t>G701138</t>
  </si>
  <si>
    <t>2026078467</t>
  </si>
  <si>
    <t>18/07/26 21.35</t>
  </si>
  <si>
    <t>146ARI2607-0697</t>
  </si>
  <si>
    <t>MHKAB1BAXTJ172924</t>
  </si>
  <si>
    <t>WA-A260524</t>
  </si>
  <si>
    <t>CST-000833860</t>
  </si>
  <si>
    <t>PT. LANGIT SENJA TRAVELLINDO</t>
  </si>
  <si>
    <t>PT LANGIT SENJA TRAVELLINDO</t>
  </si>
  <si>
    <t>KOMP ALAM ASRI JL ALAM ASRI INDAH KELURAHAN CITEREUP KECAMATAN CIMAHI UTARA KOTA CIMAHI</t>
  </si>
  <si>
    <t>0626160105421000</t>
  </si>
  <si>
    <t>KC-26-000516</t>
  </si>
  <si>
    <t>15/07/26 16.28</t>
  </si>
  <si>
    <t>GZ00301</t>
  </si>
  <si>
    <t>2026081787</t>
  </si>
  <si>
    <t>20/07/26 15.54</t>
  </si>
  <si>
    <t>146ARI2607-1058</t>
  </si>
  <si>
    <t>MHFJB8EM7T1199074</t>
  </si>
  <si>
    <t>2GD-J180632</t>
  </si>
  <si>
    <t>CST-000834571</t>
  </si>
  <si>
    <t>JALAN BOULEVARD BARAT, PLAZA PASIFIK, BLOK A3 NO.49</t>
  </si>
  <si>
    <t>KC-26-000457</t>
  </si>
  <si>
    <t>21/07/26 17.45</t>
  </si>
  <si>
    <t>FC02522</t>
  </si>
  <si>
    <t>2026079491</t>
  </si>
  <si>
    <t>25/07/26 15.15</t>
  </si>
  <si>
    <t>146ARI2607-0687</t>
  </si>
  <si>
    <t>MHKAB1BY9TJ024020</t>
  </si>
  <si>
    <t>2NR-4G20577</t>
  </si>
  <si>
    <t>0013318217429001</t>
  </si>
  <si>
    <t>KC-26-000488</t>
  </si>
  <si>
    <t>16/07/26 16.36</t>
  </si>
  <si>
    <t>G700226</t>
  </si>
  <si>
    <t>31/08/26</t>
  </si>
  <si>
    <t>2026075396</t>
  </si>
  <si>
    <t>23/07/26 16.28</t>
  </si>
  <si>
    <t>146ARI2607-1230</t>
  </si>
  <si>
    <t>MR0AC9EA7T0101009</t>
  </si>
  <si>
    <t>2GD-D597431</t>
  </si>
  <si>
    <t>KCMG072618</t>
  </si>
  <si>
    <t>NURI LESTARI KRISTIANTY</t>
  </si>
  <si>
    <t>CST-000834760</t>
  </si>
  <si>
    <t>PT. TAKA TURBOMACHINERY INDONESIA</t>
  </si>
  <si>
    <t>PT TAKA TURBOMACHINERY INDONESIA</t>
  </si>
  <si>
    <t>JL. SOEKARNO HATA NOMOR 797</t>
  </si>
  <si>
    <t>0019103563441000</t>
  </si>
  <si>
    <t>KC-26-000474</t>
  </si>
  <si>
    <t>23/07/26 10.37</t>
  </si>
  <si>
    <t>FB00949</t>
  </si>
  <si>
    <t>2026065649</t>
  </si>
  <si>
    <t>28/07/26 10.26</t>
  </si>
  <si>
    <t>146ARI2607-0530</t>
  </si>
  <si>
    <t>MR0HA3AV3T1002871</t>
  </si>
  <si>
    <t>1GD-6029983</t>
  </si>
  <si>
    <t>CST-000833052</t>
  </si>
  <si>
    <t>PT. KAMAR ATAS MEDIA INDONESIA</t>
  </si>
  <si>
    <t>BUANA SOETA RESIDENCE RUKO A-22 LT.2</t>
  </si>
  <si>
    <t>KC-26-000412</t>
  </si>
  <si>
    <t>10/07/26 08.08</t>
  </si>
  <si>
    <t>GB00594</t>
  </si>
  <si>
    <t>2026076753</t>
  </si>
  <si>
    <t>16/07/26 11.00</t>
  </si>
  <si>
    <t>146ARI2607-1359</t>
  </si>
  <si>
    <t>MR0AWAAA1T0845008</t>
  </si>
  <si>
    <t>1TR-B444799</t>
  </si>
  <si>
    <t>CST-000828944</t>
  </si>
  <si>
    <t>PUTRA ADIACA BARTELS</t>
  </si>
  <si>
    <t>JL. TARUMANEGARA DALAM NO. 11</t>
  </si>
  <si>
    <t>KC-26-000382</t>
  </si>
  <si>
    <t>10/06/26 10.38</t>
  </si>
  <si>
    <t>GB02362</t>
  </si>
  <si>
    <t>2026086544</t>
  </si>
  <si>
    <t>31/07/26 10.08</t>
  </si>
  <si>
    <t>146ARI2607-0667</t>
  </si>
  <si>
    <t>MHFA71BY9T0012973</t>
  </si>
  <si>
    <t>2NR-Y731196</t>
  </si>
  <si>
    <t>CST-000833459</t>
  </si>
  <si>
    <t>RIA SUSIYANTI</t>
  </si>
  <si>
    <t>ASHAR</t>
  </si>
  <si>
    <t>KP KANCAH NO 48</t>
  </si>
  <si>
    <t>PT. BANK BCA SYARIAH</t>
  </si>
  <si>
    <t>KC-26-000519</t>
  </si>
  <si>
    <t>13/07/26 15.08</t>
  </si>
  <si>
    <t>G800719</t>
  </si>
  <si>
    <t>2026079253</t>
  </si>
  <si>
    <t>20/07/26 14.41</t>
  </si>
  <si>
    <t>146ARI2607-1022</t>
  </si>
  <si>
    <t>MHFABAAA8T0056059</t>
  </si>
  <si>
    <t>M20A-NG14592</t>
  </si>
  <si>
    <t>CST-000834858</t>
  </si>
  <si>
    <t>RIKA MARLINA</t>
  </si>
  <si>
    <t>GG MUKALMI NO 13/86</t>
  </si>
  <si>
    <t>KC-26-000560</t>
  </si>
  <si>
    <t>23/07/26 17.47</t>
  </si>
  <si>
    <t>GJ01240</t>
  </si>
  <si>
    <t>2026079332</t>
  </si>
  <si>
    <t>26/07/26 17.17</t>
  </si>
  <si>
    <t>146ARI2607-0626</t>
  </si>
  <si>
    <t>JTNACAAH4T8017309</t>
  </si>
  <si>
    <t>A25A-6521982</t>
  </si>
  <si>
    <t>CST-000833486</t>
  </si>
  <si>
    <t>RONAL ALAMSYAH S.H</t>
  </si>
  <si>
    <t>SUPRI YULIATIN</t>
  </si>
  <si>
    <t>KP BOJONG PEUNDEUY</t>
  </si>
  <si>
    <t>KC-26-000494</t>
  </si>
  <si>
    <t>13/07/26 15.56</t>
  </si>
  <si>
    <t>FN00172</t>
  </si>
  <si>
    <t>2026068030</t>
  </si>
  <si>
    <t>16/07/26 15.11</t>
  </si>
  <si>
    <t>146ARI2607-0906</t>
  </si>
  <si>
    <t>MHKA6GJ6JTJ230729</t>
  </si>
  <si>
    <t>3NR-5A03376</t>
  </si>
  <si>
    <t>CST-000833672</t>
  </si>
  <si>
    <t>RUDI HARTONO</t>
  </si>
  <si>
    <t>FITRI ANITA</t>
  </si>
  <si>
    <t>JLN ABDUL HALIM NO 53 GG GUNA BAKTI 5</t>
  </si>
  <si>
    <t>KC-26-000515</t>
  </si>
  <si>
    <t>14/07/26 14.11</t>
  </si>
  <si>
    <t>FO03643</t>
  </si>
  <si>
    <t>26/07/26 12.37</t>
  </si>
  <si>
    <t>146ARI2607-1054</t>
  </si>
  <si>
    <t>MHKE8FB3JTK122298</t>
  </si>
  <si>
    <t>2NR-4G17582</t>
  </si>
  <si>
    <t>CST-000834297</t>
  </si>
  <si>
    <t>RUSMANA</t>
  </si>
  <si>
    <t>PERUMAHAN RANCAMULYA ASRI BLOK H2 NO. 11</t>
  </si>
  <si>
    <t>KC-26-000534</t>
  </si>
  <si>
    <t>20/07/26 09.26</t>
  </si>
  <si>
    <t>FG02192</t>
  </si>
  <si>
    <t>2026080187</t>
  </si>
  <si>
    <t>27/07/26 15.04</t>
  </si>
  <si>
    <t>146ARI2607-1401</t>
  </si>
  <si>
    <t>GUN156R-SDTHXD-43</t>
  </si>
  <si>
    <t>MHFBA3FS1T1176610</t>
  </si>
  <si>
    <t>1GD-6020284</t>
  </si>
  <si>
    <t>CST-000832604</t>
  </si>
  <si>
    <t>SOIMAN</t>
  </si>
  <si>
    <t>JL PASIRKALIKI BARAT NO 3</t>
  </si>
  <si>
    <t>KC-26-000450</t>
  </si>
  <si>
    <t>07/07/26 11.04</t>
  </si>
  <si>
    <t>GF00179</t>
  </si>
  <si>
    <t>2026084989</t>
  </si>
  <si>
    <t>01/08/26 10.32</t>
  </si>
  <si>
    <t>146ARI2607-0424</t>
  </si>
  <si>
    <t>MHFABBAA8T0475941</t>
  </si>
  <si>
    <t>M20A-NG09578</t>
  </si>
  <si>
    <t>CST-000832919</t>
  </si>
  <si>
    <t>SRI HARYATI</t>
  </si>
  <si>
    <t>NADHIO BOY GERALDI</t>
  </si>
  <si>
    <t>JL.SIMPANG NO.20</t>
  </si>
  <si>
    <t>KC-26-000496</t>
  </si>
  <si>
    <t>09/07/26 10.37</t>
  </si>
  <si>
    <t>GJ00488</t>
  </si>
  <si>
    <t>2026076454</t>
  </si>
  <si>
    <t>14/07/26 10.30</t>
  </si>
  <si>
    <t>146ARI2607-0894</t>
  </si>
  <si>
    <t>MHFJB8EM3T1199671</t>
  </si>
  <si>
    <t>2GD-J181584</t>
  </si>
  <si>
    <t>CST-000834511</t>
  </si>
  <si>
    <t>SUGENG APRIANTO</t>
  </si>
  <si>
    <t>SUTIA</t>
  </si>
  <si>
    <t>KP RAWAPOJOK</t>
  </si>
  <si>
    <t>3217062504740008</t>
  </si>
  <si>
    <t>KC-26-000522</t>
  </si>
  <si>
    <t>21/07/26 13.30</t>
  </si>
  <si>
    <t>FC03307</t>
  </si>
  <si>
    <t>25/07/26 09.14</t>
  </si>
  <si>
    <t>146ARI2607-1062</t>
  </si>
  <si>
    <t>MHKA6GJ6JTJ231132</t>
  </si>
  <si>
    <t>3NR-5A04878</t>
  </si>
  <si>
    <t>CST-000833835</t>
  </si>
  <si>
    <t>SUSANTI BAROKAH</t>
  </si>
  <si>
    <t>DUSUN CIMASUK 2</t>
  </si>
  <si>
    <t>KC-26-000536</t>
  </si>
  <si>
    <t>15/07/26 15.17</t>
  </si>
  <si>
    <t>GO00449</t>
  </si>
  <si>
    <t>2026077084</t>
  </si>
  <si>
    <t>25/07/26 15.09</t>
  </si>
  <si>
    <t>146ARI2607-1412</t>
  </si>
  <si>
    <t>MR0AWAAA2T0844515</t>
  </si>
  <si>
    <t>1TR-B435025</t>
  </si>
  <si>
    <t>CST-000835703</t>
  </si>
  <si>
    <t>SUTINI</t>
  </si>
  <si>
    <t>PERUMAHAN ROSALIE HILLS BLOK E3</t>
  </si>
  <si>
    <t>KC-26-000562</t>
  </si>
  <si>
    <t>31/07/26 11.34</t>
  </si>
  <si>
    <t>FB00580</t>
  </si>
  <si>
    <t>2026086816</t>
  </si>
  <si>
    <t>01/08/26 13.48</t>
  </si>
  <si>
    <t>146ARI2607-1281</t>
  </si>
  <si>
    <t>MHFABAAA2T0054453</t>
  </si>
  <si>
    <t>M20A-NF96034</t>
  </si>
  <si>
    <t>CST-000835392</t>
  </si>
  <si>
    <t>SWANTO ARIMIN</t>
  </si>
  <si>
    <t>JL GATOT SUBROTO KM 3.5 NO 138</t>
  </si>
  <si>
    <t>KEC. CIBODAS</t>
  </si>
  <si>
    <t>KC-26-000570</t>
  </si>
  <si>
    <t>28/07/26 17.49</t>
  </si>
  <si>
    <t>FJ01592</t>
  </si>
  <si>
    <t>2026069474</t>
  </si>
  <si>
    <t>31/07/26 17.41</t>
  </si>
  <si>
    <t>146ARI2607-0418</t>
  </si>
  <si>
    <t>MHFA71BY4T0010399</t>
  </si>
  <si>
    <t>2NR-Y715036</t>
  </si>
  <si>
    <t>CST-000832875</t>
  </si>
  <si>
    <t>T. SJAIFUL ANWAR</t>
  </si>
  <si>
    <t>JL. HJ. RATNAMAH</t>
  </si>
  <si>
    <t>KC-26-000478</t>
  </si>
  <si>
    <t>09/07/26 08.27</t>
  </si>
  <si>
    <t>F800902</t>
  </si>
  <si>
    <t>2026065184</t>
  </si>
  <si>
    <t>10/07/26 17.00</t>
  </si>
  <si>
    <t>146ARI2607-0326</t>
  </si>
  <si>
    <t>MHKE8FA3JTK146897</t>
  </si>
  <si>
    <t>2NR-4G20862</t>
  </si>
  <si>
    <t>CST-000831758</t>
  </si>
  <si>
    <t>TEDI ERLAN</t>
  </si>
  <si>
    <t>KP.CIBEUREUM</t>
  </si>
  <si>
    <t>003-26.21311353</t>
  </si>
  <si>
    <t>KC-26-000430</t>
  </si>
  <si>
    <t>30/06/26 20.18</t>
  </si>
  <si>
    <t>GG00204</t>
  </si>
  <si>
    <t>2026075147</t>
  </si>
  <si>
    <t>07/07/26 20.05</t>
  </si>
  <si>
    <t>146ARI2607-0872</t>
  </si>
  <si>
    <t>MHFJB8EM6T1198997</t>
  </si>
  <si>
    <t>2GD-J180657</t>
  </si>
  <si>
    <t>CST-000834338</t>
  </si>
  <si>
    <t>NURHAYATI</t>
  </si>
  <si>
    <t>JL. SUKAMULYA</t>
  </si>
  <si>
    <t>KC-26-000530</t>
  </si>
  <si>
    <t>20/07/26 11.13</t>
  </si>
  <si>
    <t>FC02563</t>
  </si>
  <si>
    <t>2026078151</t>
  </si>
  <si>
    <t>28/07/26 10.00</t>
  </si>
  <si>
    <t>146ARI2607-1003</t>
  </si>
  <si>
    <t>JTF2A9CP2T6014770</t>
  </si>
  <si>
    <t>1GD-9793703</t>
  </si>
  <si>
    <t>CST-000833810</t>
  </si>
  <si>
    <t>GG. PESANTREN NO. 44/197C</t>
  </si>
  <si>
    <t>KC-26-000526</t>
  </si>
  <si>
    <t>15/07/26 13.49</t>
  </si>
  <si>
    <t>GP00291</t>
  </si>
  <si>
    <t>24/07/26 11.00</t>
  </si>
  <si>
    <t>146ARI2607-1418</t>
  </si>
  <si>
    <t>MHFA71BY6T0009402</t>
  </si>
  <si>
    <t>2NR-Y705161</t>
  </si>
  <si>
    <t>CST-000835699</t>
  </si>
  <si>
    <t>TRI JULIANTO</t>
  </si>
  <si>
    <t>JL.PANEMBAKAN UTARA NO.234</t>
  </si>
  <si>
    <t>KC-26-000521</t>
  </si>
  <si>
    <t>31/07/26 11.21</t>
  </si>
  <si>
    <t>E802232</t>
  </si>
  <si>
    <t>2026060088</t>
  </si>
  <si>
    <t>01/08/26 18.03</t>
  </si>
  <si>
    <t>146ARI2607-1017</t>
  </si>
  <si>
    <t>MHFAA8GS1T0938170</t>
  </si>
  <si>
    <t>1GD-5994770</t>
  </si>
  <si>
    <t>CST-000834694</t>
  </si>
  <si>
    <t>TRIO HASRI</t>
  </si>
  <si>
    <t>RADITHYA KENZIE</t>
  </si>
  <si>
    <t>JL CIHAMPELAS GANG MASJID NO 32/35B</t>
  </si>
  <si>
    <t>KC-26-000491</t>
  </si>
  <si>
    <t>22/07/26 16.16</t>
  </si>
  <si>
    <t>EF01085</t>
  </si>
  <si>
    <t>2026057967</t>
  </si>
  <si>
    <t>30/07/26 16.02</t>
  </si>
  <si>
    <t>146ARI2607-1314</t>
  </si>
  <si>
    <t>MHKE8FB3JTK123034</t>
  </si>
  <si>
    <t>2NR-4G30629</t>
  </si>
  <si>
    <t>CST-000835483</t>
  </si>
  <si>
    <t>TURIMIN</t>
  </si>
  <si>
    <t>TUKIRAH</t>
  </si>
  <si>
    <t>KP. RANCAKASIAT</t>
  </si>
  <si>
    <t>KC-26-000563</t>
  </si>
  <si>
    <t>29/07/26 13.25</t>
  </si>
  <si>
    <t>GG01925</t>
  </si>
  <si>
    <t>2026085395</t>
  </si>
  <si>
    <t>31/07/26 12.54</t>
  </si>
  <si>
    <t>146ARI2607-1318</t>
  </si>
  <si>
    <t>MHKAB1BA8TJ172923</t>
  </si>
  <si>
    <t>WA-A260183</t>
  </si>
  <si>
    <t>CST-000833570</t>
  </si>
  <si>
    <t>VINA SEPTIANA</t>
  </si>
  <si>
    <t>JL. CIBADUYUT LAMA NO.29B</t>
  </si>
  <si>
    <t>KC-26-000511</t>
  </si>
  <si>
    <t>14/07/26 09.33</t>
  </si>
  <si>
    <t>GZ00283</t>
  </si>
  <si>
    <t>2026081185</t>
  </si>
  <si>
    <t>30/07/26 09.14</t>
  </si>
  <si>
    <t>146ARI2607-0573</t>
  </si>
  <si>
    <t>MHFA71BYXT0010228</t>
  </si>
  <si>
    <t>2NR-Y714021</t>
  </si>
  <si>
    <t>CST-000833340</t>
  </si>
  <si>
    <t>WANDIANTO</t>
  </si>
  <si>
    <t>KOMP MANGLAYANG REGENCY A3-14</t>
  </si>
  <si>
    <t>KC-26-000523</t>
  </si>
  <si>
    <t>13/07/26 10.06</t>
  </si>
  <si>
    <t>F800583</t>
  </si>
  <si>
    <t>2026064837</t>
  </si>
  <si>
    <t>14/07/26 10.01</t>
  </si>
  <si>
    <t>146ARI2607-0616</t>
  </si>
  <si>
    <t>JTF2A9CP8T6014613</t>
  </si>
  <si>
    <t>1GD-9790098</t>
  </si>
  <si>
    <t>CST-000833032</t>
  </si>
  <si>
    <t>WIDYA WIJAYANTI</t>
  </si>
  <si>
    <t>ANDI YULIANTO</t>
  </si>
  <si>
    <t>CLUSTER TAMAN CIKINI BLOK F3 8 METLAND CIBITU</t>
  </si>
  <si>
    <t>KC-26-000514</t>
  </si>
  <si>
    <t>11/07/26 11.38</t>
  </si>
  <si>
    <t>GP00151</t>
  </si>
  <si>
    <t>2026078466</t>
  </si>
  <si>
    <t>30/07/26 09.22</t>
  </si>
  <si>
    <t>146ARI2607-0419</t>
  </si>
  <si>
    <t>MHFAA8GS0T0938693</t>
  </si>
  <si>
    <t>1GD-6006203</t>
  </si>
  <si>
    <t>CST-000832611</t>
  </si>
  <si>
    <t>WISNU CAHYO NUGROHO</t>
  </si>
  <si>
    <t>IIS SULASTRI</t>
  </si>
  <si>
    <t>KP. PATROL, KEC. IBUN, KEL. IBUN, KAB. BANDUNG</t>
  </si>
  <si>
    <t>3316081611840003</t>
  </si>
  <si>
    <t>KC-26-000461</t>
  </si>
  <si>
    <t>07/07/26 11.37</t>
  </si>
  <si>
    <t>FF00446</t>
  </si>
  <si>
    <t>2026072517</t>
  </si>
  <si>
    <t>10/07/26 10.10</t>
  </si>
  <si>
    <t>146ARI2607-1227</t>
  </si>
  <si>
    <t>JTFST22P9T0055953</t>
  </si>
  <si>
    <t>1KD-B242923</t>
  </si>
  <si>
    <t>CST-000834564</t>
  </si>
  <si>
    <t>YADI KUSMAYADI</t>
  </si>
  <si>
    <t>JL. BABAKAN SARI III NO.262</t>
  </si>
  <si>
    <t>KC-26-000535</t>
  </si>
  <si>
    <t>21/07/26 17.10</t>
  </si>
  <si>
    <t>GP00259</t>
  </si>
  <si>
    <t>2026084901</t>
  </si>
  <si>
    <t>28/07/26 09.52</t>
  </si>
  <si>
    <t>146ARI2607-1023</t>
  </si>
  <si>
    <t>MHKA6GK6JTJ092913</t>
  </si>
  <si>
    <t>3NR-5A05442</t>
  </si>
  <si>
    <t>CST-000832191</t>
  </si>
  <si>
    <t>YAMAN NURYAMAN</t>
  </si>
  <si>
    <t>KEBON KOPI AL MUQODAR TENGAH NO. 289</t>
  </si>
  <si>
    <t>KC-26-000472</t>
  </si>
  <si>
    <t>03/07/26 14.33</t>
  </si>
  <si>
    <t>GO00890</t>
  </si>
  <si>
    <t>2026079246</t>
  </si>
  <si>
    <t>24/07/26 13.00</t>
  </si>
  <si>
    <t>146ARI2607-0392</t>
  </si>
  <si>
    <t>JTF2A9CP8T6013980</t>
  </si>
  <si>
    <t>1GD-9774822</t>
  </si>
  <si>
    <t>CST-000832408</t>
  </si>
  <si>
    <t>YAYASAN KREASI EDULAB INDONESIA</t>
  </si>
  <si>
    <t>JALAN GATOT SUBROTO NOMOR 38</t>
  </si>
  <si>
    <t>0317925527423000</t>
  </si>
  <si>
    <t>KC-26-000493</t>
  </si>
  <si>
    <t>06/07/26 11.05</t>
  </si>
  <si>
    <t>FP00049</t>
  </si>
  <si>
    <t>2026076718</t>
  </si>
  <si>
    <t>13/07/26 14.33</t>
  </si>
  <si>
    <t>146ARI2607-0648</t>
  </si>
  <si>
    <t>MHKE8FB3JTK122412</t>
  </si>
  <si>
    <t>2NR-4G19461</t>
  </si>
  <si>
    <t>CST-000833558</t>
  </si>
  <si>
    <t>YEDI APRIADI</t>
  </si>
  <si>
    <t>AI NURAISAH</t>
  </si>
  <si>
    <t>KP. CICADAS</t>
  </si>
  <si>
    <t>KEC. SUKARATU</t>
  </si>
  <si>
    <t>KC-26-000525</t>
  </si>
  <si>
    <t>14/07/26 08.49</t>
  </si>
  <si>
    <t>FG02444</t>
  </si>
  <si>
    <t>2026078185</t>
  </si>
  <si>
    <t>21/07/26 17.54</t>
  </si>
  <si>
    <t>146ARI2607-0994</t>
  </si>
  <si>
    <t>MHFABAAA9T0054353</t>
  </si>
  <si>
    <t>M20A-NF89464</t>
  </si>
  <si>
    <t>CST-000834378</t>
  </si>
  <si>
    <t>YUSLIA AGUS QUARTI</t>
  </si>
  <si>
    <t>JL. NENAS RAYA NO 13</t>
  </si>
  <si>
    <t>KC-26-000460</t>
  </si>
  <si>
    <t>20/07/26 14.01</t>
  </si>
  <si>
    <t>FJ01494</t>
  </si>
  <si>
    <t>2026066102</t>
  </si>
  <si>
    <t>25/07/26 12.01</t>
  </si>
  <si>
    <t>Jawa Barat</t>
  </si>
  <si>
    <t>Tunas Toyota</t>
  </si>
  <si>
    <t>Tunas Toyota Gatot Subroto</t>
  </si>
  <si>
    <t>Kota Bandung</t>
  </si>
  <si>
    <t>Kab. Bandung</t>
  </si>
  <si>
    <t>Kab. Bandung Barat</t>
  </si>
  <si>
    <t>Kota Cimahi</t>
  </si>
  <si>
    <t>NO PMA</t>
  </si>
  <si>
    <t>LANDCRUISER</t>
  </si>
  <si>
    <t>TOTAL</t>
  </si>
  <si>
    <t>TTL</t>
  </si>
  <si>
    <t>ALPHARD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</si>
</sst>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0_-;\-* #,##0.00_-;_-* &quot;-&quot;??_-;_-@_-"/>
    <numFmt numFmtId="165" formatCode="_(* #,##0_);_(* \(#,##0\);_(* &quot;-&quot;??_);_(@_)"/>
  </numFmts>
  <fonts count="15" x14ac:knownFonts="1">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rgb="FF000000"/>
      <name val="Calibri"/>
      <family val="2"/>
      <scheme val="minor"/>
    </font>
    <font>
      <sz val="10"/>
      <name val="Arial"/>
      <family val="2"/>
    </font>
    <font>
      <sz val="11"/>
      <name val="Calibri"/>
      <family val="2"/>
    </font>
    <font>
      <sz val="11"/>
      <name val="Calibri"/>
      <family val="2"/>
      <scheme val="minor"/>
    </font>
    <font>
      <sz val="10"/>
      <color theme="1"/>
      <name val="Segoe UI"/>
      <family val="2"/>
    </font>
    <font>
      <sz val="9"/>
      <color theme="1"/>
      <name val="Segoe UI"/>
      <family val="2"/>
    </font>
    <font>
      <sz val="11"/>
      <color theme="1"/>
      <name val="Segoe UI"/>
      <family val="2"/>
    </font>
    <font>
      <b/>
      <sz val="12"/>
      <color theme="1"/>
      <name val="Calibri"/>
      <family val="2"/>
      <scheme val="minor"/>
    </font>
    <font>
      <b/>
      <sz val="12"/>
      <color theme="1"/>
      <name val="Aptos"/>
      <family val="2"/>
    </font>
    <font>
      <sz val="11"/>
      <color theme="1"/>
      <name val="Aptos"/>
      <family val="2"/>
    </font>
    <font>
      <sz val="12"/>
      <color theme="1"/>
      <name val="Aptos"/>
      <family val="2"/>
    </font>
  </fonts>
  <fills count="5">
    <fill>
      <patternFill patternType="none"/>
    </fill>
    <fill>
      <patternFill patternType="gray125"/>
    </fill>
    <fill>
      <patternFill patternType="solid">
        <fgColor rgb="FFFFFF00"/>
        <bgColor indexed="64"/>
      </patternFill>
    </fill>
    <fill>
      <patternFill patternType="solid">
        <fgColor theme="7" tint="0.79998168889431442"/>
        <bgColor theme="7" tint="0.79998168889431442"/>
      </patternFill>
    </fill>
    <fill>
      <patternFill patternType="solid">
        <fgColor rgb="FFFF0000"/>
        <bgColor indexed="64"/>
      </patternFill>
    </fill>
  </fills>
  <borders count="2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style="thin">
        <color theme="4" tint="0.39997558519241921"/>
      </bottom>
      <diagonal/>
    </border>
    <border>
      <left style="thin">
        <color theme="7"/>
      </left>
      <right style="thin">
        <color theme="7"/>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s>
  <cellStyleXfs count="8">
    <xf numFmtId="0" fontId="0" fillId="0" borderId="0"/>
    <xf numFmtId="43" fontId="1" fillId="0" borderId="0" applyFont="0" applyFill="0" applyBorder="0" applyAlignment="0" applyProtection="0"/>
    <xf numFmtId="0" fontId="4" fillId="0" borderId="0"/>
    <xf numFmtId="0" fontId="5" fillId="0" borderId="0"/>
    <xf numFmtId="0" fontId="1" fillId="0" borderId="0"/>
    <xf numFmtId="0" fontId="6" fillId="0" borderId="0"/>
    <xf numFmtId="0" fontId="3" fillId="0" borderId="0"/>
    <xf numFmtId="164" fontId="1" fillId="0" borderId="0" applyFont="0" applyFill="0" applyBorder="0" applyAlignment="0" applyProtection="0"/>
  </cellStyleXfs>
  <cellXfs count="63">
    <xf numFmtId="0" fontId="0" fillId="0" borderId="0" xfId="0"/>
    <xf numFmtId="0" fontId="3" fillId="0" borderId="0" xfId="0" applyFont="1"/>
    <xf numFmtId="0" fontId="0" fillId="0" borderId="0" xfId="0" pivotButton="1"/>
    <xf numFmtId="0" fontId="0" fillId="0" borderId="0" xfId="0" applyAlignment="1">
      <alignment horizontal="left"/>
    </xf>
    <xf numFmtId="165" fontId="0" fillId="0" borderId="0" xfId="1" applyNumberFormat="1" applyFont="1" applyFill="1"/>
    <xf numFmtId="0" fontId="0" fillId="0" borderId="0" xfId="0" applyProtection="1">
      <protection hidden="1"/>
    </xf>
    <xf numFmtId="0" fontId="0" fillId="0" borderId="0" xfId="0" applyProtection="1">
      <protection locked="0" hidden="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14" fontId="0" fillId="0" borderId="0" xfId="0" applyNumberFormat="1"/>
    <xf numFmtId="0" fontId="3" fillId="0" borderId="10" xfId="0" applyFont="1" applyBorder="1"/>
    <xf numFmtId="0" fontId="3" fillId="0" borderId="0" xfId="0" applyFont="1" applyAlignment="1">
      <alignment horizontal="left" readingOrder="1"/>
    </xf>
    <xf numFmtId="0" fontId="3" fillId="3" borderId="11" xfId="0" applyFont="1" applyFill="1" applyBorder="1"/>
    <xf numFmtId="0" fontId="7" fillId="0" borderId="0" xfId="0" applyFont="1" applyAlignment="1">
      <alignment horizontal="center"/>
    </xf>
    <xf numFmtId="0" fontId="7" fillId="0" borderId="0" xfId="0" applyFont="1"/>
    <xf numFmtId="165" fontId="7" fillId="0" borderId="0" xfId="1" applyNumberFormat="1" applyFont="1" applyFill="1"/>
    <xf numFmtId="14" fontId="7" fillId="0" borderId="0" xfId="0" applyNumberFormat="1" applyFont="1"/>
    <xf numFmtId="0" fontId="3" fillId="0" borderId="14" xfId="0" applyFont="1" applyBorder="1" applyAlignment="1">
      <alignment horizontal="center" readingOrder="1"/>
    </xf>
    <xf numFmtId="0" fontId="3" fillId="0" borderId="15" xfId="0" applyFont="1" applyBorder="1" applyAlignment="1">
      <alignment horizontal="center"/>
    </xf>
    <xf numFmtId="0" fontId="3" fillId="0" borderId="15" xfId="0" applyFont="1" applyBorder="1"/>
    <xf numFmtId="0" fontId="3" fillId="0" borderId="15" xfId="0" applyFont="1" applyBorder="1" applyAlignment="1">
      <alignment horizontal="left" readingOrder="1"/>
    </xf>
    <xf numFmtId="0" fontId="3" fillId="2" borderId="15" xfId="0" applyFont="1" applyFill="1" applyBorder="1"/>
    <xf numFmtId="0" fontId="3" fillId="0" borderId="15" xfId="0" applyFont="1" applyBorder="1" applyAlignment="1">
      <alignment readingOrder="1"/>
    </xf>
    <xf numFmtId="165" fontId="3" fillId="0" borderId="15" xfId="7" applyNumberFormat="1" applyFont="1" applyFill="1" applyBorder="1" applyAlignment="1">
      <alignment horizontal="left" readingOrder="1"/>
    </xf>
    <xf numFmtId="165" fontId="3" fillId="0" borderId="16" xfId="7" applyNumberFormat="1" applyFont="1" applyFill="1" applyBorder="1" applyAlignment="1">
      <alignment horizontal="left" readingOrder="1"/>
    </xf>
    <xf numFmtId="0" fontId="3" fillId="0" borderId="14" xfId="0" applyFont="1" applyBorder="1" applyAlignment="1">
      <alignment horizontal="center"/>
    </xf>
    <xf numFmtId="165" fontId="3" fillId="0" borderId="15" xfId="7" applyNumberFormat="1" applyFont="1" applyFill="1" applyBorder="1"/>
    <xf numFmtId="165" fontId="3" fillId="0" borderId="16" xfId="7" applyNumberFormat="1" applyFont="1" applyFill="1" applyBorder="1"/>
    <xf numFmtId="14" fontId="3" fillId="0" borderId="15" xfId="0" applyNumberFormat="1" applyFont="1" applyBorder="1"/>
    <xf numFmtId="0" fontId="3" fillId="0" borderId="14" xfId="0" applyFont="1" applyBorder="1"/>
    <xf numFmtId="0" fontId="3" fillId="0" borderId="16" xfId="0" applyFont="1" applyBorder="1"/>
    <xf numFmtId="0" fontId="3" fillId="0" borderId="12" xfId="0" applyFont="1" applyBorder="1"/>
    <xf numFmtId="165" fontId="3" fillId="0" borderId="10" xfId="7" applyNumberFormat="1" applyFont="1" applyFill="1" applyBorder="1"/>
    <xf numFmtId="0" fontId="3" fillId="0" borderId="13" xfId="0" applyFont="1" applyBorder="1"/>
    <xf numFmtId="0" fontId="8" fillId="0" borderId="17" xfId="0" applyFont="1" applyBorder="1"/>
    <xf numFmtId="0" fontId="8" fillId="0" borderId="18" xfId="0" applyFont="1" applyBorder="1"/>
    <xf numFmtId="0" fontId="9" fillId="0" borderId="0" xfId="0" applyFont="1"/>
    <xf numFmtId="0" fontId="10" fillId="0" borderId="0" xfId="0" applyFont="1"/>
    <xf numFmtId="0" fontId="8" fillId="0" borderId="19" xfId="0" applyFont="1" applyBorder="1"/>
    <xf numFmtId="0" fontId="8" fillId="0" borderId="20" xfId="0" applyFont="1" applyBorder="1"/>
    <xf numFmtId="0" fontId="12" fillId="0" borderId="21" xfId="0" applyFont="1" applyBorder="1" applyAlignment="1">
      <alignment horizontal="center"/>
    </xf>
    <xf numFmtId="0" fontId="12" fillId="0" borderId="21" xfId="0" pivotButton="1" applyFont="1" applyBorder="1"/>
    <xf numFmtId="0" fontId="13" fillId="0" borderId="0" xfId="0" applyFont="1"/>
    <xf numFmtId="0" fontId="13" fillId="4" borderId="0" xfId="0" applyFont="1" applyFill="1"/>
    <xf numFmtId="0" fontId="12" fillId="0" borderId="0" xfId="0" applyFont="1"/>
    <xf numFmtId="0" fontId="12" fillId="0" borderId="0" xfId="0" applyFont="1" applyAlignment="1">
      <alignment horizontal="center"/>
    </xf>
    <xf numFmtId="0" fontId="14" fillId="0" borderId="0" xfId="0" applyFont="1"/>
    <xf numFmtId="0" fontId="14" fillId="0" borderId="0" xfId="0" applyFont="1" applyAlignment="1">
      <alignment horizontal="center"/>
    </xf>
    <xf numFmtId="0" fontId="12" fillId="0" borderId="0" xfId="0" pivotButton="1" applyFont="1"/>
    <xf numFmtId="0" fontId="12" fillId="0" borderId="0" xfId="0" pivotButton="1" applyFont="1" applyAlignment="1">
      <alignment horizontal="center"/>
    </xf>
    <xf numFmtId="0" fontId="11" fillId="0" borderId="0" xfId="0" pivotButton="1" applyFont="1"/>
    <xf numFmtId="0" fontId="11" fillId="0" borderId="0" xfId="0" applyFont="1" applyAlignment="1">
      <alignment horizontal="center"/>
    </xf>
    <xf numFmtId="0" fontId="12" fillId="0" borderId="21" xfId="0" applyFont="1" applyBorder="1"/>
    <xf numFmtId="0" fontId="11" fillId="0" borderId="0" xfId="0" applyFont="1" applyAlignment="1">
      <alignment horizontal="left"/>
    </xf>
    <xf numFmtId="0" fontId="0" fillId="0" borderId="0" xfId="0" applyNumberFormat="1"/>
  </cellXfs>
  <cellStyles count="8">
    <cellStyle name="Comma" xfId="1" builtinId="3"/>
    <cellStyle name="Comma 2" xfId="7" xr:uid="{FCA0A5CE-4CA7-45A7-B96D-64FA18483356}"/>
    <cellStyle name="Normal" xfId="0" builtinId="0"/>
    <cellStyle name="Normal 2" xfId="3" xr:uid="{00000000-0005-0000-0000-000002000000}"/>
    <cellStyle name="Normal 2 3" xfId="2" xr:uid="{00000000-0005-0000-0000-000003000000}"/>
    <cellStyle name="Normal 3" xfId="5" xr:uid="{00000000-0005-0000-0000-000004000000}"/>
    <cellStyle name="Normal 4" xfId="6" xr:uid="{00000000-0005-0000-0000-000005000000}"/>
    <cellStyle name="Normal 43" xfId="4" xr:uid="{00000000-0005-0000-0000-000006000000}"/>
  </cellStyles>
  <dxfs count="166">
    <dxf>
      <font>
        <color rgb="FF9C0006"/>
      </font>
      <fill>
        <patternFill>
          <bgColor rgb="FFFFC7CE"/>
        </patternFill>
      </fill>
    </dxf>
    <dxf>
      <font>
        <color auto="1"/>
      </font>
      <fill>
        <patternFill patternType="none">
          <fgColor indexed="64"/>
          <bgColor auto="1"/>
        </patternFill>
      </fill>
      <border diagonalUp="0" diagonalDown="0">
        <left/>
        <right style="thin">
          <color theme="4" tint="0.39997558519241921"/>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numFmt numFmtId="165" formatCode="_(* #,##0_);_(* \(#,##0\);_(* &quot;-&quot;??_);_(@_)"/>
      <fill>
        <patternFill patternType="none">
          <fgColor indexed="64"/>
          <bgColor indexed="65"/>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solid">
          <fgColor indexed="64"/>
          <bgColor rgb="FFFFFF0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solid">
          <fgColor indexed="64"/>
          <bgColor rgb="FFFFFF0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solid">
          <fgColor indexed="64"/>
          <bgColor rgb="FFFFFF00"/>
        </patternFill>
      </fill>
      <border diagonalUp="0" diagonalDown="0">
        <left/>
        <right/>
        <top style="thin">
          <color theme="4" tint="0.39997558519241921"/>
        </top>
        <bottom/>
        <vertical/>
        <horizontal/>
      </border>
    </dxf>
    <dxf>
      <font>
        <color auto="1"/>
      </font>
      <fill>
        <patternFill patternType="none">
          <fgColor indexed="64"/>
          <bgColor auto="1"/>
        </patternFill>
      </fill>
      <alignment horizontal="left" vertical="bottom" textRotation="0" wrapText="0" indent="0" justifyLastLine="0" shrinkToFit="0" readingOrder="1"/>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none">
          <fgColor indexed="64"/>
          <bgColor auto="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solid">
          <fgColor theme="7" tint="0.79998168889431442"/>
          <bgColor theme="7" tint="0.79998168889431442"/>
        </patternFill>
      </fill>
      <border diagonalUp="0" diagonalDown="0">
        <left style="thin">
          <color theme="7"/>
        </left>
        <right style="thin">
          <color theme="7"/>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scheme val="none"/>
      </font>
      <numFmt numFmtId="0" formatCode="General"/>
      <fill>
        <patternFill patternType="solid">
          <fgColor theme="7" tint="0.79998168889431442"/>
          <bgColor theme="7" tint="0.79998168889431442"/>
        </patternFill>
      </fill>
      <border diagonalUp="0" diagonalDown="0">
        <left style="thin">
          <color theme="7"/>
        </left>
        <right style="thin">
          <color theme="7"/>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scheme val="none"/>
      </font>
      <fill>
        <patternFill patternType="solid">
          <fgColor theme="7" tint="0.79998168889431442"/>
          <bgColor theme="7" tint="0.79998168889431442"/>
        </patternFill>
      </fill>
      <border diagonalUp="0" diagonalDown="0">
        <left style="thin">
          <color theme="7"/>
        </left>
        <right style="thin">
          <color theme="7"/>
        </right>
        <top style="thin">
          <color theme="4" tint="0.39997558519241921"/>
        </top>
        <bottom style="thin">
          <color theme="4" tint="0.39997558519241921"/>
        </bottom>
        <vertical/>
        <horizontal/>
      </border>
    </dxf>
    <dxf>
      <font>
        <color auto="1"/>
      </font>
      <fill>
        <patternFill patternType="none">
          <fgColor indexed="64"/>
          <bgColor auto="1"/>
        </patternFill>
      </fill>
      <alignment horizontal="left" vertical="bottom" textRotation="0" wrapText="0" indent="0" justifyLastLine="0" shrinkToFit="0" readingOrder="1"/>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scheme val="none"/>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fill>
        <patternFill patternType="none">
          <fgColor indexed="64"/>
          <bgColor auto="1"/>
        </patternFill>
      </fill>
      <border diagonalUp="0" diagonalDown="0">
        <left/>
        <right/>
        <top style="thin">
          <color theme="4" tint="0.39997558519241921"/>
        </top>
        <bottom/>
        <vertical/>
        <horizontal/>
      </border>
    </dxf>
    <dxf>
      <font>
        <color auto="1"/>
      </font>
      <numFmt numFmtId="0" formatCode="General"/>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color auto="1"/>
      </font>
      <numFmt numFmtId="0" formatCode="General"/>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color auto="1"/>
      </font>
      <fill>
        <patternFill patternType="none">
          <fgColor indexed="64"/>
          <bgColor auto="1"/>
        </patternFill>
      </fill>
      <alignment horizontal="center"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font>
        <color auto="1"/>
      </font>
      <fill>
        <patternFill patternType="none">
          <fgColor indexed="64"/>
          <bgColor auto="1"/>
        </patternFill>
      </fill>
    </dxf>
    <dxf>
      <font>
        <strike val="0"/>
        <outline val="0"/>
        <shadow val="0"/>
        <u val="none"/>
        <vertAlign val="baseline"/>
        <sz val="11"/>
        <color auto="1"/>
        <name val="Calibri"/>
        <scheme val="minor"/>
      </font>
      <fill>
        <patternFill patternType="none">
          <fgColor indexed="64"/>
          <bgColor auto="1"/>
        </patternFill>
      </fill>
    </dxf>
    <dxf>
      <protection locked="1" hidden="0"/>
    </dxf>
    <dxf>
      <protection locked="1" hidden="0"/>
    </dxf>
    <dxf>
      <protection locked="1" hidden="0"/>
    </dxf>
    <dxf>
      <protection locked="1" hidden="0"/>
    </dxf>
    <dxf>
      <protection locked="1" hidden="0"/>
    </dxf>
    <dxf>
      <protection locked="1" hidden="0"/>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alignment horizontal="center"/>
    </dxf>
    <dxf>
      <alignment horizontal="center"/>
    </dxf>
    <dxf>
      <alignment horizontal="center"/>
    </dxf>
    <dxf>
      <font>
        <b/>
        <color theme="1"/>
      </font>
      <fill>
        <patternFill>
          <bgColor theme="5" tint="0.79998168889431442"/>
        </patternFill>
      </fill>
      <border>
        <bottom style="thin">
          <color theme="4"/>
        </bottom>
        <vertical/>
        <horizontal/>
      </border>
    </dxf>
    <dxf>
      <font>
        <b val="0"/>
        <i val="0"/>
        <sz val="10"/>
        <color theme="1"/>
        <name val="Aptos"/>
      </font>
      <fill>
        <patternFill>
          <bgColor theme="7" tint="0.59996337778862885"/>
        </patternFill>
      </fill>
      <border>
        <left style="thin">
          <color theme="4"/>
        </left>
        <right style="thin">
          <color theme="4"/>
        </right>
        <top style="thin">
          <color theme="4"/>
        </top>
        <bottom style="thin">
          <color theme="4"/>
        </bottom>
        <vertical/>
        <horizontal/>
      </border>
    </dxf>
    <dxf>
      <fill>
        <patternFill patternType="solid">
          <fgColor theme="5" tint="0.79998168889431442"/>
          <bgColor theme="5" tint="0.79998168889431442"/>
        </patternFill>
      </fill>
      <border>
        <bottom style="thin">
          <color theme="5" tint="0.39997558519241921"/>
        </bottom>
      </border>
    </dxf>
    <dxf>
      <fill>
        <patternFill patternType="solid">
          <fgColor theme="5" tint="0.79998168889431442"/>
          <bgColor theme="5" tint="0.79998168889431442"/>
        </patternFill>
      </fill>
      <border>
        <bottom style="thin">
          <color theme="5" tint="0.39997558519241921"/>
        </bottom>
      </border>
    </dxf>
    <dxf>
      <font>
        <b/>
        <color theme="1"/>
      </font>
    </dxf>
    <dxf>
      <font>
        <b/>
        <color theme="1"/>
      </font>
      <border>
        <bottom style="thin">
          <color theme="5" tint="0.39997558519241921"/>
        </bottom>
      </border>
    </dxf>
    <dxf>
      <font>
        <b/>
        <color theme="1"/>
      </font>
    </dxf>
    <dxf>
      <font>
        <b/>
        <color theme="1"/>
      </font>
      <border>
        <top style="thin">
          <color theme="5"/>
        </top>
        <bottom style="thin">
          <color theme="5"/>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5" tint="0.79998168889431442"/>
          <bgColor theme="5" tint="0.79998168889431442"/>
        </patternFill>
      </fill>
      <border>
        <top style="thin">
          <color theme="5" tint="0.39997558519241921"/>
        </top>
      </border>
    </dxf>
    <dxf>
      <font>
        <b/>
        <color theme="1"/>
      </font>
      <fill>
        <patternFill patternType="solid">
          <fgColor theme="5" tint="0.79998168889431442"/>
          <bgColor theme="5" tint="0.79998168889431442"/>
        </patternFill>
      </fill>
      <border>
        <bottom style="thin">
          <color theme="5" tint="0.39997558519241921"/>
        </bottom>
      </border>
    </dxf>
    <dxf>
      <font>
        <color theme="0"/>
      </font>
      <fill>
        <patternFill patternType="solid">
          <fgColor theme="7" tint="-0.499984740745262"/>
          <bgColor theme="7" tint="-0.499984740745262"/>
        </patternFill>
      </fill>
      <border>
        <horizontal style="thin">
          <color theme="7" tint="-0.499984740745262"/>
        </horizontal>
      </border>
    </dxf>
    <dxf>
      <font>
        <b/>
        <color theme="0"/>
      </font>
      <fill>
        <patternFill patternType="solid">
          <fgColor theme="7" tint="-0.499984740745262"/>
          <bgColor theme="7" tint="-0.499984740745262"/>
        </patternFill>
      </fill>
      <border>
        <horizontal style="thin">
          <color theme="7" tint="-0.499984740745262"/>
        </horizontal>
      </border>
    </dxf>
    <dxf>
      <font>
        <b/>
        <color theme="1"/>
      </font>
    </dxf>
    <dxf>
      <font>
        <b/>
        <color theme="1"/>
      </font>
      <fill>
        <patternFill patternType="solid">
          <fgColor theme="7" tint="0.79998168889431442"/>
          <bgColor theme="7" tint="0.79998168889431442"/>
        </patternFill>
      </fill>
      <border>
        <top style="thin">
          <color theme="7" tint="0.39997558519241921"/>
        </top>
        <bottom style="thin">
          <color theme="7" tint="0.39997558519241921"/>
        </bottom>
      </border>
    </dxf>
    <dxf>
      <font>
        <b/>
        <color theme="1"/>
      </font>
      <border>
        <bottom style="thin">
          <color theme="7" tint="0.79998168889431442"/>
        </bottom>
      </border>
    </dxf>
    <dxf>
      <border>
        <left style="thin">
          <color theme="7" tint="0.79998168889431442"/>
        </left>
        <right style="thin">
          <color theme="7" tint="0.79998168889431442"/>
        </right>
      </border>
    </dxf>
    <dxf>
      <fill>
        <patternFill patternType="solid">
          <fgColor theme="7" tint="0.39997558519241921"/>
          <bgColor theme="7" tint="0.39997558519241921"/>
        </patternFill>
      </fill>
    </dxf>
    <dxf>
      <font>
        <b/>
        <color theme="0"/>
      </font>
      <fill>
        <patternFill patternType="solid">
          <fgColor theme="7" tint="-0.499984740745262"/>
          <bgColor theme="7" tint="-0.499984740745262"/>
        </patternFill>
      </fill>
    </dxf>
    <dxf>
      <font>
        <b/>
        <color theme="0"/>
      </font>
      <fill>
        <patternFill patternType="solid">
          <fgColor theme="7" tint="-0.499984740745262"/>
          <bgColor theme="7" tint="-0.499984740745262"/>
        </patternFill>
      </fill>
      <border>
        <bottom style="thin">
          <color theme="7"/>
        </bottom>
        <horizontal style="thin">
          <color theme="7" tint="-0.499984740745262"/>
        </horizontal>
      </border>
    </dxf>
    <dxf>
      <font>
        <color theme="1"/>
      </font>
      <fill>
        <patternFill patternType="solid">
          <fgColor theme="7" tint="0.59999389629810485"/>
          <bgColor theme="7" tint="0.59999389629810485"/>
        </patternFill>
      </fill>
      <border>
        <horizontal style="thin">
          <color theme="7" tint="0.79998168889431442"/>
        </horizontal>
      </border>
    </dxf>
    <dxf>
      <fill>
        <patternFill>
          <bgColor theme="7" tint="0.79998168889431442"/>
        </patternFill>
      </fill>
    </dxf>
  </dxfs>
  <tableStyles count="4" defaultTableStyle="TableStyleMedium2" defaultPivotStyle="PivotStyleLight16">
    <tableStyle name="Bali" table="0" count="1" xr9:uid="{C99E083E-7948-4E53-85E3-02D69B5459B4}">
      <tableStyleElement type="secondRowStripe" dxfId="165"/>
    </tableStyle>
    <tableStyle name="PivotStyleDark5 2" table="0" count="10" xr9:uid="{9EF04B10-2B55-46C5-A3E7-9AB448957812}">
      <tableStyleElement type="wholeTable" dxfId="164"/>
      <tableStyleElement type="headerRow" dxfId="163"/>
      <tableStyleElement type="totalRow" dxfId="162"/>
      <tableStyleElement type="secondRowStripe" dxfId="161"/>
      <tableStyleElement type="secondColumnStripe" dxfId="160"/>
      <tableStyleElement type="firstSubtotalRow" dxfId="159"/>
      <tableStyleElement type="firstRowSubheading" dxfId="158"/>
      <tableStyleElement type="secondRowSubheading" dxfId="157"/>
      <tableStyleElement type="pageFieldLabels" dxfId="156"/>
      <tableStyleElement type="pageFieldValues" dxfId="155"/>
    </tableStyle>
    <tableStyle name="PivotStyleLight17 2" table="0" count="11" xr9:uid="{EFE6EFB1-194D-4FFF-BE8A-A79917384C50}">
      <tableStyleElement type="headerRow" dxfId="154"/>
      <tableStyleElement type="totalRow" dxfId="153"/>
      <tableStyleElement type="firstRowStripe" dxfId="152"/>
      <tableStyleElement type="firstColumnStripe" dxfId="151"/>
      <tableStyleElement type="firstSubtotalColumn" dxfId="150"/>
      <tableStyleElement type="firstSubtotalRow" dxfId="149"/>
      <tableStyleElement type="secondSubtotalRow" dxfId="148"/>
      <tableStyleElement type="firstRowSubheading" dxfId="147"/>
      <tableStyleElement type="secondRowSubheading" dxfId="146"/>
      <tableStyleElement type="pageFieldLabels" dxfId="145"/>
      <tableStyleElement type="pageFieldValues" dxfId="144"/>
    </tableStyle>
    <tableStyle name="SlicerStyleLight1 2" pivot="0" table="0" count="10" xr9:uid="{00000000-0011-0000-FFFF-FFFF00000000}">
      <tableStyleElement type="wholeTable" dxfId="143"/>
      <tableStyleElement type="headerRow" dxfId="142"/>
    </tableStyle>
  </tableStyles>
  <colors>
    <mruColors>
      <color rgb="FFFFCCFF"/>
      <color rgb="FF92D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indexed="64"/>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Jul-.xlsx]Sheet6!PivotTable4</c:name>
    <c:fmtId val="3"/>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t>TOTAL by 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25219978714481E-2"/>
          <c:y val="0.23010497522598169"/>
          <c:w val="0.95566608005676112"/>
          <c:h val="0.60414342432236434"/>
        </c:manualLayout>
      </c:layout>
      <c:barChart>
        <c:barDir val="col"/>
        <c:grouping val="clustered"/>
        <c:varyColors val="0"/>
        <c:ser>
          <c:idx val="0"/>
          <c:order val="0"/>
          <c:tx>
            <c:strRef>
              <c:f>Sheet6!$B$8</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Sheet6!$A$9:$A$16</c:f>
              <c:strCache>
                <c:ptCount val="7"/>
                <c:pt idx="0">
                  <c:v>Jan</c:v>
                </c:pt>
                <c:pt idx="1">
                  <c:v>Feb</c:v>
                </c:pt>
                <c:pt idx="2">
                  <c:v>Mar</c:v>
                </c:pt>
                <c:pt idx="3">
                  <c:v>Apr</c:v>
                </c:pt>
                <c:pt idx="4">
                  <c:v>May</c:v>
                </c:pt>
                <c:pt idx="5">
                  <c:v>Jun</c:v>
                </c:pt>
                <c:pt idx="6">
                  <c:v>Jul</c:v>
                </c:pt>
              </c:strCache>
            </c:strRef>
          </c:cat>
          <c:val>
            <c:numRef>
              <c:f>Sheet6!$B$9:$B$16</c:f>
              <c:numCache>
                <c:formatCode>General</c:formatCode>
                <c:ptCount val="7"/>
                <c:pt idx="0">
                  <c:v>73</c:v>
                </c:pt>
                <c:pt idx="1">
                  <c:v>77</c:v>
                </c:pt>
                <c:pt idx="2">
                  <c:v>52</c:v>
                </c:pt>
                <c:pt idx="3">
                  <c:v>72</c:v>
                </c:pt>
                <c:pt idx="4">
                  <c:v>65</c:v>
                </c:pt>
                <c:pt idx="5">
                  <c:v>89</c:v>
                </c:pt>
                <c:pt idx="6">
                  <c:v>76</c:v>
                </c:pt>
              </c:numCache>
            </c:numRef>
          </c:val>
          <c:extLst>
            <c:ext xmlns:c16="http://schemas.microsoft.com/office/drawing/2014/chart" uri="{C3380CC4-5D6E-409C-BE32-E72D297353CC}">
              <c16:uniqueId val="{00000000-2DA8-4C86-8ED0-1DB0F62396F4}"/>
            </c:ext>
          </c:extLst>
        </c:ser>
        <c:dLbls>
          <c:showLegendKey val="0"/>
          <c:showVal val="0"/>
          <c:showCatName val="0"/>
          <c:showSerName val="0"/>
          <c:showPercent val="0"/>
          <c:showBubbleSize val="0"/>
        </c:dLbls>
        <c:gapWidth val="100"/>
        <c:overlap val="-24"/>
        <c:axId val="1850349247"/>
        <c:axId val="1850351167"/>
      </c:barChart>
      <c:catAx>
        <c:axId val="1850349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0351167"/>
        <c:crosses val="autoZero"/>
        <c:auto val="1"/>
        <c:lblAlgn val="ctr"/>
        <c:lblOffset val="100"/>
        <c:noMultiLvlLbl val="0"/>
      </c:catAx>
      <c:valAx>
        <c:axId val="1850351167"/>
        <c:scaling>
          <c:orientation val="minMax"/>
        </c:scaling>
        <c:delete val="1"/>
        <c:axPos val="l"/>
        <c:numFmt formatCode="General" sourceLinked="1"/>
        <c:majorTickMark val="none"/>
        <c:minorTickMark val="none"/>
        <c:tickLblPos val="nextTo"/>
        <c:crossAx val="185034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100000">
          <a:srgbClr val="92D050">
            <a:alpha val="0"/>
            <a:lumMod val="52000"/>
            <a:lumOff val="48000"/>
          </a:srgbClr>
        </a:gs>
      </a:gsLst>
      <a:path path="circle">
        <a:fillToRect l="100000" t="100000"/>
      </a:path>
      <a:tileRect r="-100000" b="-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Jul-.xlsx]Sheet6!PivotTable5</c:name>
    <c:fmtId val="2"/>
  </c:pivotSource>
  <c:chart>
    <c:title>
      <c:tx>
        <c:rich>
          <a:bodyPr rot="0" spcFirstLastPara="1" vertOverflow="ellipsis" vert="horz" wrap="square" anchor="ctr" anchorCtr="1"/>
          <a:lstStyle/>
          <a:p>
            <a:pPr>
              <a:defRPr sz="1000" b="1" i="0" u="none" strike="noStrike" kern="1200" cap="none" spc="20" baseline="0">
                <a:solidFill>
                  <a:srgbClr val="7030A0"/>
                </a:solidFill>
                <a:latin typeface="+mn-lt"/>
                <a:ea typeface="+mn-ea"/>
                <a:cs typeface="+mn-cs"/>
              </a:defRPr>
            </a:pPr>
            <a:r>
              <a:rPr lang="en-US" sz="1000" b="1">
                <a:solidFill>
                  <a:srgbClr val="7030A0"/>
                </a:solidFill>
              </a:rPr>
              <a:t>NAMA</a:t>
            </a:r>
            <a:r>
              <a:rPr lang="en-US" sz="1000" b="1" baseline="0">
                <a:solidFill>
                  <a:srgbClr val="7030A0"/>
                </a:solidFill>
              </a:rPr>
              <a:t> SPV</a:t>
            </a:r>
            <a:endParaRPr lang="en-US" sz="1000" b="1">
              <a:solidFill>
                <a:srgbClr val="7030A0"/>
              </a:solidFill>
            </a:endParaRPr>
          </a:p>
        </c:rich>
      </c:tx>
      <c:layout>
        <c:manualLayout>
          <c:xMode val="edge"/>
          <c:yMode val="edge"/>
          <c:x val="0.38575182297294536"/>
          <c:y val="3.5390200648504525E-2"/>
        </c:manualLayout>
      </c:layout>
      <c:overlay val="0"/>
      <c:spPr>
        <a:noFill/>
        <a:ln>
          <a:noFill/>
        </a:ln>
        <a:effectLst/>
      </c:spPr>
      <c:txPr>
        <a:bodyPr rot="0" spcFirstLastPara="1" vertOverflow="ellipsis" vert="horz" wrap="square" anchor="ctr" anchorCtr="1"/>
        <a:lstStyle/>
        <a:p>
          <a:pPr>
            <a:defRPr sz="1000" b="1" i="0" u="none" strike="noStrike" kern="1200" cap="none" spc="20" baseline="0">
              <a:solidFill>
                <a:srgbClr val="7030A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7"/>
          <c:spPr>
            <a:solidFill>
              <a:srgbClr val="00B0F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177623102829884"/>
          <c:y val="0.15155173030732691"/>
          <c:w val="0.53081361504442848"/>
          <c:h val="0.81097505065459607"/>
        </c:manualLayout>
      </c:layout>
      <c:barChart>
        <c:barDir val="bar"/>
        <c:grouping val="clustered"/>
        <c:varyColors val="0"/>
        <c:ser>
          <c:idx val="0"/>
          <c:order val="0"/>
          <c:tx>
            <c:strRef>
              <c:f>Sheet6!$B$31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Sheet6!$A$32:$A$35</c:f>
              <c:strCache>
                <c:ptCount val="3"/>
                <c:pt idx="0">
                  <c:v>MUHAMMAD CAISARIVA</c:v>
                </c:pt>
                <c:pt idx="1">
                  <c:v>FERYANTO</c:v>
                </c:pt>
                <c:pt idx="2">
                  <c:v>ALVIN</c:v>
                </c:pt>
              </c:strCache>
            </c:strRef>
          </c:cat>
          <c:val>
            <c:numRef>
              <c:f>Sheet6!$B$32:$B$35</c:f>
              <c:numCache>
                <c:formatCode>General</c:formatCode>
                <c:ptCount val="3"/>
                <c:pt idx="0">
                  <c:v>108</c:v>
                </c:pt>
                <c:pt idx="1">
                  <c:v>205</c:v>
                </c:pt>
                <c:pt idx="2">
                  <c:v>191</c:v>
                </c:pt>
              </c:numCache>
            </c:numRef>
          </c:val>
          <c:extLst>
            <c:ext xmlns:c16="http://schemas.microsoft.com/office/drawing/2014/chart" uri="{C3380CC4-5D6E-409C-BE32-E72D297353CC}">
              <c16:uniqueId val="{00000000-FD74-4D83-9232-4661627E8923}"/>
            </c:ext>
          </c:extLst>
        </c:ser>
        <c:dLbls>
          <c:showLegendKey val="0"/>
          <c:showVal val="0"/>
          <c:showCatName val="0"/>
          <c:showSerName val="0"/>
          <c:showPercent val="0"/>
          <c:showBubbleSize val="0"/>
        </c:dLbls>
        <c:gapWidth val="150"/>
        <c:axId val="1850355967"/>
        <c:axId val="1825685391"/>
      </c:barChart>
      <c:catAx>
        <c:axId val="185035596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solidFill>
                  <a:sysClr val="windowText" lastClr="000000"/>
                </a:solidFill>
                <a:latin typeface="+mn-lt"/>
                <a:ea typeface="+mn-ea"/>
                <a:cs typeface="+mn-cs"/>
              </a:defRPr>
            </a:pPr>
            <a:endParaRPr lang="en-US"/>
          </a:p>
        </c:txPr>
        <c:crossAx val="1825685391"/>
        <c:crosses val="autoZero"/>
        <c:auto val="1"/>
        <c:lblAlgn val="ctr"/>
        <c:lblOffset val="100"/>
        <c:noMultiLvlLbl val="0"/>
      </c:catAx>
      <c:valAx>
        <c:axId val="1825685391"/>
        <c:scaling>
          <c:orientation val="minMax"/>
        </c:scaling>
        <c:delete val="1"/>
        <c:axPos val="b"/>
        <c:numFmt formatCode="General" sourceLinked="1"/>
        <c:majorTickMark val="none"/>
        <c:minorTickMark val="none"/>
        <c:tickLblPos val="nextTo"/>
        <c:crossAx val="185035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7030A0">
            <a:alpha val="9000"/>
          </a:srgbClr>
        </a:gs>
        <a:gs pos="44000">
          <a:schemeClr val="accent3">
            <a:lumMod val="45000"/>
            <a:lumOff val="55000"/>
            <a:alpha val="27000"/>
          </a:schemeClr>
        </a:gs>
        <a:gs pos="100000">
          <a:srgbClr val="FF0000">
            <a:alpha val="43000"/>
          </a:srgbClr>
        </a:gs>
      </a:gsLst>
      <a:path path="circle">
        <a:fillToRect l="100000" t="100000"/>
      </a:path>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Jul-.xlsx]Sheet6!PivotTable8</c:name>
    <c:fmtId val="4"/>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TOTAL</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0.12863943251143262"/>
              <c:y val="-0.1696039833256138"/>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7472040706876026"/>
                  <c:h val="0.34865369769955223"/>
                </c:manualLayout>
              </c15:layout>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12863943251143262"/>
              <c:y val="-0.1696039833256138"/>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7472040706876026"/>
                  <c:h val="0.34865369769955223"/>
                </c:manualLayout>
              </c15:layout>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8.9238496096802192E-2"/>
              <c:y val="-9.9669291338582683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3284699029970213"/>
                  <c:h val="0.48852318460192479"/>
                </c:manualLayout>
              </c15:layout>
            </c:ext>
          </c:extLst>
        </c:dLbl>
      </c:pivotFmt>
    </c:pivotFmts>
    <c:plotArea>
      <c:layout>
        <c:manualLayout>
          <c:layoutTarget val="inner"/>
          <c:xMode val="edge"/>
          <c:yMode val="edge"/>
          <c:x val="0.29976224846894139"/>
          <c:y val="0.65258967629046372"/>
          <c:w val="0.14492016622922135"/>
          <c:h val="0.24153361038203558"/>
        </c:manualLayout>
      </c:layout>
      <c:pieChart>
        <c:varyColors val="1"/>
        <c:ser>
          <c:idx val="0"/>
          <c:order val="0"/>
          <c:tx>
            <c:strRef>
              <c:f>Sheet6!$A$49</c:f>
              <c:strCache>
                <c:ptCount val="1"/>
                <c:pt idx="0">
                  <c:v>Total</c:v>
                </c:pt>
              </c:strCache>
            </c:strRef>
          </c:tx>
          <c:spPr>
            <a:noFill/>
            <a:ln>
              <a:noFill/>
            </a:ln>
          </c:spPr>
          <c:dPt>
            <c:idx val="0"/>
            <c:bubble3D val="0"/>
            <c:spPr>
              <a:noFill/>
              <a:ln>
                <a:noFill/>
              </a:ln>
              <a:effectLst/>
            </c:spPr>
            <c:extLst>
              <c:ext xmlns:c16="http://schemas.microsoft.com/office/drawing/2014/chart" uri="{C3380CC4-5D6E-409C-BE32-E72D297353CC}">
                <c16:uniqueId val="{00000001-4E39-4760-B43F-5CB96E3847D5}"/>
              </c:ext>
            </c:extLst>
          </c:dPt>
          <c:dLbls>
            <c:dLbl>
              <c:idx val="0"/>
              <c:layout>
                <c:manualLayout>
                  <c:x val="8.9238496096802192E-2"/>
                  <c:y val="-9.9669291338582683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3284699029970213"/>
                      <c:h val="0.48852318460192479"/>
                    </c:manualLayout>
                  </c15:layout>
                </c:ext>
                <c:ext xmlns:c16="http://schemas.microsoft.com/office/drawing/2014/chart" uri="{C3380CC4-5D6E-409C-BE32-E72D297353CC}">
                  <c16:uniqueId val="{00000001-4E39-4760-B43F-5CB96E3847D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Sheet6!$A$50</c:f>
              <c:strCache>
                <c:ptCount val="1"/>
                <c:pt idx="0">
                  <c:v>Total</c:v>
                </c:pt>
              </c:strCache>
            </c:strRef>
          </c:cat>
          <c:val>
            <c:numRef>
              <c:f>Sheet6!$A$50</c:f>
              <c:numCache>
                <c:formatCode>General</c:formatCode>
                <c:ptCount val="1"/>
                <c:pt idx="0">
                  <c:v>504</c:v>
                </c:pt>
              </c:numCache>
            </c:numRef>
          </c:val>
          <c:extLst>
            <c:ext xmlns:c16="http://schemas.microsoft.com/office/drawing/2014/chart" uri="{C3380CC4-5D6E-409C-BE32-E72D297353CC}">
              <c16:uniqueId val="{00000002-4E39-4760-B43F-5CB96E3847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35000">
          <a:srgbClr val="FFFF00"/>
        </a:gs>
        <a:gs pos="0">
          <a:srgbClr val="FF0000"/>
        </a:gs>
        <a:gs pos="100000">
          <a:srgbClr val="FF0000"/>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LEASING</a:t>
            </a:r>
          </a:p>
        </c:rich>
      </c:tx>
      <c:layout>
        <c:manualLayout>
          <c:xMode val="edge"/>
          <c:yMode val="edge"/>
          <c:x val="0.80754827312197242"/>
          <c:y val="5.1282033610480116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x"/>
          <c:size val="6"/>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47625" cap="rnd">
            <a:solidFill>
              <a:schemeClr val="accent4">
                <a:lumMod val="75000"/>
              </a:schemeClr>
            </a:solidFill>
            <a:round/>
          </a:ln>
          <a:effectLst/>
        </c:spPr>
        <c:marker>
          <c:symbol val="square"/>
          <c:size val="7"/>
          <c:spPr>
            <a:solidFill>
              <a:srgbClr val="FF0000"/>
            </a:solidFill>
            <a:ln w="28575">
              <a:solidFill>
                <a:srgbClr val="FF0000"/>
              </a:solidFill>
            </a:ln>
            <a:effectLst/>
          </c:spPr>
        </c:marker>
      </c:pivotFmt>
      <c:pivotFmt>
        <c:idx val="6"/>
        <c:spPr>
          <a:solidFill>
            <a:schemeClr val="accent1"/>
          </a:solidFill>
          <a:ln>
            <a:noFill/>
          </a:ln>
          <a:effectLst/>
          <a:sp3d/>
        </c:spPr>
        <c:marker>
          <c:symbol val="none"/>
        </c:marke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square"/>
          <c:size val="8"/>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square"/>
          <c:size val="8"/>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900706769020643E-2"/>
          <c:y val="0.12103646097523323"/>
          <c:w val="0.93140996630283623"/>
          <c:h val="0.72774463533511236"/>
        </c:manualLayout>
      </c:layout>
      <c:lineChart>
        <c:grouping val="standard"/>
        <c:varyColors val="0"/>
        <c:ser>
          <c:idx val="0"/>
          <c:order val="0"/>
          <c:tx>
            <c:strRef>
              <c:f>Sheet6!$B$62</c:f>
              <c:strCache>
                <c:ptCount val="1"/>
                <c:pt idx="0">
                  <c:v>Total</c:v>
                </c:pt>
              </c:strCache>
            </c:strRef>
          </c:tx>
          <c:spPr>
            <a:ln w="28575" cap="rnd">
              <a:solidFill>
                <a:schemeClr val="accent1"/>
              </a:solidFill>
              <a:round/>
            </a:ln>
            <a:effectLst/>
          </c:spPr>
          <c:marker>
            <c:symbol val="square"/>
            <c:size val="8"/>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Sheet6!$A$63:$A$71</c:f>
              <c:strCache>
                <c:ptCount val="8"/>
                <c:pt idx="0">
                  <c:v>ACC</c:v>
                </c:pt>
                <c:pt idx="1">
                  <c:v>CASH</c:v>
                </c:pt>
                <c:pt idx="2">
                  <c:v>KKB BCA</c:v>
                </c:pt>
                <c:pt idx="3">
                  <c:v>MTF</c:v>
                </c:pt>
                <c:pt idx="4">
                  <c:v>OTHERS</c:v>
                </c:pt>
                <c:pt idx="5">
                  <c:v>TAFS</c:v>
                </c:pt>
                <c:pt idx="6">
                  <c:v>BCAF</c:v>
                </c:pt>
                <c:pt idx="7">
                  <c:v>ADIRA</c:v>
                </c:pt>
              </c:strCache>
            </c:strRef>
          </c:cat>
          <c:val>
            <c:numRef>
              <c:f>Sheet6!$B$63:$B$71</c:f>
              <c:numCache>
                <c:formatCode>General</c:formatCode>
                <c:ptCount val="8"/>
                <c:pt idx="0">
                  <c:v>54</c:v>
                </c:pt>
                <c:pt idx="1">
                  <c:v>106</c:v>
                </c:pt>
                <c:pt idx="2">
                  <c:v>17</c:v>
                </c:pt>
                <c:pt idx="3">
                  <c:v>139</c:v>
                </c:pt>
                <c:pt idx="4">
                  <c:v>34</c:v>
                </c:pt>
                <c:pt idx="5">
                  <c:v>149</c:v>
                </c:pt>
                <c:pt idx="6">
                  <c:v>3</c:v>
                </c:pt>
                <c:pt idx="7">
                  <c:v>2</c:v>
                </c:pt>
              </c:numCache>
            </c:numRef>
          </c:val>
          <c:smooth val="1"/>
          <c:extLst>
            <c:ext xmlns:c16="http://schemas.microsoft.com/office/drawing/2014/chart" uri="{C3380CC4-5D6E-409C-BE32-E72D297353CC}">
              <c16:uniqueId val="{00000000-ADA6-48CB-8707-C26E0FC1D58B}"/>
            </c:ext>
          </c:extLst>
        </c:ser>
        <c:dLbls>
          <c:showLegendKey val="0"/>
          <c:showVal val="0"/>
          <c:showCatName val="0"/>
          <c:showSerName val="0"/>
          <c:showPercent val="0"/>
          <c:showBubbleSize val="0"/>
        </c:dLbls>
        <c:marker val="1"/>
        <c:smooth val="0"/>
        <c:axId val="1763636479"/>
        <c:axId val="1768700623"/>
      </c:lineChart>
      <c:catAx>
        <c:axId val="176363647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mn-lt"/>
                <a:ea typeface="+mn-ea"/>
                <a:cs typeface="+mn-cs"/>
              </a:defRPr>
            </a:pPr>
            <a:endParaRPr lang="en-US"/>
          </a:p>
        </c:txPr>
        <c:crossAx val="1768700623"/>
        <c:crosses val="autoZero"/>
        <c:auto val="1"/>
        <c:lblAlgn val="ctr"/>
        <c:lblOffset val="100"/>
        <c:noMultiLvlLbl val="0"/>
      </c:catAx>
      <c:valAx>
        <c:axId val="1768700623"/>
        <c:scaling>
          <c:orientation val="minMax"/>
        </c:scaling>
        <c:delete val="1"/>
        <c:axPos val="l"/>
        <c:numFmt formatCode="General" sourceLinked="1"/>
        <c:majorTickMark val="none"/>
        <c:minorTickMark val="none"/>
        <c:tickLblPos val="nextTo"/>
        <c:crossAx val="1763636479"/>
        <c:crosses val="autoZero"/>
        <c:crossBetween val="between"/>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Jul-.xlsx]Sheet6!PivotTable2</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TOTAL</a:t>
            </a:r>
          </a:p>
        </c:rich>
      </c:tx>
      <c:layout>
        <c:manualLayout>
          <c:xMode val="edge"/>
          <c:yMode val="edge"/>
          <c:x val="4.7846019247594074E-2"/>
          <c:y val="3.1746011907254151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dLbl>
          <c:idx val="0"/>
          <c:spPr>
            <a:solidFill>
              <a:schemeClr val="accent4"/>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977166249111174"/>
                  <c:h val="0.2538983319711845"/>
                </c:manualLayout>
              </c15:layout>
            </c:ext>
          </c:extLst>
        </c:dLbl>
      </c:pivotFmt>
      <c:pivotFmt>
        <c:idx val="6"/>
        <c:spPr>
          <a:solidFill>
            <a:srgbClr val="FF0000"/>
          </a:solidFill>
          <a:ln w="19050">
            <a:solidFill>
              <a:schemeClr val="lt1"/>
            </a:solidFill>
          </a:ln>
          <a:effectLst/>
        </c:spPr>
        <c:dLbl>
          <c:idx val="0"/>
          <c:spPr>
            <a:solidFill>
              <a:schemeClr val="accent4"/>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89733229664383"/>
                  <c:h val="0.24523230672142851"/>
                </c:manualLayout>
              </c15:layout>
            </c:ext>
          </c:extLst>
        </c:dLbl>
      </c:pivotFmt>
    </c:pivotFmts>
    <c:plotArea>
      <c:layout>
        <c:manualLayout>
          <c:layoutTarget val="inner"/>
          <c:xMode val="edge"/>
          <c:yMode val="edge"/>
          <c:x val="9.8984461543067573E-2"/>
          <c:y val="5.7340224351646657E-3"/>
          <c:w val="0.80680526850922718"/>
          <c:h val="0.99426597756483537"/>
        </c:manualLayout>
      </c:layout>
      <c:pieChart>
        <c:varyColors val="1"/>
        <c:ser>
          <c:idx val="0"/>
          <c:order val="0"/>
          <c:tx>
            <c:strRef>
              <c:f>Sheet6!$B$87</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D4D-4D87-ADA6-F9A2FA9328B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D4D-4D87-ADA6-F9A2FA9328B4}"/>
              </c:ext>
            </c:extLst>
          </c:dPt>
          <c:dLbls>
            <c:dLbl>
              <c:idx val="0"/>
              <c:spPr>
                <a:solidFill>
                  <a:schemeClr val="accent4"/>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977166249111174"/>
                      <c:h val="0.2538983319711845"/>
                    </c:manualLayout>
                  </c15:layout>
                </c:ext>
                <c:ext xmlns:c16="http://schemas.microsoft.com/office/drawing/2014/chart" uri="{C3380CC4-5D6E-409C-BE32-E72D297353CC}">
                  <c16:uniqueId val="{00000001-2D4D-4D87-ADA6-F9A2FA9328B4}"/>
                </c:ext>
              </c:extLst>
            </c:dLbl>
            <c:dLbl>
              <c:idx val="1"/>
              <c:spPr>
                <a:solidFill>
                  <a:schemeClr val="accent4"/>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89733229664383"/>
                      <c:h val="0.24523230672142851"/>
                    </c:manualLayout>
                  </c15:layout>
                </c:ext>
                <c:ext xmlns:c16="http://schemas.microsoft.com/office/drawing/2014/chart" uri="{C3380CC4-5D6E-409C-BE32-E72D297353CC}">
                  <c16:uniqueId val="{00000003-2D4D-4D87-ADA6-F9A2FA9328B4}"/>
                </c:ext>
              </c:extLst>
            </c:dLbl>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Sheet6!$A$88:$A$90</c:f>
              <c:strCache>
                <c:ptCount val="2"/>
                <c:pt idx="0">
                  <c:v>INDIVIDU</c:v>
                </c:pt>
                <c:pt idx="1">
                  <c:v>PT</c:v>
                </c:pt>
              </c:strCache>
            </c:strRef>
          </c:cat>
          <c:val>
            <c:numRef>
              <c:f>Sheet6!$B$88:$B$90</c:f>
              <c:numCache>
                <c:formatCode>General</c:formatCode>
                <c:ptCount val="2"/>
                <c:pt idx="0">
                  <c:v>435</c:v>
                </c:pt>
                <c:pt idx="1">
                  <c:v>69</c:v>
                </c:pt>
              </c:numCache>
            </c:numRef>
          </c:val>
          <c:extLst>
            <c:ext xmlns:c16="http://schemas.microsoft.com/office/drawing/2014/chart" uri="{C3380CC4-5D6E-409C-BE32-E72D297353CC}">
              <c16:uniqueId val="{00000004-2D4D-4D87-ADA6-F9A2FA932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Jul-.xlsx]Sheet6!PivotTable3</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CASH / KREDIT</a:t>
            </a:r>
          </a:p>
        </c:rich>
      </c:tx>
      <c:layout>
        <c:manualLayout>
          <c:xMode val="edge"/>
          <c:yMode val="edge"/>
          <c:x val="3.2285630962796338E-2"/>
          <c:y val="4.0816326530612242E-2"/>
        </c:manualLayout>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6281439239302989"/>
              <c:y val="7.8179155395509889E-2"/>
            </c:manualLayout>
          </c:layout>
          <c:spPr>
            <a:solidFill>
              <a:srgbClr val="00B05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166371378740306"/>
                  <c:h val="0.27094126363307425"/>
                </c:manualLayout>
              </c15:layout>
            </c:ext>
          </c:extLst>
        </c:dLbl>
      </c:pivotFmt>
      <c:pivotFmt>
        <c:idx val="6"/>
        <c:spPr>
          <a:solidFill>
            <a:schemeClr val="accent2"/>
          </a:solidFill>
          <a:ln w="25400">
            <a:solidFill>
              <a:schemeClr val="lt1"/>
            </a:solidFill>
          </a:ln>
          <a:effectLst/>
          <a:sp3d contourW="25400">
            <a:contourClr>
              <a:schemeClr val="lt1"/>
            </a:contourClr>
          </a:sp3d>
        </c:spPr>
        <c:dLbl>
          <c:idx val="0"/>
          <c:spPr>
            <a:solidFill>
              <a:srgbClr val="00B05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2943365176830158"/>
                  <c:h val="0.27956236323851197"/>
                </c:manualLayout>
              </c15:layout>
            </c:ext>
          </c:extLst>
        </c:dLbl>
      </c:pivotFmt>
      <c:pivotFmt>
        <c:idx val="7"/>
        <c:dLbl>
          <c:idx val="0"/>
          <c:spPr>
            <a:solidFill>
              <a:schemeClr val="tx1">
                <a:alpha val="5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8"/>
        <c:dLbl>
          <c:idx val="0"/>
          <c:spPr>
            <a:solidFill>
              <a:schemeClr val="tx1">
                <a:alpha val="52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s>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951808131441448E-4"/>
          <c:y val="7.1121851234907385E-2"/>
          <c:w val="0.99594750656167963"/>
          <c:h val="0.90337618511971718"/>
        </c:manualLayout>
      </c:layout>
      <c:pie3DChart>
        <c:varyColors val="1"/>
        <c:ser>
          <c:idx val="0"/>
          <c:order val="0"/>
          <c:tx>
            <c:strRef>
              <c:f>Sheet6!$B$100</c:f>
              <c:strCache>
                <c:ptCount val="1"/>
                <c:pt idx="0">
                  <c:v>Total</c:v>
                </c:pt>
              </c:strCache>
            </c:strRef>
          </c:tx>
          <c:explosion val="7"/>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9F-48C8-A605-DFDA33C9F515}"/>
              </c:ext>
            </c:extLst>
          </c:dPt>
          <c:dPt>
            <c:idx val="1"/>
            <c:bubble3D val="0"/>
            <c:explosion val="11"/>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9F-48C8-A605-DFDA33C9F515}"/>
              </c:ext>
            </c:extLst>
          </c:dPt>
          <c:dLbls>
            <c:dLbl>
              <c:idx val="0"/>
              <c:layout>
                <c:manualLayout>
                  <c:x val="-0.16281439239302989"/>
                  <c:y val="7.8179155395509889E-2"/>
                </c:manualLayout>
              </c:layout>
              <c:spPr>
                <a:solidFill>
                  <a:srgbClr val="00B05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166371378740306"/>
                      <c:h val="0.27094126363307425"/>
                    </c:manualLayout>
                  </c15:layout>
                </c:ext>
                <c:ext xmlns:c16="http://schemas.microsoft.com/office/drawing/2014/chart" uri="{C3380CC4-5D6E-409C-BE32-E72D297353CC}">
                  <c16:uniqueId val="{00000001-809F-48C8-A605-DFDA33C9F515}"/>
                </c:ext>
              </c:extLst>
            </c:dLbl>
            <c:dLbl>
              <c:idx val="1"/>
              <c:spPr>
                <a:solidFill>
                  <a:srgbClr val="00B05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2943365176830158"/>
                      <c:h val="0.27956236323851197"/>
                    </c:manualLayout>
                  </c15:layout>
                </c:ext>
                <c:ext xmlns:c16="http://schemas.microsoft.com/office/drawing/2014/chart" uri="{C3380CC4-5D6E-409C-BE32-E72D297353CC}">
                  <c16:uniqueId val="{00000003-809F-48C8-A605-DFDA33C9F515}"/>
                </c:ext>
              </c:extLst>
            </c:dLbl>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Sheet6!$A$101:$A$103</c:f>
              <c:strCache>
                <c:ptCount val="2"/>
                <c:pt idx="0">
                  <c:v>CASH</c:v>
                </c:pt>
                <c:pt idx="1">
                  <c:v>KREDIT</c:v>
                </c:pt>
              </c:strCache>
            </c:strRef>
          </c:cat>
          <c:val>
            <c:numRef>
              <c:f>Sheet6!$B$101:$B$103</c:f>
              <c:numCache>
                <c:formatCode>General</c:formatCode>
                <c:ptCount val="2"/>
                <c:pt idx="0">
                  <c:v>106</c:v>
                </c:pt>
                <c:pt idx="1">
                  <c:v>398</c:v>
                </c:pt>
              </c:numCache>
            </c:numRef>
          </c:val>
          <c:extLst>
            <c:ext xmlns:c16="http://schemas.microsoft.com/office/drawing/2014/chart" uri="{C3380CC4-5D6E-409C-BE32-E72D297353CC}">
              <c16:uniqueId val="{00000004-809F-48C8-A605-DFDA33C9F515}"/>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Jul-.xlsx]Sheet6!PivotTable6</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TOTAL</a:t>
            </a:r>
          </a:p>
        </c:rich>
      </c:tx>
      <c:layout>
        <c:manualLayout>
          <c:xMode val="edge"/>
          <c:yMode val="edge"/>
          <c:x val="2.3874015748031496E-2"/>
          <c:y val="1.046187408392132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spPr>
            <a:solidFill>
              <a:srgbClr val="FFFF00">
                <a:alpha val="92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spPr>
            <a:solidFill>
              <a:srgbClr val="FFFF00">
                <a:alpha val="92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00B0F0"/>
          </a:solidFill>
          <a:ln w="19050">
            <a:solidFill>
              <a:schemeClr val="lt1"/>
            </a:solidFill>
          </a:ln>
          <a:effectLst/>
        </c:spPr>
        <c:dLbl>
          <c:idx val="0"/>
          <c:spPr>
            <a:solidFill>
              <a:srgbClr val="FFFF00">
                <a:alpha val="92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9366733466933868"/>
                  <c:h val="0.27653679653679647"/>
                </c:manualLayout>
              </c15:layout>
            </c:ext>
          </c:extLst>
        </c:dLbl>
      </c:pivotFmt>
      <c:pivotFmt>
        <c:idx val="10"/>
        <c:spPr>
          <a:solidFill>
            <a:schemeClr val="accent1"/>
          </a:solidFill>
          <a:ln w="19050">
            <a:solidFill>
              <a:schemeClr val="lt1"/>
            </a:solidFill>
          </a:ln>
          <a:effectLst/>
        </c:spPr>
        <c:dLbl>
          <c:idx val="0"/>
          <c:spPr>
            <a:solidFill>
              <a:schemeClr val="accent3"/>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41074148296593177"/>
                  <c:h val="0.2503891690418768"/>
                </c:manualLayout>
              </c15:layout>
            </c:ext>
          </c:extLst>
        </c:dLbl>
      </c:pivotFmt>
      <c:pivotFmt>
        <c:idx val="11"/>
        <c:spPr>
          <a:solidFill>
            <a:srgbClr val="FFFF00"/>
          </a:solidFill>
        </c:spPr>
        <c:dLbl>
          <c:idx val="0"/>
          <c:spPr>
            <a:solidFill>
              <a:schemeClr val="accent3"/>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2508986476890789"/>
                  <c:h val="0.32143307388730535"/>
                </c:manualLayout>
              </c15:layout>
            </c:ext>
          </c:extLst>
        </c:dLbl>
      </c:pivotFmt>
    </c:pivotFmts>
    <c:plotArea>
      <c:layout>
        <c:manualLayout>
          <c:layoutTarget val="inner"/>
          <c:xMode val="edge"/>
          <c:yMode val="edge"/>
          <c:x val="4.3005347857972755E-2"/>
          <c:y val="1.7316017316017316E-2"/>
          <c:w val="0.9145662614057819"/>
          <c:h val="0.98268409829532144"/>
        </c:manualLayout>
      </c:layout>
      <c:pieChart>
        <c:varyColors val="1"/>
        <c:ser>
          <c:idx val="0"/>
          <c:order val="0"/>
          <c:tx>
            <c:strRef>
              <c:f>Sheet6!$B$117</c:f>
              <c:strCache>
                <c:ptCount val="1"/>
                <c:pt idx="0">
                  <c:v>Total</c:v>
                </c:pt>
              </c:strCache>
            </c:strRef>
          </c:tx>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72-46B5-9CF4-671127F8A6DD}"/>
              </c:ext>
            </c:extLst>
          </c:dPt>
          <c:dPt>
            <c:idx val="1"/>
            <c:bubble3D val="0"/>
            <c:spPr>
              <a:solidFill>
                <a:srgbClr val="FFFF00"/>
              </a:solidFill>
            </c:spPr>
            <c:extLst>
              <c:ext xmlns:c16="http://schemas.microsoft.com/office/drawing/2014/chart" uri="{C3380CC4-5D6E-409C-BE32-E72D297353CC}">
                <c16:uniqueId val="{00000003-5B72-46B5-9CF4-671127F8A6DD}"/>
              </c:ext>
            </c:extLst>
          </c:dPt>
          <c:dPt>
            <c:idx val="2"/>
            <c:bubble3D val="0"/>
            <c:extLst>
              <c:ext xmlns:c16="http://schemas.microsoft.com/office/drawing/2014/chart" uri="{C3380CC4-5D6E-409C-BE32-E72D297353CC}">
                <c16:uniqueId val="{00000005-5B72-46B5-9CF4-671127F8A6DD}"/>
              </c:ext>
            </c:extLst>
          </c:dPt>
          <c:dLbls>
            <c:dLbl>
              <c:idx val="0"/>
              <c:spPr>
                <a:solidFill>
                  <a:schemeClr val="accent3"/>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41074148296593177"/>
                      <c:h val="0.2503891690418768"/>
                    </c:manualLayout>
                  </c15:layout>
                </c:ext>
                <c:ext xmlns:c16="http://schemas.microsoft.com/office/drawing/2014/chart" uri="{C3380CC4-5D6E-409C-BE32-E72D297353CC}">
                  <c16:uniqueId val="{00000001-5B72-46B5-9CF4-671127F8A6DD}"/>
                </c:ext>
              </c:extLst>
            </c:dLbl>
            <c:dLbl>
              <c:idx val="1"/>
              <c:spPr>
                <a:solidFill>
                  <a:schemeClr val="accent3"/>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2508986476890789"/>
                      <c:h val="0.32143307388730535"/>
                    </c:manualLayout>
                  </c15:layout>
                </c:ext>
                <c:ext xmlns:c16="http://schemas.microsoft.com/office/drawing/2014/chart" uri="{C3380CC4-5D6E-409C-BE32-E72D297353CC}">
                  <c16:uniqueId val="{00000003-5B72-46B5-9CF4-671127F8A6DD}"/>
                </c:ext>
              </c:extLst>
            </c:dLbl>
            <c:spPr>
              <a:solidFill>
                <a:schemeClr val="accent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Sheet6!$A$118:$A$120</c:f>
              <c:strCache>
                <c:ptCount val="2"/>
                <c:pt idx="0">
                  <c:v>PMA</c:v>
                </c:pt>
                <c:pt idx="1">
                  <c:v>NO PMA</c:v>
                </c:pt>
              </c:strCache>
            </c:strRef>
          </c:cat>
          <c:val>
            <c:numRef>
              <c:f>Sheet6!$B$118:$B$120</c:f>
              <c:numCache>
                <c:formatCode>General</c:formatCode>
                <c:ptCount val="2"/>
                <c:pt idx="0">
                  <c:v>429</c:v>
                </c:pt>
                <c:pt idx="1">
                  <c:v>75</c:v>
                </c:pt>
              </c:numCache>
            </c:numRef>
          </c:val>
          <c:extLst>
            <c:ext xmlns:c16="http://schemas.microsoft.com/office/drawing/2014/chart" uri="{C3380CC4-5D6E-409C-BE32-E72D297353CC}">
              <c16:uniqueId val="{00000006-5B72-46B5-9CF4-671127F8A6D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Jul-.xlsx]Sheet6!PivotTable7</c:name>
    <c:fmtId val="3"/>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MODEL</a:t>
            </a:r>
          </a:p>
        </c:rich>
      </c:tx>
      <c:layout>
        <c:manualLayout>
          <c:xMode val="edge"/>
          <c:yMode val="edge"/>
          <c:x val="0.74716981132075466"/>
          <c:y val="1.2578613237603814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092014914602371"/>
          <c:y val="2.6620953161819245E-2"/>
          <c:w val="0.45907985085397618"/>
          <c:h val="0.95122535294736599"/>
        </c:manualLayout>
      </c:layout>
      <c:barChart>
        <c:barDir val="bar"/>
        <c:grouping val="clustered"/>
        <c:varyColors val="0"/>
        <c:ser>
          <c:idx val="0"/>
          <c:order val="0"/>
          <c:tx>
            <c:strRef>
              <c:f>Sheet6!$B$133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Sheet6!$A$134:$A$149</c:f>
              <c:strCache>
                <c:ptCount val="15"/>
                <c:pt idx="0">
                  <c:v>YARIS</c:v>
                </c:pt>
                <c:pt idx="1">
                  <c:v>VELOZ</c:v>
                </c:pt>
                <c:pt idx="2">
                  <c:v>RUSH</c:v>
                </c:pt>
                <c:pt idx="3">
                  <c:v>RAIZE</c:v>
                </c:pt>
                <c:pt idx="4">
                  <c:v>LANDCRUISER</c:v>
                </c:pt>
                <c:pt idx="5">
                  <c:v>INV ZENIX HYBRID</c:v>
                </c:pt>
                <c:pt idx="6">
                  <c:v>INV ZENIX GAS</c:v>
                </c:pt>
                <c:pt idx="7">
                  <c:v>INV REBORN</c:v>
                </c:pt>
                <c:pt idx="8">
                  <c:v>HILUX</c:v>
                </c:pt>
                <c:pt idx="9">
                  <c:v>HIACE</c:v>
                </c:pt>
                <c:pt idx="10">
                  <c:v>FORTUNER</c:v>
                </c:pt>
                <c:pt idx="11">
                  <c:v>CALYA</c:v>
                </c:pt>
                <c:pt idx="12">
                  <c:v>AVANZA</c:v>
                </c:pt>
                <c:pt idx="13">
                  <c:v>ALPHARD HYBRID</c:v>
                </c:pt>
                <c:pt idx="14">
                  <c:v>AGYA</c:v>
                </c:pt>
              </c:strCache>
            </c:strRef>
          </c:cat>
          <c:val>
            <c:numRef>
              <c:f>Sheet6!$B$134:$B$149</c:f>
              <c:numCache>
                <c:formatCode>General</c:formatCode>
                <c:ptCount val="15"/>
                <c:pt idx="0">
                  <c:v>8</c:v>
                </c:pt>
                <c:pt idx="1">
                  <c:v>35</c:v>
                </c:pt>
                <c:pt idx="2">
                  <c:v>30</c:v>
                </c:pt>
                <c:pt idx="3">
                  <c:v>19</c:v>
                </c:pt>
                <c:pt idx="4">
                  <c:v>2</c:v>
                </c:pt>
                <c:pt idx="5">
                  <c:v>53</c:v>
                </c:pt>
                <c:pt idx="6">
                  <c:v>7</c:v>
                </c:pt>
                <c:pt idx="7">
                  <c:v>51</c:v>
                </c:pt>
                <c:pt idx="8">
                  <c:v>24</c:v>
                </c:pt>
                <c:pt idx="9">
                  <c:v>33</c:v>
                </c:pt>
                <c:pt idx="10">
                  <c:v>21</c:v>
                </c:pt>
                <c:pt idx="11">
                  <c:v>94</c:v>
                </c:pt>
                <c:pt idx="12">
                  <c:v>104</c:v>
                </c:pt>
                <c:pt idx="13">
                  <c:v>3</c:v>
                </c:pt>
                <c:pt idx="14">
                  <c:v>20</c:v>
                </c:pt>
              </c:numCache>
            </c:numRef>
          </c:val>
          <c:extLst>
            <c:ext xmlns:c16="http://schemas.microsoft.com/office/drawing/2014/chart" uri="{C3380CC4-5D6E-409C-BE32-E72D297353CC}">
              <c16:uniqueId val="{00000000-C447-4642-94FF-7183270567BD}"/>
            </c:ext>
          </c:extLst>
        </c:ser>
        <c:dLbls>
          <c:showLegendKey val="0"/>
          <c:showVal val="0"/>
          <c:showCatName val="0"/>
          <c:showSerName val="0"/>
          <c:showPercent val="0"/>
          <c:showBubbleSize val="0"/>
        </c:dLbls>
        <c:gapWidth val="59"/>
        <c:axId val="645880175"/>
        <c:axId val="645880655"/>
      </c:barChart>
      <c:catAx>
        <c:axId val="64588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5880655"/>
        <c:crosses val="autoZero"/>
        <c:auto val="1"/>
        <c:lblAlgn val="ctr"/>
        <c:lblOffset val="100"/>
        <c:noMultiLvlLbl val="0"/>
      </c:catAx>
      <c:valAx>
        <c:axId val="645880655"/>
        <c:scaling>
          <c:orientation val="minMax"/>
        </c:scaling>
        <c:delete val="1"/>
        <c:axPos val="b"/>
        <c:numFmt formatCode="General" sourceLinked="1"/>
        <c:majorTickMark val="none"/>
        <c:minorTickMark val="none"/>
        <c:tickLblPos val="nextTo"/>
        <c:crossAx val="64588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rgbClr val="F6B87F"/>
        </a:gs>
        <a:gs pos="64000">
          <a:schemeClr val="accent4">
            <a:lumMod val="20000"/>
            <a:lumOff val="8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Jul-.xlsx]Sheet6!PivotTable10</c:name>
    <c:fmtId val="2"/>
  </c:pivotSource>
  <c:chart>
    <c:title>
      <c:tx>
        <c:rich>
          <a:bodyPr rot="0" spcFirstLastPara="1" vertOverflow="ellipsis" vert="horz" wrap="square" anchor="ctr" anchorCtr="1"/>
          <a:lstStyle/>
          <a:p>
            <a:pPr>
              <a:defRPr sz="1000" b="1" i="0" u="none" strike="noStrike" kern="1200" cap="all" spc="150" baseline="0">
                <a:solidFill>
                  <a:sysClr val="windowText" lastClr="000000"/>
                </a:solidFill>
                <a:latin typeface="+mn-lt"/>
                <a:ea typeface="+mn-ea"/>
                <a:cs typeface="+mn-cs"/>
              </a:defRPr>
            </a:pPr>
            <a:r>
              <a:rPr lang="en-US" sz="1000">
                <a:solidFill>
                  <a:sysClr val="windowText" lastClr="000000"/>
                </a:solidFill>
              </a:rPr>
              <a:t>PROFIL PEMBELIAN</a:t>
            </a:r>
          </a:p>
        </c:rich>
      </c:tx>
      <c:overlay val="0"/>
      <c:spPr>
        <a:noFill/>
        <a:ln>
          <a:noFill/>
        </a:ln>
        <a:effectLst/>
      </c:spPr>
      <c:txPr>
        <a:bodyPr rot="0" spcFirstLastPara="1" vertOverflow="ellipsis" vert="horz" wrap="square" anchor="ctr" anchorCtr="1"/>
        <a:lstStyle/>
        <a:p>
          <a:pPr>
            <a:defRPr sz="10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7"/>
          <c:spPr>
            <a:solidFill>
              <a:srgbClr val="FF0000"/>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90603512011892E-2"/>
          <c:y val="0.25627789044874349"/>
          <c:w val="0.96296684709417557"/>
          <c:h val="0.53886547160328369"/>
        </c:manualLayout>
      </c:layout>
      <c:lineChart>
        <c:grouping val="standard"/>
        <c:varyColors val="0"/>
        <c:ser>
          <c:idx val="0"/>
          <c:order val="0"/>
          <c:tx>
            <c:strRef>
              <c:f>Sheet6!$B$289</c:f>
              <c:strCache>
                <c:ptCount val="1"/>
                <c:pt idx="0">
                  <c:v>Total</c:v>
                </c:pt>
              </c:strCache>
            </c:strRef>
          </c:tx>
          <c:spPr>
            <a:ln w="38100" cap="flat" cmpd="dbl" algn="ctr">
              <a:solidFill>
                <a:schemeClr val="accent1"/>
              </a:solidFill>
              <a:miter lim="800000"/>
            </a:ln>
            <a:effectLst/>
          </c:spPr>
          <c:marker>
            <c:symbol val="circle"/>
            <c:size val="7"/>
            <c:spPr>
              <a:solidFill>
                <a:srgbClr val="FF0000"/>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Sheet6!$A$290:$A$293</c:f>
              <c:strCache>
                <c:ptCount val="3"/>
                <c:pt idx="0">
                  <c:v>ADDITIONAL</c:v>
                </c:pt>
                <c:pt idx="1">
                  <c:v>FIRST BUYER</c:v>
                </c:pt>
                <c:pt idx="2">
                  <c:v>REPLACEMENT</c:v>
                </c:pt>
              </c:strCache>
            </c:strRef>
          </c:cat>
          <c:val>
            <c:numRef>
              <c:f>Sheet6!$B$290:$B$293</c:f>
              <c:numCache>
                <c:formatCode>General</c:formatCode>
                <c:ptCount val="3"/>
                <c:pt idx="0">
                  <c:v>183</c:v>
                </c:pt>
                <c:pt idx="1">
                  <c:v>291</c:v>
                </c:pt>
                <c:pt idx="2">
                  <c:v>30</c:v>
                </c:pt>
              </c:numCache>
            </c:numRef>
          </c:val>
          <c:smooth val="0"/>
          <c:extLst>
            <c:ext xmlns:c16="http://schemas.microsoft.com/office/drawing/2014/chart" uri="{C3380CC4-5D6E-409C-BE32-E72D297353CC}">
              <c16:uniqueId val="{00000000-2762-4652-85B2-B12D1A464A83}"/>
            </c:ext>
          </c:extLst>
        </c:ser>
        <c:dLbls>
          <c:showLegendKey val="0"/>
          <c:showVal val="0"/>
          <c:showCatName val="0"/>
          <c:showSerName val="0"/>
          <c:showPercent val="0"/>
          <c:showBubbleSize val="0"/>
        </c:dLbls>
        <c:marker val="1"/>
        <c:smooth val="0"/>
        <c:axId val="696760287"/>
        <c:axId val="696767967"/>
      </c:lineChart>
      <c:catAx>
        <c:axId val="696760287"/>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6767967"/>
        <c:crosses val="autoZero"/>
        <c:auto val="1"/>
        <c:lblAlgn val="ctr"/>
        <c:lblOffset val="100"/>
        <c:noMultiLvlLbl val="0"/>
      </c:catAx>
      <c:valAx>
        <c:axId val="696767967"/>
        <c:scaling>
          <c:orientation val="minMax"/>
        </c:scaling>
        <c:delete val="1"/>
        <c:axPos val="l"/>
        <c:numFmt formatCode="General" sourceLinked="1"/>
        <c:majorTickMark val="none"/>
        <c:minorTickMark val="none"/>
        <c:tickLblPos val="nextTo"/>
        <c:crossAx val="69676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62000">
          <a:schemeClr val="accent3">
            <a:lumMod val="45000"/>
            <a:lumOff val="55000"/>
            <a:alpha val="13000"/>
          </a:schemeClr>
        </a:gs>
        <a:gs pos="31000">
          <a:srgbClr val="FFFF00">
            <a:alpha val="76000"/>
          </a:srgbClr>
        </a:gs>
        <a:gs pos="100000">
          <a:srgbClr val="FFFF00">
            <a:alpha val="12000"/>
          </a:srgb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Jul-.xlsx]Sheet6!PivotTable11</c:name>
    <c:fmtId val="4"/>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SUMBER PROSPEK</a:t>
            </a:r>
          </a:p>
        </c:rich>
      </c:tx>
      <c:layout>
        <c:manualLayout>
          <c:xMode val="edge"/>
          <c:yMode val="edge"/>
          <c:x val="0.27884251968503937"/>
          <c:y val="2.9930716867868527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107902411465735"/>
          <c:y val="0.15561690070065889"/>
          <c:w val="0.40636438450604073"/>
          <c:h val="0.75827862353718145"/>
        </c:manualLayout>
      </c:layout>
      <c:barChart>
        <c:barDir val="bar"/>
        <c:grouping val="clustered"/>
        <c:varyColors val="0"/>
        <c:ser>
          <c:idx val="0"/>
          <c:order val="0"/>
          <c:tx>
            <c:strRef>
              <c:f>Sheet6!$B$306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Sheet6!$A$307:$A$315</c:f>
              <c:strCache>
                <c:ptCount val="8"/>
                <c:pt idx="0">
                  <c:v>WALK IN </c:v>
                </c:pt>
                <c:pt idx="1">
                  <c:v>RO </c:v>
                </c:pt>
                <c:pt idx="2">
                  <c:v>RO</c:v>
                </c:pt>
                <c:pt idx="3">
                  <c:v>REFERENSI</c:v>
                </c:pt>
                <c:pt idx="4">
                  <c:v>PAMERAN</c:v>
                </c:pt>
                <c:pt idx="5">
                  <c:v>LIVE MEDSOS</c:v>
                </c:pt>
                <c:pt idx="6">
                  <c:v>IKLAN</c:v>
                </c:pt>
                <c:pt idx="7">
                  <c:v>DATABASE</c:v>
                </c:pt>
              </c:strCache>
            </c:strRef>
          </c:cat>
          <c:val>
            <c:numRef>
              <c:f>Sheet6!$B$307:$B$315</c:f>
              <c:numCache>
                <c:formatCode>General</c:formatCode>
                <c:ptCount val="8"/>
                <c:pt idx="0">
                  <c:v>8</c:v>
                </c:pt>
                <c:pt idx="1">
                  <c:v>1</c:v>
                </c:pt>
                <c:pt idx="2">
                  <c:v>63</c:v>
                </c:pt>
                <c:pt idx="3">
                  <c:v>245</c:v>
                </c:pt>
                <c:pt idx="4">
                  <c:v>10</c:v>
                </c:pt>
                <c:pt idx="5">
                  <c:v>42</c:v>
                </c:pt>
                <c:pt idx="6">
                  <c:v>130</c:v>
                </c:pt>
                <c:pt idx="7">
                  <c:v>5</c:v>
                </c:pt>
              </c:numCache>
            </c:numRef>
          </c:val>
          <c:extLst>
            <c:ext xmlns:c16="http://schemas.microsoft.com/office/drawing/2014/chart" uri="{C3380CC4-5D6E-409C-BE32-E72D297353CC}">
              <c16:uniqueId val="{00000000-E032-448D-BF88-8E9A681C9FA7}"/>
            </c:ext>
          </c:extLst>
        </c:ser>
        <c:dLbls>
          <c:showLegendKey val="0"/>
          <c:showVal val="0"/>
          <c:showCatName val="0"/>
          <c:showSerName val="0"/>
          <c:showPercent val="0"/>
          <c:showBubbleSize val="0"/>
        </c:dLbls>
        <c:gapWidth val="51"/>
        <c:axId val="696787647"/>
        <c:axId val="696763167"/>
      </c:barChart>
      <c:catAx>
        <c:axId val="69678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63167"/>
        <c:crosses val="autoZero"/>
        <c:auto val="1"/>
        <c:lblAlgn val="l"/>
        <c:lblOffset val="100"/>
        <c:noMultiLvlLbl val="0"/>
      </c:catAx>
      <c:valAx>
        <c:axId val="696763167"/>
        <c:scaling>
          <c:orientation val="minMax"/>
        </c:scaling>
        <c:delete val="1"/>
        <c:axPos val="b"/>
        <c:numFmt formatCode="General" sourceLinked="1"/>
        <c:majorTickMark val="none"/>
        <c:minorTickMark val="none"/>
        <c:tickLblPos val="nextTo"/>
        <c:crossAx val="69678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alpha val="2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Jul-.xlsx]Sheet6!PivotTable13</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53703887609225"/>
          <c:y val="2.6745098039215685E-2"/>
          <c:w val="0.39701851292993312"/>
          <c:h val="0.87069322217075806"/>
        </c:manualLayout>
      </c:layout>
      <c:barChart>
        <c:barDir val="bar"/>
        <c:grouping val="clustered"/>
        <c:varyColors val="0"/>
        <c:ser>
          <c:idx val="0"/>
          <c:order val="0"/>
          <c:tx>
            <c:strRef>
              <c:f>Sheet6!$B$417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Sheet6!$A$418:$A$427</c:f>
              <c:strCache>
                <c:ptCount val="9"/>
                <c:pt idx="0">
                  <c:v>KARY BUMN</c:v>
                </c:pt>
                <c:pt idx="1">
                  <c:v>KARY SWASTA</c:v>
                </c:pt>
                <c:pt idx="2">
                  <c:v>MENGURUS RMH T</c:v>
                </c:pt>
                <c:pt idx="3">
                  <c:v>PELAJAR / MAHASISWA</c:v>
                </c:pt>
                <c:pt idx="4">
                  <c:v>PNS</c:v>
                </c:pt>
                <c:pt idx="5">
                  <c:v>PROFESIONAL</c:v>
                </c:pt>
                <c:pt idx="6">
                  <c:v>PT</c:v>
                </c:pt>
                <c:pt idx="7">
                  <c:v>TNI / POLRI</c:v>
                </c:pt>
                <c:pt idx="8">
                  <c:v>WIRASWASTA</c:v>
                </c:pt>
              </c:strCache>
            </c:strRef>
          </c:cat>
          <c:val>
            <c:numRef>
              <c:f>Sheet6!$B$418:$B$427</c:f>
              <c:numCache>
                <c:formatCode>General</c:formatCode>
                <c:ptCount val="9"/>
                <c:pt idx="0">
                  <c:v>4</c:v>
                </c:pt>
                <c:pt idx="1">
                  <c:v>138</c:v>
                </c:pt>
                <c:pt idx="2">
                  <c:v>31</c:v>
                </c:pt>
                <c:pt idx="3">
                  <c:v>9</c:v>
                </c:pt>
                <c:pt idx="4">
                  <c:v>28</c:v>
                </c:pt>
                <c:pt idx="5">
                  <c:v>9</c:v>
                </c:pt>
                <c:pt idx="6">
                  <c:v>69</c:v>
                </c:pt>
                <c:pt idx="7">
                  <c:v>12</c:v>
                </c:pt>
                <c:pt idx="8">
                  <c:v>204</c:v>
                </c:pt>
              </c:numCache>
            </c:numRef>
          </c:val>
          <c:extLst>
            <c:ext xmlns:c16="http://schemas.microsoft.com/office/drawing/2014/chart" uri="{C3380CC4-5D6E-409C-BE32-E72D297353CC}">
              <c16:uniqueId val="{00000000-47AA-4EBE-BFD9-84C3AA937168}"/>
            </c:ext>
          </c:extLst>
        </c:ser>
        <c:dLbls>
          <c:showLegendKey val="0"/>
          <c:showVal val="0"/>
          <c:showCatName val="0"/>
          <c:showSerName val="0"/>
          <c:showPercent val="0"/>
          <c:showBubbleSize val="0"/>
        </c:dLbls>
        <c:gapWidth val="150"/>
        <c:axId val="911089807"/>
        <c:axId val="911097007"/>
      </c:barChart>
      <c:catAx>
        <c:axId val="91108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1097007"/>
        <c:crosses val="autoZero"/>
        <c:auto val="1"/>
        <c:lblAlgn val="ctr"/>
        <c:lblOffset val="100"/>
        <c:noMultiLvlLbl val="0"/>
      </c:catAx>
      <c:valAx>
        <c:axId val="911097007"/>
        <c:scaling>
          <c:orientation val="minMax"/>
        </c:scaling>
        <c:delete val="1"/>
        <c:axPos val="b"/>
        <c:numFmt formatCode="General" sourceLinked="1"/>
        <c:majorTickMark val="none"/>
        <c:minorTickMark val="none"/>
        <c:tickLblPos val="nextTo"/>
        <c:crossAx val="91108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20000"/>
            <a:lumOff val="80000"/>
          </a:schemeClr>
        </a:gs>
        <a:gs pos="73000">
          <a:schemeClr val="accent1">
            <a:lumMod val="0"/>
            <a:lumOff val="100000"/>
          </a:schemeClr>
        </a:gs>
        <a:gs pos="100000">
          <a:schemeClr val="accent1">
            <a:lumMod val="10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Jul-.xlsx]Sheet6!PivotTable9</c:name>
    <c:fmtId val="6"/>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t>CITY</a:t>
            </a:r>
            <a:r>
              <a:rPr lang="en-US" sz="1000" baseline="0"/>
              <a:t> ( PMA / NON PMA )</a:t>
            </a:r>
            <a:endParaRPr lang="en-US" sz="1000"/>
          </a:p>
        </c:rich>
      </c:tx>
      <c:layout>
        <c:manualLayout>
          <c:xMode val="edge"/>
          <c:yMode val="edge"/>
          <c:x val="0.72831082665578295"/>
          <c:y val="2.1350625289485874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69567948101827E-3"/>
          <c:y val="0.11703381194997686"/>
          <c:w val="0.99123120579173074"/>
          <c:h val="0.48757696464412537"/>
        </c:manualLayout>
      </c:layout>
      <c:barChart>
        <c:barDir val="col"/>
        <c:grouping val="clustered"/>
        <c:varyColors val="0"/>
        <c:ser>
          <c:idx val="0"/>
          <c:order val="0"/>
          <c:tx>
            <c:strRef>
              <c:f>Sheet6!$B$172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Sheet6!$A$173:$A$199</c:f>
              <c:strCache>
                <c:ptCount val="26"/>
                <c:pt idx="0">
                  <c:v>KAB. BEKASI</c:v>
                </c:pt>
                <c:pt idx="1">
                  <c:v>KAB. BOGOR</c:v>
                </c:pt>
                <c:pt idx="2">
                  <c:v>KAB. GARUT</c:v>
                </c:pt>
                <c:pt idx="3">
                  <c:v>KAB. KARAWANG</c:v>
                </c:pt>
                <c:pt idx="4">
                  <c:v>KOTA JAKARTA BARAT</c:v>
                </c:pt>
                <c:pt idx="5">
                  <c:v>KOTA JAKARTA PUSAT</c:v>
                </c:pt>
                <c:pt idx="6">
                  <c:v>KOTA JAKARTA SELATAN</c:v>
                </c:pt>
                <c:pt idx="7">
                  <c:v>KOTA JAKARTA TIMUR</c:v>
                </c:pt>
                <c:pt idx="8">
                  <c:v>KOTA TANGERANG</c:v>
                </c:pt>
                <c:pt idx="9">
                  <c:v>KOTA JAKARTA UTARA</c:v>
                </c:pt>
                <c:pt idx="10">
                  <c:v>KOTA DEPOK</c:v>
                </c:pt>
                <c:pt idx="11">
                  <c:v>KOTA BEKASI</c:v>
                </c:pt>
                <c:pt idx="12">
                  <c:v>KOTA TANGERANG SELATAN</c:v>
                </c:pt>
                <c:pt idx="13">
                  <c:v>KOTA SERANG</c:v>
                </c:pt>
                <c:pt idx="14">
                  <c:v>KAB. SUKABUMI</c:v>
                </c:pt>
                <c:pt idx="15">
                  <c:v>KAB. BANDUNG</c:v>
                </c:pt>
                <c:pt idx="16">
                  <c:v>KOTA BANDUNG</c:v>
                </c:pt>
                <c:pt idx="17">
                  <c:v>KAB. TANGERANG (PLAT B)</c:v>
                </c:pt>
                <c:pt idx="18">
                  <c:v>KOTA CIMAHI</c:v>
                </c:pt>
                <c:pt idx="19">
                  <c:v>KAB. TANGERANG (PLAT A)</c:v>
                </c:pt>
                <c:pt idx="20">
                  <c:v>KAB. INDRAMAYU</c:v>
                </c:pt>
                <c:pt idx="21">
                  <c:v>KAB. BANDUNG BARAT</c:v>
                </c:pt>
                <c:pt idx="22">
                  <c:v>KAB. CIANJUR</c:v>
                </c:pt>
                <c:pt idx="23">
                  <c:v>KAB. SUMEDANG</c:v>
                </c:pt>
                <c:pt idx="24">
                  <c:v>KAB. SUBANG</c:v>
                </c:pt>
                <c:pt idx="25">
                  <c:v>KAB. TASIKMALAYA</c:v>
                </c:pt>
              </c:strCache>
            </c:strRef>
          </c:cat>
          <c:val>
            <c:numRef>
              <c:f>Sheet6!$B$173:$B$199</c:f>
              <c:numCache>
                <c:formatCode>General</c:formatCode>
                <c:ptCount val="26"/>
                <c:pt idx="0">
                  <c:v>3</c:v>
                </c:pt>
                <c:pt idx="1">
                  <c:v>3</c:v>
                </c:pt>
                <c:pt idx="2">
                  <c:v>7</c:v>
                </c:pt>
                <c:pt idx="3">
                  <c:v>3</c:v>
                </c:pt>
                <c:pt idx="4">
                  <c:v>4</c:v>
                </c:pt>
                <c:pt idx="5">
                  <c:v>1</c:v>
                </c:pt>
                <c:pt idx="6">
                  <c:v>6</c:v>
                </c:pt>
                <c:pt idx="7">
                  <c:v>1</c:v>
                </c:pt>
                <c:pt idx="8">
                  <c:v>2</c:v>
                </c:pt>
                <c:pt idx="9">
                  <c:v>2</c:v>
                </c:pt>
                <c:pt idx="10">
                  <c:v>2</c:v>
                </c:pt>
                <c:pt idx="11">
                  <c:v>1</c:v>
                </c:pt>
                <c:pt idx="12">
                  <c:v>4</c:v>
                </c:pt>
                <c:pt idx="13">
                  <c:v>2</c:v>
                </c:pt>
                <c:pt idx="14">
                  <c:v>4</c:v>
                </c:pt>
                <c:pt idx="15">
                  <c:v>127</c:v>
                </c:pt>
                <c:pt idx="16">
                  <c:v>225</c:v>
                </c:pt>
                <c:pt idx="17">
                  <c:v>2</c:v>
                </c:pt>
                <c:pt idx="18">
                  <c:v>23</c:v>
                </c:pt>
                <c:pt idx="19">
                  <c:v>2</c:v>
                </c:pt>
                <c:pt idx="20">
                  <c:v>2</c:v>
                </c:pt>
                <c:pt idx="21">
                  <c:v>54</c:v>
                </c:pt>
                <c:pt idx="22">
                  <c:v>5</c:v>
                </c:pt>
                <c:pt idx="23">
                  <c:v>9</c:v>
                </c:pt>
                <c:pt idx="24">
                  <c:v>8</c:v>
                </c:pt>
                <c:pt idx="25">
                  <c:v>2</c:v>
                </c:pt>
              </c:numCache>
            </c:numRef>
          </c:val>
          <c:extLst>
            <c:ext xmlns:c16="http://schemas.microsoft.com/office/drawing/2014/chart" uri="{C3380CC4-5D6E-409C-BE32-E72D297353CC}">
              <c16:uniqueId val="{00000000-441C-492E-A493-6693E3108025}"/>
            </c:ext>
          </c:extLst>
        </c:ser>
        <c:dLbls>
          <c:showLegendKey val="0"/>
          <c:showVal val="0"/>
          <c:showCatName val="0"/>
          <c:showSerName val="0"/>
          <c:showPercent val="0"/>
          <c:showBubbleSize val="0"/>
        </c:dLbls>
        <c:gapWidth val="100"/>
        <c:overlap val="-24"/>
        <c:axId val="693445103"/>
        <c:axId val="693448463"/>
      </c:barChart>
      <c:catAx>
        <c:axId val="693445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ptos" panose="020B0004020202020204" pitchFamily="34" charset="0"/>
                <a:ea typeface="+mn-ea"/>
                <a:cs typeface="+mn-cs"/>
              </a:defRPr>
            </a:pPr>
            <a:endParaRPr lang="en-US"/>
          </a:p>
        </c:txPr>
        <c:crossAx val="693448463"/>
        <c:crosses val="autoZero"/>
        <c:auto val="1"/>
        <c:lblAlgn val="ctr"/>
        <c:lblOffset val="100"/>
        <c:noMultiLvlLbl val="0"/>
      </c:catAx>
      <c:valAx>
        <c:axId val="693448463"/>
        <c:scaling>
          <c:orientation val="minMax"/>
        </c:scaling>
        <c:delete val="1"/>
        <c:axPos val="l"/>
        <c:numFmt formatCode="General" sourceLinked="1"/>
        <c:majorTickMark val="none"/>
        <c:minorTickMark val="none"/>
        <c:tickLblPos val="nextTo"/>
        <c:crossAx val="69344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6000">
          <a:schemeClr val="accent4">
            <a:lumMod val="20000"/>
            <a:lumOff val="80000"/>
          </a:schemeClr>
        </a:gs>
        <a:gs pos="0">
          <a:schemeClr val="bg1">
            <a:lumMod val="95000"/>
          </a:schemeClr>
        </a:gs>
        <a:gs pos="100000">
          <a:srgbClr val="FFCCFF">
            <a:shade val="100000"/>
            <a:satMod val="115000"/>
          </a:srgb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Jul-.xlsx]Sheet6!PivotTable16</c:name>
    <c:fmtId val="3"/>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US"/>
              <a:t>MODEL</a:t>
            </a:r>
          </a:p>
        </c:rich>
      </c:tx>
      <c:layout>
        <c:manualLayout>
          <c:xMode val="edge"/>
          <c:yMode val="edge"/>
          <c:x val="0.49566184783541167"/>
          <c:y val="4.6595936260144513E-3"/>
        </c:manualLayout>
      </c:layout>
      <c:overlay val="0"/>
      <c:spPr>
        <a:solidFill>
          <a:srgbClr val="FFFF00"/>
        </a:solid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53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85542968556835E-3"/>
          <c:y val="0.14294745409790077"/>
          <c:w val="0.99466228903169263"/>
          <c:h val="0.63234124553876581"/>
        </c:manualLayout>
      </c:layout>
      <c:barChart>
        <c:barDir val="col"/>
        <c:grouping val="clustered"/>
        <c:varyColors val="0"/>
        <c:ser>
          <c:idx val="0"/>
          <c:order val="0"/>
          <c:tx>
            <c:strRef>
              <c:f>Sheet6!$B$562</c:f>
              <c:strCache>
                <c:ptCount val="1"/>
                <c:pt idx="0">
                  <c:v>Total</c:v>
                </c:pt>
              </c:strCache>
            </c:strRef>
          </c:tx>
          <c:spPr>
            <a:gradFill flip="none" rotWithShape="1">
              <a:gsLst>
                <a:gs pos="0">
                  <a:schemeClr val="accent4">
                    <a:lumMod val="67000"/>
                  </a:schemeClr>
                </a:gs>
                <a:gs pos="53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Sheet6!$A$563:$A$576</c:f>
              <c:strCache>
                <c:ptCount val="13"/>
                <c:pt idx="0">
                  <c:v>AGYA</c:v>
                </c:pt>
                <c:pt idx="1">
                  <c:v>ALPHARD</c:v>
                </c:pt>
                <c:pt idx="2">
                  <c:v>AVANZA</c:v>
                </c:pt>
                <c:pt idx="3">
                  <c:v>CALYA</c:v>
                </c:pt>
                <c:pt idx="4">
                  <c:v>FORTUNER</c:v>
                </c:pt>
                <c:pt idx="5">
                  <c:v>HIACE</c:v>
                </c:pt>
                <c:pt idx="6">
                  <c:v>HILUX</c:v>
                </c:pt>
                <c:pt idx="7">
                  <c:v>INNOVA</c:v>
                </c:pt>
                <c:pt idx="8">
                  <c:v>LANDCRUISER</c:v>
                </c:pt>
                <c:pt idx="9">
                  <c:v>RAIZE</c:v>
                </c:pt>
                <c:pt idx="10">
                  <c:v>RUSH</c:v>
                </c:pt>
                <c:pt idx="11">
                  <c:v>VELOZ</c:v>
                </c:pt>
                <c:pt idx="12">
                  <c:v>YARIS</c:v>
                </c:pt>
              </c:strCache>
            </c:strRef>
          </c:cat>
          <c:val>
            <c:numRef>
              <c:f>Sheet6!$B$563:$B$576</c:f>
              <c:numCache>
                <c:formatCode>General</c:formatCode>
                <c:ptCount val="13"/>
                <c:pt idx="0">
                  <c:v>20</c:v>
                </c:pt>
                <c:pt idx="1">
                  <c:v>3</c:v>
                </c:pt>
                <c:pt idx="2">
                  <c:v>104</c:v>
                </c:pt>
                <c:pt idx="3">
                  <c:v>94</c:v>
                </c:pt>
                <c:pt idx="4">
                  <c:v>21</c:v>
                </c:pt>
                <c:pt idx="5">
                  <c:v>33</c:v>
                </c:pt>
                <c:pt idx="6">
                  <c:v>24</c:v>
                </c:pt>
                <c:pt idx="7">
                  <c:v>111</c:v>
                </c:pt>
                <c:pt idx="8">
                  <c:v>2</c:v>
                </c:pt>
                <c:pt idx="9">
                  <c:v>19</c:v>
                </c:pt>
                <c:pt idx="10">
                  <c:v>30</c:v>
                </c:pt>
                <c:pt idx="11">
                  <c:v>35</c:v>
                </c:pt>
                <c:pt idx="12">
                  <c:v>8</c:v>
                </c:pt>
              </c:numCache>
            </c:numRef>
          </c:val>
          <c:extLst>
            <c:ext xmlns:c16="http://schemas.microsoft.com/office/drawing/2014/chart" uri="{C3380CC4-5D6E-409C-BE32-E72D297353CC}">
              <c16:uniqueId val="{00000000-D581-4C66-820D-6C1AB3A7668C}"/>
            </c:ext>
          </c:extLst>
        </c:ser>
        <c:dLbls>
          <c:showLegendKey val="0"/>
          <c:showVal val="0"/>
          <c:showCatName val="0"/>
          <c:showSerName val="0"/>
          <c:showPercent val="0"/>
          <c:showBubbleSize val="0"/>
        </c:dLbls>
        <c:gapWidth val="26"/>
        <c:axId val="911093647"/>
        <c:axId val="911097487"/>
      </c:barChart>
      <c:catAx>
        <c:axId val="9110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1097487"/>
        <c:crosses val="autoZero"/>
        <c:auto val="1"/>
        <c:lblAlgn val="ctr"/>
        <c:lblOffset val="100"/>
        <c:noMultiLvlLbl val="0"/>
      </c:catAx>
      <c:valAx>
        <c:axId val="911097487"/>
        <c:scaling>
          <c:orientation val="minMax"/>
        </c:scaling>
        <c:delete val="1"/>
        <c:axPos val="l"/>
        <c:numFmt formatCode="General" sourceLinked="1"/>
        <c:majorTickMark val="none"/>
        <c:minorTickMark val="none"/>
        <c:tickLblPos val="nextTo"/>
        <c:crossAx val="91109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FF0000"/>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Jul-.xlsx]Sheet6!PivotTable18</c:name>
    <c:fmtId val="2"/>
  </c:pivotSource>
  <c:chart>
    <c:title>
      <c:tx>
        <c:rich>
          <a:bodyPr rot="0" spcFirstLastPara="1" vertOverflow="ellipsis" vert="horz" wrap="square" anchor="ctr" anchorCtr="1"/>
          <a:lstStyle/>
          <a:p>
            <a:pPr>
              <a:defRPr sz="960" b="1" i="0" u="none" strike="noStrike" kern="1200" cap="none" spc="20" baseline="0">
                <a:solidFill>
                  <a:sysClr val="windowText" lastClr="000000"/>
                </a:solidFill>
                <a:latin typeface="+mn-lt"/>
                <a:ea typeface="+mn-ea"/>
                <a:cs typeface="+mn-cs"/>
              </a:defRPr>
            </a:pPr>
            <a:r>
              <a:rPr lang="en-US" b="1">
                <a:solidFill>
                  <a:sysClr val="windowText" lastClr="000000"/>
                </a:solidFill>
              </a:rPr>
              <a:t>SALESMAN</a:t>
            </a:r>
          </a:p>
        </c:rich>
      </c:tx>
      <c:layout>
        <c:manualLayout>
          <c:xMode val="edge"/>
          <c:yMode val="edge"/>
          <c:x val="0.46285454858683206"/>
          <c:y val="1.680672268907563E-2"/>
        </c:manualLayout>
      </c:layout>
      <c:overlay val="0"/>
      <c:spPr>
        <a:solidFill>
          <a:srgbClr val="FFFF00"/>
        </a:solidFill>
        <a:ln>
          <a:noFill/>
        </a:ln>
        <a:effectLst/>
      </c:spPr>
      <c:txPr>
        <a:bodyPr rot="0" spcFirstLastPara="1" vertOverflow="ellipsis" vert="horz" wrap="square" anchor="ctr" anchorCtr="1"/>
        <a:lstStyle/>
        <a:p>
          <a:pPr>
            <a:defRPr sz="960" b="1" i="0" u="none" strike="noStrike" kern="1200" cap="none" spc="2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2944839529828E-2"/>
          <c:y val="0.22466795424156885"/>
          <c:w val="0.97762871454450939"/>
          <c:h val="0.40365376202974629"/>
        </c:manualLayout>
      </c:layout>
      <c:lineChart>
        <c:grouping val="standard"/>
        <c:varyColors val="0"/>
        <c:ser>
          <c:idx val="0"/>
          <c:order val="0"/>
          <c:tx>
            <c:strRef>
              <c:f>Sheet6!$B$651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Sheet6!$A$652:$A$698</c:f>
              <c:strCache>
                <c:ptCount val="46"/>
                <c:pt idx="0">
                  <c:v>DADI SOBARI</c:v>
                </c:pt>
                <c:pt idx="1">
                  <c:v>DEAN NUR IMAN</c:v>
                </c:pt>
                <c:pt idx="2">
                  <c:v>KHARISMA GALIH PUTRA</c:v>
                </c:pt>
                <c:pt idx="3">
                  <c:v>YENI</c:v>
                </c:pt>
                <c:pt idx="4">
                  <c:v>DERI NURSANDI</c:v>
                </c:pt>
                <c:pt idx="5">
                  <c:v>ERICK JANUAR LISAPALY</c:v>
                </c:pt>
                <c:pt idx="6">
                  <c:v>RAHMAWATI</c:v>
                </c:pt>
                <c:pt idx="7">
                  <c:v>RIDWAN DWI AZHARI</c:v>
                </c:pt>
                <c:pt idx="8">
                  <c:v>GIYONO</c:v>
                </c:pt>
                <c:pt idx="9">
                  <c:v>SENOAJI</c:v>
                </c:pt>
                <c:pt idx="10">
                  <c:v>REGYAWAN KURNIA</c:v>
                </c:pt>
                <c:pt idx="11">
                  <c:v>RIZKI RISMAWAN</c:v>
                </c:pt>
                <c:pt idx="12">
                  <c:v>JUARNA KARMAN PUTRA</c:v>
                </c:pt>
                <c:pt idx="13">
                  <c:v>RIDWAN EFENDI</c:v>
                </c:pt>
                <c:pt idx="14">
                  <c:v>BADII ADITIA</c:v>
                </c:pt>
                <c:pt idx="15">
                  <c:v>JAJANG NURJAMAN</c:v>
                </c:pt>
                <c:pt idx="16">
                  <c:v>TOPIK HIDAYAT</c:v>
                </c:pt>
                <c:pt idx="17">
                  <c:v>GALIH HARISTIANTO</c:v>
                </c:pt>
                <c:pt idx="18">
                  <c:v>AGUS SUPARMAN</c:v>
                </c:pt>
                <c:pt idx="19">
                  <c:v>INDAH PITALOKA</c:v>
                </c:pt>
                <c:pt idx="20">
                  <c:v>DENI ALFIAN</c:v>
                </c:pt>
                <c:pt idx="21">
                  <c:v>YANI ANDRIYANI</c:v>
                </c:pt>
                <c:pt idx="22">
                  <c:v>DADAN DARMADI</c:v>
                </c:pt>
                <c:pt idx="23">
                  <c:v>AGTHY EIKA PRATIWI</c:v>
                </c:pt>
                <c:pt idx="24">
                  <c:v>AHMAD MAULANA</c:v>
                </c:pt>
                <c:pt idx="25">
                  <c:v>ANDRI JAYA LAKSANA</c:v>
                </c:pt>
                <c:pt idx="26">
                  <c:v>MUHAMMAD FADIL FAHMI RUSTANDI</c:v>
                </c:pt>
                <c:pt idx="27">
                  <c:v>SYAFRIL AGUNG SEFILA</c:v>
                </c:pt>
                <c:pt idx="28">
                  <c:v>DENO</c:v>
                </c:pt>
                <c:pt idx="29">
                  <c:v>FANI PERMANI</c:v>
                </c:pt>
                <c:pt idx="30">
                  <c:v>RIDWAN MUSTOFA</c:v>
                </c:pt>
                <c:pt idx="31">
                  <c:v>ARDIAN PURNAMA</c:v>
                </c:pt>
                <c:pt idx="32">
                  <c:v>DENI SETIAWAN</c:v>
                </c:pt>
                <c:pt idx="33">
                  <c:v>LUVITA DAMAYANTI</c:v>
                </c:pt>
                <c:pt idx="34">
                  <c:v>INTAN OCTAVIA</c:v>
                </c:pt>
                <c:pt idx="35">
                  <c:v>DIAN SITI NURWENDAH</c:v>
                </c:pt>
                <c:pt idx="36">
                  <c:v>HINGKI ZULFIKAR</c:v>
                </c:pt>
                <c:pt idx="37">
                  <c:v>NOVA KHAIRUNNISA SUMARNA</c:v>
                </c:pt>
                <c:pt idx="38">
                  <c:v>ARIEF PRABOWO</c:v>
                </c:pt>
                <c:pt idx="39">
                  <c:v>RIZAL SAEPUL ROHMAN</c:v>
                </c:pt>
                <c:pt idx="40">
                  <c:v>WULAN FITRI ANDRIYANI</c:v>
                </c:pt>
                <c:pt idx="41">
                  <c:v>REZA PAHLEVI PUTRA PRIBADI</c:v>
                </c:pt>
                <c:pt idx="42">
                  <c:v>FADHIL MUHAMMAD</c:v>
                </c:pt>
                <c:pt idx="43">
                  <c:v>SINTA MUSTIKA</c:v>
                </c:pt>
                <c:pt idx="44">
                  <c:v>RENI NURBAYANI</c:v>
                </c:pt>
                <c:pt idx="45">
                  <c:v>NURI LESTARI KRISTIANTY</c:v>
                </c:pt>
              </c:strCache>
            </c:strRef>
          </c:cat>
          <c:val>
            <c:numRef>
              <c:f>Sheet6!$B$652:$B$698</c:f>
              <c:numCache>
                <c:formatCode>General</c:formatCode>
                <c:ptCount val="46"/>
                <c:pt idx="0">
                  <c:v>14</c:v>
                </c:pt>
                <c:pt idx="1">
                  <c:v>4</c:v>
                </c:pt>
                <c:pt idx="2">
                  <c:v>24</c:v>
                </c:pt>
                <c:pt idx="3">
                  <c:v>20</c:v>
                </c:pt>
                <c:pt idx="4">
                  <c:v>17</c:v>
                </c:pt>
                <c:pt idx="5">
                  <c:v>16</c:v>
                </c:pt>
                <c:pt idx="6">
                  <c:v>49</c:v>
                </c:pt>
                <c:pt idx="7">
                  <c:v>8</c:v>
                </c:pt>
                <c:pt idx="8">
                  <c:v>12</c:v>
                </c:pt>
                <c:pt idx="9">
                  <c:v>5</c:v>
                </c:pt>
                <c:pt idx="10">
                  <c:v>41</c:v>
                </c:pt>
                <c:pt idx="11">
                  <c:v>18</c:v>
                </c:pt>
                <c:pt idx="12">
                  <c:v>13</c:v>
                </c:pt>
                <c:pt idx="13">
                  <c:v>8</c:v>
                </c:pt>
                <c:pt idx="14">
                  <c:v>2</c:v>
                </c:pt>
                <c:pt idx="15">
                  <c:v>23</c:v>
                </c:pt>
                <c:pt idx="16">
                  <c:v>14</c:v>
                </c:pt>
                <c:pt idx="17">
                  <c:v>8</c:v>
                </c:pt>
                <c:pt idx="18">
                  <c:v>5</c:v>
                </c:pt>
                <c:pt idx="19">
                  <c:v>24</c:v>
                </c:pt>
                <c:pt idx="20">
                  <c:v>14</c:v>
                </c:pt>
                <c:pt idx="21">
                  <c:v>26</c:v>
                </c:pt>
                <c:pt idx="22">
                  <c:v>10</c:v>
                </c:pt>
                <c:pt idx="23">
                  <c:v>2</c:v>
                </c:pt>
                <c:pt idx="24">
                  <c:v>8</c:v>
                </c:pt>
                <c:pt idx="25">
                  <c:v>17</c:v>
                </c:pt>
                <c:pt idx="26">
                  <c:v>16</c:v>
                </c:pt>
                <c:pt idx="27">
                  <c:v>6</c:v>
                </c:pt>
                <c:pt idx="28">
                  <c:v>14</c:v>
                </c:pt>
                <c:pt idx="29">
                  <c:v>6</c:v>
                </c:pt>
                <c:pt idx="30">
                  <c:v>10</c:v>
                </c:pt>
                <c:pt idx="31">
                  <c:v>10</c:v>
                </c:pt>
                <c:pt idx="32">
                  <c:v>1</c:v>
                </c:pt>
                <c:pt idx="33">
                  <c:v>3</c:v>
                </c:pt>
                <c:pt idx="34">
                  <c:v>1</c:v>
                </c:pt>
                <c:pt idx="35">
                  <c:v>2</c:v>
                </c:pt>
                <c:pt idx="36">
                  <c:v>1</c:v>
                </c:pt>
                <c:pt idx="37">
                  <c:v>9</c:v>
                </c:pt>
                <c:pt idx="38">
                  <c:v>2</c:v>
                </c:pt>
                <c:pt idx="39">
                  <c:v>6</c:v>
                </c:pt>
                <c:pt idx="40">
                  <c:v>2</c:v>
                </c:pt>
                <c:pt idx="41">
                  <c:v>3</c:v>
                </c:pt>
                <c:pt idx="42">
                  <c:v>4</c:v>
                </c:pt>
                <c:pt idx="43">
                  <c:v>4</c:v>
                </c:pt>
                <c:pt idx="44">
                  <c:v>1</c:v>
                </c:pt>
                <c:pt idx="45">
                  <c:v>1</c:v>
                </c:pt>
              </c:numCache>
            </c:numRef>
          </c:val>
          <c:smooth val="0"/>
          <c:extLst>
            <c:ext xmlns:c16="http://schemas.microsoft.com/office/drawing/2014/chart" uri="{C3380CC4-5D6E-409C-BE32-E72D297353CC}">
              <c16:uniqueId val="{00000000-40D0-465B-808D-2562FE0607DD}"/>
            </c:ext>
          </c:extLst>
        </c:ser>
        <c:dLbls>
          <c:showLegendKey val="0"/>
          <c:showVal val="0"/>
          <c:showCatName val="0"/>
          <c:showSerName val="0"/>
          <c:showPercent val="0"/>
          <c:showBubbleSize val="0"/>
        </c:dLbls>
        <c:dropLines>
          <c:spPr>
            <a:ln w="9525" cap="flat" cmpd="sng" algn="ctr">
              <a:solidFill>
                <a:srgbClr val="FF0000"/>
              </a:solidFill>
              <a:prstDash val="lgDashDotDot"/>
              <a:round/>
            </a:ln>
            <a:effectLst/>
          </c:spPr>
        </c:dropLines>
        <c:marker val="1"/>
        <c:smooth val="0"/>
        <c:axId val="1124529887"/>
        <c:axId val="1124532767"/>
      </c:lineChart>
      <c:catAx>
        <c:axId val="11245298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124532767"/>
        <c:crosses val="autoZero"/>
        <c:auto val="1"/>
        <c:lblAlgn val="ctr"/>
        <c:lblOffset val="100"/>
        <c:noMultiLvlLbl val="0"/>
      </c:catAx>
      <c:valAx>
        <c:axId val="1124532767"/>
        <c:scaling>
          <c:orientation val="minMax"/>
        </c:scaling>
        <c:delete val="1"/>
        <c:axPos val="l"/>
        <c:numFmt formatCode="General" sourceLinked="1"/>
        <c:majorTickMark val="none"/>
        <c:minorTickMark val="none"/>
        <c:tickLblPos val="nextTo"/>
        <c:crossAx val="112452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FF0000"/>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Jul-.xlsx]Sheet6!PivotTable19</c:name>
    <c:fmtId val="2"/>
  </c:pivotSource>
  <c:chart>
    <c:title>
      <c:layout>
        <c:manualLayout>
          <c:xMode val="edge"/>
          <c:yMode val="edge"/>
          <c:x val="0.35023236883960113"/>
          <c:y val="3.8140062037699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dLbl>
          <c:idx val="0"/>
          <c:layout>
            <c:manualLayout>
              <c:x val="1.8694868602454374E-2"/>
              <c:y val="-0.10642729795335398"/>
            </c:manualLayout>
          </c:layout>
          <c:spPr>
            <a:noFill/>
            <a:ln>
              <a:noFill/>
            </a:ln>
            <a:effectLst/>
          </c:spPr>
          <c:txPr>
            <a:bodyPr rot="0" spcFirstLastPara="1" vertOverflow="ellipsis" vert="horz" wrap="square" lIns="38100" tIns="19050" rIns="38100" bIns="19050" anchor="ctr" anchorCtr="1">
              <a:no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972905186559752"/>
                  <c:h val="0.42507646544181976"/>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19050">
            <a:solidFill>
              <a:schemeClr val="lt1"/>
            </a:solidFill>
          </a:ln>
          <a:effectLst/>
        </c:spPr>
        <c:dLbl>
          <c:idx val="0"/>
          <c:layout>
            <c:manualLayout>
              <c:x val="1.8694868602454374E-2"/>
              <c:y val="-0.10642729795335398"/>
            </c:manualLayout>
          </c:layout>
          <c:spPr>
            <a:noFill/>
            <a:ln>
              <a:noFill/>
            </a:ln>
            <a:effectLst/>
          </c:spPr>
          <c:txPr>
            <a:bodyPr rot="0" spcFirstLastPara="1" vertOverflow="ellipsis" vert="horz" wrap="square" lIns="38100" tIns="19050" rIns="38100" bIns="19050" anchor="ctr" anchorCtr="1">
              <a:no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972905186559752"/>
                  <c:h val="0.42507646544181976"/>
                </c:manualLayout>
              </c15:layout>
            </c:ext>
          </c:extLst>
        </c:dLbl>
      </c:pivotFmt>
      <c:pivotFmt>
        <c:idx val="4"/>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19050">
            <a:noFill/>
          </a:ln>
          <a:effectLst/>
        </c:spPr>
        <c:dLbl>
          <c:idx val="0"/>
          <c:layout>
            <c:manualLayout>
              <c:x val="1.4366168569498293E-2"/>
              <c:y val="-0.14198285214348205"/>
            </c:manualLayout>
          </c:layout>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2423132851438698"/>
                  <c:h val="0.42507646544181976"/>
                </c:manualLayout>
              </c15:layout>
            </c:ext>
          </c:extLst>
        </c:dLbl>
      </c:pivotFmt>
    </c:pivotFmts>
    <c:plotArea>
      <c:layout>
        <c:manualLayout>
          <c:layoutTarget val="inner"/>
          <c:xMode val="edge"/>
          <c:yMode val="edge"/>
          <c:x val="3.2921725905757107E-2"/>
          <c:y val="0.11422431250596772"/>
          <c:w val="0.93592562611916508"/>
          <c:h val="0.86331031617779164"/>
        </c:manualLayout>
      </c:layout>
      <c:pieChart>
        <c:varyColors val="0"/>
        <c:ser>
          <c:idx val="0"/>
          <c:order val="0"/>
          <c:tx>
            <c:strRef>
              <c:f>Sheet6!$A$762</c:f>
              <c:strCache>
                <c:ptCount val="1"/>
                <c:pt idx="0">
                  <c:v>Total</c:v>
                </c:pt>
              </c:strCache>
            </c:strRef>
          </c:tx>
          <c:spPr>
            <a:noFill/>
            <a:ln w="19050">
              <a:noFill/>
            </a:ln>
            <a:effectLst/>
          </c:spPr>
          <c:dPt>
            <c:idx val="0"/>
            <c:bubble3D val="0"/>
            <c:spPr>
              <a:noFill/>
              <a:ln w="19050">
                <a:noFill/>
              </a:ln>
              <a:effectLst/>
            </c:spPr>
            <c:extLst>
              <c:ext xmlns:c16="http://schemas.microsoft.com/office/drawing/2014/chart" uri="{C3380CC4-5D6E-409C-BE32-E72D297353CC}">
                <c16:uniqueId val="{00000001-B4F8-4E02-99BE-539AB1C54885}"/>
              </c:ext>
            </c:extLst>
          </c:dPt>
          <c:dLbls>
            <c:dLbl>
              <c:idx val="0"/>
              <c:layout>
                <c:manualLayout>
                  <c:x val="1.4366168569498293E-2"/>
                  <c:y val="-0.14198285214348205"/>
                </c:manualLayout>
              </c:layout>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2423132851438698"/>
                      <c:h val="0.42507646544181976"/>
                    </c:manualLayout>
                  </c15:layout>
                </c:ext>
                <c:ext xmlns:c16="http://schemas.microsoft.com/office/drawing/2014/chart" uri="{C3380CC4-5D6E-409C-BE32-E72D297353CC}">
                  <c16:uniqueId val="{00000001-B4F8-4E02-99BE-539AB1C548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Sheet6!$A$763</c:f>
              <c:strCache>
                <c:ptCount val="1"/>
                <c:pt idx="0">
                  <c:v>Total</c:v>
                </c:pt>
              </c:strCache>
            </c:strRef>
          </c:cat>
          <c:val>
            <c:numRef>
              <c:f>Sheet6!$A$763</c:f>
              <c:numCache>
                <c:formatCode>General</c:formatCode>
                <c:ptCount val="1"/>
                <c:pt idx="0">
                  <c:v>504</c:v>
                </c:pt>
              </c:numCache>
            </c:numRef>
          </c:val>
          <c:extLst>
            <c:ext xmlns:c16="http://schemas.microsoft.com/office/drawing/2014/chart" uri="{C3380CC4-5D6E-409C-BE32-E72D297353CC}">
              <c16:uniqueId val="{00000002-B4F8-4E02-99BE-539AB1C5488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Jan</c:v>
                </c:pt>
                <c:pt idx="1">
                  <c:v>Feb</c:v>
                </c:pt>
                <c:pt idx="2">
                  <c:v>Mar</c:v>
                </c:pt>
                <c:pt idx="3">
                  <c:v>Apr</c:v>
                </c:pt>
                <c:pt idx="4">
                  <c:v>May</c:v>
                </c:pt>
                <c:pt idx="5">
                  <c:v>Jun</c:v>
                </c:pt>
                <c:pt idx="6">
                  <c:v>Jul</c:v>
                </c:pt>
              </c:strCache>
            </c:strRef>
          </c:cat>
          <c:val>
            <c:numRef>
              <c:f>Sheet1!$B$4:$B$11</c:f>
              <c:numCache>
                <c:formatCode>General</c:formatCode>
                <c:ptCount val="7"/>
                <c:pt idx="0">
                  <c:v>73</c:v>
                </c:pt>
                <c:pt idx="1">
                  <c:v>77</c:v>
                </c:pt>
                <c:pt idx="2">
                  <c:v>52</c:v>
                </c:pt>
                <c:pt idx="3">
                  <c:v>72</c:v>
                </c:pt>
                <c:pt idx="4">
                  <c:v>65</c:v>
                </c:pt>
                <c:pt idx="5">
                  <c:v>89</c:v>
                </c:pt>
                <c:pt idx="6">
                  <c:v>76</c:v>
                </c:pt>
              </c:numCache>
            </c:numRef>
          </c:val>
          <c:extLst>
            <c:ext xmlns:c16="http://schemas.microsoft.com/office/drawing/2014/chart" uri="{C3380CC4-5D6E-409C-BE32-E72D297353CC}">
              <c16:uniqueId val="{00000000-ED6B-4D41-9FCB-CCAB167A5EC1}"/>
            </c:ext>
          </c:extLst>
        </c:ser>
        <c:dLbls>
          <c:showLegendKey val="0"/>
          <c:showVal val="0"/>
          <c:showCatName val="0"/>
          <c:showSerName val="0"/>
          <c:showPercent val="0"/>
          <c:showBubbleSize val="0"/>
        </c:dLbls>
        <c:gapWidth val="99"/>
        <c:overlap val="-27"/>
        <c:axId val="799672352"/>
        <c:axId val="799673792"/>
      </c:barChart>
      <c:catAx>
        <c:axId val="7996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9673792"/>
        <c:crosses val="autoZero"/>
        <c:auto val="1"/>
        <c:lblAlgn val="ctr"/>
        <c:lblOffset val="100"/>
        <c:noMultiLvlLbl val="0"/>
      </c:catAx>
      <c:valAx>
        <c:axId val="799673792"/>
        <c:scaling>
          <c:orientation val="minMax"/>
        </c:scaling>
        <c:delete val="1"/>
        <c:axPos val="l"/>
        <c:numFmt formatCode="General" sourceLinked="1"/>
        <c:majorTickMark val="none"/>
        <c:minorTickMark val="none"/>
        <c:tickLblPos val="nextTo"/>
        <c:crossAx val="79967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Sheet1!$B$82</c:f>
              <c:strCache>
                <c:ptCount val="1"/>
                <c:pt idx="0">
                  <c:v>Total</c:v>
                </c:pt>
              </c:strCache>
            </c:strRef>
          </c:tx>
          <c:spPr>
            <a:ln w="28575" cap="rnd">
              <a:solidFill>
                <a:schemeClr val="accent1"/>
              </a:solidFill>
              <a:round/>
            </a:ln>
            <a:effectLst/>
          </c:spPr>
          <c:marker>
            <c:symbol val="none"/>
          </c:marker>
          <c:cat>
            <c:strRef>
              <c:f>Sheet1!$A$83:$A$98</c:f>
              <c:strCache>
                <c:ptCount val="15"/>
                <c:pt idx="0">
                  <c:v>AGYA</c:v>
                </c:pt>
                <c:pt idx="1">
                  <c:v>ALPHARD HYBRID</c:v>
                </c:pt>
                <c:pt idx="2">
                  <c:v>AVANZA</c:v>
                </c:pt>
                <c:pt idx="3">
                  <c:v>CALYA</c:v>
                </c:pt>
                <c:pt idx="4">
                  <c:v>FORTUNER</c:v>
                </c:pt>
                <c:pt idx="5">
                  <c:v>HIACE</c:v>
                </c:pt>
                <c:pt idx="6">
                  <c:v>HILUX</c:v>
                </c:pt>
                <c:pt idx="7">
                  <c:v>INV REBORN</c:v>
                </c:pt>
                <c:pt idx="8">
                  <c:v>INV ZENIX GAS</c:v>
                </c:pt>
                <c:pt idx="9">
                  <c:v>INV ZENIX HYBRID</c:v>
                </c:pt>
                <c:pt idx="10">
                  <c:v>LANDCRUISER</c:v>
                </c:pt>
                <c:pt idx="11">
                  <c:v>RAIZE</c:v>
                </c:pt>
                <c:pt idx="12">
                  <c:v>RUSH</c:v>
                </c:pt>
                <c:pt idx="13">
                  <c:v>VELOZ</c:v>
                </c:pt>
                <c:pt idx="14">
                  <c:v>YARIS</c:v>
                </c:pt>
              </c:strCache>
            </c:strRef>
          </c:cat>
          <c:val>
            <c:numRef>
              <c:f>Sheet1!$B$83:$B$98</c:f>
              <c:numCache>
                <c:formatCode>General</c:formatCode>
                <c:ptCount val="15"/>
                <c:pt idx="0">
                  <c:v>20</c:v>
                </c:pt>
                <c:pt idx="1">
                  <c:v>3</c:v>
                </c:pt>
                <c:pt idx="2">
                  <c:v>104</c:v>
                </c:pt>
                <c:pt idx="3">
                  <c:v>94</c:v>
                </c:pt>
                <c:pt idx="4">
                  <c:v>21</c:v>
                </c:pt>
                <c:pt idx="5">
                  <c:v>33</c:v>
                </c:pt>
                <c:pt idx="6">
                  <c:v>24</c:v>
                </c:pt>
                <c:pt idx="7">
                  <c:v>51</c:v>
                </c:pt>
                <c:pt idx="8">
                  <c:v>7</c:v>
                </c:pt>
                <c:pt idx="9">
                  <c:v>53</c:v>
                </c:pt>
                <c:pt idx="10">
                  <c:v>2</c:v>
                </c:pt>
                <c:pt idx="11">
                  <c:v>19</c:v>
                </c:pt>
                <c:pt idx="12">
                  <c:v>30</c:v>
                </c:pt>
                <c:pt idx="13">
                  <c:v>35</c:v>
                </c:pt>
                <c:pt idx="14">
                  <c:v>8</c:v>
                </c:pt>
              </c:numCache>
            </c:numRef>
          </c:val>
          <c:extLst>
            <c:ext xmlns:c16="http://schemas.microsoft.com/office/drawing/2014/chart" uri="{C3380CC4-5D6E-409C-BE32-E72D297353CC}">
              <c16:uniqueId val="{00000000-CA1B-44CC-9EAD-F6430D0F064F}"/>
            </c:ext>
          </c:extLst>
        </c:ser>
        <c:dLbls>
          <c:showLegendKey val="0"/>
          <c:showVal val="0"/>
          <c:showCatName val="0"/>
          <c:showSerName val="0"/>
          <c:showPercent val="0"/>
          <c:showBubbleSize val="0"/>
        </c:dLbls>
        <c:axId val="547691152"/>
        <c:axId val="547686472"/>
      </c:radarChart>
      <c:catAx>
        <c:axId val="54769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86472"/>
        <c:crosses val="autoZero"/>
        <c:auto val="1"/>
        <c:lblAlgn val="ctr"/>
        <c:lblOffset val="100"/>
        <c:noMultiLvlLbl val="0"/>
      </c:catAx>
      <c:valAx>
        <c:axId val="547686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Penjualan 2026 KC sd Jul-.xlsx]Sheet1!PivotTable4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Jan</c:v>
                </c:pt>
                <c:pt idx="1">
                  <c:v>Feb</c:v>
                </c:pt>
                <c:pt idx="2">
                  <c:v>Mar</c:v>
                </c:pt>
                <c:pt idx="3">
                  <c:v>Apr</c:v>
                </c:pt>
                <c:pt idx="4">
                  <c:v>May</c:v>
                </c:pt>
                <c:pt idx="5">
                  <c:v>Jun</c:v>
                </c:pt>
                <c:pt idx="6">
                  <c:v>Jul</c:v>
                </c:pt>
              </c:strCache>
            </c:strRef>
          </c:cat>
          <c:val>
            <c:numRef>
              <c:f>Sheet1!$B$4:$B$11</c:f>
              <c:numCache>
                <c:formatCode>General</c:formatCode>
                <c:ptCount val="7"/>
                <c:pt idx="0">
                  <c:v>73</c:v>
                </c:pt>
                <c:pt idx="1">
                  <c:v>77</c:v>
                </c:pt>
                <c:pt idx="2">
                  <c:v>52</c:v>
                </c:pt>
                <c:pt idx="3">
                  <c:v>72</c:v>
                </c:pt>
                <c:pt idx="4">
                  <c:v>65</c:v>
                </c:pt>
                <c:pt idx="5">
                  <c:v>89</c:v>
                </c:pt>
                <c:pt idx="6">
                  <c:v>76</c:v>
                </c:pt>
              </c:numCache>
            </c:numRef>
          </c:val>
          <c:extLst>
            <c:ext xmlns:c16="http://schemas.microsoft.com/office/drawing/2014/chart" uri="{C3380CC4-5D6E-409C-BE32-E72D297353CC}">
              <c16:uniqueId val="{00000000-E8F9-41C4-B895-F7680EEB7A2E}"/>
            </c:ext>
          </c:extLst>
        </c:ser>
        <c:dLbls>
          <c:showLegendKey val="0"/>
          <c:showVal val="0"/>
          <c:showCatName val="0"/>
          <c:showSerName val="0"/>
          <c:showPercent val="0"/>
          <c:showBubbleSize val="0"/>
        </c:dLbls>
        <c:gapWidth val="219"/>
        <c:overlap val="-27"/>
        <c:axId val="799672352"/>
        <c:axId val="799673792"/>
      </c:barChart>
      <c:catAx>
        <c:axId val="7996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3792"/>
        <c:crosses val="autoZero"/>
        <c:auto val="1"/>
        <c:lblAlgn val="ctr"/>
        <c:lblOffset val="100"/>
        <c:noMultiLvlLbl val="0"/>
      </c:catAx>
      <c:valAx>
        <c:axId val="79967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0</xdr:col>
      <xdr:colOff>26458</xdr:colOff>
      <xdr:row>6</xdr:row>
      <xdr:rowOff>116418</xdr:rowOff>
    </xdr:from>
    <xdr:to>
      <xdr:col>1</xdr:col>
      <xdr:colOff>392906</xdr:colOff>
      <xdr:row>20</xdr:row>
      <xdr:rowOff>95250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DC32870F-7A92-46C4-AB19-DA49F5A918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458" y="1259418"/>
              <a:ext cx="980281" cy="2645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35035</xdr:colOff>
      <xdr:row>11</xdr:row>
      <xdr:rowOff>54545</xdr:rowOff>
    </xdr:from>
    <xdr:to>
      <xdr:col>14</xdr:col>
      <xdr:colOff>347650</xdr:colOff>
      <xdr:row>20</xdr:row>
      <xdr:rowOff>117512</xdr:rowOff>
    </xdr:to>
    <xdr:graphicFrame macro="">
      <xdr:nvGraphicFramePr>
        <xdr:cNvPr id="3" name="Chart 2">
          <a:extLst>
            <a:ext uri="{FF2B5EF4-FFF2-40B4-BE49-F238E27FC236}">
              <a16:creationId xmlns:a16="http://schemas.microsoft.com/office/drawing/2014/main" id="{6EF06C6A-CE2B-4CD3-BD70-6946060ED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19050</xdr:colOff>
      <xdr:row>0</xdr:row>
      <xdr:rowOff>9525</xdr:rowOff>
    </xdr:from>
    <xdr:to>
      <xdr:col>1</xdr:col>
      <xdr:colOff>392642</xdr:colOff>
      <xdr:row>6</xdr:row>
      <xdr:rowOff>63500</xdr:rowOff>
    </xdr:to>
    <mc:AlternateContent xmlns:mc="http://schemas.openxmlformats.org/markup-compatibility/2006" xmlns:a14="http://schemas.microsoft.com/office/drawing/2010/main">
      <mc:Choice Requires="a14">
        <xdr:graphicFrame macro="">
          <xdr:nvGraphicFramePr>
            <xdr:cNvPr id="4" name="Supervisor">
              <a:extLst>
                <a:ext uri="{FF2B5EF4-FFF2-40B4-BE49-F238E27FC236}">
                  <a16:creationId xmlns:a16="http://schemas.microsoft.com/office/drawing/2014/main" id="{D4B491CA-645D-4EBF-8AEA-9D779028C5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19050" y="9525"/>
              <a:ext cx="987425" cy="119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444501</xdr:colOff>
      <xdr:row>11</xdr:row>
      <xdr:rowOff>52917</xdr:rowOff>
    </xdr:from>
    <xdr:to>
      <xdr:col>10</xdr:col>
      <xdr:colOff>19707</xdr:colOff>
      <xdr:row>20</xdr:row>
      <xdr:rowOff>116417</xdr:rowOff>
    </xdr:to>
    <xdr:graphicFrame macro="">
      <xdr:nvGraphicFramePr>
        <xdr:cNvPr id="5" name="Chart 4">
          <a:extLst>
            <a:ext uri="{FF2B5EF4-FFF2-40B4-BE49-F238E27FC236}">
              <a16:creationId xmlns:a16="http://schemas.microsoft.com/office/drawing/2014/main" id="{47F23FB1-CF4E-42BE-8A57-AB1AC7359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583145</xdr:colOff>
      <xdr:row>0</xdr:row>
      <xdr:rowOff>0</xdr:rowOff>
    </xdr:from>
    <xdr:to>
      <xdr:col>11</xdr:col>
      <xdr:colOff>321737</xdr:colOff>
      <xdr:row>3</xdr:row>
      <xdr:rowOff>0</xdr:rowOff>
    </xdr:to>
    <xdr:graphicFrame macro="">
      <xdr:nvGraphicFramePr>
        <xdr:cNvPr id="6" name="Chart 5">
          <a:extLst>
            <a:ext uri="{FF2B5EF4-FFF2-40B4-BE49-F238E27FC236}">
              <a16:creationId xmlns:a16="http://schemas.microsoft.com/office/drawing/2014/main" id="{42814577-02CC-4DE3-A5C3-939765C5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222250</xdr:colOff>
      <xdr:row>3</xdr:row>
      <xdr:rowOff>62440</xdr:rowOff>
    </xdr:from>
    <xdr:to>
      <xdr:col>20</xdr:col>
      <xdr:colOff>474134</xdr:colOff>
      <xdr:row>10</xdr:row>
      <xdr:rowOff>179916</xdr:rowOff>
    </xdr:to>
    <xdr:graphicFrame macro="">
      <xdr:nvGraphicFramePr>
        <xdr:cNvPr id="8" name="Chart 7">
          <a:extLst>
            <a:ext uri="{FF2B5EF4-FFF2-40B4-BE49-F238E27FC236}">
              <a16:creationId xmlns:a16="http://schemas.microsoft.com/office/drawing/2014/main" id="{736184BA-FF52-4D4A-8674-EEFECE6EA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426508</xdr:colOff>
      <xdr:row>0</xdr:row>
      <xdr:rowOff>19051</xdr:rowOff>
    </xdr:from>
    <xdr:to>
      <xdr:col>3</xdr:col>
      <xdr:colOff>597957</xdr:colOff>
      <xdr:row>3</xdr:row>
      <xdr:rowOff>1</xdr:rowOff>
    </xdr:to>
    <mc:AlternateContent xmlns:mc="http://schemas.openxmlformats.org/markup-compatibility/2006" xmlns:a14="http://schemas.microsoft.com/office/drawing/2010/main">
      <mc:Choice Requires="a14">
        <xdr:graphicFrame macro="">
          <xdr:nvGraphicFramePr>
            <xdr:cNvPr id="9" name="Customer Class">
              <a:extLst>
                <a:ext uri="{FF2B5EF4-FFF2-40B4-BE49-F238E27FC236}">
                  <a16:creationId xmlns:a16="http://schemas.microsoft.com/office/drawing/2014/main" id="{21AA5AA1-EF58-4356-9FDB-8E6E7823A11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Class"/>
            </a:graphicData>
          </a:graphic>
        </xdr:graphicFrame>
      </mc:Choice>
      <mc:Fallback xmlns="">
        <xdr:sp macro="" textlink="">
          <xdr:nvSpPr>
            <xdr:cNvPr id="0" name=""/>
            <xdr:cNvSpPr>
              <a:spLocks noTextEdit="1"/>
            </xdr:cNvSpPr>
          </xdr:nvSpPr>
          <xdr:spPr>
            <a:xfrm>
              <a:off x="1040341" y="19051"/>
              <a:ext cx="1399116"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444502</xdr:colOff>
      <xdr:row>3</xdr:row>
      <xdr:rowOff>52917</xdr:rowOff>
    </xdr:from>
    <xdr:to>
      <xdr:col>9</xdr:col>
      <xdr:colOff>408750</xdr:colOff>
      <xdr:row>10</xdr:row>
      <xdr:rowOff>169332</xdr:rowOff>
    </xdr:to>
    <xdr:graphicFrame macro="">
      <xdr:nvGraphicFramePr>
        <xdr:cNvPr id="10" name="Chart 9">
          <a:extLst>
            <a:ext uri="{FF2B5EF4-FFF2-40B4-BE49-F238E27FC236}">
              <a16:creationId xmlns:a16="http://schemas.microsoft.com/office/drawing/2014/main" id="{DAD148C9-D850-49BF-A4FC-9F2581E80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19583</xdr:colOff>
      <xdr:row>0</xdr:row>
      <xdr:rowOff>19051</xdr:rowOff>
    </xdr:from>
    <xdr:to>
      <xdr:col>6</xdr:col>
      <xdr:colOff>428628</xdr:colOff>
      <xdr:row>3</xdr:row>
      <xdr:rowOff>1</xdr:rowOff>
    </xdr:to>
    <mc:AlternateContent xmlns:mc="http://schemas.openxmlformats.org/markup-compatibility/2006" xmlns:a14="http://schemas.microsoft.com/office/drawing/2010/main">
      <mc:Choice Requires="a14">
        <xdr:graphicFrame macro="">
          <xdr:nvGraphicFramePr>
            <xdr:cNvPr id="11" name="Method Of Payment">
              <a:extLst>
                <a:ext uri="{FF2B5EF4-FFF2-40B4-BE49-F238E27FC236}">
                  <a16:creationId xmlns:a16="http://schemas.microsoft.com/office/drawing/2014/main" id="{439F6DA5-2290-4465-B82B-E2906E976EA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thod Of Payment"/>
            </a:graphicData>
          </a:graphic>
        </xdr:graphicFrame>
      </mc:Choice>
      <mc:Fallback xmlns="">
        <xdr:sp macro="" textlink="">
          <xdr:nvSpPr>
            <xdr:cNvPr id="0" name=""/>
            <xdr:cNvSpPr>
              <a:spLocks noTextEdit="1"/>
            </xdr:cNvSpPr>
          </xdr:nvSpPr>
          <xdr:spPr>
            <a:xfrm>
              <a:off x="2474916" y="19051"/>
              <a:ext cx="1636712"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297904</xdr:colOff>
      <xdr:row>3</xdr:row>
      <xdr:rowOff>61884</xdr:rowOff>
    </xdr:from>
    <xdr:to>
      <xdr:col>15</xdr:col>
      <xdr:colOff>193127</xdr:colOff>
      <xdr:row>10</xdr:row>
      <xdr:rowOff>179359</xdr:rowOff>
    </xdr:to>
    <xdr:graphicFrame macro="">
      <xdr:nvGraphicFramePr>
        <xdr:cNvPr id="12" name="Chart 11">
          <a:extLst>
            <a:ext uri="{FF2B5EF4-FFF2-40B4-BE49-F238E27FC236}">
              <a16:creationId xmlns:a16="http://schemas.microsoft.com/office/drawing/2014/main" id="{04024977-F468-4D1E-A674-293DC605B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455083</xdr:colOff>
      <xdr:row>3</xdr:row>
      <xdr:rowOff>63499</xdr:rowOff>
    </xdr:from>
    <xdr:to>
      <xdr:col>12</xdr:col>
      <xdr:colOff>252116</xdr:colOff>
      <xdr:row>10</xdr:row>
      <xdr:rowOff>169332</xdr:rowOff>
    </xdr:to>
    <xdr:graphicFrame macro="">
      <xdr:nvGraphicFramePr>
        <xdr:cNvPr id="14" name="Chart 13">
          <a:extLst>
            <a:ext uri="{FF2B5EF4-FFF2-40B4-BE49-F238E27FC236}">
              <a16:creationId xmlns:a16="http://schemas.microsoft.com/office/drawing/2014/main" id="{FEBFFBA2-2965-42A3-ADBA-601C9D25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306918</xdr:colOff>
      <xdr:row>3</xdr:row>
      <xdr:rowOff>37041</xdr:rowOff>
    </xdr:from>
    <xdr:to>
      <xdr:col>6</xdr:col>
      <xdr:colOff>391584</xdr:colOff>
      <xdr:row>20</xdr:row>
      <xdr:rowOff>105833</xdr:rowOff>
    </xdr:to>
    <xdr:graphicFrame macro="">
      <xdr:nvGraphicFramePr>
        <xdr:cNvPr id="15" name="Chart 14">
          <a:extLst>
            <a:ext uri="{FF2B5EF4-FFF2-40B4-BE49-F238E27FC236}">
              <a16:creationId xmlns:a16="http://schemas.microsoft.com/office/drawing/2014/main" id="{640A1933-8996-4374-B900-9B6389C62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415926</xdr:colOff>
      <xdr:row>3</xdr:row>
      <xdr:rowOff>33866</xdr:rowOff>
    </xdr:from>
    <xdr:to>
      <xdr:col>3</xdr:col>
      <xdr:colOff>303743</xdr:colOff>
      <xdr:row>20</xdr:row>
      <xdr:rowOff>105833</xdr:rowOff>
    </xdr:to>
    <mc:AlternateContent xmlns:mc="http://schemas.openxmlformats.org/markup-compatibility/2006" xmlns:a14="http://schemas.microsoft.com/office/drawing/2010/main">
      <mc:Choice Requires="a14">
        <xdr:graphicFrame macro="">
          <xdr:nvGraphicFramePr>
            <xdr:cNvPr id="16" name="Model2">
              <a:extLst>
                <a:ext uri="{FF2B5EF4-FFF2-40B4-BE49-F238E27FC236}">
                  <a16:creationId xmlns:a16="http://schemas.microsoft.com/office/drawing/2014/main" id="{609FD757-0978-492F-8BB7-99D5CCA4575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el2"/>
            </a:graphicData>
          </a:graphic>
        </xdr:graphicFrame>
      </mc:Choice>
      <mc:Fallback xmlns="">
        <xdr:sp macro="" textlink="">
          <xdr:nvSpPr>
            <xdr:cNvPr id="0" name=""/>
            <xdr:cNvSpPr>
              <a:spLocks noTextEdit="1"/>
            </xdr:cNvSpPr>
          </xdr:nvSpPr>
          <xdr:spPr>
            <a:xfrm>
              <a:off x="1029759" y="605366"/>
              <a:ext cx="1115484" cy="3310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20</xdr:col>
      <xdr:colOff>512234</xdr:colOff>
      <xdr:row>3</xdr:row>
      <xdr:rowOff>33617</xdr:rowOff>
    </xdr:from>
    <xdr:to>
      <xdr:col>22</xdr:col>
      <xdr:colOff>285751</xdr:colOff>
      <xdr:row>9</xdr:row>
      <xdr:rowOff>105832</xdr:rowOff>
    </xdr:to>
    <mc:AlternateContent xmlns:mc="http://schemas.openxmlformats.org/markup-compatibility/2006" xmlns:a14="http://schemas.microsoft.com/office/drawing/2010/main">
      <mc:Choice Requires="a14">
        <xdr:graphicFrame macro="">
          <xdr:nvGraphicFramePr>
            <xdr:cNvPr id="18" name="Profil Pembelian">
              <a:extLst>
                <a:ext uri="{FF2B5EF4-FFF2-40B4-BE49-F238E27FC236}">
                  <a16:creationId xmlns:a16="http://schemas.microsoft.com/office/drawing/2014/main" id="{6283AF4D-7B41-4126-BA39-730428CCC4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fil Pembelian"/>
            </a:graphicData>
          </a:graphic>
        </xdr:graphicFrame>
      </mc:Choice>
      <mc:Fallback xmlns="">
        <xdr:sp macro="" textlink="">
          <xdr:nvSpPr>
            <xdr:cNvPr id="0" name=""/>
            <xdr:cNvSpPr>
              <a:spLocks noTextEdit="1"/>
            </xdr:cNvSpPr>
          </xdr:nvSpPr>
          <xdr:spPr>
            <a:xfrm>
              <a:off x="12788901" y="605117"/>
              <a:ext cx="1001183" cy="1215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375402</xdr:colOff>
      <xdr:row>11</xdr:row>
      <xdr:rowOff>50757</xdr:rowOff>
    </xdr:from>
    <xdr:to>
      <xdr:col>18</xdr:col>
      <xdr:colOff>124811</xdr:colOff>
      <xdr:row>20</xdr:row>
      <xdr:rowOff>124942</xdr:rowOff>
    </xdr:to>
    <xdr:graphicFrame macro="">
      <xdr:nvGraphicFramePr>
        <xdr:cNvPr id="19" name="Chart 18">
          <a:extLst>
            <a:ext uri="{FF2B5EF4-FFF2-40B4-BE49-F238E27FC236}">
              <a16:creationId xmlns:a16="http://schemas.microsoft.com/office/drawing/2014/main" id="{3A4556F9-0D9A-4773-A289-DB5F9707B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144518</xdr:colOff>
      <xdr:row>11</xdr:row>
      <xdr:rowOff>37955</xdr:rowOff>
    </xdr:from>
    <xdr:to>
      <xdr:col>20</xdr:col>
      <xdr:colOff>492672</xdr:colOff>
      <xdr:row>20</xdr:row>
      <xdr:rowOff>90506</xdr:rowOff>
    </xdr:to>
    <xdr:graphicFrame macro="">
      <xdr:nvGraphicFramePr>
        <xdr:cNvPr id="20" name="Chart 19">
          <a:extLst>
            <a:ext uri="{FF2B5EF4-FFF2-40B4-BE49-F238E27FC236}">
              <a16:creationId xmlns:a16="http://schemas.microsoft.com/office/drawing/2014/main" id="{B70B99D2-72F4-4E51-8240-C3052590A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507999</xdr:colOff>
      <xdr:row>9</xdr:row>
      <xdr:rowOff>88401</xdr:rowOff>
    </xdr:from>
    <xdr:to>
      <xdr:col>22</xdr:col>
      <xdr:colOff>296334</xdr:colOff>
      <xdr:row>20</xdr:row>
      <xdr:rowOff>126999</xdr:rowOff>
    </xdr:to>
    <mc:AlternateContent xmlns:mc="http://schemas.openxmlformats.org/markup-compatibility/2006" xmlns:a14="http://schemas.microsoft.com/office/drawing/2010/main">
      <mc:Choice Requires="a14">
        <xdr:graphicFrame macro="">
          <xdr:nvGraphicFramePr>
            <xdr:cNvPr id="21" name="Sumber Prospek">
              <a:extLst>
                <a:ext uri="{FF2B5EF4-FFF2-40B4-BE49-F238E27FC236}">
                  <a16:creationId xmlns:a16="http://schemas.microsoft.com/office/drawing/2014/main" id="{19C556F1-9526-4FCD-9D7A-3593904359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mber Prospek"/>
            </a:graphicData>
          </a:graphic>
        </xdr:graphicFrame>
      </mc:Choice>
      <mc:Fallback xmlns="">
        <xdr:sp macro="" textlink="">
          <xdr:nvSpPr>
            <xdr:cNvPr id="0" name=""/>
            <xdr:cNvSpPr>
              <a:spLocks noTextEdit="1"/>
            </xdr:cNvSpPr>
          </xdr:nvSpPr>
          <xdr:spPr>
            <a:xfrm>
              <a:off x="12784666" y="1802901"/>
              <a:ext cx="1016001" cy="2134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19</xdr:col>
      <xdr:colOff>63500</xdr:colOff>
      <xdr:row>20</xdr:row>
      <xdr:rowOff>158750</xdr:rowOff>
    </xdr:from>
    <xdr:to>
      <xdr:col>22</xdr:col>
      <xdr:colOff>296334</xdr:colOff>
      <xdr:row>29</xdr:row>
      <xdr:rowOff>63500</xdr:rowOff>
    </xdr:to>
    <xdr:graphicFrame macro="">
      <xdr:nvGraphicFramePr>
        <xdr:cNvPr id="17" name="Chart 16">
          <a:extLst>
            <a:ext uri="{FF2B5EF4-FFF2-40B4-BE49-F238E27FC236}">
              <a16:creationId xmlns:a16="http://schemas.microsoft.com/office/drawing/2014/main" id="{CC5F03B4-78CE-49D3-8F5E-28DED00F9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455083</xdr:colOff>
      <xdr:row>0</xdr:row>
      <xdr:rowOff>0</xdr:rowOff>
    </xdr:from>
    <xdr:to>
      <xdr:col>9</xdr:col>
      <xdr:colOff>550332</xdr:colOff>
      <xdr:row>3</xdr:row>
      <xdr:rowOff>10583</xdr:rowOff>
    </xdr:to>
    <mc:AlternateContent xmlns:mc="http://schemas.openxmlformats.org/markup-compatibility/2006" xmlns:a14="http://schemas.microsoft.com/office/drawing/2010/main">
      <mc:Choice Requires="a14">
        <xdr:graphicFrame macro="">
          <xdr:nvGraphicFramePr>
            <xdr:cNvPr id="22" name="PMA 1">
              <a:extLst>
                <a:ext uri="{FF2B5EF4-FFF2-40B4-BE49-F238E27FC236}">
                  <a16:creationId xmlns:a16="http://schemas.microsoft.com/office/drawing/2014/main" id="{0A93F3A3-52E6-49E4-8793-208FF9AC232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MA 1"/>
            </a:graphicData>
          </a:graphic>
        </xdr:graphicFrame>
      </mc:Choice>
      <mc:Fallback xmlns="">
        <xdr:sp macro="" textlink="">
          <xdr:nvSpPr>
            <xdr:cNvPr id="0" name=""/>
            <xdr:cNvSpPr>
              <a:spLocks noTextEdit="1"/>
            </xdr:cNvSpPr>
          </xdr:nvSpPr>
          <xdr:spPr>
            <a:xfrm>
              <a:off x="4138083" y="0"/>
              <a:ext cx="1936749" cy="58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21167</xdr:colOff>
      <xdr:row>20</xdr:row>
      <xdr:rowOff>169333</xdr:rowOff>
    </xdr:from>
    <xdr:to>
      <xdr:col>19</xdr:col>
      <xdr:colOff>21169</xdr:colOff>
      <xdr:row>29</xdr:row>
      <xdr:rowOff>74083</xdr:rowOff>
    </xdr:to>
    <xdr:graphicFrame macro="">
      <xdr:nvGraphicFramePr>
        <xdr:cNvPr id="25" name="Chart 24">
          <a:extLst>
            <a:ext uri="{FF2B5EF4-FFF2-40B4-BE49-F238E27FC236}">
              <a16:creationId xmlns:a16="http://schemas.microsoft.com/office/drawing/2014/main" id="{CCD58CBC-3ECF-4CA6-8610-7D6172A7C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19</xdr:col>
      <xdr:colOff>518583</xdr:colOff>
      <xdr:row>0</xdr:row>
      <xdr:rowOff>21166</xdr:rowOff>
    </xdr:from>
    <xdr:ext cx="1596902" cy="571501"/>
    <xdr:sp macro="" textlink="">
      <xdr:nvSpPr>
        <xdr:cNvPr id="24" name="Rectangle 23">
          <a:extLst>
            <a:ext uri="{FF2B5EF4-FFF2-40B4-BE49-F238E27FC236}">
              <a16:creationId xmlns:a16="http://schemas.microsoft.com/office/drawing/2014/main" id="{E0728EEA-0DE9-83E9-233F-A0599DB53641}"/>
            </a:ext>
          </a:extLst>
        </xdr:cNvPr>
        <xdr:cNvSpPr/>
      </xdr:nvSpPr>
      <xdr:spPr>
        <a:xfrm>
          <a:off x="12181416" y="21166"/>
          <a:ext cx="1596902" cy="571501"/>
        </a:xfrm>
        <a:prstGeom prst="rect">
          <a:avLst/>
        </a:prstGeom>
        <a:solidFill>
          <a:schemeClr val="tx1"/>
        </a:solidFill>
      </xdr:spPr>
      <xdr:txBody>
        <a:bodyPr wrap="square" lIns="91440" tIns="45720" rIns="91440" bIns="45720">
          <a:noAutofit/>
        </a:bodyPr>
        <a:lstStyle/>
        <a:p>
          <a:pPr algn="ctr"/>
          <a:endParaRPr lang="en-US" sz="2400" b="1" cap="none" spc="0">
            <a:ln w="22225">
              <a:noFill/>
              <a:prstDash val="solid"/>
            </a:ln>
            <a:solidFill>
              <a:schemeClr val="bg1"/>
            </a:solidFill>
            <a:effectLst/>
          </a:endParaRPr>
        </a:p>
      </xdr:txBody>
    </xdr:sp>
    <xdr:clientData/>
  </xdr:oneCellAnchor>
  <xdr:oneCellAnchor>
    <xdr:from>
      <xdr:col>19</xdr:col>
      <xdr:colOff>486834</xdr:colOff>
      <xdr:row>0</xdr:row>
      <xdr:rowOff>42332</xdr:rowOff>
    </xdr:from>
    <xdr:ext cx="740832" cy="278312"/>
    <xdr:sp macro="" textlink="">
      <xdr:nvSpPr>
        <xdr:cNvPr id="26" name="Rectangle 25">
          <a:extLst>
            <a:ext uri="{FF2B5EF4-FFF2-40B4-BE49-F238E27FC236}">
              <a16:creationId xmlns:a16="http://schemas.microsoft.com/office/drawing/2014/main" id="{00000000-0008-0000-0100-00001A000000}"/>
            </a:ext>
          </a:extLst>
        </xdr:cNvPr>
        <xdr:cNvSpPr/>
      </xdr:nvSpPr>
      <xdr:spPr>
        <a:xfrm>
          <a:off x="12149667" y="42332"/>
          <a:ext cx="740832" cy="278312"/>
        </a:xfrm>
        <a:prstGeom prst="rect">
          <a:avLst/>
        </a:prstGeom>
        <a:noFill/>
      </xdr:spPr>
      <xdr:txBody>
        <a:bodyPr wrap="none" lIns="91440" tIns="45720" rIns="91440" bIns="45720" anchor="ctr">
          <a:noAutofit/>
        </a:bodyPr>
        <a:lstStyle/>
        <a:p>
          <a:pPr algn="ctr"/>
          <a:r>
            <a:rPr lang="en-US" sz="1800" b="1" cap="none" spc="0">
              <a:ln w="10160">
                <a:noFill/>
                <a:prstDash val="solid"/>
              </a:ln>
              <a:solidFill>
                <a:srgbClr val="FFFFFF"/>
              </a:solidFill>
              <a:effectLst>
                <a:outerShdw blurRad="38100" dist="22860" dir="5400000" algn="tl" rotWithShape="0">
                  <a:srgbClr val="000000">
                    <a:alpha val="30000"/>
                  </a:srgbClr>
                </a:outerShdw>
              </a:effectLst>
            </a:rPr>
            <a:t>Tunas</a:t>
          </a:r>
        </a:p>
      </xdr:txBody>
    </xdr:sp>
    <xdr:clientData/>
  </xdr:oneCellAnchor>
  <xdr:oneCellAnchor>
    <xdr:from>
      <xdr:col>20</xdr:col>
      <xdr:colOff>201082</xdr:colOff>
      <xdr:row>1</xdr:row>
      <xdr:rowOff>74083</xdr:rowOff>
    </xdr:from>
    <xdr:ext cx="815800" cy="310065"/>
    <xdr:sp macro="" textlink="">
      <xdr:nvSpPr>
        <xdr:cNvPr id="27" name="Rectangle 26">
          <a:extLst>
            <a:ext uri="{FF2B5EF4-FFF2-40B4-BE49-F238E27FC236}">
              <a16:creationId xmlns:a16="http://schemas.microsoft.com/office/drawing/2014/main" id="{00000000-0008-0000-0100-00001B000000}"/>
            </a:ext>
          </a:extLst>
        </xdr:cNvPr>
        <xdr:cNvSpPr/>
      </xdr:nvSpPr>
      <xdr:spPr>
        <a:xfrm>
          <a:off x="12477749" y="264583"/>
          <a:ext cx="815800" cy="310065"/>
        </a:xfrm>
        <a:prstGeom prst="rect">
          <a:avLst/>
        </a:prstGeom>
        <a:noFill/>
      </xdr:spPr>
      <xdr:txBody>
        <a:bodyPr wrap="none" lIns="91440" tIns="45720" rIns="91440" bIns="45720" anchor="ctr">
          <a:noAutofit/>
        </a:bodyPr>
        <a:lstStyle/>
        <a:p>
          <a:pPr algn="ctr"/>
          <a:r>
            <a:rPr lang="en-US" sz="1800" b="1" cap="none" spc="0">
              <a:ln w="10160">
                <a:noFill/>
                <a:prstDash val="solid"/>
              </a:ln>
              <a:solidFill>
                <a:srgbClr val="FFFFFF"/>
              </a:solidFill>
              <a:effectLst>
                <a:outerShdw blurRad="38100" dist="22860" dir="5400000" algn="tl" rotWithShape="0">
                  <a:srgbClr val="000000">
                    <a:alpha val="30000"/>
                  </a:srgbClr>
                </a:outerShdw>
              </a:effectLst>
            </a:rPr>
            <a:t>   Kiara</a:t>
          </a:r>
          <a:r>
            <a:rPr lang="en-US" sz="1800" b="1" cap="none" spc="0" baseline="0">
              <a:ln w="10160">
                <a:noFill/>
                <a:prstDash val="solid"/>
              </a:ln>
              <a:solidFill>
                <a:srgbClr val="FFFFFF"/>
              </a:solidFill>
              <a:effectLst>
                <a:outerShdw blurRad="38100" dist="22860" dir="5400000" algn="tl" rotWithShape="0">
                  <a:srgbClr val="000000">
                    <a:alpha val="30000"/>
                  </a:srgbClr>
                </a:outerShdw>
              </a:effectLst>
            </a:rPr>
            <a:t> Condong</a:t>
          </a:r>
          <a:endParaRPr lang="en-US" sz="18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21</xdr:col>
      <xdr:colOff>84666</xdr:colOff>
      <xdr:row>0</xdr:row>
      <xdr:rowOff>10583</xdr:rowOff>
    </xdr:from>
    <xdr:ext cx="656166" cy="310065"/>
    <xdr:sp macro="" textlink="">
      <xdr:nvSpPr>
        <xdr:cNvPr id="28" name="Rectangle 27">
          <a:extLst>
            <a:ext uri="{FF2B5EF4-FFF2-40B4-BE49-F238E27FC236}">
              <a16:creationId xmlns:a16="http://schemas.microsoft.com/office/drawing/2014/main" id="{00000000-0008-0000-0100-00001C000000}"/>
            </a:ext>
          </a:extLst>
        </xdr:cNvPr>
        <xdr:cNvSpPr/>
      </xdr:nvSpPr>
      <xdr:spPr>
        <a:xfrm>
          <a:off x="12975166" y="10583"/>
          <a:ext cx="656166" cy="310065"/>
        </a:xfrm>
        <a:prstGeom prst="rect">
          <a:avLst/>
        </a:prstGeom>
        <a:noFill/>
      </xdr:spPr>
      <xdr:txBody>
        <a:bodyPr wrap="none" lIns="91440" tIns="45720" rIns="91440" bIns="45720" anchor="ctr">
          <a:noAutofit/>
        </a:bodyPr>
        <a:lstStyle/>
        <a:p>
          <a:pPr algn="ctr"/>
          <a:r>
            <a:rPr lang="en-US" sz="2800" b="1" cap="none" spc="0">
              <a:ln w="10160">
                <a:noFill/>
                <a:prstDash val="solid"/>
              </a:ln>
              <a:solidFill>
                <a:srgbClr val="FFFFFF"/>
              </a:solidFill>
              <a:effectLst>
                <a:outerShdw blurRad="38100" dist="22860" dir="5400000" algn="tl" rotWithShape="0">
                  <a:srgbClr val="000000">
                    <a:alpha val="30000"/>
                  </a:srgbClr>
                </a:outerShdw>
              </a:effectLst>
            </a:rPr>
            <a:t>2026</a:t>
          </a:r>
        </a:p>
      </xdr:txBody>
    </xdr:sp>
    <xdr:clientData/>
  </xdr:oneCellAnchor>
  <xdr:twoCellAnchor editAs="absolute">
    <xdr:from>
      <xdr:col>11</xdr:col>
      <xdr:colOff>359833</xdr:colOff>
      <xdr:row>0</xdr:row>
      <xdr:rowOff>0</xdr:rowOff>
    </xdr:from>
    <xdr:to>
      <xdr:col>19</xdr:col>
      <xdr:colOff>497417</xdr:colOff>
      <xdr:row>3</xdr:row>
      <xdr:rowOff>21167</xdr:rowOff>
    </xdr:to>
    <mc:AlternateContent xmlns:mc="http://schemas.openxmlformats.org/markup-compatibility/2006" xmlns:a14="http://schemas.microsoft.com/office/drawing/2010/main">
      <mc:Choice Requires="a14">
        <xdr:graphicFrame macro="">
          <xdr:nvGraphicFramePr>
            <xdr:cNvPr id="29" name="Nama Leasing">
              <a:extLst>
                <a:ext uri="{FF2B5EF4-FFF2-40B4-BE49-F238E27FC236}">
                  <a16:creationId xmlns:a16="http://schemas.microsoft.com/office/drawing/2014/main" id="{00000000-0008-0000-0100-00001D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a Leasing"/>
            </a:graphicData>
          </a:graphic>
        </xdr:graphicFrame>
      </mc:Choice>
      <mc:Fallback xmlns="">
        <xdr:sp macro="" textlink="">
          <xdr:nvSpPr>
            <xdr:cNvPr id="0" name=""/>
            <xdr:cNvSpPr>
              <a:spLocks noTextEdit="1"/>
            </xdr:cNvSpPr>
          </xdr:nvSpPr>
          <xdr:spPr>
            <a:xfrm>
              <a:off x="7112000" y="0"/>
              <a:ext cx="5048250" cy="592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0</xdr:row>
      <xdr:rowOff>75081</xdr:rowOff>
    </xdr:from>
    <xdr:to>
      <xdr:col>24</xdr:col>
      <xdr:colOff>89647</xdr:colOff>
      <xdr:row>3</xdr:row>
      <xdr:rowOff>100854</xdr:rowOff>
    </xdr:to>
    <mc:AlternateContent xmlns:mc="http://schemas.openxmlformats.org/markup-compatibility/2006" xmlns:a14="http://schemas.microsoft.com/office/drawing/2010/main">
      <mc:Choice Requires="a14">
        <xdr:graphicFrame macro="">
          <xdr:nvGraphicFramePr>
            <xdr:cNvPr id="2" name="Supervisor 1">
              <a:extLst>
                <a:ext uri="{FF2B5EF4-FFF2-40B4-BE49-F238E27FC236}">
                  <a16:creationId xmlns:a16="http://schemas.microsoft.com/office/drawing/2014/main" id="{FD9F2B6C-3058-4EE8-95E1-C08F1E98B4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ervisor 1"/>
            </a:graphicData>
          </a:graphic>
        </xdr:graphicFrame>
      </mc:Choice>
      <mc:Fallback xmlns="">
        <xdr:sp macro="" textlink="">
          <xdr:nvSpPr>
            <xdr:cNvPr id="0" name=""/>
            <xdr:cNvSpPr>
              <a:spLocks noTextEdit="1"/>
            </xdr:cNvSpPr>
          </xdr:nvSpPr>
          <xdr:spPr>
            <a:xfrm>
              <a:off x="8471647" y="75081"/>
              <a:ext cx="6140824" cy="597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50986</xdr:colOff>
      <xdr:row>4</xdr:row>
      <xdr:rowOff>21850</xdr:rowOff>
    </xdr:from>
    <xdr:to>
      <xdr:col>24</xdr:col>
      <xdr:colOff>145676</xdr:colOff>
      <xdr:row>13</xdr:row>
      <xdr:rowOff>174251</xdr:rowOff>
    </xdr:to>
    <xdr:graphicFrame macro="">
      <xdr:nvGraphicFramePr>
        <xdr:cNvPr id="3" name="Chart 2">
          <a:extLst>
            <a:ext uri="{FF2B5EF4-FFF2-40B4-BE49-F238E27FC236}">
              <a16:creationId xmlns:a16="http://schemas.microsoft.com/office/drawing/2014/main" id="{68D09109-775D-48E5-BC3C-D44045E95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33617</xdr:colOff>
      <xdr:row>14</xdr:row>
      <xdr:rowOff>51550</xdr:rowOff>
    </xdr:from>
    <xdr:to>
      <xdr:col>24</xdr:col>
      <xdr:colOff>134469</xdr:colOff>
      <xdr:row>24</xdr:row>
      <xdr:rowOff>165850</xdr:rowOff>
    </xdr:to>
    <xdr:graphicFrame macro="">
      <xdr:nvGraphicFramePr>
        <xdr:cNvPr id="4" name="Chart 3">
          <a:extLst>
            <a:ext uri="{FF2B5EF4-FFF2-40B4-BE49-F238E27FC236}">
              <a16:creationId xmlns:a16="http://schemas.microsoft.com/office/drawing/2014/main" id="{5B694347-32C0-4625-9207-73122DF45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324971</xdr:colOff>
      <xdr:row>0</xdr:row>
      <xdr:rowOff>44824</xdr:rowOff>
    </xdr:from>
    <xdr:to>
      <xdr:col>13</xdr:col>
      <xdr:colOff>560295</xdr:colOff>
      <xdr:row>3</xdr:row>
      <xdr:rowOff>109258</xdr:rowOff>
    </xdr:to>
    <xdr:graphicFrame macro="">
      <xdr:nvGraphicFramePr>
        <xdr:cNvPr id="5" name="Chart 4">
          <a:extLst>
            <a:ext uri="{FF2B5EF4-FFF2-40B4-BE49-F238E27FC236}">
              <a16:creationId xmlns:a16="http://schemas.microsoft.com/office/drawing/2014/main" id="{3995B469-6AE4-458D-826C-EF4F25A1A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100853</xdr:colOff>
      <xdr:row>0</xdr:row>
      <xdr:rowOff>56030</xdr:rowOff>
    </xdr:from>
    <xdr:to>
      <xdr:col>11</xdr:col>
      <xdr:colOff>291352</xdr:colOff>
      <xdr:row>3</xdr:row>
      <xdr:rowOff>89648</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A22C0277-C31E-45C1-8EAC-080AEC8CE40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0853" y="56030"/>
              <a:ext cx="6846793" cy="605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128247</xdr:colOff>
      <xdr:row>0</xdr:row>
      <xdr:rowOff>41710</xdr:rowOff>
    </xdr:from>
    <xdr:to>
      <xdr:col>7</xdr:col>
      <xdr:colOff>64745</xdr:colOff>
      <xdr:row>3</xdr:row>
      <xdr:rowOff>73461</xdr:rowOff>
    </xdr:to>
    <mc:AlternateContent xmlns:mc="http://schemas.openxmlformats.org/markup-compatibility/2006" xmlns:a14="http://schemas.microsoft.com/office/drawing/2010/main">
      <mc:Choice Requires="a14">
        <xdr:graphicFrame macro="">
          <xdr:nvGraphicFramePr>
            <xdr:cNvPr id="2" name="Month 3">
              <a:extLst>
                <a:ext uri="{FF2B5EF4-FFF2-40B4-BE49-F238E27FC236}">
                  <a16:creationId xmlns:a16="http://schemas.microsoft.com/office/drawing/2014/main" id="{181CD160-66CE-40B8-A5E6-DB7F1B3A339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28247" y="41710"/>
              <a:ext cx="4172322" cy="6368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116418</xdr:colOff>
      <xdr:row>3</xdr:row>
      <xdr:rowOff>116417</xdr:rowOff>
    </xdr:from>
    <xdr:to>
      <xdr:col>12</xdr:col>
      <xdr:colOff>44823</xdr:colOff>
      <xdr:row>19</xdr:row>
      <xdr:rowOff>21167</xdr:rowOff>
    </xdr:to>
    <mc:AlternateContent xmlns:mc="http://schemas.openxmlformats.org/markup-compatibility/2006" xmlns:a14="http://schemas.microsoft.com/office/drawing/2010/main">
      <mc:Choice Requires="a14">
        <xdr:graphicFrame macro="">
          <xdr:nvGraphicFramePr>
            <xdr:cNvPr id="3" name="Sales Person 1">
              <a:extLst>
                <a:ext uri="{FF2B5EF4-FFF2-40B4-BE49-F238E27FC236}">
                  <a16:creationId xmlns:a16="http://schemas.microsoft.com/office/drawing/2014/main" id="{70BE95E1-1642-486B-AE1E-412F046777F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16418" y="721535"/>
              <a:ext cx="7189817" cy="31320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150657</xdr:colOff>
      <xdr:row>0</xdr:row>
      <xdr:rowOff>63500</xdr:rowOff>
    </xdr:from>
    <xdr:to>
      <xdr:col>12</xdr:col>
      <xdr:colOff>22412</xdr:colOff>
      <xdr:row>3</xdr:row>
      <xdr:rowOff>84667</xdr:rowOff>
    </xdr:to>
    <mc:AlternateContent xmlns:mc="http://schemas.openxmlformats.org/markup-compatibility/2006" xmlns:a14="http://schemas.microsoft.com/office/drawing/2010/main">
      <mc:Choice Requires="a14">
        <xdr:graphicFrame macro="">
          <xdr:nvGraphicFramePr>
            <xdr:cNvPr id="4" name="Supervisor 3">
              <a:extLst>
                <a:ext uri="{FF2B5EF4-FFF2-40B4-BE49-F238E27FC236}">
                  <a16:creationId xmlns:a16="http://schemas.microsoft.com/office/drawing/2014/main" id="{3136F850-044D-4C78-96B9-7249762C228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ervisor 3"/>
            </a:graphicData>
          </a:graphic>
        </xdr:graphicFrame>
      </mc:Choice>
      <mc:Fallback xmlns="">
        <xdr:sp macro="" textlink="">
          <xdr:nvSpPr>
            <xdr:cNvPr id="0" name=""/>
            <xdr:cNvSpPr>
              <a:spLocks noTextEdit="1"/>
            </xdr:cNvSpPr>
          </xdr:nvSpPr>
          <xdr:spPr>
            <a:xfrm>
              <a:off x="4386481" y="63500"/>
              <a:ext cx="2897343" cy="6262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112059</xdr:colOff>
      <xdr:row>19</xdr:row>
      <xdr:rowOff>100854</xdr:rowOff>
    </xdr:from>
    <xdr:to>
      <xdr:col>12</xdr:col>
      <xdr:colOff>22412</xdr:colOff>
      <xdr:row>29</xdr:row>
      <xdr:rowOff>145677</xdr:rowOff>
    </xdr:to>
    <xdr:graphicFrame macro="">
      <xdr:nvGraphicFramePr>
        <xdr:cNvPr id="6" name="Chart 5">
          <a:extLst>
            <a:ext uri="{FF2B5EF4-FFF2-40B4-BE49-F238E27FC236}">
              <a16:creationId xmlns:a16="http://schemas.microsoft.com/office/drawing/2014/main" id="{072B2B28-D490-4F15-9822-DF12548A031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89646</xdr:colOff>
      <xdr:row>18</xdr:row>
      <xdr:rowOff>44824</xdr:rowOff>
    </xdr:from>
    <xdr:to>
      <xdr:col>27</xdr:col>
      <xdr:colOff>44824</xdr:colOff>
      <xdr:row>18</xdr:row>
      <xdr:rowOff>123265</xdr:rowOff>
    </xdr:to>
    <xdr:sp macro="" textlink="">
      <xdr:nvSpPr>
        <xdr:cNvPr id="7" name="Rectangle 6">
          <a:extLst>
            <a:ext uri="{FF2B5EF4-FFF2-40B4-BE49-F238E27FC236}">
              <a16:creationId xmlns:a16="http://schemas.microsoft.com/office/drawing/2014/main" id="{4047AA59-AF61-7A45-41C3-98615191C7AF}"/>
            </a:ext>
          </a:extLst>
        </xdr:cNvPr>
        <xdr:cNvSpPr/>
      </xdr:nvSpPr>
      <xdr:spPr>
        <a:xfrm>
          <a:off x="13144499" y="3675530"/>
          <a:ext cx="1524001" cy="78441"/>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145677</xdr:colOff>
      <xdr:row>19</xdr:row>
      <xdr:rowOff>21516</xdr:rowOff>
    </xdr:from>
    <xdr:to>
      <xdr:col>12</xdr:col>
      <xdr:colOff>22413</xdr:colOff>
      <xdr:row>19</xdr:row>
      <xdr:rowOff>67235</xdr:rowOff>
    </xdr:to>
    <xdr:sp macro="" textlink="">
      <xdr:nvSpPr>
        <xdr:cNvPr id="8" name="Rectangle 7">
          <a:extLst>
            <a:ext uri="{FF2B5EF4-FFF2-40B4-BE49-F238E27FC236}">
              <a16:creationId xmlns:a16="http://schemas.microsoft.com/office/drawing/2014/main" id="{3514AD43-6E1F-4543-9390-1F709380BD5C}"/>
            </a:ext>
          </a:extLst>
        </xdr:cNvPr>
        <xdr:cNvSpPr/>
      </xdr:nvSpPr>
      <xdr:spPr>
        <a:xfrm>
          <a:off x="145677" y="3853928"/>
          <a:ext cx="7138148" cy="45719"/>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123265</xdr:colOff>
      <xdr:row>3</xdr:row>
      <xdr:rowOff>67236</xdr:rowOff>
    </xdr:from>
    <xdr:to>
      <xdr:col>12</xdr:col>
      <xdr:colOff>1</xdr:colOff>
      <xdr:row>3</xdr:row>
      <xdr:rowOff>112955</xdr:rowOff>
    </xdr:to>
    <xdr:sp macro="" textlink="">
      <xdr:nvSpPr>
        <xdr:cNvPr id="9" name="Rectangle 8">
          <a:extLst>
            <a:ext uri="{FF2B5EF4-FFF2-40B4-BE49-F238E27FC236}">
              <a16:creationId xmlns:a16="http://schemas.microsoft.com/office/drawing/2014/main" id="{9DABA1AE-2586-495F-84FC-003BBD4B300C}"/>
            </a:ext>
          </a:extLst>
        </xdr:cNvPr>
        <xdr:cNvSpPr/>
      </xdr:nvSpPr>
      <xdr:spPr>
        <a:xfrm>
          <a:off x="123265" y="672354"/>
          <a:ext cx="7138148" cy="45719"/>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114300</xdr:colOff>
      <xdr:row>2</xdr:row>
      <xdr:rowOff>38100</xdr:rowOff>
    </xdr:from>
    <xdr:to>
      <xdr:col>12</xdr:col>
      <xdr:colOff>114300</xdr:colOff>
      <xdr:row>15</xdr:row>
      <xdr:rowOff>85725</xdr:rowOff>
    </xdr:to>
    <mc:AlternateContent xmlns:mc="http://schemas.openxmlformats.org/markup-compatibility/2006" xmlns:a14="http://schemas.microsoft.com/office/drawing/2010/main">
      <mc:Choice Requires="a14">
        <xdr:graphicFrame macro="">
          <xdr:nvGraphicFramePr>
            <xdr:cNvPr id="2" name="Month 2">
              <a:extLst>
                <a:ext uri="{FF2B5EF4-FFF2-40B4-BE49-F238E27FC236}">
                  <a16:creationId xmlns:a16="http://schemas.microsoft.com/office/drawing/2014/main" id="{B6686376-2868-3F2B-382A-A6F0D9606ED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772025" y="4191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8</xdr:row>
      <xdr:rowOff>28575</xdr:rowOff>
    </xdr:from>
    <xdr:to>
      <xdr:col>16</xdr:col>
      <xdr:colOff>66675</xdr:colOff>
      <xdr:row>21</xdr:row>
      <xdr:rowOff>76200</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931D090B-CDC7-5585-3743-36D1EBFDBA2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7162800" y="15525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1</xdr:row>
      <xdr:rowOff>114300</xdr:rowOff>
    </xdr:from>
    <xdr:to>
      <xdr:col>18</xdr:col>
      <xdr:colOff>19050</xdr:colOff>
      <xdr:row>14</xdr:row>
      <xdr:rowOff>161925</xdr:rowOff>
    </xdr:to>
    <mc:AlternateContent xmlns:mc="http://schemas.openxmlformats.org/markup-compatibility/2006" xmlns:a14="http://schemas.microsoft.com/office/drawing/2010/main">
      <mc:Choice Requires="a14">
        <xdr:graphicFrame macro="">
          <xdr:nvGraphicFramePr>
            <xdr:cNvPr id="4" name="Supervisor 2">
              <a:extLst>
                <a:ext uri="{FF2B5EF4-FFF2-40B4-BE49-F238E27FC236}">
                  <a16:creationId xmlns:a16="http://schemas.microsoft.com/office/drawing/2014/main" id="{508D32AE-6250-DEC0-1A25-2621EC308A60}"/>
                </a:ext>
              </a:extLst>
            </xdr:cNvPr>
            <xdr:cNvGraphicFramePr/>
          </xdr:nvGraphicFramePr>
          <xdr:xfrm>
            <a:off x="0" y="0"/>
            <a:ext cx="0" cy="0"/>
          </xdr:xfrm>
          <a:graphic>
            <a:graphicData uri="http://schemas.microsoft.com/office/drawing/2010/slicer">
              <sle:slicer xmlns:sle="http://schemas.microsoft.com/office/drawing/2010/slicer" name="Supervisor 2"/>
            </a:graphicData>
          </a:graphic>
        </xdr:graphicFrame>
      </mc:Choice>
      <mc:Fallback xmlns="">
        <xdr:sp macro="" textlink="">
          <xdr:nvSpPr>
            <xdr:cNvPr id="0" name=""/>
            <xdr:cNvSpPr>
              <a:spLocks noTextEdit="1"/>
            </xdr:cNvSpPr>
          </xdr:nvSpPr>
          <xdr:spPr>
            <a:xfrm>
              <a:off x="8334375" y="3048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66675</xdr:colOff>
      <xdr:row>76</xdr:row>
      <xdr:rowOff>28575</xdr:rowOff>
    </xdr:from>
    <xdr:to>
      <xdr:col>18</xdr:col>
      <xdr:colOff>371475</xdr:colOff>
      <xdr:row>90</xdr:row>
      <xdr:rowOff>104775</xdr:rowOff>
    </xdr:to>
    <xdr:graphicFrame macro="">
      <xdr:nvGraphicFramePr>
        <xdr:cNvPr id="5" name="Chart 4">
          <a:extLst>
            <a:ext uri="{FF2B5EF4-FFF2-40B4-BE49-F238E27FC236}">
              <a16:creationId xmlns:a16="http://schemas.microsoft.com/office/drawing/2014/main" id="{3C55FFD2-62CE-9816-B4B5-DAC92ED33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6</xdr:row>
      <xdr:rowOff>57150</xdr:rowOff>
    </xdr:from>
    <xdr:to>
      <xdr:col>13</xdr:col>
      <xdr:colOff>47625</xdr:colOff>
      <xdr:row>20</xdr:row>
      <xdr:rowOff>133350</xdr:rowOff>
    </xdr:to>
    <xdr:graphicFrame macro="">
      <xdr:nvGraphicFramePr>
        <xdr:cNvPr id="6" name="Chart 5">
          <a:extLst>
            <a:ext uri="{FF2B5EF4-FFF2-40B4-BE49-F238E27FC236}">
              <a16:creationId xmlns:a16="http://schemas.microsoft.com/office/drawing/2014/main" id="{F769BB31-20BF-024D-65EA-1E44BDEDE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DATA%20BALI%20URGENT/CEK%20TYPE/KODE%20TYPE.xlsx" TargetMode="External"/><Relationship Id="rId1" Type="http://schemas.openxmlformats.org/officeDocument/2006/relationships/externalLinkPath" Target="file:///Z:/DATA%20BALI%20URGENT/CEK%20TYPE/KODE%20TYP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 TDMS"/>
      <sheetName val="NAMA SPV"/>
      <sheetName val="KODE TYPE standar"/>
      <sheetName val="LEASING NAME"/>
      <sheetName val="LEAS MONITORING TAM"/>
      <sheetName val="COLORCODE"/>
    </sheetNames>
    <sheetDataSet>
      <sheetData sheetId="0"/>
      <sheetData sheetId="1"/>
      <sheetData sheetId="2">
        <row r="1">
          <cell r="D1" t="str">
            <v>PRODUCT</v>
          </cell>
          <cell r="E1" t="str">
            <v>TYPE</v>
          </cell>
          <cell r="F1" t="str">
            <v>TYPE2</v>
          </cell>
          <cell r="G1" t="str">
            <v>UNTUK REPORT MONITORING</v>
          </cell>
          <cell r="H1" t="str">
            <v>MA/T DESC</v>
          </cell>
          <cell r="I1" t="str">
            <v>MA/T DESC 2/UPDATE STOCK PAK EDI DI SP</v>
          </cell>
          <cell r="J1" t="str">
            <v>MA/T DESC / AGYA / FORT</v>
          </cell>
          <cell r="K1" t="str">
            <v>UNTUK REPORT STOCK OSN / SP / AFI</v>
          </cell>
          <cell r="L1" t="str">
            <v>MA/T NO IDMS</v>
          </cell>
          <cell r="M1" t="str">
            <v>TYPE AFI</v>
          </cell>
          <cell r="N1" t="str">
            <v>UNTUK RSSP / RS vs DASHBOARD TAM</v>
          </cell>
          <cell r="O1" t="str">
            <v>PRODUCT2</v>
          </cell>
          <cell r="P1" t="str">
            <v>SUBMIT OAP</v>
          </cell>
          <cell r="Q1" t="str">
            <v>UNTUK DISKON AKUNTING</v>
          </cell>
          <cell r="R1" t="str">
            <v>KAT SUFF</v>
          </cell>
          <cell r="S1" t="str">
            <v>DASHBOARD PM-MODEL1</v>
          </cell>
          <cell r="T1" t="str">
            <v>DASHBOARD PM-MODEL2</v>
          </cell>
          <cell r="U1" t="str">
            <v>DASHBOARD PM-MODEL 3</v>
          </cell>
        </row>
        <row r="2">
          <cell r="D2" t="e">
            <v>#N/A</v>
          </cell>
          <cell r="E2" t="str">
            <v>FORTUNER</v>
          </cell>
          <cell r="F2" t="str">
            <v>FORTUNER 4X2</v>
          </cell>
          <cell r="G2" t="str">
            <v>FORTUNER 4X2</v>
          </cell>
          <cell r="H2" t="str">
            <v>FORTUNER 4X2 G A/T BENSIN</v>
          </cell>
          <cell r="I2" t="str">
            <v>FORTUNER 4X2 G A/T BENSIN</v>
          </cell>
          <cell r="J2" t="str">
            <v>FORTUNER 4X2 G A/T BENSIN</v>
          </cell>
          <cell r="K2" t="str">
            <v>FORTUNER 4X2</v>
          </cell>
          <cell r="L2" t="str">
            <v>TG61GA/T01</v>
          </cell>
          <cell r="M2" t="str">
            <v>FORTUNER</v>
          </cell>
          <cell r="N2" t="str">
            <v>FORTUNER 4X2</v>
          </cell>
          <cell r="O2" t="e">
            <v>#N/A</v>
          </cell>
          <cell r="P2" t="e">
            <v>#N/A</v>
          </cell>
          <cell r="Q2" t="e">
            <v>#N/A</v>
          </cell>
          <cell r="R2" t="e">
            <v>#N/A</v>
          </cell>
          <cell r="S2" t="str">
            <v>FORTUNER</v>
          </cell>
          <cell r="T2" t="e">
            <v>#N/A</v>
          </cell>
          <cell r="U2" t="str">
            <v>FORTUNER 4X2 G A/T BENSIN</v>
          </cell>
        </row>
        <row r="3">
          <cell r="D3" t="str">
            <v>B101RA-GMSGJ-00</v>
          </cell>
          <cell r="E3" t="str">
            <v>AGYA</v>
          </cell>
          <cell r="F3" t="str">
            <v>AGYA</v>
          </cell>
          <cell r="G3" t="str">
            <v>AGYA</v>
          </cell>
          <cell r="H3" t="str">
            <v>AGYA G M/T</v>
          </cell>
          <cell r="I3" t="str">
            <v>AGYA G M/T STD</v>
          </cell>
          <cell r="J3" t="str">
            <v>AGYA G M/T STD</v>
          </cell>
          <cell r="K3" t="str">
            <v>AGYA</v>
          </cell>
          <cell r="L3" t="str">
            <v>B100GM/T00M</v>
          </cell>
          <cell r="M3" t="str">
            <v>AGYA</v>
          </cell>
          <cell r="N3" t="str">
            <v>AGYA</v>
          </cell>
          <cell r="O3" t="str">
            <v>B101RA-GMSGJ-00</v>
          </cell>
          <cell r="P3" t="e">
            <v>#N/A</v>
          </cell>
          <cell r="Q3" t="e">
            <v>#N/A</v>
          </cell>
          <cell r="R3" t="str">
            <v>B101RA-GMSGJ-00</v>
          </cell>
          <cell r="S3" t="str">
            <v>AGYA</v>
          </cell>
          <cell r="T3" t="e">
            <v>#N/A</v>
          </cell>
          <cell r="U3" t="str">
            <v>AGYA G M/T</v>
          </cell>
        </row>
        <row r="4">
          <cell r="D4" t="str">
            <v>B101RA-GQSGJ-00</v>
          </cell>
          <cell r="E4" t="str">
            <v>AGYA</v>
          </cell>
          <cell r="F4" t="str">
            <v>AGYA</v>
          </cell>
          <cell r="G4" t="str">
            <v>AGYA</v>
          </cell>
          <cell r="H4" t="str">
            <v>AGYA G A/T</v>
          </cell>
          <cell r="I4" t="str">
            <v>AGYA G A/T STD</v>
          </cell>
          <cell r="J4" t="str">
            <v>AGYA G A/T STD</v>
          </cell>
          <cell r="K4" t="str">
            <v>AGYA</v>
          </cell>
          <cell r="L4" t="str">
            <v>B101GA/T00M</v>
          </cell>
          <cell r="M4" t="str">
            <v>AGYA</v>
          </cell>
          <cell r="N4" t="str">
            <v>AGYA</v>
          </cell>
          <cell r="O4" t="str">
            <v>B101RA-GQSGJ-00</v>
          </cell>
          <cell r="P4" t="e">
            <v>#N/A</v>
          </cell>
          <cell r="Q4" t="e">
            <v>#N/A</v>
          </cell>
          <cell r="R4" t="str">
            <v>B101RA-GQSGJ-00</v>
          </cell>
          <cell r="S4" t="str">
            <v>AGYA</v>
          </cell>
          <cell r="T4" t="e">
            <v>#N/A</v>
          </cell>
          <cell r="U4" t="str">
            <v>AGYA G A/T</v>
          </cell>
        </row>
        <row r="5">
          <cell r="D5" t="str">
            <v>B101RA-GQSGJ-02</v>
          </cell>
          <cell r="E5" t="str">
            <v>AGYA</v>
          </cell>
          <cell r="F5" t="str">
            <v>AGYA</v>
          </cell>
          <cell r="G5" t="str">
            <v>AGYA</v>
          </cell>
          <cell r="H5" t="str">
            <v>AGYA G A/T</v>
          </cell>
          <cell r="I5" t="str">
            <v>AGYA G A/T STD</v>
          </cell>
          <cell r="J5" t="str">
            <v>AGYA G A/T STD</v>
          </cell>
          <cell r="K5" t="str">
            <v>AGYA</v>
          </cell>
          <cell r="L5" t="str">
            <v>B101GA/T02M</v>
          </cell>
          <cell r="M5" t="str">
            <v>AGYA</v>
          </cell>
          <cell r="N5" t="str">
            <v>AGYA</v>
          </cell>
          <cell r="O5" t="str">
            <v>B101RA-GQSGJ-02</v>
          </cell>
          <cell r="P5" t="e">
            <v>#N/A</v>
          </cell>
          <cell r="Q5" t="e">
            <v>#N/A</v>
          </cell>
          <cell r="R5" t="str">
            <v>B101RA-GQSGJ-02</v>
          </cell>
          <cell r="S5" t="str">
            <v>AGYA</v>
          </cell>
          <cell r="T5" t="e">
            <v>#N/A</v>
          </cell>
          <cell r="U5" t="str">
            <v>AGYA G A/T</v>
          </cell>
        </row>
        <row r="6">
          <cell r="D6" t="str">
            <v>B101RA-GQSGJ-04</v>
          </cell>
          <cell r="E6" t="str">
            <v>AGYA</v>
          </cell>
          <cell r="F6" t="str">
            <v>AGYA</v>
          </cell>
          <cell r="G6" t="str">
            <v>AGYA</v>
          </cell>
          <cell r="H6" t="str">
            <v>AGYA G A/T</v>
          </cell>
          <cell r="I6" t="str">
            <v>AGYA G A/T STD</v>
          </cell>
          <cell r="J6" t="str">
            <v xml:space="preserve">AGYA G A/T STD </v>
          </cell>
          <cell r="K6" t="str">
            <v>AGYA</v>
          </cell>
          <cell r="L6" t="str">
            <v>B101GA/T04M</v>
          </cell>
          <cell r="M6" t="str">
            <v>AGYA</v>
          </cell>
          <cell r="N6" t="str">
            <v>AGYA</v>
          </cell>
          <cell r="O6" t="str">
            <v>B101RA-GQSGJ-04</v>
          </cell>
          <cell r="P6" t="e">
            <v>#N/A</v>
          </cell>
          <cell r="Q6" t="e">
            <v>#N/A</v>
          </cell>
          <cell r="R6" t="str">
            <v>B101RA-GQSGJ-04</v>
          </cell>
          <cell r="S6" t="str">
            <v>AGYA</v>
          </cell>
          <cell r="T6" t="e">
            <v>#N/A</v>
          </cell>
          <cell r="U6" t="str">
            <v>AGYA G A/T</v>
          </cell>
        </row>
        <row r="7">
          <cell r="D7" t="str">
            <v>B101RA-GMSGJ-00</v>
          </cell>
          <cell r="E7" t="str">
            <v>AGYA</v>
          </cell>
          <cell r="F7" t="str">
            <v>AGYA</v>
          </cell>
          <cell r="G7" t="str">
            <v>AGYA</v>
          </cell>
          <cell r="H7" t="str">
            <v>AGYA G M/T</v>
          </cell>
          <cell r="I7" t="str">
            <v>AGYA G M/T STD</v>
          </cell>
          <cell r="J7" t="str">
            <v>AGYA G M/T STD</v>
          </cell>
          <cell r="K7" t="str">
            <v>AGYA</v>
          </cell>
          <cell r="L7" t="str">
            <v>B101GM/T00M</v>
          </cell>
          <cell r="M7" t="str">
            <v>AGYA</v>
          </cell>
          <cell r="N7" t="str">
            <v>AGYA</v>
          </cell>
          <cell r="O7" t="str">
            <v>B101RA-GMSGJ-00</v>
          </cell>
          <cell r="P7" t="e">
            <v>#N/A</v>
          </cell>
          <cell r="Q7" t="e">
            <v>#N/A</v>
          </cell>
          <cell r="R7" t="str">
            <v>B101RA-GMSGJ-00</v>
          </cell>
          <cell r="S7" t="str">
            <v>AGYA</v>
          </cell>
          <cell r="T7" t="e">
            <v>#N/A</v>
          </cell>
          <cell r="U7" t="str">
            <v>AGYA G M/T</v>
          </cell>
        </row>
        <row r="8">
          <cell r="D8" t="str">
            <v>B101RA-GMSGJ-02</v>
          </cell>
          <cell r="E8" t="str">
            <v>AGYA</v>
          </cell>
          <cell r="F8" t="str">
            <v>AGYA</v>
          </cell>
          <cell r="G8" t="str">
            <v>AGYA</v>
          </cell>
          <cell r="H8" t="str">
            <v>AGYA G M/T</v>
          </cell>
          <cell r="I8" t="str">
            <v>AGYA G M/T STD</v>
          </cell>
          <cell r="J8" t="str">
            <v>AGYA G M/T STD</v>
          </cell>
          <cell r="K8" t="str">
            <v>AGYA</v>
          </cell>
          <cell r="L8" t="str">
            <v>B101GM/T02M</v>
          </cell>
          <cell r="M8" t="str">
            <v>AGYA</v>
          </cell>
          <cell r="N8" t="str">
            <v>AGYA</v>
          </cell>
          <cell r="O8" t="str">
            <v>B101RA-GMSGJ-02</v>
          </cell>
          <cell r="P8" t="e">
            <v>#N/A</v>
          </cell>
          <cell r="Q8" t="e">
            <v>#N/A</v>
          </cell>
          <cell r="R8" t="str">
            <v>B101RA-GMSGJ-02</v>
          </cell>
          <cell r="S8" t="str">
            <v>AGYA</v>
          </cell>
          <cell r="T8" t="e">
            <v>#N/A</v>
          </cell>
          <cell r="U8" t="str">
            <v>AGYA G M/T</v>
          </cell>
        </row>
        <row r="9">
          <cell r="D9" t="str">
            <v>B101RA-GMSGJ-04</v>
          </cell>
          <cell r="E9" t="str">
            <v>AGYA</v>
          </cell>
          <cell r="F9" t="str">
            <v>AGYA</v>
          </cell>
          <cell r="G9" t="str">
            <v>AGYA</v>
          </cell>
          <cell r="H9" t="str">
            <v>AGYA G M/T</v>
          </cell>
          <cell r="I9" t="str">
            <v>AGYA G M/T STD</v>
          </cell>
          <cell r="J9" t="str">
            <v xml:space="preserve">AGYA G M/T STD </v>
          </cell>
          <cell r="K9" t="str">
            <v>AGYA</v>
          </cell>
          <cell r="L9" t="str">
            <v>B101GM/T04M</v>
          </cell>
          <cell r="M9" t="str">
            <v>AGYA</v>
          </cell>
          <cell r="N9" t="str">
            <v>AGYA</v>
          </cell>
          <cell r="O9" t="str">
            <v>B101RA-GMSGJ-04</v>
          </cell>
          <cell r="P9" t="e">
            <v>#N/A</v>
          </cell>
          <cell r="Q9" t="e">
            <v>#N/A</v>
          </cell>
          <cell r="R9" t="str">
            <v>B101RA-GMSGJ-04</v>
          </cell>
          <cell r="S9" t="str">
            <v>AGYA</v>
          </cell>
          <cell r="T9" t="e">
            <v>#N/A</v>
          </cell>
          <cell r="U9" t="str">
            <v>AGYA G M/T</v>
          </cell>
        </row>
        <row r="10">
          <cell r="D10" t="str">
            <v>B101RA-GQSGJ-01</v>
          </cell>
          <cell r="E10" t="str">
            <v>AGYA</v>
          </cell>
          <cell r="F10" t="str">
            <v>AGYA</v>
          </cell>
          <cell r="G10" t="str">
            <v>AGYA</v>
          </cell>
          <cell r="H10" t="str">
            <v>AGYA G A/T</v>
          </cell>
          <cell r="I10" t="str">
            <v>AGYA G A/T TRD</v>
          </cell>
          <cell r="J10" t="str">
            <v>AGYA G A/T TRD</v>
          </cell>
          <cell r="K10" t="str">
            <v>AGYA</v>
          </cell>
          <cell r="L10" t="str">
            <v>B101SGA/T01M</v>
          </cell>
          <cell r="M10" t="str">
            <v>AGYA</v>
          </cell>
          <cell r="N10" t="str">
            <v>AGYA</v>
          </cell>
          <cell r="O10" t="str">
            <v>B101RA-GQSGJ-01</v>
          </cell>
          <cell r="P10" t="e">
            <v>#N/A</v>
          </cell>
          <cell r="Q10" t="e">
            <v>#N/A</v>
          </cell>
          <cell r="R10" t="str">
            <v>B101RA-GQSGJ-01</v>
          </cell>
          <cell r="S10" t="str">
            <v>AGYA</v>
          </cell>
          <cell r="T10" t="e">
            <v>#N/A</v>
          </cell>
          <cell r="U10" t="str">
            <v>AGYA G A/T</v>
          </cell>
        </row>
        <row r="11">
          <cell r="D11" t="str">
            <v>B101RA-GQSGJ-03</v>
          </cell>
          <cell r="E11" t="str">
            <v>AGYA</v>
          </cell>
          <cell r="F11" t="str">
            <v>AGYA</v>
          </cell>
          <cell r="G11" t="str">
            <v>AGYA</v>
          </cell>
          <cell r="H11" t="str">
            <v>AGYA G A/T</v>
          </cell>
          <cell r="I11" t="str">
            <v>AGYA G A/T TRD</v>
          </cell>
          <cell r="J11" t="str">
            <v xml:space="preserve">AGYA G A/T TRD </v>
          </cell>
          <cell r="K11" t="str">
            <v>AGYA</v>
          </cell>
          <cell r="L11" t="str">
            <v>B101SGA/T03M</v>
          </cell>
          <cell r="M11" t="str">
            <v>AGYA</v>
          </cell>
          <cell r="N11" t="str">
            <v>AGYA</v>
          </cell>
          <cell r="O11" t="str">
            <v>B101RA-GQSGJ-03</v>
          </cell>
          <cell r="P11" t="e">
            <v>#N/A</v>
          </cell>
          <cell r="Q11" t="e">
            <v>#N/A</v>
          </cell>
          <cell r="R11" t="str">
            <v>B101RA-GQSGJ-03</v>
          </cell>
          <cell r="S11" t="str">
            <v>AGYA</v>
          </cell>
          <cell r="T11" t="e">
            <v>#N/A</v>
          </cell>
          <cell r="U11" t="str">
            <v>AGYA G A/T</v>
          </cell>
        </row>
        <row r="12">
          <cell r="D12" t="str">
            <v>B101RA-GMSGJ-01</v>
          </cell>
          <cell r="E12" t="str">
            <v>AGYA</v>
          </cell>
          <cell r="F12" t="str">
            <v>AGYA</v>
          </cell>
          <cell r="G12" t="str">
            <v>AGYA</v>
          </cell>
          <cell r="H12" t="str">
            <v>AGYA G M/T</v>
          </cell>
          <cell r="I12" t="str">
            <v>AGYA G M/T TRD</v>
          </cell>
          <cell r="J12" t="str">
            <v>AGYA G M/T TRD</v>
          </cell>
          <cell r="K12" t="str">
            <v>AGYA</v>
          </cell>
          <cell r="L12" t="str">
            <v>B101SGM/T01M</v>
          </cell>
          <cell r="M12" t="str">
            <v>AGYA</v>
          </cell>
          <cell r="N12" t="str">
            <v>AGYA</v>
          </cell>
          <cell r="O12" t="str">
            <v>B101RA-GMSGJ-01</v>
          </cell>
          <cell r="P12" t="e">
            <v>#N/A</v>
          </cell>
          <cell r="Q12" t="e">
            <v>#N/A</v>
          </cell>
          <cell r="R12" t="str">
            <v>B101RA-GMSGJ-01</v>
          </cell>
          <cell r="S12" t="str">
            <v>AGYA</v>
          </cell>
          <cell r="T12" t="e">
            <v>#N/A</v>
          </cell>
          <cell r="U12" t="str">
            <v>AGYA G M/T</v>
          </cell>
        </row>
        <row r="13">
          <cell r="D13" t="e">
            <v>#N/A</v>
          </cell>
          <cell r="E13" t="str">
            <v>FORTUNER</v>
          </cell>
          <cell r="F13" t="str">
            <v>FORTUNER 4X2</v>
          </cell>
          <cell r="G13" t="str">
            <v>FORTUNER 4X2</v>
          </cell>
          <cell r="H13" t="str">
            <v>FORTUNER 4X2 G A/T BENSIN</v>
          </cell>
          <cell r="I13" t="str">
            <v>FORTUNER 4X2 G A/T BENSIN</v>
          </cell>
          <cell r="J13" t="str">
            <v>FORTUNER 4X2 G A/T BENSIN</v>
          </cell>
          <cell r="K13" t="str">
            <v>FORTUNER 4X2</v>
          </cell>
          <cell r="L13" t="str">
            <v>TG61GA/T10M</v>
          </cell>
          <cell r="M13" t="str">
            <v>FORTUNER</v>
          </cell>
          <cell r="N13" t="str">
            <v>FORTUNER 4X2</v>
          </cell>
          <cell r="O13" t="e">
            <v>#N/A</v>
          </cell>
          <cell r="P13" t="e">
            <v>#N/A</v>
          </cell>
          <cell r="Q13" t="e">
            <v>#N/A</v>
          </cell>
          <cell r="R13" t="e">
            <v>#N/A</v>
          </cell>
          <cell r="S13" t="str">
            <v>FORTUNER</v>
          </cell>
          <cell r="T13" t="e">
            <v>#N/A</v>
          </cell>
          <cell r="U13" t="str">
            <v>FORTUNER 4X2 G A/T BENSIN</v>
          </cell>
        </row>
        <row r="14">
          <cell r="D14" t="e">
            <v>#N/A</v>
          </cell>
          <cell r="E14" t="str">
            <v>FORTUNER</v>
          </cell>
          <cell r="F14" t="str">
            <v>FORTUNER 4X2</v>
          </cell>
          <cell r="G14" t="str">
            <v>FORTUNER 4X2</v>
          </cell>
          <cell r="H14" t="str">
            <v>FORTUNER 4X2 G A/T BENSIN</v>
          </cell>
          <cell r="I14" t="str">
            <v>FORTUNER 4X2 G A/T BENSIN</v>
          </cell>
          <cell r="J14" t="str">
            <v>FORTUNER 4X2 G A/T BENSIN</v>
          </cell>
          <cell r="K14" t="str">
            <v>FORTUNER 4X2</v>
          </cell>
          <cell r="L14" t="str">
            <v>TG61GA/T11M</v>
          </cell>
          <cell r="M14" t="str">
            <v>FORTUNER</v>
          </cell>
          <cell r="N14" t="str">
            <v>FORTUNER 4X2</v>
          </cell>
          <cell r="O14" t="e">
            <v>#N/A</v>
          </cell>
          <cell r="P14" t="e">
            <v>#N/A</v>
          </cell>
          <cell r="Q14" t="e">
            <v>#N/A</v>
          </cell>
          <cell r="R14" t="e">
            <v>#N/A</v>
          </cell>
          <cell r="S14" t="str">
            <v>FORTUNER</v>
          </cell>
          <cell r="T14" t="e">
            <v>#N/A</v>
          </cell>
          <cell r="U14" t="str">
            <v>FORTUNER 4X2 G A/T BENSIN</v>
          </cell>
        </row>
        <row r="15">
          <cell r="D15" t="e">
            <v>#N/A</v>
          </cell>
          <cell r="E15" t="str">
            <v>INNOVA</v>
          </cell>
          <cell r="F15" t="str">
            <v>INNOVA</v>
          </cell>
          <cell r="G15" t="str">
            <v>INNOVA</v>
          </cell>
          <cell r="H15" t="str">
            <v>INNOVA E A/T</v>
          </cell>
          <cell r="I15" t="str">
            <v>INNOVA E A/T</v>
          </cell>
          <cell r="J15" t="str">
            <v>INNOVA E A/T</v>
          </cell>
          <cell r="K15" t="str">
            <v>INNOVA REBORN</v>
          </cell>
          <cell r="L15" t="str">
            <v>TG40EA/T</v>
          </cell>
          <cell r="M15" t="str">
            <v>INNOVA</v>
          </cell>
          <cell r="N15" t="str">
            <v>INNOVA REBORN</v>
          </cell>
          <cell r="O15" t="e">
            <v>#N/A</v>
          </cell>
          <cell r="P15" t="e">
            <v>#N/A</v>
          </cell>
          <cell r="Q15" t="e">
            <v>#N/A</v>
          </cell>
          <cell r="R15" t="e">
            <v>#N/A</v>
          </cell>
          <cell r="S15" t="str">
            <v>INNOVA</v>
          </cell>
          <cell r="T15" t="str">
            <v>INV REBORN</v>
          </cell>
          <cell r="U15" t="str">
            <v>INNOVA E A/T</v>
          </cell>
        </row>
        <row r="16">
          <cell r="D16" t="e">
            <v>#N/A</v>
          </cell>
          <cell r="E16" t="str">
            <v>INNOVA</v>
          </cell>
          <cell r="F16" t="str">
            <v>INNOVA</v>
          </cell>
          <cell r="G16" t="str">
            <v>INNOVA</v>
          </cell>
          <cell r="H16" t="str">
            <v>INNOVA E A/T</v>
          </cell>
          <cell r="I16" t="str">
            <v>INNOVA E A/T</v>
          </cell>
          <cell r="J16" t="str">
            <v>INNOVA E A/T</v>
          </cell>
          <cell r="K16" t="str">
            <v>INNOVA REBORN</v>
          </cell>
          <cell r="L16" t="str">
            <v>TG40EA/T10</v>
          </cell>
          <cell r="M16" t="str">
            <v>INNOVA</v>
          </cell>
          <cell r="N16" t="str">
            <v>INNOVA REBORN</v>
          </cell>
          <cell r="O16" t="e">
            <v>#N/A</v>
          </cell>
          <cell r="P16" t="e">
            <v>#N/A</v>
          </cell>
          <cell r="Q16" t="e">
            <v>#N/A</v>
          </cell>
          <cell r="R16" t="e">
            <v>#N/A</v>
          </cell>
          <cell r="S16" t="str">
            <v>INNOVA</v>
          </cell>
          <cell r="T16" t="str">
            <v>INV REBORN</v>
          </cell>
          <cell r="U16" t="str">
            <v>INNOVA E A/T</v>
          </cell>
        </row>
        <row r="17">
          <cell r="D17" t="e">
            <v>#N/A</v>
          </cell>
          <cell r="E17" t="str">
            <v>INNOVA</v>
          </cell>
          <cell r="F17" t="str">
            <v>INNOVA</v>
          </cell>
          <cell r="G17" t="str">
            <v>INNOVA</v>
          </cell>
          <cell r="H17" t="str">
            <v>INNOVA E A/T</v>
          </cell>
          <cell r="I17" t="str">
            <v>INNOVA E A/T</v>
          </cell>
          <cell r="J17" t="str">
            <v>INNOVA E A/T</v>
          </cell>
          <cell r="K17" t="str">
            <v>INNOVA REBORN</v>
          </cell>
          <cell r="L17" t="str">
            <v>TG40EA/T10M</v>
          </cell>
          <cell r="M17" t="str">
            <v>INNOVA</v>
          </cell>
          <cell r="N17" t="str">
            <v>INNOVA REBORN</v>
          </cell>
          <cell r="O17" t="e">
            <v>#N/A</v>
          </cell>
          <cell r="P17" t="e">
            <v>#N/A</v>
          </cell>
          <cell r="Q17" t="e">
            <v>#N/A</v>
          </cell>
          <cell r="R17" t="e">
            <v>#N/A</v>
          </cell>
          <cell r="S17" t="str">
            <v>INNOVA</v>
          </cell>
          <cell r="T17" t="str">
            <v>INV REBORN</v>
          </cell>
          <cell r="U17" t="str">
            <v>INNOVA E A/T</v>
          </cell>
        </row>
        <row r="18">
          <cell r="D18" t="str">
            <v>AGH30R-PFXLK-00</v>
          </cell>
          <cell r="E18" t="str">
            <v>ALPHARD</v>
          </cell>
          <cell r="F18" t="str">
            <v>ALPHARD</v>
          </cell>
          <cell r="G18" t="str">
            <v>ALPHARD</v>
          </cell>
          <cell r="H18" t="str">
            <v>ALPHARD G A/T</v>
          </cell>
          <cell r="I18" t="str">
            <v>ALPHARD G A/T</v>
          </cell>
          <cell r="J18" t="str">
            <v>ALPHARD G A/T</v>
          </cell>
          <cell r="K18" t="str">
            <v>ALPHARD</v>
          </cell>
          <cell r="L18" t="str">
            <v>AL30GA/T</v>
          </cell>
          <cell r="M18" t="str">
            <v>ALPHARD</v>
          </cell>
          <cell r="N18" t="str">
            <v>ALPHARD</v>
          </cell>
          <cell r="O18" t="str">
            <v>AGH30R-PFXLK-00</v>
          </cell>
          <cell r="P18" t="e">
            <v>#N/A</v>
          </cell>
          <cell r="Q18" t="e">
            <v>#N/A</v>
          </cell>
          <cell r="R18" t="str">
            <v>AGH30R-PFXLK-00</v>
          </cell>
          <cell r="S18" t="str">
            <v>ALPHARD</v>
          </cell>
          <cell r="T18" t="e">
            <v>#N/A</v>
          </cell>
          <cell r="U18" t="str">
            <v>ALPHARD G A/T</v>
          </cell>
        </row>
        <row r="19">
          <cell r="D19" t="str">
            <v>AGH30R-PFXLK-10</v>
          </cell>
          <cell r="E19" t="str">
            <v>ALPHARD</v>
          </cell>
          <cell r="F19" t="str">
            <v>ALPHARD</v>
          </cell>
          <cell r="G19" t="str">
            <v>ALPHARD</v>
          </cell>
          <cell r="H19" t="str">
            <v>ALPHARD G A/T</v>
          </cell>
          <cell r="I19" t="str">
            <v>ALPHARD G A/T</v>
          </cell>
          <cell r="J19" t="str">
            <v>ALPHARD G A/T</v>
          </cell>
          <cell r="K19" t="str">
            <v>ALPHARD</v>
          </cell>
          <cell r="L19" t="str">
            <v>AL30GA/T10M</v>
          </cell>
          <cell r="M19" t="str">
            <v>ALPHARD</v>
          </cell>
          <cell r="N19" t="str">
            <v>ALPHARD</v>
          </cell>
          <cell r="O19" t="str">
            <v>AGH30R-PFXLK-10</v>
          </cell>
          <cell r="P19" t="e">
            <v>#N/A</v>
          </cell>
          <cell r="Q19" t="e">
            <v>#N/A</v>
          </cell>
          <cell r="R19" t="str">
            <v>AGH30R-PFXLK-10</v>
          </cell>
          <cell r="S19" t="str">
            <v>ALPHARD</v>
          </cell>
          <cell r="T19" t="e">
            <v>#N/A</v>
          </cell>
          <cell r="U19" t="str">
            <v>ALPHARD G A/T</v>
          </cell>
        </row>
        <row r="20">
          <cell r="D20" t="str">
            <v>AGH30R-PFXLK-11</v>
          </cell>
          <cell r="E20" t="str">
            <v>ALPHARD</v>
          </cell>
          <cell r="F20" t="str">
            <v>ALPHARD</v>
          </cell>
          <cell r="G20" t="str">
            <v>ALPHARD</v>
          </cell>
          <cell r="H20" t="str">
            <v>ALPHARD G A/T</v>
          </cell>
          <cell r="I20" t="str">
            <v>ALPHARD G A/T</v>
          </cell>
          <cell r="J20" t="str">
            <v>ALPHARD G A/T</v>
          </cell>
          <cell r="K20" t="str">
            <v>ALPHARD</v>
          </cell>
          <cell r="L20" t="str">
            <v>AL30GA/T11M</v>
          </cell>
          <cell r="M20" t="str">
            <v>ALPHARD</v>
          </cell>
          <cell r="N20" t="str">
            <v>ALPHARD</v>
          </cell>
          <cell r="O20" t="str">
            <v>AGH30R-PFXLK-11</v>
          </cell>
          <cell r="P20" t="e">
            <v>#N/A</v>
          </cell>
          <cell r="Q20" t="e">
            <v>#N/A</v>
          </cell>
          <cell r="R20" t="str">
            <v>AGH30R-PFXLK-11</v>
          </cell>
          <cell r="S20" t="str">
            <v>ALPHARD</v>
          </cell>
          <cell r="T20" t="e">
            <v>#N/A</v>
          </cell>
          <cell r="U20" t="str">
            <v>ALPHARD G A/T</v>
          </cell>
        </row>
        <row r="21">
          <cell r="D21" t="str">
            <v>F653RM-GMSFJ-00</v>
          </cell>
          <cell r="E21" t="str">
            <v>AVANZA</v>
          </cell>
          <cell r="F21" t="str">
            <v>AVANZA</v>
          </cell>
          <cell r="G21" t="str">
            <v>AVANZA</v>
          </cell>
          <cell r="H21" t="str">
            <v>AVANZA VELOZ 1.3 M/T</v>
          </cell>
          <cell r="I21" t="str">
            <v>AVANZA VELOZ 1.3 M/T</v>
          </cell>
          <cell r="J21" t="str">
            <v>AVANZA VELOZ 1.3 M/T</v>
          </cell>
          <cell r="K21" t="str">
            <v>AVANZA</v>
          </cell>
          <cell r="L21" t="str">
            <v>F53VM/T</v>
          </cell>
          <cell r="M21" t="str">
            <v>AVANZA</v>
          </cell>
          <cell r="N21" t="str">
            <v>AVANZA</v>
          </cell>
          <cell r="O21" t="str">
            <v>F653RM-GMSFJ-00</v>
          </cell>
          <cell r="P21" t="e">
            <v>#N/A</v>
          </cell>
          <cell r="Q21" t="e">
            <v>#N/A</v>
          </cell>
          <cell r="R21" t="str">
            <v>F653RM-GMSFJ-00</v>
          </cell>
          <cell r="S21" t="str">
            <v>AVANZA</v>
          </cell>
          <cell r="T21" t="e">
            <v>#N/A</v>
          </cell>
          <cell r="U21" t="str">
            <v>AVANZA VELOZ 1.3 M/T</v>
          </cell>
        </row>
        <row r="22">
          <cell r="D22" t="str">
            <v>F653RM-GQDFJ-21</v>
          </cell>
          <cell r="E22" t="str">
            <v>AVANZA</v>
          </cell>
          <cell r="F22" t="str">
            <v>AVANZA</v>
          </cell>
          <cell r="G22" t="str">
            <v>AVANZA</v>
          </cell>
          <cell r="H22" t="str">
            <v>AVANZA E A/T</v>
          </cell>
          <cell r="I22" t="str">
            <v>AVANZA E A/T</v>
          </cell>
          <cell r="J22" t="str">
            <v>AVANZA E A/T</v>
          </cell>
          <cell r="K22" t="str">
            <v>AVANZA</v>
          </cell>
          <cell r="L22" t="str">
            <v>F53EA/T21M</v>
          </cell>
          <cell r="M22" t="str">
            <v>AVANZA</v>
          </cell>
          <cell r="N22" t="str">
            <v>AVANZA</v>
          </cell>
          <cell r="O22" t="str">
            <v>F653RM-GQDFJ-21</v>
          </cell>
          <cell r="P22" t="e">
            <v>#N/A</v>
          </cell>
          <cell r="Q22" t="e">
            <v>#N/A</v>
          </cell>
          <cell r="R22" t="str">
            <v>F653RM-GQDFJ-21</v>
          </cell>
          <cell r="S22" t="str">
            <v>AVANZA</v>
          </cell>
          <cell r="T22" t="e">
            <v>#N/A</v>
          </cell>
          <cell r="U22" t="str">
            <v>AVANZA E A/T</v>
          </cell>
        </row>
        <row r="23">
          <cell r="D23" t="str">
            <v>F653RM-GQDFJ-04</v>
          </cell>
          <cell r="E23" t="str">
            <v>AVANZA</v>
          </cell>
          <cell r="F23" t="str">
            <v>AVANZA</v>
          </cell>
          <cell r="G23" t="str">
            <v>AVANZA</v>
          </cell>
          <cell r="H23" t="str">
            <v>AVANZA E A/T</v>
          </cell>
          <cell r="I23" t="str">
            <v>AVANZA E A/T</v>
          </cell>
          <cell r="J23" t="str">
            <v>AVANZA E A/T</v>
          </cell>
          <cell r="K23" t="str">
            <v>AVANZA</v>
          </cell>
          <cell r="L23" t="str">
            <v>F53EA/T04M</v>
          </cell>
          <cell r="M23" t="str">
            <v>AVANZA</v>
          </cell>
          <cell r="N23" t="str">
            <v>AVANZA</v>
          </cell>
          <cell r="O23" t="str">
            <v>F653RM-GQDFJ-04</v>
          </cell>
          <cell r="P23" t="e">
            <v>#N/A</v>
          </cell>
          <cell r="Q23" t="e">
            <v>#N/A</v>
          </cell>
          <cell r="R23" t="str">
            <v>F653RM-GQDFJ-04</v>
          </cell>
          <cell r="S23" t="str">
            <v>AVANZA</v>
          </cell>
          <cell r="T23" t="e">
            <v>#N/A</v>
          </cell>
          <cell r="U23" t="str">
            <v>AVANZA E A/T</v>
          </cell>
        </row>
        <row r="24">
          <cell r="D24" t="str">
            <v>F653RM-GMDFJ-21</v>
          </cell>
          <cell r="E24" t="str">
            <v>AVANZA</v>
          </cell>
          <cell r="F24" t="str">
            <v>AVANZA</v>
          </cell>
          <cell r="G24" t="str">
            <v>AVANZA</v>
          </cell>
          <cell r="H24" t="str">
            <v>AVANZA E M/T</v>
          </cell>
          <cell r="I24" t="str">
            <v>AVANZA E M/T</v>
          </cell>
          <cell r="J24" t="str">
            <v>AVANZA E M/T</v>
          </cell>
          <cell r="K24" t="str">
            <v>AVANZA</v>
          </cell>
          <cell r="L24" t="str">
            <v>F53EM/T21M</v>
          </cell>
          <cell r="M24" t="str">
            <v>AVANZA</v>
          </cell>
          <cell r="N24" t="str">
            <v>AVANZA</v>
          </cell>
          <cell r="O24" t="str">
            <v>F653RM-GMDFJ-21</v>
          </cell>
          <cell r="P24" t="e">
            <v>#N/A</v>
          </cell>
          <cell r="Q24" t="e">
            <v>#N/A</v>
          </cell>
          <cell r="R24" t="str">
            <v>F653RM-GMDFJ-21</v>
          </cell>
          <cell r="S24" t="str">
            <v>AVANZA</v>
          </cell>
          <cell r="T24" t="e">
            <v>#N/A</v>
          </cell>
          <cell r="U24" t="str">
            <v>AVANZA E M/T</v>
          </cell>
        </row>
        <row r="25">
          <cell r="D25" t="str">
            <v>F653RM-GMDFJ-06</v>
          </cell>
          <cell r="E25" t="str">
            <v>AVANZA</v>
          </cell>
          <cell r="F25" t="str">
            <v>AVANZA</v>
          </cell>
          <cell r="G25" t="str">
            <v>AVANZA</v>
          </cell>
          <cell r="H25" t="str">
            <v>AVANZA E M/T</v>
          </cell>
          <cell r="I25" t="str">
            <v>AVANZA E M/T</v>
          </cell>
          <cell r="J25" t="str">
            <v>AVANZA E M/T</v>
          </cell>
          <cell r="K25" t="str">
            <v>AVANZA</v>
          </cell>
          <cell r="L25" t="str">
            <v>F53EM/T06M</v>
          </cell>
          <cell r="M25" t="str">
            <v>AVANZA</v>
          </cell>
          <cell r="N25" t="str">
            <v>AVANZA</v>
          </cell>
          <cell r="O25" t="str">
            <v>F653RM-GMDFJ-06</v>
          </cell>
          <cell r="P25" t="e">
            <v>#N/A</v>
          </cell>
          <cell r="Q25" t="e">
            <v>#N/A</v>
          </cell>
          <cell r="R25" t="str">
            <v>F653RM-GMDFJ-06</v>
          </cell>
          <cell r="S25" t="str">
            <v>AVANZA</v>
          </cell>
          <cell r="T25" t="e">
            <v>#N/A</v>
          </cell>
          <cell r="U25" t="str">
            <v>AVANZA E M/T</v>
          </cell>
        </row>
        <row r="26">
          <cell r="D26" t="str">
            <v>F653RM-GQDFJ-05</v>
          </cell>
          <cell r="E26" t="str">
            <v>AVANZA</v>
          </cell>
          <cell r="F26" t="str">
            <v>AVANZA</v>
          </cell>
          <cell r="G26" t="str">
            <v>AVANZA</v>
          </cell>
          <cell r="H26" t="str">
            <v>AVANZA E A/T</v>
          </cell>
          <cell r="I26" t="str">
            <v>AVANZA E A/T</v>
          </cell>
          <cell r="J26" t="str">
            <v>AVANZA E A/T</v>
          </cell>
          <cell r="K26" t="str">
            <v>AVANZA</v>
          </cell>
          <cell r="L26" t="str">
            <v>F53EA/T05M</v>
          </cell>
          <cell r="M26" t="str">
            <v>AVANZA</v>
          </cell>
          <cell r="N26" t="str">
            <v>AVANZA</v>
          </cell>
          <cell r="O26" t="str">
            <v>F653RM-GQDFJ-05</v>
          </cell>
          <cell r="P26" t="e">
            <v>#N/A</v>
          </cell>
          <cell r="Q26" t="e">
            <v>#N/A</v>
          </cell>
          <cell r="R26" t="str">
            <v>F653RM-GQDFJ-05</v>
          </cell>
          <cell r="S26" t="str">
            <v>AVANZA</v>
          </cell>
          <cell r="T26" t="e">
            <v>#N/A</v>
          </cell>
          <cell r="U26" t="str">
            <v>AVANZA E A/T</v>
          </cell>
        </row>
        <row r="27">
          <cell r="D27" t="str">
            <v>F653RM-GMDFJ-01</v>
          </cell>
          <cell r="E27" t="str">
            <v>AVANZA</v>
          </cell>
          <cell r="F27" t="str">
            <v>AVANZA</v>
          </cell>
          <cell r="G27" t="str">
            <v>AVANZA</v>
          </cell>
          <cell r="H27" t="str">
            <v>AVANZA E M/T</v>
          </cell>
          <cell r="I27" t="str">
            <v>AVANZA E M/T</v>
          </cell>
          <cell r="J27" t="str">
            <v>AVANZA E M/T</v>
          </cell>
          <cell r="K27" t="str">
            <v>AVANZA</v>
          </cell>
          <cell r="L27" t="str">
            <v>F53EM/T01</v>
          </cell>
          <cell r="M27" t="str">
            <v>AVANZA</v>
          </cell>
          <cell r="N27" t="str">
            <v>AVANZA</v>
          </cell>
          <cell r="O27" t="str">
            <v>F653RM-GMDFJ-01</v>
          </cell>
          <cell r="P27" t="e">
            <v>#N/A</v>
          </cell>
          <cell r="Q27" t="e">
            <v>#N/A</v>
          </cell>
          <cell r="R27" t="str">
            <v>F653RM-GMDFJ-01</v>
          </cell>
          <cell r="S27" t="str">
            <v>AVANZA</v>
          </cell>
          <cell r="T27" t="e">
            <v>#N/A</v>
          </cell>
          <cell r="U27" t="str">
            <v>AVANZA E M/T</v>
          </cell>
        </row>
        <row r="28">
          <cell r="D28" t="str">
            <v>F653RM-GMDFJ-22</v>
          </cell>
          <cell r="E28" t="str">
            <v>AVANZA</v>
          </cell>
          <cell r="F28" t="str">
            <v>AVANZA</v>
          </cell>
          <cell r="G28" t="str">
            <v>AVANZA</v>
          </cell>
          <cell r="H28" t="str">
            <v>AVANZA E M/T</v>
          </cell>
          <cell r="I28" t="str">
            <v>AVANZA E M/T</v>
          </cell>
          <cell r="J28" t="str">
            <v>AVANZA E M/T</v>
          </cell>
          <cell r="K28" t="str">
            <v>AVANZA</v>
          </cell>
          <cell r="L28" t="str">
            <v>F53EM/T22M</v>
          </cell>
          <cell r="M28" t="str">
            <v>AVANZA</v>
          </cell>
          <cell r="N28" t="str">
            <v>AVANZA</v>
          </cell>
          <cell r="O28" t="str">
            <v>F653RM-GMDFJ-22</v>
          </cell>
          <cell r="P28" t="e">
            <v>#N/A</v>
          </cell>
          <cell r="Q28" t="e">
            <v>#N/A</v>
          </cell>
          <cell r="R28" t="str">
            <v>F653RM-GMDFJ-22</v>
          </cell>
          <cell r="S28" t="str">
            <v>AVANZA</v>
          </cell>
          <cell r="T28" t="e">
            <v>#N/A</v>
          </cell>
          <cell r="U28" t="str">
            <v>AVANZA E M/T</v>
          </cell>
        </row>
        <row r="29">
          <cell r="D29" t="str">
            <v>F653RM-GMDFJ-07</v>
          </cell>
          <cell r="E29" t="str">
            <v>AVANZA</v>
          </cell>
          <cell r="F29" t="str">
            <v>AVANZA</v>
          </cell>
          <cell r="G29" t="str">
            <v>AVANZA</v>
          </cell>
          <cell r="H29" t="str">
            <v>AVANZA E M/T</v>
          </cell>
          <cell r="I29" t="str">
            <v>AVANZA E M/T</v>
          </cell>
          <cell r="J29" t="str">
            <v>AVANZA E M/T</v>
          </cell>
          <cell r="K29" t="str">
            <v>AVANZA</v>
          </cell>
          <cell r="L29" t="str">
            <v>F53EM/T07M</v>
          </cell>
          <cell r="M29" t="str">
            <v>AVANZA</v>
          </cell>
          <cell r="N29" t="str">
            <v>AVANZA</v>
          </cell>
          <cell r="O29" t="str">
            <v>F653RM-GMDFJ-07</v>
          </cell>
          <cell r="P29" t="e">
            <v>#N/A</v>
          </cell>
          <cell r="Q29" t="e">
            <v>#N/A</v>
          </cell>
          <cell r="R29" t="str">
            <v>F653RM-GMDFJ-07</v>
          </cell>
          <cell r="S29" t="str">
            <v>AVANZA</v>
          </cell>
          <cell r="T29" t="e">
            <v>#N/A</v>
          </cell>
          <cell r="U29" t="str">
            <v>AVANZA E M/T</v>
          </cell>
        </row>
        <row r="30">
          <cell r="D30" t="str">
            <v>F653RM-GQMFJ-00</v>
          </cell>
          <cell r="E30" t="str">
            <v>AVANZA</v>
          </cell>
          <cell r="F30" t="str">
            <v>AVANZA</v>
          </cell>
          <cell r="G30" t="str">
            <v>AVANZA</v>
          </cell>
          <cell r="H30" t="str">
            <v>AVANZA G A/T</v>
          </cell>
          <cell r="I30" t="str">
            <v>AVANZA G A/T</v>
          </cell>
          <cell r="J30" t="str">
            <v>AVANZA G A/T</v>
          </cell>
          <cell r="K30" t="str">
            <v>AVANZA</v>
          </cell>
          <cell r="L30" t="str">
            <v>F53GA/T</v>
          </cell>
          <cell r="M30" t="str">
            <v>AVANZA</v>
          </cell>
          <cell r="N30" t="str">
            <v>AVANZA</v>
          </cell>
          <cell r="O30" t="str">
            <v>F653RM-GQMFJ-00</v>
          </cell>
          <cell r="P30" t="e">
            <v>#N/A</v>
          </cell>
          <cell r="Q30" t="e">
            <v>#N/A</v>
          </cell>
          <cell r="R30" t="str">
            <v>F653RM-GQMFJ-00</v>
          </cell>
          <cell r="S30" t="str">
            <v>AVANZA</v>
          </cell>
          <cell r="T30" t="e">
            <v>#N/A</v>
          </cell>
          <cell r="U30" t="str">
            <v>AVANZA G A/T</v>
          </cell>
        </row>
        <row r="31">
          <cell r="D31" t="str">
            <v>F653RM-GQMFJ-21</v>
          </cell>
          <cell r="E31" t="str">
            <v>AVANZA</v>
          </cell>
          <cell r="F31" t="str">
            <v>AVANZA</v>
          </cell>
          <cell r="G31" t="str">
            <v>AVANZA</v>
          </cell>
          <cell r="H31" t="str">
            <v>AVANZA G A/T</v>
          </cell>
          <cell r="I31" t="str">
            <v>AVANZA G A/T</v>
          </cell>
          <cell r="J31" t="str">
            <v>AVANZA G A/T</v>
          </cell>
          <cell r="K31" t="str">
            <v>AVANZA</v>
          </cell>
          <cell r="L31" t="str">
            <v>F53GA/T21M</v>
          </cell>
          <cell r="M31" t="str">
            <v>AVANZA</v>
          </cell>
          <cell r="N31" t="str">
            <v>AVANZA</v>
          </cell>
          <cell r="O31" t="str">
            <v>F653RM-GQMFJ-21</v>
          </cell>
          <cell r="P31" t="e">
            <v>#N/A</v>
          </cell>
          <cell r="Q31" t="e">
            <v>#N/A</v>
          </cell>
          <cell r="R31" t="str">
            <v>F653RM-GQMFJ-21</v>
          </cell>
          <cell r="S31" t="str">
            <v>AVANZA</v>
          </cell>
          <cell r="T31" t="e">
            <v>#N/A</v>
          </cell>
          <cell r="U31" t="str">
            <v>AVANZA G A/T</v>
          </cell>
        </row>
        <row r="32">
          <cell r="D32" t="str">
            <v>F653RM-GQMFJ-01</v>
          </cell>
          <cell r="E32" t="str">
            <v>AVANZA</v>
          </cell>
          <cell r="F32" t="str">
            <v>AVANZA</v>
          </cell>
          <cell r="G32" t="str">
            <v>AVANZA</v>
          </cell>
          <cell r="H32" t="str">
            <v>AVANZA G A/T</v>
          </cell>
          <cell r="I32" t="str">
            <v>AVANZA G A/T</v>
          </cell>
          <cell r="J32" t="str">
            <v>AVANZA G A/T</v>
          </cell>
          <cell r="K32" t="str">
            <v>AVANZA</v>
          </cell>
          <cell r="L32" t="str">
            <v>F53GA/T01M</v>
          </cell>
          <cell r="M32" t="str">
            <v>AVANZA</v>
          </cell>
          <cell r="N32" t="str">
            <v>AVANZA</v>
          </cell>
          <cell r="O32" t="str">
            <v>F653RM-GQMFJ-01</v>
          </cell>
          <cell r="P32" t="e">
            <v>#N/A</v>
          </cell>
          <cell r="Q32" t="e">
            <v>#N/A</v>
          </cell>
          <cell r="R32" t="str">
            <v>F653RM-GQMFJ-01</v>
          </cell>
          <cell r="S32" t="str">
            <v>AVANZA</v>
          </cell>
          <cell r="T32" t="e">
            <v>#N/A</v>
          </cell>
          <cell r="U32" t="str">
            <v>AVANZA G A/T</v>
          </cell>
        </row>
        <row r="33">
          <cell r="D33" t="str">
            <v>F653RM-GQMFJ-02</v>
          </cell>
          <cell r="E33" t="str">
            <v>AVANZA</v>
          </cell>
          <cell r="F33" t="str">
            <v>AVANZA</v>
          </cell>
          <cell r="G33" t="str">
            <v>AVANZA</v>
          </cell>
          <cell r="H33" t="str">
            <v>AVANZA G A/T</v>
          </cell>
          <cell r="I33" t="str">
            <v>AVANZA G A/T</v>
          </cell>
          <cell r="J33" t="str">
            <v>AVANZA G A/T</v>
          </cell>
          <cell r="K33" t="str">
            <v>AVANZA</v>
          </cell>
          <cell r="L33" t="str">
            <v>F53GA/T02M</v>
          </cell>
          <cell r="M33" t="str">
            <v>AVANZA</v>
          </cell>
          <cell r="N33" t="str">
            <v>AVANZA</v>
          </cell>
          <cell r="O33" t="str">
            <v>F653RM-GQMFJ-02</v>
          </cell>
          <cell r="P33" t="e">
            <v>#N/A</v>
          </cell>
          <cell r="Q33" t="e">
            <v>#N/A</v>
          </cell>
          <cell r="R33" t="str">
            <v>F653RM-GQMFJ-02</v>
          </cell>
          <cell r="S33" t="str">
            <v>AVANZA</v>
          </cell>
          <cell r="T33" t="e">
            <v>#N/A</v>
          </cell>
          <cell r="U33" t="str">
            <v>AVANZA G A/T</v>
          </cell>
        </row>
        <row r="34">
          <cell r="D34" t="str">
            <v>F653RM-GMMFJ-00</v>
          </cell>
          <cell r="E34" t="str">
            <v>AVANZA</v>
          </cell>
          <cell r="F34" t="str">
            <v>AVANZA</v>
          </cell>
          <cell r="G34" t="str">
            <v>AVANZA</v>
          </cell>
          <cell r="H34" t="str">
            <v>AVANZA G M/T</v>
          </cell>
          <cell r="I34" t="str">
            <v>AVANZA G M/T</v>
          </cell>
          <cell r="J34" t="str">
            <v>AVANZA G M/T</v>
          </cell>
          <cell r="K34" t="str">
            <v>AVANZA</v>
          </cell>
          <cell r="L34" t="str">
            <v>F53GM/T</v>
          </cell>
          <cell r="M34" t="str">
            <v>AVANZA</v>
          </cell>
          <cell r="N34" t="str">
            <v>AVANZA</v>
          </cell>
          <cell r="O34" t="str">
            <v>F653RM-GMMFJ-00</v>
          </cell>
          <cell r="P34" t="e">
            <v>#N/A</v>
          </cell>
          <cell r="Q34" t="e">
            <v>#N/A</v>
          </cell>
          <cell r="R34" t="str">
            <v>F653RM-GMMFJ-00</v>
          </cell>
          <cell r="S34" t="str">
            <v>AVANZA</v>
          </cell>
          <cell r="T34" t="e">
            <v>#N/A</v>
          </cell>
          <cell r="U34" t="str">
            <v>AVANZA G M/T</v>
          </cell>
        </row>
        <row r="35">
          <cell r="D35" t="str">
            <v>F653RM-GMMFJ-04</v>
          </cell>
          <cell r="E35" t="str">
            <v>AVANZA</v>
          </cell>
          <cell r="F35" t="str">
            <v>AVANZA</v>
          </cell>
          <cell r="G35" t="str">
            <v>AVANZA</v>
          </cell>
          <cell r="H35" t="str">
            <v>AVANZA G M/T</v>
          </cell>
          <cell r="I35" t="str">
            <v>AVANZA G M/T</v>
          </cell>
          <cell r="J35" t="str">
            <v>AVANZA G M/T</v>
          </cell>
          <cell r="K35" t="str">
            <v>AVANZA</v>
          </cell>
          <cell r="L35" t="str">
            <v>F53GM/T04M</v>
          </cell>
          <cell r="M35" t="str">
            <v>AVANZA</v>
          </cell>
          <cell r="N35" t="str">
            <v>AVANZA</v>
          </cell>
          <cell r="O35" t="str">
            <v>F653RM-GMMFJ-04</v>
          </cell>
          <cell r="P35" t="e">
            <v>#N/A</v>
          </cell>
          <cell r="Q35" t="e">
            <v>#N/A</v>
          </cell>
          <cell r="R35" t="str">
            <v>F653RM-GMMFJ-04</v>
          </cell>
          <cell r="S35" t="str">
            <v>AVANZA</v>
          </cell>
          <cell r="T35" t="e">
            <v>#N/A</v>
          </cell>
          <cell r="U35" t="str">
            <v>AVANZA G M/T</v>
          </cell>
        </row>
        <row r="36">
          <cell r="D36" t="str">
            <v>F653RM-GMMFJ-11</v>
          </cell>
          <cell r="E36" t="str">
            <v>AVANZA</v>
          </cell>
          <cell r="F36" t="str">
            <v>AVANZA</v>
          </cell>
          <cell r="G36" t="str">
            <v>AVANZA</v>
          </cell>
          <cell r="H36" t="str">
            <v>AVANZA G M/T</v>
          </cell>
          <cell r="I36" t="str">
            <v>AVANZA G M/T</v>
          </cell>
          <cell r="J36" t="str">
            <v>AVANZA G M/T</v>
          </cell>
          <cell r="K36" t="str">
            <v>AVANZA</v>
          </cell>
          <cell r="L36" t="str">
            <v>F53GM/T11M</v>
          </cell>
          <cell r="M36" t="str">
            <v>AVANZA</v>
          </cell>
          <cell r="N36" t="str">
            <v>AVANZA</v>
          </cell>
          <cell r="O36" t="str">
            <v>F653RM-GMMFJ-11</v>
          </cell>
          <cell r="P36" t="e">
            <v>#N/A</v>
          </cell>
          <cell r="Q36" t="e">
            <v>#N/A</v>
          </cell>
          <cell r="R36" t="str">
            <v>F653RM-GMMFJ-11</v>
          </cell>
          <cell r="S36" t="str">
            <v>AVANZA</v>
          </cell>
          <cell r="T36" t="e">
            <v>#N/A</v>
          </cell>
          <cell r="U36" t="str">
            <v>AVANZA G M/T</v>
          </cell>
        </row>
        <row r="37">
          <cell r="D37" t="str">
            <v>F653RM-GMMFJ-21</v>
          </cell>
          <cell r="E37" t="str">
            <v>AVANZA</v>
          </cell>
          <cell r="F37" t="str">
            <v>AVANZA</v>
          </cell>
          <cell r="G37" t="str">
            <v>AVANZA</v>
          </cell>
          <cell r="H37" t="str">
            <v>AVANZA G M/T</v>
          </cell>
          <cell r="I37" t="str">
            <v>AVANZA G M/T</v>
          </cell>
          <cell r="J37" t="str">
            <v>AVANZA G M/T</v>
          </cell>
          <cell r="K37" t="str">
            <v>AVANZA</v>
          </cell>
          <cell r="L37" t="str">
            <v>F53GM/T21M</v>
          </cell>
          <cell r="M37" t="str">
            <v>AVANZA</v>
          </cell>
          <cell r="N37" t="str">
            <v>AVANZA</v>
          </cell>
          <cell r="O37" t="str">
            <v>F653RM-GMMFJ-21</v>
          </cell>
          <cell r="P37" t="e">
            <v>#N/A</v>
          </cell>
          <cell r="Q37" t="e">
            <v>#N/A</v>
          </cell>
          <cell r="R37" t="str">
            <v>F653RM-GMMFJ-21</v>
          </cell>
          <cell r="S37" t="str">
            <v>AVANZA</v>
          </cell>
          <cell r="T37" t="e">
            <v>#N/A</v>
          </cell>
          <cell r="U37" t="str">
            <v>AVANZA G M/T</v>
          </cell>
        </row>
        <row r="38">
          <cell r="D38" t="str">
            <v>F653RM-GMMFJ-05</v>
          </cell>
          <cell r="E38" t="str">
            <v>AVANZA</v>
          </cell>
          <cell r="F38" t="str">
            <v>AVANZA</v>
          </cell>
          <cell r="G38" t="str">
            <v>AVANZA</v>
          </cell>
          <cell r="H38" t="str">
            <v>AVANZA G M/T</v>
          </cell>
          <cell r="I38" t="str">
            <v>AVANZA G M/T</v>
          </cell>
          <cell r="J38" t="str">
            <v>AVANZA G M/T</v>
          </cell>
          <cell r="K38" t="str">
            <v>AVANZA</v>
          </cell>
          <cell r="L38" t="str">
            <v>F53GM/T05M</v>
          </cell>
          <cell r="M38" t="str">
            <v>AVANZA</v>
          </cell>
          <cell r="N38" t="str">
            <v>AVANZA</v>
          </cell>
          <cell r="O38" t="str">
            <v>F653RM-GMMFJ-05</v>
          </cell>
          <cell r="P38" t="e">
            <v>#N/A</v>
          </cell>
          <cell r="Q38" t="e">
            <v>#N/A</v>
          </cell>
          <cell r="R38" t="str">
            <v>F653RM-GMMFJ-05</v>
          </cell>
          <cell r="S38" t="str">
            <v>AVANZA</v>
          </cell>
          <cell r="T38" t="e">
            <v>#N/A</v>
          </cell>
          <cell r="U38" t="str">
            <v>AVANZA G M/T</v>
          </cell>
        </row>
        <row r="39">
          <cell r="D39" t="str">
            <v>F653RM-GMMFJ-12</v>
          </cell>
          <cell r="E39" t="str">
            <v>AVANZA</v>
          </cell>
          <cell r="F39" t="str">
            <v>AVANZA</v>
          </cell>
          <cell r="G39" t="str">
            <v>AVANZA</v>
          </cell>
          <cell r="H39" t="str">
            <v>AVANZA G M/T</v>
          </cell>
          <cell r="I39" t="str">
            <v>AVANZA G M/T</v>
          </cell>
          <cell r="J39" t="str">
            <v>AVANZA G M/T</v>
          </cell>
          <cell r="K39" t="str">
            <v>AVANZA</v>
          </cell>
          <cell r="L39" t="str">
            <v>F53GM/T12M</v>
          </cell>
          <cell r="M39" t="str">
            <v>AVANZA</v>
          </cell>
          <cell r="N39" t="str">
            <v>AVANZA</v>
          </cell>
          <cell r="O39" t="str">
            <v>F653RM-GMMFJ-12</v>
          </cell>
          <cell r="P39" t="e">
            <v>#N/A</v>
          </cell>
          <cell r="Q39" t="e">
            <v>#N/A</v>
          </cell>
          <cell r="R39" t="str">
            <v>F653RM-GMMFJ-12</v>
          </cell>
          <cell r="S39" t="str">
            <v>AVANZA</v>
          </cell>
          <cell r="T39" t="e">
            <v>#N/A</v>
          </cell>
          <cell r="U39" t="str">
            <v>AVANZA G M/T</v>
          </cell>
        </row>
        <row r="40">
          <cell r="D40" t="str">
            <v>F653RM-GMMFJ-03</v>
          </cell>
          <cell r="E40" t="str">
            <v>AVANZA</v>
          </cell>
          <cell r="F40" t="str">
            <v>AVANZA</v>
          </cell>
          <cell r="G40" t="str">
            <v>AVANZA</v>
          </cell>
          <cell r="H40" t="str">
            <v>AVANZA G M/T</v>
          </cell>
          <cell r="I40" t="str">
            <v>AVANZA G M/T</v>
          </cell>
          <cell r="J40" t="str">
            <v>AVANZA G M/T</v>
          </cell>
          <cell r="K40" t="str">
            <v>AVANZA</v>
          </cell>
          <cell r="L40" t="str">
            <v>F53GM/T03M</v>
          </cell>
          <cell r="M40" t="str">
            <v>AVANZA</v>
          </cell>
          <cell r="N40" t="str">
            <v>AVANZA</v>
          </cell>
          <cell r="O40" t="str">
            <v>F653RM-GMMFJ-03</v>
          </cell>
          <cell r="P40" t="e">
            <v>#N/A</v>
          </cell>
          <cell r="Q40" t="e">
            <v>#N/A</v>
          </cell>
          <cell r="R40" t="str">
            <v>F653RM-GMMFJ-03</v>
          </cell>
          <cell r="S40" t="str">
            <v>AVANZA</v>
          </cell>
          <cell r="T40" t="e">
            <v>#N/A</v>
          </cell>
          <cell r="U40" t="str">
            <v>AVANZA G M/T</v>
          </cell>
        </row>
        <row r="41">
          <cell r="D41" t="str">
            <v>F653RM-GMDFJ-23</v>
          </cell>
          <cell r="E41" t="str">
            <v>TRANSMOVER</v>
          </cell>
          <cell r="F41" t="str">
            <v>TRANSMOVER</v>
          </cell>
          <cell r="G41" t="str">
            <v>TRANSMOVER</v>
          </cell>
          <cell r="H41" t="str">
            <v>TRANSMOVER M/T</v>
          </cell>
          <cell r="I41" t="str">
            <v>TRANSMOVER M/T</v>
          </cell>
          <cell r="J41" t="str">
            <v>TRANSMOVER M/T</v>
          </cell>
          <cell r="K41" t="str">
            <v>TRANSMOVER</v>
          </cell>
          <cell r="L41" t="str">
            <v>F53EM/T23M</v>
          </cell>
          <cell r="M41" t="str">
            <v>TRANSMOVER</v>
          </cell>
          <cell r="N41" t="str">
            <v>TRANSMOVER</v>
          </cell>
          <cell r="O41" t="str">
            <v>F653RM-GMDFJ-23</v>
          </cell>
          <cell r="P41" t="e">
            <v>#N/A</v>
          </cell>
          <cell r="Q41" t="e">
            <v>#N/A</v>
          </cell>
          <cell r="R41" t="str">
            <v>F653RM-GMDFJ-23</v>
          </cell>
          <cell r="S41" t="str">
            <v>TRANSMOVER</v>
          </cell>
          <cell r="T41" t="e">
            <v>#N/A</v>
          </cell>
          <cell r="U41" t="str">
            <v>TRANSMOVER M/T</v>
          </cell>
        </row>
        <row r="42">
          <cell r="D42" t="str">
            <v>F653RM-GQSFJ-21</v>
          </cell>
          <cell r="E42" t="str">
            <v>AVANZA</v>
          </cell>
          <cell r="F42" t="str">
            <v>AVANZA</v>
          </cell>
          <cell r="G42" t="str">
            <v>AVANZA</v>
          </cell>
          <cell r="H42" t="str">
            <v>AVANZA VELOZ 1.3 A/T</v>
          </cell>
          <cell r="I42" t="str">
            <v>AVANZA VELOZ 1.3 A/T</v>
          </cell>
          <cell r="J42" t="str">
            <v>AVANZA VELOZ 1.3 A/T</v>
          </cell>
          <cell r="K42" t="str">
            <v>AVANZA</v>
          </cell>
          <cell r="L42" t="str">
            <v>F53VA/T21M</v>
          </cell>
          <cell r="M42" t="str">
            <v>AVANZA</v>
          </cell>
          <cell r="N42" t="str">
            <v>AVANZA</v>
          </cell>
          <cell r="O42" t="str">
            <v>F653RM-GQSFJ-21</v>
          </cell>
          <cell r="P42" t="e">
            <v>#N/A</v>
          </cell>
          <cell r="Q42" t="e">
            <v>#N/A</v>
          </cell>
          <cell r="R42" t="str">
            <v>F653RM-GQSFJ-21</v>
          </cell>
          <cell r="S42" t="str">
            <v>AVANZA</v>
          </cell>
          <cell r="T42" t="e">
            <v>#N/A</v>
          </cell>
          <cell r="U42" t="str">
            <v>AVANZA VELOZ 1.3 A/T</v>
          </cell>
        </row>
        <row r="43">
          <cell r="D43" t="str">
            <v>F653RM-GQSFJ-03</v>
          </cell>
          <cell r="E43" t="str">
            <v>AVANZA</v>
          </cell>
          <cell r="F43" t="str">
            <v>AVANZA</v>
          </cell>
          <cell r="G43" t="str">
            <v>AVANZA</v>
          </cell>
          <cell r="H43" t="str">
            <v>AVANZA VELOZ 1.3 A/T</v>
          </cell>
          <cell r="I43" t="str">
            <v>AVANZA VELOZ 1.3 A/T</v>
          </cell>
          <cell r="J43" t="str">
            <v>AVANZA VELOZ 1.3 A/T</v>
          </cell>
          <cell r="K43" t="str">
            <v>AVANZA</v>
          </cell>
          <cell r="L43" t="str">
            <v>F53VA/T03M</v>
          </cell>
          <cell r="M43" t="str">
            <v>AVANZA</v>
          </cell>
          <cell r="N43" t="str">
            <v>AVANZA</v>
          </cell>
          <cell r="O43" t="str">
            <v>F653RM-GQSFJ-03</v>
          </cell>
          <cell r="P43" t="e">
            <v>#N/A</v>
          </cell>
          <cell r="Q43" t="e">
            <v>#N/A</v>
          </cell>
          <cell r="R43" t="str">
            <v>F653RM-GQSFJ-03</v>
          </cell>
          <cell r="S43" t="str">
            <v>AVANZA</v>
          </cell>
          <cell r="T43" t="e">
            <v>#N/A</v>
          </cell>
          <cell r="U43" t="str">
            <v>AVANZA VELOZ 1.3 A/T</v>
          </cell>
        </row>
        <row r="44">
          <cell r="D44" t="str">
            <v>F653RM-GMSFJ-03</v>
          </cell>
          <cell r="E44" t="str">
            <v>AVANZA</v>
          </cell>
          <cell r="F44" t="str">
            <v>AVANZA</v>
          </cell>
          <cell r="G44" t="str">
            <v>AVANZA</v>
          </cell>
          <cell r="H44" t="str">
            <v>AVANZA VELOZ 1.3 M/T</v>
          </cell>
          <cell r="I44" t="str">
            <v>AVANZA VELOZ 1.3 M/T</v>
          </cell>
          <cell r="J44" t="str">
            <v>AVANZA VELOZ 1.3 M/T</v>
          </cell>
          <cell r="K44" t="str">
            <v>AVANZA</v>
          </cell>
          <cell r="L44" t="str">
            <v>F53VM/T03M</v>
          </cell>
          <cell r="M44" t="str">
            <v>AVANZA</v>
          </cell>
          <cell r="N44" t="str">
            <v>AVANZA</v>
          </cell>
          <cell r="O44" t="str">
            <v>F653RM-GMSFJ-03</v>
          </cell>
          <cell r="P44" t="e">
            <v>#N/A</v>
          </cell>
          <cell r="Q44" t="e">
            <v>#N/A</v>
          </cell>
          <cell r="R44" t="str">
            <v>F653RM-GMSFJ-03</v>
          </cell>
          <cell r="S44" t="str">
            <v>AVANZA</v>
          </cell>
          <cell r="T44" t="e">
            <v>#N/A</v>
          </cell>
          <cell r="U44" t="str">
            <v>AVANZA VELOZ 1.3 M/T</v>
          </cell>
        </row>
        <row r="45">
          <cell r="D45" t="str">
            <v>F653RM-GMSFJ-21</v>
          </cell>
          <cell r="E45" t="str">
            <v>AVANZA</v>
          </cell>
          <cell r="F45" t="str">
            <v>AVANZA</v>
          </cell>
          <cell r="G45" t="str">
            <v>AVANZA</v>
          </cell>
          <cell r="H45" t="str">
            <v>AVANZA VELOZ 1.3 M/T</v>
          </cell>
          <cell r="I45" t="str">
            <v>AVANZA VELOZ 1.3 M/T</v>
          </cell>
          <cell r="J45" t="str">
            <v>AVANZA VELOZ 1.3 M/T</v>
          </cell>
          <cell r="K45" t="str">
            <v>AVANZA</v>
          </cell>
          <cell r="L45" t="str">
            <v>F53VM/T21M</v>
          </cell>
          <cell r="M45" t="str">
            <v>AVANZA</v>
          </cell>
          <cell r="N45" t="str">
            <v>AVANZA</v>
          </cell>
          <cell r="O45" t="str">
            <v>F653RM-GMSFJ-21</v>
          </cell>
          <cell r="P45" t="e">
            <v>#N/A</v>
          </cell>
          <cell r="Q45" t="e">
            <v>#N/A</v>
          </cell>
          <cell r="R45" t="str">
            <v>F653RM-GMSFJ-21</v>
          </cell>
          <cell r="S45" t="str">
            <v>AVANZA</v>
          </cell>
          <cell r="T45" t="e">
            <v>#N/A</v>
          </cell>
          <cell r="U45" t="str">
            <v>AVANZA VELOZ 1.3 M/T</v>
          </cell>
        </row>
        <row r="46">
          <cell r="D46" t="str">
            <v>F654RM-GMMFJ-21</v>
          </cell>
          <cell r="E46" t="str">
            <v>AVANZA</v>
          </cell>
          <cell r="F46" t="str">
            <v>AVANZA</v>
          </cell>
          <cell r="G46" t="str">
            <v>AVANZA</v>
          </cell>
          <cell r="H46" t="str">
            <v>AVANZA G M/T</v>
          </cell>
          <cell r="I46" t="str">
            <v>AVANZA G M/T 1.5</v>
          </cell>
          <cell r="J46" t="str">
            <v>AVANZA G M/T 1.5</v>
          </cell>
          <cell r="K46" t="str">
            <v>AVANZA</v>
          </cell>
          <cell r="L46" t="str">
            <v>F54GM/T21M</v>
          </cell>
          <cell r="M46" t="str">
            <v>AVANZA</v>
          </cell>
          <cell r="N46" t="str">
            <v>AVANZA</v>
          </cell>
          <cell r="O46" t="str">
            <v>F654RM-GMMFJ-21</v>
          </cell>
          <cell r="P46" t="e">
            <v>#N/A</v>
          </cell>
          <cell r="Q46" t="e">
            <v>#N/A</v>
          </cell>
          <cell r="R46" t="str">
            <v>F654RM-GMMFJ-21</v>
          </cell>
          <cell r="S46" t="str">
            <v>AVANZA</v>
          </cell>
          <cell r="T46" t="e">
            <v>#N/A</v>
          </cell>
          <cell r="U46" t="str">
            <v>AVANZA G M/T</v>
          </cell>
        </row>
        <row r="47">
          <cell r="D47" t="str">
            <v>F654RM-GMMFJ-03</v>
          </cell>
          <cell r="E47" t="str">
            <v>AVANZA</v>
          </cell>
          <cell r="F47" t="str">
            <v>AVANZA</v>
          </cell>
          <cell r="G47" t="str">
            <v>AVANZA</v>
          </cell>
          <cell r="H47" t="str">
            <v>AVANZA G M/T</v>
          </cell>
          <cell r="I47" t="str">
            <v>AVANZA G M/T 1.5</v>
          </cell>
          <cell r="J47" t="str">
            <v>AVANZA G M/T 1.5</v>
          </cell>
          <cell r="K47" t="str">
            <v>AVANZA</v>
          </cell>
          <cell r="L47" t="str">
            <v>F54GM/T03M</v>
          </cell>
          <cell r="M47" t="str">
            <v>AVANZA</v>
          </cell>
          <cell r="N47" t="str">
            <v>AVANZA</v>
          </cell>
          <cell r="O47" t="str">
            <v>F654RM-GMMFJ-03</v>
          </cell>
          <cell r="P47" t="e">
            <v>#N/A</v>
          </cell>
          <cell r="Q47" t="e">
            <v>#N/A</v>
          </cell>
          <cell r="R47" t="str">
            <v>F654RM-GMMFJ-03</v>
          </cell>
          <cell r="S47" t="str">
            <v>AVANZA</v>
          </cell>
          <cell r="T47" t="e">
            <v>#N/A</v>
          </cell>
          <cell r="U47" t="str">
            <v>AVANZA G M/T</v>
          </cell>
        </row>
        <row r="48">
          <cell r="D48" t="str">
            <v>F654RM-GMMFJ-4</v>
          </cell>
          <cell r="E48" t="str">
            <v>AVANZA</v>
          </cell>
          <cell r="F48" t="str">
            <v>AVANZA</v>
          </cell>
          <cell r="G48" t="str">
            <v>AVANZA</v>
          </cell>
          <cell r="H48" t="str">
            <v>AVANZA G M/T</v>
          </cell>
          <cell r="I48" t="str">
            <v>AVANZA G M/T 1.5</v>
          </cell>
          <cell r="J48" t="str">
            <v>AVANZA G M/T 1.5</v>
          </cell>
          <cell r="K48" t="str">
            <v>AVANZA</v>
          </cell>
          <cell r="L48" t="str">
            <v>F54GM/T04M</v>
          </cell>
          <cell r="M48" t="str">
            <v>AVANZA</v>
          </cell>
          <cell r="N48" t="str">
            <v>AVANZA</v>
          </cell>
          <cell r="O48" t="str">
            <v>F654RM-GMMFJ-4</v>
          </cell>
          <cell r="P48" t="e">
            <v>#N/A</v>
          </cell>
          <cell r="Q48" t="e">
            <v>#N/A</v>
          </cell>
          <cell r="R48" t="str">
            <v>F654RM-GMMFJ-4</v>
          </cell>
          <cell r="S48" t="str">
            <v>AVANZA</v>
          </cell>
          <cell r="T48" t="e">
            <v>#N/A</v>
          </cell>
          <cell r="U48" t="str">
            <v>AVANZA G M/T</v>
          </cell>
        </row>
        <row r="49">
          <cell r="D49" t="str">
            <v>F654RM-GQSFJ-11</v>
          </cell>
          <cell r="E49" t="str">
            <v>AVANZA</v>
          </cell>
          <cell r="F49" t="str">
            <v>AVANZA</v>
          </cell>
          <cell r="G49" t="str">
            <v>AVANZA</v>
          </cell>
          <cell r="H49" t="str">
            <v>AVANZA VELOZ 1.5 A/T</v>
          </cell>
          <cell r="I49" t="str">
            <v>AVANZA VELOZ 1.5 A/T</v>
          </cell>
          <cell r="J49" t="str">
            <v>AVANZA VELOZ 1.5 A/T</v>
          </cell>
          <cell r="K49" t="str">
            <v>AVANZA</v>
          </cell>
          <cell r="L49" t="str">
            <v>F54VA/T11M</v>
          </cell>
          <cell r="M49" t="str">
            <v>AVANZA</v>
          </cell>
          <cell r="N49" t="str">
            <v>AVANZA</v>
          </cell>
          <cell r="O49" t="str">
            <v>F654RM-GQSFJ-11</v>
          </cell>
          <cell r="P49" t="e">
            <v>#N/A</v>
          </cell>
          <cell r="Q49" t="e">
            <v>#N/A</v>
          </cell>
          <cell r="R49" t="str">
            <v>F654RM-GQSFJ-11</v>
          </cell>
          <cell r="S49" t="str">
            <v>AVANZA</v>
          </cell>
          <cell r="T49" t="e">
            <v>#N/A</v>
          </cell>
          <cell r="U49" t="str">
            <v>AVANZA VELOZ 1.5 A/T</v>
          </cell>
        </row>
        <row r="50">
          <cell r="D50" t="str">
            <v>F654RM-GQSFJ-21</v>
          </cell>
          <cell r="E50" t="str">
            <v>AVANZA</v>
          </cell>
          <cell r="F50" t="str">
            <v>AVANZA</v>
          </cell>
          <cell r="G50" t="str">
            <v>AVANZA</v>
          </cell>
          <cell r="H50" t="str">
            <v>AVANZA VELOZ 1.5 A/T</v>
          </cell>
          <cell r="I50" t="str">
            <v>AVANZA VELOZ 1.5 A/T</v>
          </cell>
          <cell r="J50" t="str">
            <v>AVANZA VELOZ 1.5 A/T</v>
          </cell>
          <cell r="K50" t="str">
            <v>AVANZA</v>
          </cell>
          <cell r="L50" t="str">
            <v>F54VA/T21M</v>
          </cell>
          <cell r="M50" t="str">
            <v>AVANZA</v>
          </cell>
          <cell r="N50" t="str">
            <v>AVANZA</v>
          </cell>
          <cell r="O50" t="str">
            <v>F654RM-GQSFJ-21</v>
          </cell>
          <cell r="P50" t="e">
            <v>#N/A</v>
          </cell>
          <cell r="Q50" t="e">
            <v>#N/A</v>
          </cell>
          <cell r="R50" t="str">
            <v>F654RM-GQSFJ-21</v>
          </cell>
          <cell r="S50" t="str">
            <v>AVANZA</v>
          </cell>
          <cell r="T50" t="e">
            <v>#N/A</v>
          </cell>
          <cell r="U50" t="str">
            <v>AVANZA VELOZ 1.5 A/T</v>
          </cell>
        </row>
        <row r="51">
          <cell r="D51" t="str">
            <v>F654RM-GQSFJ-01</v>
          </cell>
          <cell r="E51" t="str">
            <v>AVANZA</v>
          </cell>
          <cell r="F51" t="str">
            <v>AVANZA</v>
          </cell>
          <cell r="G51" t="str">
            <v>AVANZA</v>
          </cell>
          <cell r="H51" t="str">
            <v>AVANZA VELOZ 1.5 A/T</v>
          </cell>
          <cell r="I51" t="str">
            <v>AVANZA VELOZ 1.5 A/T</v>
          </cell>
          <cell r="J51" t="str">
            <v>AVANZA VELOZ 1.5 A/T</v>
          </cell>
          <cell r="K51" t="str">
            <v>AVANZA</v>
          </cell>
          <cell r="L51" t="str">
            <v>F54VA/T01M</v>
          </cell>
          <cell r="M51" t="str">
            <v>AVANZA</v>
          </cell>
          <cell r="N51" t="str">
            <v>AVANZA</v>
          </cell>
          <cell r="O51" t="str">
            <v>F654RM-GQSFJ-01</v>
          </cell>
          <cell r="P51" t="e">
            <v>#N/A</v>
          </cell>
          <cell r="Q51" t="e">
            <v>#N/A</v>
          </cell>
          <cell r="R51" t="str">
            <v>F654RM-GQSFJ-01</v>
          </cell>
          <cell r="S51" t="str">
            <v>AVANZA</v>
          </cell>
          <cell r="T51" t="e">
            <v>#N/A</v>
          </cell>
          <cell r="U51" t="str">
            <v>AVANZA VELOZ 1.5 A/T</v>
          </cell>
        </row>
        <row r="52">
          <cell r="D52" t="str">
            <v>F654RM-GQSFJ-03</v>
          </cell>
          <cell r="E52" t="str">
            <v>AVANZA</v>
          </cell>
          <cell r="F52" t="str">
            <v>AVANZA</v>
          </cell>
          <cell r="G52" t="str">
            <v>AVANZA</v>
          </cell>
          <cell r="H52" t="str">
            <v>AVANZA VELOZ 1.5 A/T</v>
          </cell>
          <cell r="I52" t="str">
            <v>AVANZA VELOZ 1.5 A/T</v>
          </cell>
          <cell r="J52" t="str">
            <v>AVANZA VELOZ 1.5 A/T</v>
          </cell>
          <cell r="K52" t="str">
            <v>AVANZA</v>
          </cell>
          <cell r="L52" t="str">
            <v>F54VA/T03M</v>
          </cell>
          <cell r="M52" t="str">
            <v>AVANZA</v>
          </cell>
          <cell r="N52" t="str">
            <v>AVANZA</v>
          </cell>
          <cell r="O52" t="str">
            <v>F654RM-GQSFJ-03</v>
          </cell>
          <cell r="P52" t="e">
            <v>#N/A</v>
          </cell>
          <cell r="Q52" t="e">
            <v>#N/A</v>
          </cell>
          <cell r="R52" t="str">
            <v>F654RM-GQSFJ-03</v>
          </cell>
          <cell r="S52" t="str">
            <v>AVANZA</v>
          </cell>
          <cell r="T52" t="e">
            <v>#N/A</v>
          </cell>
          <cell r="U52" t="str">
            <v>AVANZA VELOZ 1.5 A/T</v>
          </cell>
        </row>
        <row r="53">
          <cell r="D53" t="str">
            <v>F654RM-GMSFJ-01</v>
          </cell>
          <cell r="E53" t="str">
            <v>AVANZA</v>
          </cell>
          <cell r="F53" t="str">
            <v>AVANZA</v>
          </cell>
          <cell r="G53" t="str">
            <v>AVANZA</v>
          </cell>
          <cell r="H53" t="str">
            <v>AVANZA VELOZ 1.5 M/T</v>
          </cell>
          <cell r="I53" t="str">
            <v>AVANZA VELOZ 1.5 M/T</v>
          </cell>
          <cell r="J53" t="str">
            <v>AVANZA VELOZ 1.5 M/T</v>
          </cell>
          <cell r="K53" t="str">
            <v>AVANZA</v>
          </cell>
          <cell r="L53" t="str">
            <v>F54VM/T01M</v>
          </cell>
          <cell r="M53" t="str">
            <v>AVANZA</v>
          </cell>
          <cell r="N53" t="str">
            <v>AVANZA</v>
          </cell>
          <cell r="O53" t="str">
            <v>F654RM-GMSFJ-01</v>
          </cell>
          <cell r="P53" t="e">
            <v>#N/A</v>
          </cell>
          <cell r="Q53" t="e">
            <v>#N/A</v>
          </cell>
          <cell r="R53" t="str">
            <v>F654RM-GMSFJ-01</v>
          </cell>
          <cell r="S53" t="str">
            <v>AVANZA</v>
          </cell>
          <cell r="T53" t="e">
            <v>#N/A</v>
          </cell>
          <cell r="U53" t="str">
            <v>AVANZA VELOZ 1.5 M/T</v>
          </cell>
        </row>
        <row r="54">
          <cell r="D54" t="str">
            <v>F654RM-GMSFJ-21</v>
          </cell>
          <cell r="E54" t="str">
            <v>AVANZA</v>
          </cell>
          <cell r="F54" t="str">
            <v>AVANZA</v>
          </cell>
          <cell r="G54" t="str">
            <v>AVANZA</v>
          </cell>
          <cell r="H54" t="str">
            <v>AVANZA VELOZ 1.5 M/T</v>
          </cell>
          <cell r="I54" t="str">
            <v>AVANZA VELOZ 1.5 M/T</v>
          </cell>
          <cell r="J54" t="str">
            <v>AVANZA VELOZ 1.5 M/T</v>
          </cell>
          <cell r="K54" t="str">
            <v>AVANZA</v>
          </cell>
          <cell r="L54" t="str">
            <v>F54VM/T21M</v>
          </cell>
          <cell r="M54" t="str">
            <v>AVANZA</v>
          </cell>
          <cell r="N54" t="str">
            <v>AVANZA</v>
          </cell>
          <cell r="O54" t="str">
            <v>F654RM-GMSFJ-21</v>
          </cell>
          <cell r="P54" t="e">
            <v>#N/A</v>
          </cell>
          <cell r="Q54" t="e">
            <v>#N/A</v>
          </cell>
          <cell r="R54" t="str">
            <v>F654RM-GMSFJ-21</v>
          </cell>
          <cell r="S54" t="str">
            <v>AVANZA</v>
          </cell>
          <cell r="T54" t="e">
            <v>#N/A</v>
          </cell>
          <cell r="U54" t="str">
            <v>AVANZA VELOZ 1.5 M/T</v>
          </cell>
        </row>
        <row r="55">
          <cell r="D55" t="str">
            <v>F654RM-GMSFJ-02</v>
          </cell>
          <cell r="E55" t="str">
            <v>AVANZA</v>
          </cell>
          <cell r="F55" t="str">
            <v>AVANZA</v>
          </cell>
          <cell r="G55" t="str">
            <v>AVANZA</v>
          </cell>
          <cell r="H55" t="str">
            <v>AVANZA VELOZ 1.5 M/T</v>
          </cell>
          <cell r="I55" t="str">
            <v>AVANZA VELOZ 1.5 M/T</v>
          </cell>
          <cell r="J55" t="str">
            <v>AVANZA VELOZ 1.5 M/T</v>
          </cell>
          <cell r="K55" t="str">
            <v>AVANZA</v>
          </cell>
          <cell r="L55" t="str">
            <v>F54VM/T02M</v>
          </cell>
          <cell r="M55" t="str">
            <v>AVANZA</v>
          </cell>
          <cell r="N55" t="str">
            <v>AVANZA</v>
          </cell>
          <cell r="O55" t="str">
            <v>F654RM-GMSFJ-02</v>
          </cell>
          <cell r="P55" t="e">
            <v>#N/A</v>
          </cell>
          <cell r="Q55" t="e">
            <v>#N/A</v>
          </cell>
          <cell r="R55" t="str">
            <v>F654RM-GMSFJ-02</v>
          </cell>
          <cell r="S55" t="str">
            <v>AVANZA</v>
          </cell>
          <cell r="T55" t="e">
            <v>#N/A</v>
          </cell>
          <cell r="U55" t="str">
            <v>AVANZA VELOZ 1.5 M/T</v>
          </cell>
        </row>
        <row r="56">
          <cell r="D56" t="str">
            <v>F654RM-GMSFJ-03</v>
          </cell>
          <cell r="E56" t="str">
            <v>AVANZA</v>
          </cell>
          <cell r="F56" t="str">
            <v>AVANZA</v>
          </cell>
          <cell r="G56" t="str">
            <v>AVANZA</v>
          </cell>
          <cell r="H56" t="str">
            <v>AVANZA VELOZ 1.5 M/T</v>
          </cell>
          <cell r="I56" t="str">
            <v>AVANZA VELOZ 1.5 M/T</v>
          </cell>
          <cell r="J56" t="str">
            <v>AVANZA VELOZ 1.5 M/T</v>
          </cell>
          <cell r="K56" t="str">
            <v>AVANZA</v>
          </cell>
          <cell r="L56" t="str">
            <v>F54VM/T03M</v>
          </cell>
          <cell r="M56" t="str">
            <v>AVANZA</v>
          </cell>
          <cell r="N56" t="str">
            <v>AVANZA</v>
          </cell>
          <cell r="O56" t="str">
            <v>F654RM-GMSFJ-03</v>
          </cell>
          <cell r="P56" t="e">
            <v>#N/A</v>
          </cell>
          <cell r="Q56" t="e">
            <v>#N/A</v>
          </cell>
          <cell r="R56" t="str">
            <v>F654RM-GMSFJ-03</v>
          </cell>
          <cell r="S56" t="str">
            <v>AVANZA</v>
          </cell>
          <cell r="T56" t="e">
            <v>#N/A</v>
          </cell>
          <cell r="U56" t="str">
            <v>AVANZA VELOZ 1.5 M/T</v>
          </cell>
        </row>
        <row r="57">
          <cell r="D57" t="str">
            <v>B401RA-GMQFJ-02</v>
          </cell>
          <cell r="E57" t="str">
            <v>CALYA</v>
          </cell>
          <cell r="F57" t="str">
            <v>CALYA</v>
          </cell>
          <cell r="G57" t="str">
            <v>CALYA</v>
          </cell>
          <cell r="H57" t="str">
            <v>CALYA E M/T</v>
          </cell>
          <cell r="I57" t="str">
            <v>CALYA E M/T</v>
          </cell>
          <cell r="J57" t="str">
            <v>CALYA E M/T</v>
          </cell>
          <cell r="K57" t="str">
            <v>CALYA</v>
          </cell>
          <cell r="L57" t="str">
            <v>B401EM/T02M</v>
          </cell>
          <cell r="M57" t="str">
            <v>CALYA</v>
          </cell>
          <cell r="N57" t="str">
            <v>CALYA</v>
          </cell>
          <cell r="O57" t="str">
            <v>B401RA-GMQFJ-02</v>
          </cell>
          <cell r="P57" t="e">
            <v>#N/A</v>
          </cell>
          <cell r="Q57" t="e">
            <v>#N/A</v>
          </cell>
          <cell r="R57" t="str">
            <v>B401RA-GMQFJ-02</v>
          </cell>
          <cell r="S57" t="str">
            <v>CALYA</v>
          </cell>
          <cell r="T57" t="e">
            <v>#N/A</v>
          </cell>
          <cell r="U57" t="str">
            <v>CALYA E M/T</v>
          </cell>
        </row>
        <row r="58">
          <cell r="D58" t="str">
            <v>B401RA-GMQFJ-00</v>
          </cell>
          <cell r="E58" t="str">
            <v>CALYA</v>
          </cell>
          <cell r="F58" t="str">
            <v>CALYA</v>
          </cell>
          <cell r="G58" t="str">
            <v>CALYA</v>
          </cell>
          <cell r="H58" t="str">
            <v>CALYA E M/T</v>
          </cell>
          <cell r="I58" t="str">
            <v>CALYA E M/T</v>
          </cell>
          <cell r="J58" t="str">
            <v>CALYA E M/T</v>
          </cell>
          <cell r="K58" t="str">
            <v>CALYA</v>
          </cell>
          <cell r="L58" t="str">
            <v>B401EM/T00M</v>
          </cell>
          <cell r="M58" t="str">
            <v>CALYA</v>
          </cell>
          <cell r="N58" t="str">
            <v>CALYA</v>
          </cell>
          <cell r="O58" t="str">
            <v>B401RA-GMQFJ-00</v>
          </cell>
          <cell r="P58" t="e">
            <v>#N/A</v>
          </cell>
          <cell r="Q58" t="e">
            <v>#N/A</v>
          </cell>
          <cell r="R58" t="str">
            <v>B401RA-GMQFJ-00</v>
          </cell>
          <cell r="S58" t="str">
            <v>CALYA</v>
          </cell>
          <cell r="T58" t="e">
            <v>#N/A</v>
          </cell>
          <cell r="U58" t="str">
            <v>CALYA E M/T</v>
          </cell>
        </row>
        <row r="59">
          <cell r="D59" t="str">
            <v>B401RA-GMQFJ-03</v>
          </cell>
          <cell r="E59" t="str">
            <v>CALYA</v>
          </cell>
          <cell r="F59" t="str">
            <v>CALYA</v>
          </cell>
          <cell r="G59" t="str">
            <v>CALYA</v>
          </cell>
          <cell r="H59" t="str">
            <v>CALYA E M/T</v>
          </cell>
          <cell r="I59" t="str">
            <v>CALYA E M/T</v>
          </cell>
          <cell r="J59" t="str">
            <v>CALYA E M/T</v>
          </cell>
          <cell r="K59" t="str">
            <v>CALYA</v>
          </cell>
          <cell r="L59" t="str">
            <v>B401EM/T03M</v>
          </cell>
          <cell r="M59" t="str">
            <v>CALYA</v>
          </cell>
          <cell r="N59" t="str">
            <v>CALYA</v>
          </cell>
          <cell r="O59" t="str">
            <v>B401RA-GMQFJ-03</v>
          </cell>
          <cell r="P59" t="e">
            <v>#N/A</v>
          </cell>
          <cell r="Q59" t="e">
            <v>#N/A</v>
          </cell>
          <cell r="R59" t="str">
            <v>B401RA-GMQFJ-03</v>
          </cell>
          <cell r="S59" t="str">
            <v>CALYA</v>
          </cell>
          <cell r="T59" t="e">
            <v>#N/A</v>
          </cell>
          <cell r="U59" t="str">
            <v>CALYA E M/T</v>
          </cell>
        </row>
        <row r="60">
          <cell r="D60" t="str">
            <v>B401RA-GMQFJ-01</v>
          </cell>
          <cell r="E60" t="str">
            <v>CALYA</v>
          </cell>
          <cell r="F60" t="str">
            <v>CALYA</v>
          </cell>
          <cell r="G60" t="str">
            <v>CALYA</v>
          </cell>
          <cell r="H60" t="str">
            <v>CALYA E M/T</v>
          </cell>
          <cell r="I60" t="str">
            <v>CALYA E M/T</v>
          </cell>
          <cell r="J60" t="str">
            <v>CALYA E M/T</v>
          </cell>
          <cell r="K60" t="str">
            <v>CALYA</v>
          </cell>
          <cell r="L60" t="str">
            <v>B401EM/T01M</v>
          </cell>
          <cell r="M60" t="str">
            <v>CALYA</v>
          </cell>
          <cell r="N60" t="str">
            <v>CALYA</v>
          </cell>
          <cell r="O60" t="str">
            <v>B401RA-GMQFJ-01</v>
          </cell>
          <cell r="P60" t="e">
            <v>#N/A</v>
          </cell>
          <cell r="Q60" t="e">
            <v>#N/A</v>
          </cell>
          <cell r="R60" t="str">
            <v>B401RA-GMQFJ-01</v>
          </cell>
          <cell r="S60" t="str">
            <v>CALYA</v>
          </cell>
          <cell r="T60" t="e">
            <v>#N/A</v>
          </cell>
          <cell r="U60" t="str">
            <v>CALYA E M/T</v>
          </cell>
        </row>
        <row r="61">
          <cell r="D61" t="str">
            <v>B401RA-GQZFJ-00</v>
          </cell>
          <cell r="E61" t="str">
            <v>CALYA</v>
          </cell>
          <cell r="F61" t="str">
            <v>CALYA</v>
          </cell>
          <cell r="G61" t="str">
            <v>CALYA</v>
          </cell>
          <cell r="H61" t="str">
            <v>CALYA G A/T</v>
          </cell>
          <cell r="I61" t="str">
            <v>CALYA G A/T</v>
          </cell>
          <cell r="J61" t="str">
            <v>CALYA G A/T</v>
          </cell>
          <cell r="K61" t="str">
            <v>CALYA</v>
          </cell>
          <cell r="L61" t="str">
            <v>B401GA/T00M</v>
          </cell>
          <cell r="M61" t="str">
            <v>CALYA</v>
          </cell>
          <cell r="N61" t="str">
            <v>CALYA</v>
          </cell>
          <cell r="O61" t="str">
            <v>B401RA-GQZFJ-00</v>
          </cell>
          <cell r="P61" t="e">
            <v>#N/A</v>
          </cell>
          <cell r="Q61" t="e">
            <v>#N/A</v>
          </cell>
          <cell r="R61" t="str">
            <v>B401RA-GQZFJ-00</v>
          </cell>
          <cell r="S61" t="str">
            <v>CALYA</v>
          </cell>
          <cell r="T61" t="e">
            <v>#N/A</v>
          </cell>
          <cell r="U61" t="str">
            <v>CALYA G A/T</v>
          </cell>
        </row>
        <row r="62">
          <cell r="D62" t="str">
            <v>B401RA-GQZFJ-02</v>
          </cell>
          <cell r="E62" t="str">
            <v>CALYA</v>
          </cell>
          <cell r="F62" t="str">
            <v>CALYA</v>
          </cell>
          <cell r="G62" t="str">
            <v>CALYA</v>
          </cell>
          <cell r="H62" t="str">
            <v>CALYA G A/T</v>
          </cell>
          <cell r="I62" t="str">
            <v>CALYA G A/T</v>
          </cell>
          <cell r="J62" t="str">
            <v>CALYA G A/T</v>
          </cell>
          <cell r="K62" t="str">
            <v>CALYA</v>
          </cell>
          <cell r="L62" t="str">
            <v>B401GA/T02M</v>
          </cell>
          <cell r="M62" t="str">
            <v>CALYA</v>
          </cell>
          <cell r="N62" t="str">
            <v>CALYA</v>
          </cell>
          <cell r="O62" t="str">
            <v>B401RA-GQZFJ-02</v>
          </cell>
          <cell r="P62" t="e">
            <v>#N/A</v>
          </cell>
          <cell r="Q62" t="e">
            <v>#N/A</v>
          </cell>
          <cell r="R62" t="str">
            <v>B401RA-GQZFJ-02</v>
          </cell>
          <cell r="S62" t="str">
            <v>CALYA</v>
          </cell>
          <cell r="T62" t="e">
            <v>#N/A</v>
          </cell>
          <cell r="U62" t="str">
            <v>CALYA G A/T</v>
          </cell>
        </row>
        <row r="63">
          <cell r="D63" t="str">
            <v>B401RA-GMZFJ-00</v>
          </cell>
          <cell r="E63" t="str">
            <v>CALYA</v>
          </cell>
          <cell r="F63" t="str">
            <v>CALYA</v>
          </cell>
          <cell r="G63" t="str">
            <v>CALYA</v>
          </cell>
          <cell r="H63" t="str">
            <v>CALYA G M/T</v>
          </cell>
          <cell r="I63" t="str">
            <v>CALYA G M/T</v>
          </cell>
          <cell r="J63" t="str">
            <v>CALYA G M/T</v>
          </cell>
          <cell r="K63" t="str">
            <v>CALYA</v>
          </cell>
          <cell r="L63" t="str">
            <v>B401GM/T00M</v>
          </cell>
          <cell r="M63" t="str">
            <v>CALYA</v>
          </cell>
          <cell r="N63" t="str">
            <v>CALYA</v>
          </cell>
          <cell r="O63" t="str">
            <v>B401RA-GMZFJ-00</v>
          </cell>
          <cell r="P63" t="e">
            <v>#N/A</v>
          </cell>
          <cell r="Q63" t="e">
            <v>#N/A</v>
          </cell>
          <cell r="R63" t="str">
            <v>B401RA-GMZFJ-00</v>
          </cell>
          <cell r="S63" t="str">
            <v>CALYA</v>
          </cell>
          <cell r="T63" t="e">
            <v>#N/A</v>
          </cell>
          <cell r="U63" t="str">
            <v>CALYA G M/T</v>
          </cell>
        </row>
        <row r="64">
          <cell r="D64" t="str">
            <v>B401RA-GMZFJ-02</v>
          </cell>
          <cell r="E64" t="str">
            <v>CALYA</v>
          </cell>
          <cell r="F64" t="str">
            <v>CALYA</v>
          </cell>
          <cell r="G64" t="str">
            <v>CALYA</v>
          </cell>
          <cell r="H64" t="str">
            <v>CALYA G M/T</v>
          </cell>
          <cell r="I64" t="str">
            <v>CALYA G M/T</v>
          </cell>
          <cell r="J64" t="str">
            <v>CALYA G M/T</v>
          </cell>
          <cell r="K64" t="str">
            <v>CALYA</v>
          </cell>
          <cell r="L64" t="str">
            <v>B401GM/T02M</v>
          </cell>
          <cell r="M64" t="str">
            <v>CALYA</v>
          </cell>
          <cell r="N64" t="str">
            <v>CALYA</v>
          </cell>
          <cell r="O64" t="str">
            <v>B401RA-GMZFJ-02</v>
          </cell>
          <cell r="P64" t="e">
            <v>#N/A</v>
          </cell>
          <cell r="Q64" t="e">
            <v>#N/A</v>
          </cell>
          <cell r="R64" t="str">
            <v>B401RA-GMZFJ-02</v>
          </cell>
          <cell r="S64" t="str">
            <v>CALYA</v>
          </cell>
          <cell r="T64" t="e">
            <v>#N/A</v>
          </cell>
          <cell r="U64" t="str">
            <v>CALYA G M/T</v>
          </cell>
        </row>
        <row r="65">
          <cell r="D65" t="str">
            <v>ASV50R-JETEKD-12</v>
          </cell>
          <cell r="E65" t="str">
            <v>CAMRY</v>
          </cell>
          <cell r="F65" t="str">
            <v>CAMRY</v>
          </cell>
          <cell r="G65" t="str">
            <v>CAMRY</v>
          </cell>
          <cell r="H65" t="str">
            <v>CAMRY G A/T</v>
          </cell>
          <cell r="I65" t="str">
            <v>CAMRY G A/T</v>
          </cell>
          <cell r="J65" t="str">
            <v>CAMRY G A/T</v>
          </cell>
          <cell r="K65" t="str">
            <v>CAMRY</v>
          </cell>
          <cell r="L65" t="str">
            <v>AS50GA/T12M</v>
          </cell>
          <cell r="M65" t="str">
            <v>CAMRY</v>
          </cell>
          <cell r="N65" t="str">
            <v>CAMRY</v>
          </cell>
          <cell r="O65" t="str">
            <v>ASV50R-JETEKD-12</v>
          </cell>
          <cell r="P65" t="e">
            <v>#N/A</v>
          </cell>
          <cell r="Q65" t="e">
            <v>#N/A</v>
          </cell>
          <cell r="R65" t="str">
            <v>ASV50R-JETEKD-12</v>
          </cell>
          <cell r="S65" t="str">
            <v>CAMRY</v>
          </cell>
          <cell r="T65" t="e">
            <v>#N/A</v>
          </cell>
          <cell r="U65" t="str">
            <v>CAMRY G A/T</v>
          </cell>
        </row>
        <row r="66">
          <cell r="D66" t="str">
            <v>ASV50R-JETGKD-12</v>
          </cell>
          <cell r="E66" t="str">
            <v>CAMRY</v>
          </cell>
          <cell r="F66" t="str">
            <v>CAMRY</v>
          </cell>
          <cell r="G66" t="str">
            <v>CAMRY</v>
          </cell>
          <cell r="H66" t="str">
            <v>CAMRY V A/T</v>
          </cell>
          <cell r="I66" t="str">
            <v>CAMRY V A/T</v>
          </cell>
          <cell r="J66" t="str">
            <v>CAMRY V A/T</v>
          </cell>
          <cell r="K66" t="str">
            <v>CAMRY</v>
          </cell>
          <cell r="L66" t="str">
            <v>AS50VA/T12M</v>
          </cell>
          <cell r="M66" t="str">
            <v>CAMRY</v>
          </cell>
          <cell r="N66" t="str">
            <v>CAMRY</v>
          </cell>
          <cell r="O66" t="str">
            <v>ASV50R-JETGKD-12</v>
          </cell>
          <cell r="P66" t="e">
            <v>#N/A</v>
          </cell>
          <cell r="Q66" t="e">
            <v>#N/A</v>
          </cell>
          <cell r="R66" t="str">
            <v>ASV50R-JETGKD-12</v>
          </cell>
          <cell r="S66" t="str">
            <v>CAMRY</v>
          </cell>
          <cell r="T66" t="e">
            <v>#N/A</v>
          </cell>
          <cell r="U66" t="str">
            <v>CAMRY V A/T</v>
          </cell>
        </row>
        <row r="67">
          <cell r="D67" t="str">
            <v>ASV70R-JETVKD-01</v>
          </cell>
          <cell r="E67" t="str">
            <v>CAMRY</v>
          </cell>
          <cell r="F67" t="str">
            <v>CAMRY</v>
          </cell>
          <cell r="G67" t="str">
            <v>CAMRY</v>
          </cell>
          <cell r="H67" t="str">
            <v>CAMRY V A/T</v>
          </cell>
          <cell r="I67" t="str">
            <v>CAMRY V A/T</v>
          </cell>
          <cell r="J67" t="str">
            <v>CAMRY V A/T</v>
          </cell>
          <cell r="K67" t="str">
            <v>CAMRY</v>
          </cell>
          <cell r="L67" t="str">
            <v>AS70VA/T01M</v>
          </cell>
          <cell r="M67" t="str">
            <v>CAMRY</v>
          </cell>
          <cell r="N67" t="str">
            <v>CAMRY</v>
          </cell>
          <cell r="O67" t="str">
            <v>ASV70R-JETVKD-01</v>
          </cell>
          <cell r="P67" t="e">
            <v>#N/A</v>
          </cell>
          <cell r="Q67" t="e">
            <v>#N/A</v>
          </cell>
          <cell r="R67" t="str">
            <v>ASV70R-JETVKD-01</v>
          </cell>
          <cell r="S67" t="str">
            <v>CAMRY</v>
          </cell>
          <cell r="T67" t="e">
            <v>#N/A</v>
          </cell>
          <cell r="U67" t="str">
            <v>CAMRY V A/T</v>
          </cell>
        </row>
        <row r="68">
          <cell r="D68" t="str">
            <v>AXVH71R-JEXVBD-00</v>
          </cell>
          <cell r="E68" t="str">
            <v>CAMRY</v>
          </cell>
          <cell r="F68" t="str">
            <v>CAMRY</v>
          </cell>
          <cell r="G68" t="str">
            <v>CAMRY</v>
          </cell>
          <cell r="H68" t="str">
            <v>CAMRY HYBRID A/T</v>
          </cell>
          <cell r="I68" t="str">
            <v>CAMRY HYBRID A/T</v>
          </cell>
          <cell r="J68" t="str">
            <v>CAMRY HYBRID A/T</v>
          </cell>
          <cell r="K68" t="str">
            <v>CAMRY</v>
          </cell>
          <cell r="L68" t="str">
            <v>AS70HA/T00M</v>
          </cell>
          <cell r="M68" t="str">
            <v>CAMRY</v>
          </cell>
          <cell r="N68" t="str">
            <v>CAMRY</v>
          </cell>
          <cell r="O68" t="str">
            <v>AXVH71R-JEXVBD-00</v>
          </cell>
          <cell r="P68" t="e">
            <v>#N/A</v>
          </cell>
          <cell r="Q68" t="e">
            <v>#N/A</v>
          </cell>
          <cell r="R68" t="str">
            <v>AXVH71R-JEXVBD-00</v>
          </cell>
          <cell r="S68" t="str">
            <v>CAMRY</v>
          </cell>
          <cell r="T68" t="e">
            <v>#N/A</v>
          </cell>
          <cell r="U68" t="str">
            <v>CAMRY HYBRID A/T</v>
          </cell>
        </row>
        <row r="69">
          <cell r="D69" t="str">
            <v>ZGX11R-CHXEGD-00</v>
          </cell>
          <cell r="E69" t="str">
            <v>CHR</v>
          </cell>
          <cell r="F69" t="str">
            <v>CHR</v>
          </cell>
          <cell r="G69" t="str">
            <v>CHR</v>
          </cell>
          <cell r="H69" t="str">
            <v>CHR SINGLE TONE A/T</v>
          </cell>
          <cell r="I69" t="str">
            <v>CHR SINGLE TONE A/T</v>
          </cell>
          <cell r="J69" t="str">
            <v>CHR SINGLE TONE A/T</v>
          </cell>
          <cell r="K69" t="str">
            <v>CHR</v>
          </cell>
          <cell r="L69" t="str">
            <v>ZGX11A/T00M</v>
          </cell>
          <cell r="M69" t="str">
            <v>CHR</v>
          </cell>
          <cell r="N69" t="str">
            <v>CHR</v>
          </cell>
          <cell r="O69" t="str">
            <v>ZGX11R-CHXEGD-00</v>
          </cell>
          <cell r="P69" t="e">
            <v>#N/A</v>
          </cell>
          <cell r="Q69" t="e">
            <v>#N/A</v>
          </cell>
          <cell r="R69" t="str">
            <v>ZGX11R-CHXEGD-00</v>
          </cell>
          <cell r="S69" t="str">
            <v>CHR</v>
          </cell>
          <cell r="T69" t="e">
            <v>#N/A</v>
          </cell>
          <cell r="U69" t="str">
            <v>CHR SINGLE TONE A/T</v>
          </cell>
        </row>
        <row r="70">
          <cell r="D70" t="str">
            <v>ZRE172R-GEXGKD-20</v>
          </cell>
          <cell r="E70" t="str">
            <v>COROLLA</v>
          </cell>
          <cell r="F70" t="str">
            <v>COROLLA ALTIS</v>
          </cell>
          <cell r="G70" t="str">
            <v>COROLLA ALTIS</v>
          </cell>
          <cell r="H70" t="str">
            <v>COROLLA ALTIS V A/T</v>
          </cell>
          <cell r="I70" t="str">
            <v>COROLLA ALTIS V A/T</v>
          </cell>
          <cell r="J70" t="str">
            <v>COROLLA ALTIS V A/T</v>
          </cell>
          <cell r="K70" t="str">
            <v>COROLLA ALTIS</v>
          </cell>
          <cell r="L70" t="str">
            <v>ZRE172VA/T20M</v>
          </cell>
          <cell r="M70" t="str">
            <v>COROLLA ALTIS</v>
          </cell>
          <cell r="N70" t="str">
            <v>COROLLA ALTIS</v>
          </cell>
          <cell r="O70" t="str">
            <v>ZRE172R-GEXGKD-20</v>
          </cell>
          <cell r="P70" t="e">
            <v>#N/A</v>
          </cell>
          <cell r="Q70" t="e">
            <v>#N/A</v>
          </cell>
          <cell r="R70" t="str">
            <v>ZRE172R-GEXGKD-20</v>
          </cell>
          <cell r="S70" t="str">
            <v>COROLLA</v>
          </cell>
          <cell r="T70" t="e">
            <v>#N/A</v>
          </cell>
          <cell r="U70" t="str">
            <v>COROLLA ALTIS V A/T</v>
          </cell>
        </row>
        <row r="71">
          <cell r="D71" t="e">
            <v>#N/A</v>
          </cell>
          <cell r="E71" t="str">
            <v>FORTUNER</v>
          </cell>
          <cell r="F71" t="str">
            <v>FORTUNER 4X2</v>
          </cell>
          <cell r="G71" t="str">
            <v>FORTUNER 4X2</v>
          </cell>
          <cell r="H71" t="str">
            <v>FORTUNER 4X2 G A/T BENSIN</v>
          </cell>
          <cell r="I71" t="str">
            <v>FORTUNER 4X2 G A/T BENSIN</v>
          </cell>
          <cell r="J71" t="str">
            <v>FORTUNER 4X2 G A/T BENSIN</v>
          </cell>
          <cell r="K71" t="str">
            <v>FORTUNER 4X2</v>
          </cell>
          <cell r="L71" t="str">
            <v>TG61GA/T11S</v>
          </cell>
          <cell r="M71" t="str">
            <v>FORTUNER</v>
          </cell>
          <cell r="N71" t="str">
            <v>FORTUNER 4X2</v>
          </cell>
          <cell r="O71" t="e">
            <v>#N/A</v>
          </cell>
          <cell r="P71" t="e">
            <v>#N/A</v>
          </cell>
          <cell r="Q71" t="e">
            <v>#N/A</v>
          </cell>
          <cell r="R71" t="e">
            <v>#N/A</v>
          </cell>
          <cell r="S71" t="str">
            <v>FORTUNER</v>
          </cell>
          <cell r="T71" t="e">
            <v>#N/A</v>
          </cell>
          <cell r="U71" t="str">
            <v>FORTUNER 4X2 G A/T BENSIN</v>
          </cell>
        </row>
        <row r="72">
          <cell r="D72" t="e">
            <v>#N/A</v>
          </cell>
          <cell r="E72" t="str">
            <v>FORTUNER</v>
          </cell>
          <cell r="F72" t="str">
            <v>FORTUNER 4X2</v>
          </cell>
          <cell r="G72" t="str">
            <v>FORTUNER 4X2</v>
          </cell>
          <cell r="H72" t="str">
            <v>FORTUNER 4X2 G A/T BENSIN</v>
          </cell>
          <cell r="I72" t="str">
            <v>FORTUNER 4X2 G A/T BENSIN</v>
          </cell>
          <cell r="J72" t="str">
            <v>FORTUNER 4X2 G A/T BENSIN</v>
          </cell>
          <cell r="K72" t="str">
            <v>FORTUNER 4X2</v>
          </cell>
          <cell r="L72" t="str">
            <v>TG61GA/T21M</v>
          </cell>
          <cell r="M72" t="str">
            <v>FORTUNER</v>
          </cell>
          <cell r="N72" t="str">
            <v>FORTUNER 4X2</v>
          </cell>
          <cell r="O72" t="e">
            <v>#N/A</v>
          </cell>
          <cell r="P72" t="e">
            <v>#N/A</v>
          </cell>
          <cell r="Q72" t="e">
            <v>#N/A</v>
          </cell>
          <cell r="R72" t="e">
            <v>#N/A</v>
          </cell>
          <cell r="S72" t="str">
            <v>FORTUNER</v>
          </cell>
          <cell r="T72" t="e">
            <v>#N/A</v>
          </cell>
          <cell r="U72" t="str">
            <v>FORTUNER 4X2 G A/T BENSIN</v>
          </cell>
        </row>
        <row r="73">
          <cell r="D73" t="e">
            <v>#N/A</v>
          </cell>
          <cell r="E73" t="str">
            <v>FORTUNER</v>
          </cell>
          <cell r="F73" t="str">
            <v>FORTUNER 4X2</v>
          </cell>
          <cell r="G73" t="str">
            <v>FORTUNER 4X2</v>
          </cell>
          <cell r="H73" t="str">
            <v>FORTUNER 4X2 G A/T BENSIN</v>
          </cell>
          <cell r="I73" t="str">
            <v>FORTUNER 4X2 G A/T BENSIN</v>
          </cell>
          <cell r="J73" t="str">
            <v>FORTUNER 4X2 G A/T BENSIN</v>
          </cell>
          <cell r="K73" t="str">
            <v>FORTUNER 4X2</v>
          </cell>
          <cell r="L73" t="str">
            <v>TG61GA/T41</v>
          </cell>
          <cell r="M73" t="str">
            <v>FORTUNER</v>
          </cell>
          <cell r="N73" t="str">
            <v>FORTUNER 4X2</v>
          </cell>
          <cell r="O73" t="e">
            <v>#N/A</v>
          </cell>
          <cell r="P73" t="e">
            <v>#N/A</v>
          </cell>
          <cell r="Q73" t="e">
            <v>#N/A</v>
          </cell>
          <cell r="R73" t="e">
            <v>#N/A</v>
          </cell>
          <cell r="S73" t="str">
            <v>FORTUNER</v>
          </cell>
          <cell r="T73" t="e">
            <v>#N/A</v>
          </cell>
          <cell r="U73" t="str">
            <v>FORTUNER 4X2 G A/T BENSIN</v>
          </cell>
        </row>
        <row r="74">
          <cell r="D74" t="e">
            <v>#N/A</v>
          </cell>
          <cell r="E74" t="str">
            <v>FORTUNER</v>
          </cell>
          <cell r="F74" t="str">
            <v>FORTUNER 4X2</v>
          </cell>
          <cell r="G74" t="str">
            <v>FORTUNER 4X2</v>
          </cell>
          <cell r="H74" t="str">
            <v>FORTUNER 4X2 G A/T BENSIN</v>
          </cell>
          <cell r="I74" t="str">
            <v>FORTUNER 4X2 G A/T BENSIN</v>
          </cell>
          <cell r="J74" t="str">
            <v>FORTUNER 4X2 G A/T BENSIN</v>
          </cell>
          <cell r="K74" t="str">
            <v>FORTUNER 4X2</v>
          </cell>
          <cell r="L74" t="str">
            <v>TG61GA/T41M</v>
          </cell>
          <cell r="M74" t="str">
            <v>FORTUNER</v>
          </cell>
          <cell r="N74" t="str">
            <v>FORTUNER 4X2</v>
          </cell>
          <cell r="O74" t="e">
            <v>#N/A</v>
          </cell>
          <cell r="P74" t="e">
            <v>#N/A</v>
          </cell>
          <cell r="Q74" t="e">
            <v>#N/A</v>
          </cell>
          <cell r="R74" t="e">
            <v>#N/A</v>
          </cell>
          <cell r="S74" t="str">
            <v>FORTUNER</v>
          </cell>
          <cell r="T74" t="e">
            <v>#N/A</v>
          </cell>
          <cell r="U74" t="str">
            <v>FORTUNER 4X2 G A/T BENSIN</v>
          </cell>
        </row>
        <row r="75">
          <cell r="D75" t="e">
            <v>#N/A</v>
          </cell>
          <cell r="E75" t="str">
            <v>FORTUNER</v>
          </cell>
          <cell r="F75" t="str">
            <v>FORTUNER 4X2</v>
          </cell>
          <cell r="G75" t="str">
            <v>FORTUNER 4X2</v>
          </cell>
          <cell r="H75" t="str">
            <v>FORTUNER 4X2 G A/T BENSIN</v>
          </cell>
          <cell r="I75" t="str">
            <v>FORTUNER 4X2 G A/T BENSIN</v>
          </cell>
          <cell r="J75" t="str">
            <v>FORTUNER 4X2 G A/T BENSIN</v>
          </cell>
          <cell r="K75" t="str">
            <v>FORTUNER 4X2</v>
          </cell>
          <cell r="L75" t="str">
            <v>TG61GA/T42TRD</v>
          </cell>
          <cell r="M75" t="str">
            <v>FORTUNER</v>
          </cell>
          <cell r="N75" t="str">
            <v>FORTUNER 4X2</v>
          </cell>
          <cell r="O75" t="e">
            <v>#N/A</v>
          </cell>
          <cell r="P75" t="e">
            <v>#N/A</v>
          </cell>
          <cell r="Q75" t="e">
            <v>#N/A</v>
          </cell>
          <cell r="R75" t="e">
            <v>#N/A</v>
          </cell>
          <cell r="S75" t="str">
            <v>FORTUNER</v>
          </cell>
          <cell r="T75" t="e">
            <v>#N/A</v>
          </cell>
          <cell r="U75" t="str">
            <v>FORTUNER 4X2 G A/T BENSIN</v>
          </cell>
        </row>
        <row r="76">
          <cell r="D76" t="e">
            <v>#N/A</v>
          </cell>
          <cell r="E76" t="str">
            <v>FORTUNER</v>
          </cell>
          <cell r="F76" t="str">
            <v>FORTUNER 4X2</v>
          </cell>
          <cell r="G76" t="str">
            <v>FORTUNER 4X2</v>
          </cell>
          <cell r="H76" t="str">
            <v>FORTUNER 4X2 G A/T BENSIN</v>
          </cell>
          <cell r="I76" t="str">
            <v>FORTUNER 4X2 G A/T BENSIN</v>
          </cell>
          <cell r="J76" t="str">
            <v>FORTUNER 4X2 G A/T BENSIN</v>
          </cell>
          <cell r="K76" t="str">
            <v>FORTUNER 4X2</v>
          </cell>
          <cell r="L76" t="str">
            <v>TG61GA/T42TRDm</v>
          </cell>
          <cell r="M76" t="str">
            <v>FORTUNER</v>
          </cell>
          <cell r="N76" t="str">
            <v>FORTUNER 4X2</v>
          </cell>
          <cell r="O76" t="e">
            <v>#N/A</v>
          </cell>
          <cell r="P76" t="e">
            <v>#N/A</v>
          </cell>
          <cell r="Q76" t="e">
            <v>#N/A</v>
          </cell>
          <cell r="R76" t="e">
            <v>#N/A</v>
          </cell>
          <cell r="S76" t="str">
            <v>FORTUNER</v>
          </cell>
          <cell r="T76" t="e">
            <v>#N/A</v>
          </cell>
          <cell r="U76" t="str">
            <v>FORTUNER 4X2 G A/T BENSIN</v>
          </cell>
        </row>
        <row r="77">
          <cell r="D77" t="e">
            <v>#N/A</v>
          </cell>
          <cell r="E77" t="str">
            <v>FORTUNER</v>
          </cell>
          <cell r="F77" t="str">
            <v>FORTUNER 4X2</v>
          </cell>
          <cell r="G77" t="str">
            <v>FORTUNER 4X2</v>
          </cell>
          <cell r="H77" t="str">
            <v>FORTUNER 4X2 G A/T BENSIN</v>
          </cell>
          <cell r="I77" t="str">
            <v>FORTUNER 4X2 G A/T BENSIN</v>
          </cell>
          <cell r="J77" t="str">
            <v>FORTUNER 4X2 G A/T BENSIN</v>
          </cell>
          <cell r="K77" t="str">
            <v>FORTUNER 4X2</v>
          </cell>
          <cell r="L77" t="str">
            <v>TG61GA/T43TRDM</v>
          </cell>
          <cell r="M77" t="str">
            <v>FORTUNER</v>
          </cell>
          <cell r="N77" t="str">
            <v>FORTUNER 4X2</v>
          </cell>
          <cell r="O77" t="e">
            <v>#N/A</v>
          </cell>
          <cell r="P77" t="e">
            <v>#N/A</v>
          </cell>
          <cell r="Q77" t="e">
            <v>#N/A</v>
          </cell>
          <cell r="R77" t="e">
            <v>#N/A</v>
          </cell>
          <cell r="S77" t="str">
            <v>FORTUNER</v>
          </cell>
          <cell r="T77" t="e">
            <v>#N/A</v>
          </cell>
          <cell r="U77" t="str">
            <v>FORTUNER 4X2 G A/T BENSIN</v>
          </cell>
        </row>
        <row r="78">
          <cell r="D78" t="e">
            <v>#N/A</v>
          </cell>
          <cell r="E78" t="str">
            <v>FORTUNER</v>
          </cell>
          <cell r="F78" t="str">
            <v>FORTUNER 4X2</v>
          </cell>
          <cell r="G78" t="str">
            <v>FORTUNER 4X2</v>
          </cell>
          <cell r="H78" t="str">
            <v>FORTUNER 4X2 G A/T BENSIN</v>
          </cell>
          <cell r="I78" t="str">
            <v>FORTUNER 4X2 G A/T BENSIN</v>
          </cell>
          <cell r="J78" t="str">
            <v>FORTUNER 4X2 G A/T BENSIN</v>
          </cell>
          <cell r="K78" t="str">
            <v>FORTUNER 4X2</v>
          </cell>
          <cell r="L78" t="str">
            <v>TG61GA/T51TRDM</v>
          </cell>
          <cell r="M78" t="str">
            <v>FORTUNER</v>
          </cell>
          <cell r="N78" t="str">
            <v>FORTUNER 4X2</v>
          </cell>
          <cell r="O78" t="e">
            <v>#N/A</v>
          </cell>
          <cell r="P78" t="e">
            <v>#N/A</v>
          </cell>
          <cell r="Q78" t="e">
            <v>#N/A</v>
          </cell>
          <cell r="R78" t="e">
            <v>#N/A</v>
          </cell>
          <cell r="S78" t="str">
            <v>FORTUNER</v>
          </cell>
          <cell r="T78" t="e">
            <v>#N/A</v>
          </cell>
          <cell r="U78" t="str">
            <v>FORTUNER 4X2 G A/T BENSIN</v>
          </cell>
        </row>
        <row r="79">
          <cell r="D79" t="e">
            <v>#N/A</v>
          </cell>
          <cell r="E79" t="str">
            <v>FORTUNER</v>
          </cell>
          <cell r="F79" t="str">
            <v>FORTUNER 4X2</v>
          </cell>
          <cell r="G79" t="str">
            <v>FORTUNER 4X2</v>
          </cell>
          <cell r="H79" t="str">
            <v>FORTUNER 4X2 G A/T BENSIN</v>
          </cell>
          <cell r="I79" t="str">
            <v>FORTUNER 4X2 G A/T BENSIN</v>
          </cell>
          <cell r="J79" t="str">
            <v>FORTUNER 4X2 G A/T BENSIN</v>
          </cell>
          <cell r="K79" t="str">
            <v>FORTUNER 4X2</v>
          </cell>
          <cell r="L79" t="str">
            <v>TG61GA/T60M</v>
          </cell>
          <cell r="M79" t="str">
            <v>FORTUNER</v>
          </cell>
          <cell r="N79" t="str">
            <v>FORTUNER 4X2</v>
          </cell>
          <cell r="O79" t="e">
            <v>#N/A</v>
          </cell>
          <cell r="P79" t="e">
            <v>#N/A</v>
          </cell>
          <cell r="Q79" t="e">
            <v>#N/A</v>
          </cell>
          <cell r="R79" t="e">
            <v>#N/A</v>
          </cell>
          <cell r="S79" t="str">
            <v>FORTUNER</v>
          </cell>
          <cell r="T79" t="e">
            <v>#N/A</v>
          </cell>
          <cell r="U79" t="str">
            <v>FORTUNER 4X2 G A/T BENSIN</v>
          </cell>
        </row>
        <row r="80">
          <cell r="D80" t="e">
            <v>#N/A</v>
          </cell>
          <cell r="E80" t="str">
            <v>FORTUNER</v>
          </cell>
          <cell r="F80" t="str">
            <v>FORTUNER 4X2</v>
          </cell>
          <cell r="G80" t="str">
            <v>FORTUNER 4X2</v>
          </cell>
          <cell r="H80" t="str">
            <v>FORTUNER 4X2 G A/T BENSIN</v>
          </cell>
          <cell r="I80" t="str">
            <v>FORTUNER 4X2 G A/T BENSIN</v>
          </cell>
          <cell r="J80" t="str">
            <v>FORTUNER 4X2 G A/T BENSIN</v>
          </cell>
          <cell r="K80" t="str">
            <v>FORTUNER 4X2</v>
          </cell>
          <cell r="L80" t="str">
            <v>TG61GA/T61TRDM</v>
          </cell>
          <cell r="M80" t="str">
            <v>FORTUNER</v>
          </cell>
          <cell r="N80" t="str">
            <v>FORTUNER 4X2</v>
          </cell>
          <cell r="O80" t="e">
            <v>#N/A</v>
          </cell>
          <cell r="P80" t="e">
            <v>#N/A</v>
          </cell>
          <cell r="Q80" t="e">
            <v>#N/A</v>
          </cell>
          <cell r="R80" t="e">
            <v>#N/A</v>
          </cell>
          <cell r="S80" t="str">
            <v>FORTUNER</v>
          </cell>
          <cell r="T80" t="e">
            <v>#N/A</v>
          </cell>
          <cell r="U80" t="str">
            <v>FORTUNER 4X2 G A/T BENSIN</v>
          </cell>
        </row>
        <row r="81">
          <cell r="D81" t="e">
            <v>#N/A</v>
          </cell>
          <cell r="E81" t="str">
            <v>FORTUNER</v>
          </cell>
          <cell r="F81" t="str">
            <v>FORTUNER 4X2</v>
          </cell>
          <cell r="G81" t="str">
            <v>FORTUNER 4X2</v>
          </cell>
          <cell r="H81" t="str">
            <v>FORTUNER 4X2 G A/T BENSIN</v>
          </cell>
          <cell r="I81" t="str">
            <v>FORTUNER 4X2 G A/T BENSIN</v>
          </cell>
          <cell r="J81" t="str">
            <v>FORTUNER 4X2 G A/T BENSIN</v>
          </cell>
          <cell r="K81" t="str">
            <v>FORTUNER 4X2</v>
          </cell>
          <cell r="L81" t="str">
            <v>TG61GA/Tm</v>
          </cell>
          <cell r="M81" t="str">
            <v>FORTUNER</v>
          </cell>
          <cell r="N81" t="str">
            <v>FORTUNER 4X2</v>
          </cell>
          <cell r="O81" t="e">
            <v>#N/A</v>
          </cell>
          <cell r="P81" t="e">
            <v>#N/A</v>
          </cell>
          <cell r="Q81" t="e">
            <v>#N/A</v>
          </cell>
          <cell r="R81" t="e">
            <v>#N/A</v>
          </cell>
          <cell r="S81" t="str">
            <v>FORTUNER</v>
          </cell>
          <cell r="T81" t="e">
            <v>#N/A</v>
          </cell>
          <cell r="U81" t="str">
            <v>FORTUNER 4X2 G A/T BENSIN</v>
          </cell>
        </row>
        <row r="82">
          <cell r="D82" t="str">
            <v>GUN165R-SDTSHD-20</v>
          </cell>
          <cell r="E82" t="str">
            <v>FORTUNER</v>
          </cell>
          <cell r="F82" t="str">
            <v>FORTUNER 4X2</v>
          </cell>
          <cell r="G82" t="str">
            <v>FORTUNER 4X2</v>
          </cell>
          <cell r="H82" t="str">
            <v>FORTUNER 4X2 G A/T DIESEL</v>
          </cell>
          <cell r="I82" t="str">
            <v>FORTUNER 4X2 G A/T DIESEL</v>
          </cell>
          <cell r="J82" t="str">
            <v>FORTUNER 4X2 G A/T DIESEL</v>
          </cell>
          <cell r="K82" t="str">
            <v>FORTUNER 4X2</v>
          </cell>
          <cell r="L82" t="str">
            <v>GUN65GA/T20M</v>
          </cell>
          <cell r="M82" t="str">
            <v>FORTUNER</v>
          </cell>
          <cell r="N82" t="str">
            <v>FORTUNER 4X2</v>
          </cell>
          <cell r="O82" t="str">
            <v>GUN165R-SDTSHD-20</v>
          </cell>
          <cell r="P82" t="e">
            <v>#N/A</v>
          </cell>
          <cell r="Q82" t="e">
            <v>#N/A</v>
          </cell>
          <cell r="R82" t="str">
            <v>GUN165R-SDTSHD-20</v>
          </cell>
          <cell r="S82" t="str">
            <v>FORTUNER</v>
          </cell>
          <cell r="T82" t="e">
            <v>#N/A</v>
          </cell>
          <cell r="U82" t="str">
            <v>FORTUNER 4X2 G A/T DIESEL</v>
          </cell>
        </row>
        <row r="83">
          <cell r="D83" t="str">
            <v>GUN165R-SDTSHD-10</v>
          </cell>
          <cell r="E83" t="str">
            <v>FORTUNER</v>
          </cell>
          <cell r="F83" t="str">
            <v>FORTUNER 4X2</v>
          </cell>
          <cell r="G83" t="str">
            <v>FORTUNER 4X2</v>
          </cell>
          <cell r="H83" t="str">
            <v>FORTUNER 4X2 G A/T DIESEL</v>
          </cell>
          <cell r="I83" t="str">
            <v>FORTUNER 4X2 G A/T DIESEL</v>
          </cell>
          <cell r="J83" t="str">
            <v>FORTUNER 4X2 G A/T DIESEL</v>
          </cell>
          <cell r="K83" t="str">
            <v>FORTUNER 4X2</v>
          </cell>
          <cell r="L83" t="str">
            <v>GUN65GA/T10M</v>
          </cell>
          <cell r="M83" t="str">
            <v>FORTUNER</v>
          </cell>
          <cell r="N83" t="str">
            <v>FORTUNER 4X2</v>
          </cell>
          <cell r="O83" t="str">
            <v>GUN165R-SDTSHD-10</v>
          </cell>
          <cell r="P83" t="e">
            <v>#N/A</v>
          </cell>
          <cell r="Q83" t="e">
            <v>#N/A</v>
          </cell>
          <cell r="R83" t="str">
            <v>GUN165R-SDTSHD-10</v>
          </cell>
          <cell r="S83" t="str">
            <v>FORTUNER</v>
          </cell>
          <cell r="T83" t="e">
            <v>#N/A</v>
          </cell>
          <cell r="U83" t="str">
            <v>FORTUNER 4X2 G A/T DIESEL</v>
          </cell>
        </row>
        <row r="84">
          <cell r="D84" t="str">
            <v>GUN165R-SDTSHD-D0</v>
          </cell>
          <cell r="E84" t="str">
            <v>FORTUNER</v>
          </cell>
          <cell r="F84" t="str">
            <v>FORTUNER 4X2</v>
          </cell>
          <cell r="G84" t="str">
            <v>FORTUNER 4X2</v>
          </cell>
          <cell r="H84" t="str">
            <v>FORTUNER 4X2 G A/T DIESEL</v>
          </cell>
          <cell r="I84" t="str">
            <v>FORTUNER 4X2 G A/T DIESEL</v>
          </cell>
          <cell r="J84" t="str">
            <v>FORTUNER 4X2 G A/T DIESEL</v>
          </cell>
          <cell r="K84" t="str">
            <v>FORTUNER 4X2</v>
          </cell>
          <cell r="L84" t="str">
            <v>GUN65GA/TD0M</v>
          </cell>
          <cell r="M84" t="str">
            <v>FORTUNER</v>
          </cell>
          <cell r="N84" t="str">
            <v>FORTUNER 4X2</v>
          </cell>
          <cell r="O84" t="str">
            <v>GUN165R-SDTSHD-D0</v>
          </cell>
          <cell r="P84" t="e">
            <v>#N/A</v>
          </cell>
          <cell r="Q84" t="e">
            <v>#N/A</v>
          </cell>
          <cell r="R84" t="str">
            <v>GUN165R-SDTSHD-D0</v>
          </cell>
          <cell r="S84" t="str">
            <v>FORTUNER</v>
          </cell>
          <cell r="T84" t="e">
            <v>#N/A</v>
          </cell>
          <cell r="U84" t="str">
            <v>FORTUNER 4X2 G A/T DIESEL</v>
          </cell>
        </row>
        <row r="85">
          <cell r="D85" t="str">
            <v>GUN165R-SDTSXD-20</v>
          </cell>
          <cell r="E85" t="str">
            <v>FORTUNER</v>
          </cell>
          <cell r="F85" t="str">
            <v>FORTUNER 4X2</v>
          </cell>
          <cell r="G85" t="str">
            <v>FORTUNER 4X2</v>
          </cell>
          <cell r="H85" t="str">
            <v>FORTUNER 4X2 G A/T DIESEL</v>
          </cell>
          <cell r="I85" t="str">
            <v>FORTUNER 4X2 G A/T DIESEL</v>
          </cell>
          <cell r="J85" t="str">
            <v xml:space="preserve">FORTUNER 4X2 G A/T DIESEL </v>
          </cell>
          <cell r="K85" t="str">
            <v>FORTUNER 4X2</v>
          </cell>
          <cell r="L85" t="str">
            <v>GUN65GXA/T20M</v>
          </cell>
          <cell r="M85" t="str">
            <v>FORTUNER</v>
          </cell>
          <cell r="N85" t="str">
            <v>FORTUNER 4X2</v>
          </cell>
          <cell r="O85" t="str">
            <v>GUN165R-SDTSXD-20</v>
          </cell>
          <cell r="P85" t="str">
            <v>FORTUNER 4X2</v>
          </cell>
          <cell r="Q85" t="e">
            <v>#N/A</v>
          </cell>
          <cell r="R85" t="str">
            <v>GUN165R-SDTSXD-20</v>
          </cell>
          <cell r="S85" t="str">
            <v>FORTUNER</v>
          </cell>
          <cell r="T85" t="e">
            <v>#N/A</v>
          </cell>
          <cell r="U85" t="str">
            <v>FORTUNER 4X2 G A/T DIESEL</v>
          </cell>
        </row>
        <row r="86">
          <cell r="D86" t="str">
            <v>GUN165R-SDTSHD-E0</v>
          </cell>
          <cell r="E86" t="str">
            <v>FORTUNER</v>
          </cell>
          <cell r="F86" t="str">
            <v>FORTUNER 4X2</v>
          </cell>
          <cell r="G86" t="str">
            <v>FORTUNER 4X2</v>
          </cell>
          <cell r="H86" t="str">
            <v>FORTUNER 4X2 G A/T DIESEL</v>
          </cell>
          <cell r="I86" t="str">
            <v>FORTUNER 4X2 G A/T DIESEL</v>
          </cell>
          <cell r="J86" t="str">
            <v>FORTUNER 4X2 G A/T DIESEL</v>
          </cell>
          <cell r="K86" t="str">
            <v>FORTUNER 4X2</v>
          </cell>
          <cell r="L86" t="str">
            <v>GUN65GA/TE0M</v>
          </cell>
          <cell r="M86" t="str">
            <v>FORTUNER</v>
          </cell>
          <cell r="N86" t="str">
            <v>FORTUNER 4X2</v>
          </cell>
          <cell r="O86" t="str">
            <v>GUN165R-SDTSHD-E0</v>
          </cell>
          <cell r="P86" t="e">
            <v>#N/A</v>
          </cell>
          <cell r="Q86" t="e">
            <v>#N/A</v>
          </cell>
          <cell r="R86" t="str">
            <v>GUN165R-SDTSHD-E0</v>
          </cell>
          <cell r="S86" t="str">
            <v>FORTUNER</v>
          </cell>
          <cell r="T86" t="e">
            <v>#N/A</v>
          </cell>
          <cell r="U86" t="str">
            <v>FORTUNER 4X2 G A/T DIESEL</v>
          </cell>
        </row>
        <row r="87">
          <cell r="D87" t="str">
            <v>GUN165R-SDTSHD-00</v>
          </cell>
          <cell r="E87" t="str">
            <v>FORTUNER</v>
          </cell>
          <cell r="F87" t="str">
            <v>FORTUNER 4X2</v>
          </cell>
          <cell r="G87" t="str">
            <v>FORTUNER 4X2</v>
          </cell>
          <cell r="H87" t="str">
            <v>FORTUNER 4X2 G A/T DIESEL</v>
          </cell>
          <cell r="I87" t="str">
            <v>FORTUNER 4X2 G A/T DIESEL</v>
          </cell>
          <cell r="J87" t="str">
            <v>FORTUNER 4X2 G A/T DIESEL</v>
          </cell>
          <cell r="K87" t="str">
            <v>FORTUNER 4X2</v>
          </cell>
          <cell r="L87" t="str">
            <v>GUN65GA/T</v>
          </cell>
          <cell r="M87" t="str">
            <v>FORTUNER</v>
          </cell>
          <cell r="N87" t="str">
            <v>FORTUNER 4X2</v>
          </cell>
          <cell r="O87" t="str">
            <v>GUN165R-SDTSHD-00</v>
          </cell>
          <cell r="P87" t="e">
            <v>#N/A</v>
          </cell>
          <cell r="Q87" t="e">
            <v>#N/A</v>
          </cell>
          <cell r="R87" t="str">
            <v>GUN165R-SDTSHD-00</v>
          </cell>
          <cell r="S87" t="str">
            <v>FORTUNER</v>
          </cell>
          <cell r="T87" t="e">
            <v>#N/A</v>
          </cell>
          <cell r="U87" t="str">
            <v>FORTUNER 4X2 G A/T DIESEL</v>
          </cell>
        </row>
        <row r="88">
          <cell r="D88" t="str">
            <v>GUN165R-SDTSHD-01</v>
          </cell>
          <cell r="E88" t="str">
            <v>FORTUNER</v>
          </cell>
          <cell r="F88" t="str">
            <v>FORTUNER 4X2</v>
          </cell>
          <cell r="G88" t="str">
            <v>FORTUNER 4X2</v>
          </cell>
          <cell r="H88" t="str">
            <v>FORTUNER 4X2 G A/T DIESEL</v>
          </cell>
          <cell r="I88" t="str">
            <v>FORTUNER 4X2 G A/T DIESEL</v>
          </cell>
          <cell r="J88" t="str">
            <v>FORTUNER 4X2 G A/T DIESEL</v>
          </cell>
          <cell r="K88" t="str">
            <v>FORTUNER 4X2</v>
          </cell>
          <cell r="L88" t="str">
            <v>GUN65GA/T01M</v>
          </cell>
          <cell r="M88" t="str">
            <v>FORTUNER</v>
          </cell>
          <cell r="N88" t="str">
            <v>FORTUNER 4X2</v>
          </cell>
          <cell r="O88" t="str">
            <v>GUN165R-SDTSHD-01</v>
          </cell>
          <cell r="P88" t="e">
            <v>#N/A</v>
          </cell>
          <cell r="Q88" t="e">
            <v>#N/A</v>
          </cell>
          <cell r="R88" t="str">
            <v>GUN165R-SDTSHD-01</v>
          </cell>
          <cell r="S88" t="str">
            <v>FORTUNER</v>
          </cell>
          <cell r="T88" t="e">
            <v>#N/A</v>
          </cell>
          <cell r="U88" t="str">
            <v>FORTUNER 4X2 G A/T DIESEL</v>
          </cell>
        </row>
        <row r="89">
          <cell r="D89" t="e">
            <v>#N/A</v>
          </cell>
          <cell r="E89" t="str">
            <v>FORTUNER</v>
          </cell>
          <cell r="F89" t="str">
            <v>FORTUNER 4X2</v>
          </cell>
          <cell r="G89" t="str">
            <v>FORTUNER 4X2</v>
          </cell>
          <cell r="H89" t="str">
            <v>FORTUNER 4X2 G A/T DIESEL</v>
          </cell>
          <cell r="I89" t="str">
            <v>FORTUNER 4X2 G A/T DIESEL</v>
          </cell>
          <cell r="J89" t="str">
            <v>FORTUNER 4X2 G A/T DIESEL</v>
          </cell>
          <cell r="K89" t="str">
            <v>FORTUNER 4X2</v>
          </cell>
          <cell r="L89" t="str">
            <v>KU60GA/T22</v>
          </cell>
          <cell r="M89" t="str">
            <v>FORTUNER</v>
          </cell>
          <cell r="N89" t="str">
            <v>FORTUNER 4X2</v>
          </cell>
          <cell r="O89" t="e">
            <v>#N/A</v>
          </cell>
          <cell r="P89" t="e">
            <v>#N/A</v>
          </cell>
          <cell r="Q89" t="e">
            <v>#N/A</v>
          </cell>
          <cell r="R89" t="e">
            <v>#N/A</v>
          </cell>
          <cell r="S89" t="str">
            <v>FORTUNER</v>
          </cell>
          <cell r="T89" t="e">
            <v>#N/A</v>
          </cell>
          <cell r="U89" t="str">
            <v>FORTUNER 4X2 G A/T DIESEL</v>
          </cell>
        </row>
        <row r="90">
          <cell r="D90" t="str">
            <v>KDH222R-LEMDY-13</v>
          </cell>
          <cell r="E90" t="str">
            <v>HIACE</v>
          </cell>
          <cell r="F90" t="str">
            <v>HIACE</v>
          </cell>
          <cell r="G90" t="str">
            <v>HIACE</v>
          </cell>
          <cell r="H90" t="str">
            <v>HIACE COMM</v>
          </cell>
          <cell r="I90" t="str">
            <v>HIACE COMM</v>
          </cell>
          <cell r="J90" t="str">
            <v>HIACE COMM</v>
          </cell>
          <cell r="K90" t="str">
            <v>HIACE COMM</v>
          </cell>
          <cell r="L90" t="str">
            <v>KD22M/T03COMM</v>
          </cell>
          <cell r="M90" t="str">
            <v>HIACE</v>
          </cell>
          <cell r="N90" t="str">
            <v>HIACE COMM</v>
          </cell>
          <cell r="O90" t="str">
            <v>KDH222R-LEMDY-13</v>
          </cell>
          <cell r="P90" t="e">
            <v>#N/A</v>
          </cell>
          <cell r="Q90" t="e">
            <v>#N/A</v>
          </cell>
          <cell r="R90" t="str">
            <v>KDH222R-LEMDY-13</v>
          </cell>
          <cell r="S90" t="str">
            <v>HIACE</v>
          </cell>
          <cell r="T90" t="e">
            <v>#N/A</v>
          </cell>
          <cell r="U90" t="str">
            <v>HIACE COMM</v>
          </cell>
        </row>
        <row r="91">
          <cell r="D91" t="str">
            <v>KDH222R-LEMDY-12</v>
          </cell>
          <cell r="E91" t="str">
            <v>HIACE</v>
          </cell>
          <cell r="F91" t="str">
            <v>HIACE</v>
          </cell>
          <cell r="G91" t="str">
            <v>HIACE</v>
          </cell>
          <cell r="H91" t="str">
            <v>HIACE COMM</v>
          </cell>
          <cell r="I91" t="str">
            <v>HIACE COMM</v>
          </cell>
          <cell r="J91" t="str">
            <v>HIACE COMM</v>
          </cell>
          <cell r="K91" t="str">
            <v>HIACE COMM</v>
          </cell>
          <cell r="L91" t="str">
            <v>KD22M/T03COMM</v>
          </cell>
          <cell r="M91" t="str">
            <v>HIACE</v>
          </cell>
          <cell r="N91" t="str">
            <v>HIACE COMM</v>
          </cell>
          <cell r="O91" t="str">
            <v>KDH222R-LEMDY-12</v>
          </cell>
          <cell r="P91" t="e">
            <v>#N/A</v>
          </cell>
          <cell r="Q91" t="e">
            <v>#N/A</v>
          </cell>
          <cell r="R91" t="str">
            <v>KDH222R-LEMDY-12</v>
          </cell>
          <cell r="S91" t="str">
            <v>HIACE</v>
          </cell>
          <cell r="T91" t="e">
            <v>#N/A</v>
          </cell>
          <cell r="U91" t="str">
            <v>HIACE COMM</v>
          </cell>
        </row>
        <row r="92">
          <cell r="D92" t="str">
            <v>KDH222R-LEMDY-02</v>
          </cell>
          <cell r="E92" t="str">
            <v>HIACE</v>
          </cell>
          <cell r="F92" t="str">
            <v>HIACE</v>
          </cell>
          <cell r="G92" t="str">
            <v>HIACE</v>
          </cell>
          <cell r="H92" t="str">
            <v>HIACE COMM</v>
          </cell>
          <cell r="I92" t="str">
            <v>HIACE COMM</v>
          </cell>
          <cell r="J92" t="str">
            <v>HIACE COMM</v>
          </cell>
          <cell r="K92" t="str">
            <v>HIACE COMM</v>
          </cell>
          <cell r="L92" t="str">
            <v>KD22M/T03COMM</v>
          </cell>
          <cell r="M92" t="str">
            <v>HIACE</v>
          </cell>
          <cell r="N92" t="str">
            <v>HIACE COMM</v>
          </cell>
          <cell r="O92" t="str">
            <v>KDH222R-LEMDY-02</v>
          </cell>
          <cell r="P92" t="e">
            <v>#N/A</v>
          </cell>
          <cell r="Q92" t="e">
            <v>#N/A</v>
          </cell>
          <cell r="R92" t="str">
            <v>KDH222R-LEMDY-02</v>
          </cell>
          <cell r="S92" t="str">
            <v>HIACE</v>
          </cell>
          <cell r="T92" t="e">
            <v>#N/A</v>
          </cell>
          <cell r="U92" t="str">
            <v>HIACE COMM</v>
          </cell>
        </row>
        <row r="93">
          <cell r="D93" t="str">
            <v>TGN110R-BTMXKD-00</v>
          </cell>
          <cell r="E93" t="str">
            <v>HILUX</v>
          </cell>
          <cell r="F93" t="str">
            <v>HILUX SC</v>
          </cell>
          <cell r="G93" t="str">
            <v>HILUX SC</v>
          </cell>
          <cell r="H93" t="str">
            <v>HILUX SC PU</v>
          </cell>
          <cell r="I93" t="str">
            <v>HILUX SC PU</v>
          </cell>
          <cell r="J93" t="str">
            <v>HILUX SC PU</v>
          </cell>
          <cell r="K93" t="str">
            <v>HILUX SC</v>
          </cell>
          <cell r="L93" t="str">
            <v>TG11SCM/T</v>
          </cell>
          <cell r="M93" t="str">
            <v>HILUX</v>
          </cell>
          <cell r="N93" t="str">
            <v>HILUX SC</v>
          </cell>
          <cell r="O93" t="str">
            <v>TGN110R-BTMXKD-00</v>
          </cell>
          <cell r="P93" t="e">
            <v>#N/A</v>
          </cell>
          <cell r="Q93" t="e">
            <v>#N/A</v>
          </cell>
          <cell r="R93" t="str">
            <v>TGN110R-BTMXKD-00</v>
          </cell>
          <cell r="S93" t="str">
            <v>HILUX</v>
          </cell>
          <cell r="T93" t="e">
            <v>#N/A</v>
          </cell>
          <cell r="U93" t="str">
            <v>HILUX SC PU</v>
          </cell>
        </row>
        <row r="94">
          <cell r="D94" t="str">
            <v>GUN125R-DTFSHD-11</v>
          </cell>
          <cell r="E94" t="str">
            <v>HILUX</v>
          </cell>
          <cell r="F94" t="str">
            <v>HILUX DC</v>
          </cell>
          <cell r="G94" t="str">
            <v>HILUX DC</v>
          </cell>
          <cell r="H94" t="str">
            <v>HILUX DC G M/T DIESEL</v>
          </cell>
          <cell r="I94" t="str">
            <v>HILUX DC G M/T DIESEL</v>
          </cell>
          <cell r="J94" t="str">
            <v>HILUX DC G M/T DIESEL</v>
          </cell>
          <cell r="K94" t="str">
            <v>HILUX DC</v>
          </cell>
          <cell r="L94" t="str">
            <v>GUN25DGM/T11M</v>
          </cell>
          <cell r="M94" t="str">
            <v>HILUX</v>
          </cell>
          <cell r="N94" t="str">
            <v>HILUX DC</v>
          </cell>
          <cell r="O94" t="str">
            <v>GUN125R-DTFSHD-11</v>
          </cell>
          <cell r="P94" t="e">
            <v>#N/A</v>
          </cell>
          <cell r="Q94" t="e">
            <v>#N/A</v>
          </cell>
          <cell r="R94" t="str">
            <v>GUN125R-DTFSHD-11</v>
          </cell>
          <cell r="S94" t="str">
            <v>HILUX</v>
          </cell>
          <cell r="T94" t="e">
            <v>#N/A</v>
          </cell>
          <cell r="U94" t="str">
            <v>HILUX DC G M/T DIESEL</v>
          </cell>
        </row>
        <row r="95">
          <cell r="D95" t="str">
            <v>GUN125R-DTFSHD-01</v>
          </cell>
          <cell r="E95" t="str">
            <v>HILUX</v>
          </cell>
          <cell r="F95" t="str">
            <v>HILUX DC</v>
          </cell>
          <cell r="G95" t="str">
            <v>HILUX DC</v>
          </cell>
          <cell r="H95" t="str">
            <v>HILUX DC G M/T DIESEL</v>
          </cell>
          <cell r="I95" t="str">
            <v>HILUX DC G M/T DIESEL</v>
          </cell>
          <cell r="J95" t="str">
            <v>HILUX DC G M/T DIESEL</v>
          </cell>
          <cell r="K95" t="str">
            <v>HILUX DC</v>
          </cell>
          <cell r="L95" t="str">
            <v>GUN25DGM/T01M</v>
          </cell>
          <cell r="M95" t="str">
            <v>HILUX</v>
          </cell>
          <cell r="N95" t="str">
            <v>HILUX DC</v>
          </cell>
          <cell r="O95" t="str">
            <v>GUN125R-DTFSHD-01</v>
          </cell>
          <cell r="P95" t="e">
            <v>#N/A</v>
          </cell>
          <cell r="Q95" t="e">
            <v>#N/A</v>
          </cell>
          <cell r="R95" t="str">
            <v>GUN125R-DTFSHD-01</v>
          </cell>
          <cell r="S95" t="str">
            <v>HILUX</v>
          </cell>
          <cell r="T95" t="e">
            <v>#N/A</v>
          </cell>
          <cell r="U95" t="str">
            <v>HILUX DC G M/T DIESEL</v>
          </cell>
        </row>
        <row r="96">
          <cell r="D96" t="str">
            <v>GUN125R-DTTMHD-01</v>
          </cell>
          <cell r="E96" t="str">
            <v>HILUX</v>
          </cell>
          <cell r="F96" t="str">
            <v>HILUX DC</v>
          </cell>
          <cell r="G96" t="str">
            <v>HILUX DC</v>
          </cell>
          <cell r="H96" t="str">
            <v>HILUX DC V A/T DIESEL</v>
          </cell>
          <cell r="I96" t="str">
            <v>HILUX DC V A/T DIESEL</v>
          </cell>
          <cell r="J96" t="str">
            <v>HILUX DC V A/T DIESEL</v>
          </cell>
          <cell r="K96" t="str">
            <v>HILUX DC</v>
          </cell>
          <cell r="L96" t="str">
            <v>GUN25DVA/T01M</v>
          </cell>
          <cell r="M96" t="str">
            <v>HILUX</v>
          </cell>
          <cell r="N96" t="str">
            <v>HILUX DC</v>
          </cell>
          <cell r="O96" t="str">
            <v>GUN125R-DTTMHD-01</v>
          </cell>
          <cell r="P96" t="e">
            <v>#N/A</v>
          </cell>
          <cell r="Q96" t="e">
            <v>#N/A</v>
          </cell>
          <cell r="R96" t="str">
            <v>GUN125R-DTTMHD-01</v>
          </cell>
          <cell r="S96" t="str">
            <v>HILUX</v>
          </cell>
          <cell r="T96" t="e">
            <v>#N/A</v>
          </cell>
          <cell r="U96" t="str">
            <v>HILUX DC V A/T DIESEL</v>
          </cell>
        </row>
        <row r="97">
          <cell r="D97" t="str">
            <v>TGN110R-BTMXKD-10</v>
          </cell>
          <cell r="E97" t="str">
            <v>HILUX</v>
          </cell>
          <cell r="F97" t="str">
            <v>HILUX SC</v>
          </cell>
          <cell r="G97" t="str">
            <v>HILUX SC</v>
          </cell>
          <cell r="H97" t="str">
            <v>HILUX SC PU</v>
          </cell>
          <cell r="I97" t="str">
            <v>HILUX SC PU</v>
          </cell>
          <cell r="J97" t="str">
            <v>HILUX SC PU</v>
          </cell>
          <cell r="K97" t="str">
            <v>HILUX SC</v>
          </cell>
          <cell r="L97" t="str">
            <v>TG11SCM/T10M</v>
          </cell>
          <cell r="M97" t="str">
            <v>HILUX</v>
          </cell>
          <cell r="N97" t="str">
            <v>HILUX SC</v>
          </cell>
          <cell r="O97" t="str">
            <v>TGN110R-BTMXKD-10</v>
          </cell>
          <cell r="P97" t="e">
            <v>#N/A</v>
          </cell>
          <cell r="Q97" t="e">
            <v>#N/A</v>
          </cell>
          <cell r="R97" t="str">
            <v>TGN110R-BTMXKD-10</v>
          </cell>
          <cell r="S97" t="str">
            <v>HILUX</v>
          </cell>
          <cell r="T97" t="e">
            <v>#N/A</v>
          </cell>
          <cell r="U97" t="str">
            <v>HILUX SC PU</v>
          </cell>
        </row>
        <row r="98">
          <cell r="D98" t="str">
            <v>KUN112R-BTMXYD-00</v>
          </cell>
          <cell r="E98" t="str">
            <v>HILUX</v>
          </cell>
          <cell r="F98" t="str">
            <v>HILUX SC</v>
          </cell>
          <cell r="G98" t="str">
            <v>HILUX SC</v>
          </cell>
          <cell r="H98" t="str">
            <v>HILUX SC M/T DIESEL</v>
          </cell>
          <cell r="I98" t="str">
            <v>HILUX SC M/T DIESEL</v>
          </cell>
          <cell r="J98" t="str">
            <v>HILUX SC M/T DIESEL</v>
          </cell>
          <cell r="K98" t="str">
            <v>HILUX SC</v>
          </cell>
          <cell r="L98" t="str">
            <v>KU11SCM/T</v>
          </cell>
          <cell r="M98" t="str">
            <v>HILUX</v>
          </cell>
          <cell r="N98" t="str">
            <v>HILUX SC</v>
          </cell>
          <cell r="O98" t="str">
            <v>KUN112R-BTMXYD-00</v>
          </cell>
          <cell r="P98" t="e">
            <v>#N/A</v>
          </cell>
          <cell r="Q98" t="e">
            <v>#N/A</v>
          </cell>
          <cell r="R98" t="str">
            <v>KUN112R-BTMXYD-00</v>
          </cell>
          <cell r="S98" t="str">
            <v>HILUX</v>
          </cell>
          <cell r="T98" t="e">
            <v>#N/A</v>
          </cell>
          <cell r="U98" t="str">
            <v>HILUX SC M/T DIESEL</v>
          </cell>
        </row>
        <row r="99">
          <cell r="D99" t="str">
            <v>TGN140R-MDTHKD-12</v>
          </cell>
          <cell r="E99" t="str">
            <v>INNOVA</v>
          </cell>
          <cell r="F99" t="str">
            <v>INNOVA</v>
          </cell>
          <cell r="G99" t="str">
            <v>INNOVA</v>
          </cell>
          <cell r="H99" t="str">
            <v>VENTURER A/T</v>
          </cell>
          <cell r="I99" t="str">
            <v>VENTURER A/T</v>
          </cell>
          <cell r="J99" t="str">
            <v>VENTURER A/T</v>
          </cell>
          <cell r="K99" t="str">
            <v>INNOVA REBORN</v>
          </cell>
          <cell r="L99" t="str">
            <v>TGN40QA/T12M</v>
          </cell>
          <cell r="M99" t="str">
            <v>INNOVA</v>
          </cell>
          <cell r="N99" t="str">
            <v>INNOVA REBORN</v>
          </cell>
          <cell r="O99" t="str">
            <v>TGN140R-MDTHKD-12</v>
          </cell>
          <cell r="P99" t="e">
            <v>#N/A</v>
          </cell>
          <cell r="Q99" t="e">
            <v>#N/A</v>
          </cell>
          <cell r="R99" t="str">
            <v>TGN140R-MDTHKD-12</v>
          </cell>
          <cell r="S99" t="str">
            <v>INNOVA</v>
          </cell>
          <cell r="T99" t="e">
            <v>#N/A</v>
          </cell>
          <cell r="U99" t="str">
            <v>VENTURER A/T</v>
          </cell>
        </row>
        <row r="100">
          <cell r="D100" t="str">
            <v>TGN140R-MDTHKD-22</v>
          </cell>
          <cell r="E100" t="str">
            <v>INNOVA</v>
          </cell>
          <cell r="F100" t="str">
            <v>INNOVA</v>
          </cell>
          <cell r="G100" t="str">
            <v>INNOVA</v>
          </cell>
          <cell r="H100" t="str">
            <v>VENTURER A/T</v>
          </cell>
          <cell r="I100" t="str">
            <v>VENTURER A/T</v>
          </cell>
          <cell r="J100" t="str">
            <v>VENTURER A/T</v>
          </cell>
          <cell r="K100" t="str">
            <v>INNOVA REBORN</v>
          </cell>
          <cell r="L100" t="str">
            <v>TGN40QA/T22M</v>
          </cell>
          <cell r="M100" t="str">
            <v>INNOVA</v>
          </cell>
          <cell r="N100" t="str">
            <v>INNOVA REBORN</v>
          </cell>
          <cell r="O100" t="str">
            <v>TGN140R-MDTHKD-22</v>
          </cell>
          <cell r="P100" t="e">
            <v>#N/A</v>
          </cell>
          <cell r="Q100" t="e">
            <v>#N/A</v>
          </cell>
          <cell r="R100" t="str">
            <v>TGN140R-MDTHKD-22</v>
          </cell>
          <cell r="S100" t="str">
            <v>INNOVA</v>
          </cell>
          <cell r="T100" t="e">
            <v>#N/A</v>
          </cell>
          <cell r="U100" t="str">
            <v>VENTURER A/T</v>
          </cell>
        </row>
        <row r="101">
          <cell r="D101" t="str">
            <v>TGN140R-MDTHKD-F2</v>
          </cell>
          <cell r="E101" t="str">
            <v>INNOVA</v>
          </cell>
          <cell r="F101" t="str">
            <v>INNOVA</v>
          </cell>
          <cell r="G101" t="str">
            <v>INNOVA</v>
          </cell>
          <cell r="H101" t="str">
            <v>VENTURER A/T</v>
          </cell>
          <cell r="I101" t="str">
            <v>VENTURER A/T</v>
          </cell>
          <cell r="J101" t="str">
            <v>VENTURER A/T</v>
          </cell>
          <cell r="K101" t="str">
            <v>INNOVA REBORN</v>
          </cell>
          <cell r="L101" t="str">
            <v>TGN40QA/TF2M</v>
          </cell>
          <cell r="M101" t="str">
            <v>INNOVA</v>
          </cell>
          <cell r="N101" t="str">
            <v>INNOVA REBORN</v>
          </cell>
          <cell r="O101" t="str">
            <v>TGN140R-MDTHKD-F2</v>
          </cell>
          <cell r="P101" t="e">
            <v>#N/A</v>
          </cell>
          <cell r="Q101" t="e">
            <v>#N/A</v>
          </cell>
          <cell r="R101" t="str">
            <v>TGN140R-MDTHKD-F2</v>
          </cell>
          <cell r="S101" t="str">
            <v>INNOVA</v>
          </cell>
          <cell r="T101" t="e">
            <v>#N/A</v>
          </cell>
          <cell r="U101" t="str">
            <v>VENTURER A/T</v>
          </cell>
        </row>
        <row r="102">
          <cell r="D102" t="str">
            <v>TGN140R-MDTHKD-E2</v>
          </cell>
          <cell r="E102" t="str">
            <v>INNOVA</v>
          </cell>
          <cell r="F102" t="str">
            <v>INNOVA</v>
          </cell>
          <cell r="G102" t="str">
            <v>INNOVA</v>
          </cell>
          <cell r="H102" t="str">
            <v>VENTURER A/T</v>
          </cell>
          <cell r="I102" t="str">
            <v>VENTURER A/T</v>
          </cell>
          <cell r="J102" t="str">
            <v>VENTURER A/T</v>
          </cell>
          <cell r="K102" t="str">
            <v>INNOVA REBORN</v>
          </cell>
          <cell r="L102" t="str">
            <v>TGN40QA/TE2M</v>
          </cell>
          <cell r="M102" t="str">
            <v>INNOVA</v>
          </cell>
          <cell r="N102" t="str">
            <v>INNOVA REBORN</v>
          </cell>
          <cell r="O102" t="str">
            <v>TGN140R-MDTHKD-E2</v>
          </cell>
          <cell r="P102" t="e">
            <v>#N/A</v>
          </cell>
          <cell r="Q102" t="e">
            <v>#N/A</v>
          </cell>
          <cell r="R102" t="str">
            <v>TGN140R-MDTHKD-E2</v>
          </cell>
          <cell r="S102" t="str">
            <v>INNOVA</v>
          </cell>
          <cell r="T102" t="e">
            <v>#N/A</v>
          </cell>
          <cell r="U102" t="str">
            <v>VENTURER A/T</v>
          </cell>
        </row>
        <row r="103">
          <cell r="D103" t="str">
            <v>GUN142R-MDTHYD-22</v>
          </cell>
          <cell r="E103" t="str">
            <v>INNOVA</v>
          </cell>
          <cell r="F103" t="str">
            <v>INNOVA</v>
          </cell>
          <cell r="G103" t="str">
            <v>INNOVA</v>
          </cell>
          <cell r="H103" t="str">
            <v>VENTURER A/T DIESEL</v>
          </cell>
          <cell r="I103" t="str">
            <v>VENTURER A/T DIESEL</v>
          </cell>
          <cell r="J103" t="str">
            <v>VENTURER A/T DIESEL</v>
          </cell>
          <cell r="K103" t="str">
            <v>INNOVA REBORN</v>
          </cell>
          <cell r="L103" t="str">
            <v>GUN42QA/T22M</v>
          </cell>
          <cell r="M103" t="str">
            <v>INNOVA</v>
          </cell>
          <cell r="N103" t="str">
            <v>INNOVA REBORN</v>
          </cell>
          <cell r="O103" t="str">
            <v>GUN142R-MDTHYD-22</v>
          </cell>
          <cell r="P103" t="e">
            <v>#N/A</v>
          </cell>
          <cell r="Q103" t="e">
            <v>#N/A</v>
          </cell>
          <cell r="R103" t="str">
            <v>GUN142R-MDTHYD-22</v>
          </cell>
          <cell r="S103" t="str">
            <v>INNOVA</v>
          </cell>
          <cell r="T103" t="e">
            <v>#N/A</v>
          </cell>
          <cell r="U103" t="str">
            <v>VENTURER A/T DIESEL</v>
          </cell>
        </row>
        <row r="104">
          <cell r="D104" t="str">
            <v>GUN142R-MDTHYD-F2</v>
          </cell>
          <cell r="E104" t="str">
            <v>INNOVA</v>
          </cell>
          <cell r="F104" t="str">
            <v>INNOVA</v>
          </cell>
          <cell r="G104" t="str">
            <v>INNOVA</v>
          </cell>
          <cell r="H104" t="str">
            <v>VENTURER A/T DIESEL</v>
          </cell>
          <cell r="I104" t="str">
            <v>VENTURER A/T DIESEL</v>
          </cell>
          <cell r="J104" t="str">
            <v>VENTURER A/T DIESEL</v>
          </cell>
          <cell r="K104" t="str">
            <v>INNOVA REBORN</v>
          </cell>
          <cell r="L104" t="str">
            <v>GUN42QA/TF2M</v>
          </cell>
          <cell r="M104" t="str">
            <v>INNOVA</v>
          </cell>
          <cell r="N104" t="str">
            <v>INNOVA REBORN</v>
          </cell>
          <cell r="O104" t="str">
            <v>GUN142R-MDTHYD-F2</v>
          </cell>
          <cell r="P104" t="e">
            <v>#N/A</v>
          </cell>
          <cell r="Q104" t="e">
            <v>#N/A</v>
          </cell>
          <cell r="R104" t="str">
            <v>GUN142R-MDTHYD-F2</v>
          </cell>
          <cell r="S104" t="str">
            <v>INNOVA</v>
          </cell>
          <cell r="T104" t="e">
            <v>#N/A</v>
          </cell>
          <cell r="U104" t="str">
            <v>VENTURER A/T DIESEL</v>
          </cell>
        </row>
        <row r="105">
          <cell r="D105" t="str">
            <v>GUN142R-MDTHYD-12</v>
          </cell>
          <cell r="E105" t="str">
            <v>INNOVA</v>
          </cell>
          <cell r="F105" t="str">
            <v>INNOVA</v>
          </cell>
          <cell r="G105" t="str">
            <v>INNOVA</v>
          </cell>
          <cell r="H105" t="str">
            <v>VENTURER A/T DIESEL</v>
          </cell>
          <cell r="I105" t="str">
            <v>VENTURER A/T DIESEL</v>
          </cell>
          <cell r="J105" t="str">
            <v>VENTURER A/T DIESEL</v>
          </cell>
          <cell r="K105" t="str">
            <v>INNOVA REBORN</v>
          </cell>
          <cell r="L105" t="str">
            <v>GUN42QA/T12M</v>
          </cell>
          <cell r="M105" t="str">
            <v>INNOVA</v>
          </cell>
          <cell r="N105" t="str">
            <v>INNOVA REBORN</v>
          </cell>
          <cell r="O105" t="str">
            <v>GUN142R-MDTHYD-12</v>
          </cell>
          <cell r="P105" t="e">
            <v>#N/A</v>
          </cell>
          <cell r="Q105" t="e">
            <v>#N/A</v>
          </cell>
          <cell r="R105" t="str">
            <v>GUN142R-MDTHYD-12</v>
          </cell>
          <cell r="S105" t="str">
            <v>INNOVA</v>
          </cell>
          <cell r="T105" t="e">
            <v>#N/A</v>
          </cell>
          <cell r="U105" t="str">
            <v>VENTURER A/T DIESEL</v>
          </cell>
        </row>
        <row r="106">
          <cell r="D106" t="str">
            <v>GUN142R-MDMHYD-12</v>
          </cell>
          <cell r="E106" t="str">
            <v>INNOVA</v>
          </cell>
          <cell r="F106" t="str">
            <v>INNOVA</v>
          </cell>
          <cell r="G106" t="str">
            <v>INNOVA</v>
          </cell>
          <cell r="H106" t="str">
            <v>VENTURER M/T DIESEL</v>
          </cell>
          <cell r="I106" t="str">
            <v>VENTURER M/T DIESEL</v>
          </cell>
          <cell r="J106" t="str">
            <v>VENTURER M/T DIESEL</v>
          </cell>
          <cell r="K106" t="str">
            <v>INNOVA REBORN</v>
          </cell>
          <cell r="L106" t="str">
            <v>GUN42QM/T12M</v>
          </cell>
          <cell r="M106" t="str">
            <v>INNOVA</v>
          </cell>
          <cell r="N106" t="str">
            <v>INNOVA REBORN</v>
          </cell>
          <cell r="O106" t="str">
            <v>GUN142R-MDMHYD-12</v>
          </cell>
          <cell r="P106" t="e">
            <v>#N/A</v>
          </cell>
          <cell r="Q106" t="e">
            <v>#N/A</v>
          </cell>
          <cell r="R106" t="str">
            <v>GUN142R-MDMHYD-12</v>
          </cell>
          <cell r="S106" t="str">
            <v>INNOVA</v>
          </cell>
          <cell r="T106" t="e">
            <v>#N/A</v>
          </cell>
          <cell r="U106" t="str">
            <v>VENTURER M/T DIESEL</v>
          </cell>
        </row>
        <row r="107">
          <cell r="D107" t="str">
            <v>GUN142R-MDMHYD-22</v>
          </cell>
          <cell r="E107" t="str">
            <v>INNOVA</v>
          </cell>
          <cell r="F107" t="str">
            <v>INNOVA</v>
          </cell>
          <cell r="G107" t="str">
            <v>INNOVA</v>
          </cell>
          <cell r="H107" t="str">
            <v>VENTURER M/T DIESEL</v>
          </cell>
          <cell r="I107" t="str">
            <v>VENTURER M/T DIESEL</v>
          </cell>
          <cell r="J107" t="str">
            <v>VENTURER M/T DIESEL</v>
          </cell>
          <cell r="K107" t="str">
            <v>INNOVA REBORN</v>
          </cell>
          <cell r="L107" t="str">
            <v>GUN42QM/T22M</v>
          </cell>
          <cell r="M107" t="str">
            <v>INNOVA</v>
          </cell>
          <cell r="N107" t="str">
            <v>INNOVA REBORN</v>
          </cell>
          <cell r="O107" t="str">
            <v>GUN142R-MDMHYD-22</v>
          </cell>
          <cell r="P107" t="e">
            <v>#N/A</v>
          </cell>
          <cell r="Q107" t="e">
            <v>#N/A</v>
          </cell>
          <cell r="R107" t="str">
            <v>GUN142R-MDMHYD-22</v>
          </cell>
          <cell r="S107" t="str">
            <v>INNOVA</v>
          </cell>
          <cell r="T107" t="e">
            <v>#N/A</v>
          </cell>
          <cell r="U107" t="str">
            <v>VENTURER M/T DIESEL</v>
          </cell>
        </row>
        <row r="108">
          <cell r="D108" t="str">
            <v>GUN142R-MDMHYD-F2</v>
          </cell>
          <cell r="E108" t="str">
            <v>INNOVA</v>
          </cell>
          <cell r="F108" t="str">
            <v>INNOVA</v>
          </cell>
          <cell r="G108" t="str">
            <v>INNOVA</v>
          </cell>
          <cell r="H108" t="str">
            <v>VENTURER M/T DIESEL</v>
          </cell>
          <cell r="I108" t="str">
            <v>VENTURER M/T DIESEL</v>
          </cell>
          <cell r="J108" t="str">
            <v>VENTURER M/T DIESEL</v>
          </cell>
          <cell r="K108" t="str">
            <v>INNOVA REBORN</v>
          </cell>
          <cell r="L108" t="str">
            <v>GUN42QM/TF2M</v>
          </cell>
          <cell r="M108" t="str">
            <v>INNOVA</v>
          </cell>
          <cell r="N108" t="str">
            <v>INNOVA REBORN</v>
          </cell>
          <cell r="O108" t="str">
            <v>GUN142R-MDMHYD-F2</v>
          </cell>
          <cell r="P108" t="e">
            <v>#N/A</v>
          </cell>
          <cell r="Q108" t="e">
            <v>#N/A</v>
          </cell>
          <cell r="R108" t="str">
            <v>GUN142R-MDMHYD-F2</v>
          </cell>
          <cell r="S108" t="str">
            <v>INNOVA</v>
          </cell>
          <cell r="T108" t="e">
            <v>#N/A</v>
          </cell>
          <cell r="U108" t="str">
            <v>VENTURER M/T DIESEL</v>
          </cell>
        </row>
        <row r="109">
          <cell r="D109" t="e">
            <v>#N/A</v>
          </cell>
          <cell r="E109" t="str">
            <v>INNOVA</v>
          </cell>
          <cell r="F109" t="str">
            <v>INNOVA</v>
          </cell>
          <cell r="G109" t="str">
            <v>INNOVA</v>
          </cell>
          <cell r="H109" t="str">
            <v>INNOVA E A/T</v>
          </cell>
          <cell r="I109" t="str">
            <v>INNOVA E A/T</v>
          </cell>
          <cell r="J109" t="str">
            <v>INNOVA E A/T</v>
          </cell>
          <cell r="K109" t="str">
            <v>INNOVA REBORN</v>
          </cell>
          <cell r="L109" t="str">
            <v>TG40EA/T20M</v>
          </cell>
          <cell r="M109" t="str">
            <v>INNOVA</v>
          </cell>
          <cell r="N109" t="str">
            <v>INNOVA REBORN</v>
          </cell>
          <cell r="O109" t="e">
            <v>#N/A</v>
          </cell>
          <cell r="P109" t="e">
            <v>#N/A</v>
          </cell>
          <cell r="Q109" t="e">
            <v>#N/A</v>
          </cell>
          <cell r="R109" t="e">
            <v>#N/A</v>
          </cell>
          <cell r="S109" t="str">
            <v>INNOVA</v>
          </cell>
          <cell r="T109" t="str">
            <v>INV REBORN</v>
          </cell>
          <cell r="U109" t="str">
            <v>INNOVA E A/T</v>
          </cell>
        </row>
        <row r="110">
          <cell r="D110" t="e">
            <v>#N/A</v>
          </cell>
          <cell r="E110" t="str">
            <v>INNOVA</v>
          </cell>
          <cell r="F110" t="str">
            <v>INNOVA</v>
          </cell>
          <cell r="G110" t="str">
            <v>INNOVA</v>
          </cell>
          <cell r="H110" t="str">
            <v>INNOVA E A/T</v>
          </cell>
          <cell r="I110" t="str">
            <v>INNOVA E A/T</v>
          </cell>
          <cell r="J110" t="str">
            <v>INNOVA E A/T</v>
          </cell>
          <cell r="K110" t="str">
            <v>INNOVA REBORN</v>
          </cell>
          <cell r="L110" t="str">
            <v>TG40EA/T30M</v>
          </cell>
          <cell r="M110" t="str">
            <v>INNOVA</v>
          </cell>
          <cell r="N110" t="str">
            <v>INNOVA REBORN</v>
          </cell>
          <cell r="O110" t="e">
            <v>#N/A</v>
          </cell>
          <cell r="P110" t="e">
            <v>#N/A</v>
          </cell>
          <cell r="Q110" t="e">
            <v>#N/A</v>
          </cell>
          <cell r="R110" t="e">
            <v>#N/A</v>
          </cell>
          <cell r="S110" t="str">
            <v>INNOVA</v>
          </cell>
          <cell r="T110" t="str">
            <v>INV REBORN</v>
          </cell>
          <cell r="U110" t="str">
            <v>INNOVA E A/T</v>
          </cell>
        </row>
        <row r="111">
          <cell r="D111" t="e">
            <v>#N/A</v>
          </cell>
          <cell r="E111" t="str">
            <v>INNOVA</v>
          </cell>
          <cell r="F111" t="str">
            <v>INNOVA</v>
          </cell>
          <cell r="G111" t="str">
            <v>INNOVA</v>
          </cell>
          <cell r="H111" t="str">
            <v>INNOVA E A/T</v>
          </cell>
          <cell r="I111" t="str">
            <v>INNOVA E A/T</v>
          </cell>
          <cell r="J111" t="str">
            <v>INNOVA E A/T</v>
          </cell>
          <cell r="K111" t="str">
            <v>INNOVA REBORN</v>
          </cell>
          <cell r="L111" t="str">
            <v>TG40EA/T/20M</v>
          </cell>
          <cell r="M111" t="str">
            <v>INNOVA</v>
          </cell>
          <cell r="N111" t="str">
            <v>INNOVA REBORN</v>
          </cell>
          <cell r="O111" t="e">
            <v>#N/A</v>
          </cell>
          <cell r="P111" t="e">
            <v>#N/A</v>
          </cell>
          <cell r="Q111" t="e">
            <v>#N/A</v>
          </cell>
          <cell r="R111" t="e">
            <v>#N/A</v>
          </cell>
          <cell r="S111" t="str">
            <v>INNOVA</v>
          </cell>
          <cell r="T111" t="str">
            <v>INV REBORN</v>
          </cell>
          <cell r="U111" t="str">
            <v>INNOVA E A/T</v>
          </cell>
        </row>
        <row r="112">
          <cell r="D112" t="e">
            <v>#N/A</v>
          </cell>
          <cell r="E112" t="str">
            <v>INNOVA</v>
          </cell>
          <cell r="F112" t="str">
            <v>INNOVA</v>
          </cell>
          <cell r="G112" t="str">
            <v>INNOVA</v>
          </cell>
          <cell r="H112" t="str">
            <v>INNOVA E A/T</v>
          </cell>
          <cell r="I112" t="str">
            <v>INNOVA E A/T</v>
          </cell>
          <cell r="J112" t="str">
            <v>INNOVA E A/T</v>
          </cell>
          <cell r="K112" t="str">
            <v>INNOVA REBORN</v>
          </cell>
          <cell r="L112" t="str">
            <v>TG40EA/T/20M</v>
          </cell>
          <cell r="M112" t="str">
            <v>INNOVA</v>
          </cell>
          <cell r="N112" t="str">
            <v>INNOVA REBORN</v>
          </cell>
          <cell r="O112" t="e">
            <v>#N/A</v>
          </cell>
          <cell r="P112" t="e">
            <v>#N/A</v>
          </cell>
          <cell r="Q112" t="e">
            <v>#N/A</v>
          </cell>
          <cell r="R112" t="e">
            <v>#N/A</v>
          </cell>
          <cell r="S112" t="str">
            <v>INNOVA</v>
          </cell>
          <cell r="T112" t="str">
            <v>INV REBORN</v>
          </cell>
          <cell r="U112" t="str">
            <v>INNOVA E A/T</v>
          </cell>
        </row>
        <row r="113">
          <cell r="D113" t="e">
            <v>#N/A</v>
          </cell>
          <cell r="E113" t="str">
            <v>INNOVA</v>
          </cell>
          <cell r="F113" t="str">
            <v>INNOVA</v>
          </cell>
          <cell r="G113" t="str">
            <v>INNOVA</v>
          </cell>
          <cell r="H113" t="str">
            <v>INNOVA E M/T</v>
          </cell>
          <cell r="I113" t="str">
            <v>INNOVA E M/T</v>
          </cell>
          <cell r="J113" t="str">
            <v>INNOVA E M/T</v>
          </cell>
          <cell r="K113" t="str">
            <v>INNOVA REBORN</v>
          </cell>
          <cell r="L113" t="str">
            <v>TG40EM/T11M</v>
          </cell>
          <cell r="M113" t="str">
            <v>INNOVA</v>
          </cell>
          <cell r="N113" t="str">
            <v>INNOVA REBORN</v>
          </cell>
          <cell r="O113" t="e">
            <v>#N/A</v>
          </cell>
          <cell r="P113" t="e">
            <v>#N/A</v>
          </cell>
          <cell r="Q113" t="e">
            <v>#N/A</v>
          </cell>
          <cell r="R113" t="e">
            <v>#N/A</v>
          </cell>
          <cell r="S113" t="str">
            <v>INNOVA</v>
          </cell>
          <cell r="T113" t="str">
            <v>INV REBORN</v>
          </cell>
          <cell r="U113" t="str">
            <v>INNOVA E M/T</v>
          </cell>
        </row>
        <row r="114">
          <cell r="D114" t="e">
            <v>#N/A</v>
          </cell>
          <cell r="E114" t="str">
            <v>INNOVA</v>
          </cell>
          <cell r="F114" t="str">
            <v>INNOVA</v>
          </cell>
          <cell r="G114" t="str">
            <v>INNOVA</v>
          </cell>
          <cell r="H114" t="str">
            <v>INNOVA E M/T</v>
          </cell>
          <cell r="I114" t="str">
            <v>INNOVA E M/T</v>
          </cell>
          <cell r="J114" t="str">
            <v>INNOVA E M/T</v>
          </cell>
          <cell r="K114" t="str">
            <v>INNOVA REBORN</v>
          </cell>
          <cell r="L114" t="str">
            <v>TG40EM/T20M</v>
          </cell>
          <cell r="M114" t="str">
            <v>INNOVA</v>
          </cell>
          <cell r="N114" t="str">
            <v>INNOVA REBORN</v>
          </cell>
          <cell r="O114" t="e">
            <v>#N/A</v>
          </cell>
          <cell r="P114" t="e">
            <v>#N/A</v>
          </cell>
          <cell r="Q114" t="e">
            <v>#N/A</v>
          </cell>
          <cell r="R114" t="e">
            <v>#N/A</v>
          </cell>
          <cell r="S114" t="str">
            <v>INNOVA</v>
          </cell>
          <cell r="T114" t="str">
            <v>INV REBORN</v>
          </cell>
          <cell r="U114" t="str">
            <v>INNOVA E M/T</v>
          </cell>
        </row>
        <row r="115">
          <cell r="D115" t="e">
            <v>#N/A</v>
          </cell>
          <cell r="E115" t="str">
            <v>INNOVA</v>
          </cell>
          <cell r="F115" t="str">
            <v>INNOVA</v>
          </cell>
          <cell r="G115" t="str">
            <v>INNOVA</v>
          </cell>
          <cell r="H115" t="str">
            <v>INNOVA E M/T</v>
          </cell>
          <cell r="I115" t="str">
            <v>INNOVA E M/T</v>
          </cell>
          <cell r="J115" t="str">
            <v>INNOVA E M/T</v>
          </cell>
          <cell r="K115" t="str">
            <v>INNOVA REBORN</v>
          </cell>
          <cell r="L115" t="str">
            <v>TG40EM/T30M</v>
          </cell>
          <cell r="M115" t="str">
            <v>INNOVA</v>
          </cell>
          <cell r="N115" t="str">
            <v>INNOVA REBORN</v>
          </cell>
          <cell r="O115" t="e">
            <v>#N/A</v>
          </cell>
          <cell r="P115" t="e">
            <v>#N/A</v>
          </cell>
          <cell r="Q115" t="e">
            <v>#N/A</v>
          </cell>
          <cell r="R115" t="e">
            <v>#N/A</v>
          </cell>
          <cell r="S115" t="str">
            <v>INNOVA</v>
          </cell>
          <cell r="T115" t="str">
            <v>INV REBORN</v>
          </cell>
          <cell r="U115" t="str">
            <v>INNOVA E M/T</v>
          </cell>
        </row>
        <row r="116">
          <cell r="D116" t="e">
            <v>#N/A</v>
          </cell>
          <cell r="E116" t="str">
            <v>INNOVA</v>
          </cell>
          <cell r="F116" t="str">
            <v>INNOVA</v>
          </cell>
          <cell r="G116" t="str">
            <v>INNOVA</v>
          </cell>
          <cell r="H116" t="str">
            <v>INNOVA E M/T</v>
          </cell>
          <cell r="I116" t="str">
            <v>INNOVA E M/T</v>
          </cell>
          <cell r="J116" t="str">
            <v>INNOVA E M/T</v>
          </cell>
          <cell r="K116" t="str">
            <v>INNOVA REBORN</v>
          </cell>
          <cell r="L116" t="str">
            <v>TG40EM/T03</v>
          </cell>
          <cell r="M116" t="str">
            <v>INNOVA</v>
          </cell>
          <cell r="N116" t="str">
            <v>INNOVA REBORN</v>
          </cell>
          <cell r="O116" t="e">
            <v>#N/A</v>
          </cell>
          <cell r="P116" t="e">
            <v>#N/A</v>
          </cell>
          <cell r="Q116" t="e">
            <v>#N/A</v>
          </cell>
          <cell r="R116" t="e">
            <v>#N/A</v>
          </cell>
          <cell r="S116" t="str">
            <v>INNOVA</v>
          </cell>
          <cell r="T116" t="str">
            <v>INV REBORN</v>
          </cell>
          <cell r="U116" t="str">
            <v>INNOVA E M/T</v>
          </cell>
        </row>
        <row r="117">
          <cell r="D117" t="e">
            <v>#N/A</v>
          </cell>
          <cell r="E117" t="str">
            <v>INNOVA</v>
          </cell>
          <cell r="F117" t="str">
            <v>INNOVA</v>
          </cell>
          <cell r="G117" t="str">
            <v>INNOVA</v>
          </cell>
          <cell r="H117" t="str">
            <v>INNOVA E M/T</v>
          </cell>
          <cell r="I117" t="str">
            <v>INNOVA E M/T</v>
          </cell>
          <cell r="J117" t="str">
            <v>INNOVA E M/T</v>
          </cell>
          <cell r="K117" t="str">
            <v>INNOVA REBORN</v>
          </cell>
          <cell r="L117" t="str">
            <v>TG40EM/T03M</v>
          </cell>
          <cell r="M117" t="str">
            <v>INNOVA</v>
          </cell>
          <cell r="N117" t="str">
            <v>INNOVA REBORN</v>
          </cell>
          <cell r="O117" t="e">
            <v>#N/A</v>
          </cell>
          <cell r="P117" t="e">
            <v>#N/A</v>
          </cell>
          <cell r="Q117" t="e">
            <v>#N/A</v>
          </cell>
          <cell r="R117" t="e">
            <v>#N/A</v>
          </cell>
          <cell r="S117" t="str">
            <v>INNOVA</v>
          </cell>
          <cell r="T117" t="str">
            <v>INV REBORN</v>
          </cell>
          <cell r="U117" t="str">
            <v>INNOVA E M/T</v>
          </cell>
        </row>
        <row r="118">
          <cell r="D118" t="e">
            <v>#N/A</v>
          </cell>
          <cell r="E118" t="str">
            <v>INNOVA</v>
          </cell>
          <cell r="F118" t="str">
            <v>INNOVA</v>
          </cell>
          <cell r="G118" t="str">
            <v>INNOVA</v>
          </cell>
          <cell r="H118" t="str">
            <v>INNOVA E M/T</v>
          </cell>
          <cell r="I118" t="str">
            <v>INNOVA E M/T</v>
          </cell>
          <cell r="J118" t="str">
            <v>INNOVA E M/T</v>
          </cell>
          <cell r="K118" t="str">
            <v>INNOVA REBORN</v>
          </cell>
          <cell r="L118" t="str">
            <v>TG40EM/T40M</v>
          </cell>
          <cell r="M118" t="str">
            <v>INNOVA</v>
          </cell>
          <cell r="N118" t="str">
            <v>INNOVA REBORN</v>
          </cell>
          <cell r="O118" t="e">
            <v>#N/A</v>
          </cell>
          <cell r="P118" t="e">
            <v>#N/A</v>
          </cell>
          <cell r="Q118" t="e">
            <v>#N/A</v>
          </cell>
          <cell r="R118" t="e">
            <v>#N/A</v>
          </cell>
          <cell r="S118" t="str">
            <v>INNOVA</v>
          </cell>
          <cell r="T118" t="str">
            <v>INV REBORN</v>
          </cell>
          <cell r="U118" t="str">
            <v>INNOVA E M/T</v>
          </cell>
        </row>
        <row r="119">
          <cell r="D119" t="e">
            <v>#N/A</v>
          </cell>
          <cell r="E119" t="str">
            <v>INNOVA</v>
          </cell>
          <cell r="F119" t="str">
            <v>INNOVA</v>
          </cell>
          <cell r="G119" t="str">
            <v>INNOVA</v>
          </cell>
          <cell r="H119" t="str">
            <v>INNOVA E M/T</v>
          </cell>
          <cell r="I119" t="str">
            <v>INNOVA E M/T</v>
          </cell>
          <cell r="J119" t="str">
            <v>INNOVA E M/T</v>
          </cell>
          <cell r="K119" t="str">
            <v>INNOVA REBORN</v>
          </cell>
          <cell r="L119" t="str">
            <v>TG40EM/T50M</v>
          </cell>
          <cell r="M119" t="str">
            <v>INNOVA</v>
          </cell>
          <cell r="N119" t="str">
            <v>INNOVA REBORN</v>
          </cell>
          <cell r="O119" t="e">
            <v>#N/A</v>
          </cell>
          <cell r="P119" t="e">
            <v>#N/A</v>
          </cell>
          <cell r="Q119" t="e">
            <v>#N/A</v>
          </cell>
          <cell r="R119" t="e">
            <v>#N/A</v>
          </cell>
          <cell r="S119" t="str">
            <v>INNOVA</v>
          </cell>
          <cell r="T119" t="str">
            <v>INV REBORN</v>
          </cell>
          <cell r="U119" t="str">
            <v>INNOVA E M/T</v>
          </cell>
        </row>
        <row r="120">
          <cell r="D120" t="e">
            <v>#N/A</v>
          </cell>
          <cell r="E120" t="str">
            <v>INNOVA</v>
          </cell>
          <cell r="F120" t="str">
            <v>INNOVA</v>
          </cell>
          <cell r="G120" t="str">
            <v>INNOVA</v>
          </cell>
          <cell r="H120" t="str">
            <v>INNOVA E M/T</v>
          </cell>
          <cell r="I120" t="str">
            <v>INNOVA E M/T</v>
          </cell>
          <cell r="J120" t="str">
            <v>INNOVA E M/T</v>
          </cell>
          <cell r="K120" t="str">
            <v>INNOVA REBORN</v>
          </cell>
          <cell r="L120" t="str">
            <v>TG40EM/T30</v>
          </cell>
          <cell r="M120" t="str">
            <v>INNOVA</v>
          </cell>
          <cell r="N120" t="str">
            <v>INNOVA REBORN</v>
          </cell>
          <cell r="O120" t="e">
            <v>#N/A</v>
          </cell>
          <cell r="P120" t="e">
            <v>#N/A</v>
          </cell>
          <cell r="Q120" t="e">
            <v>#N/A</v>
          </cell>
          <cell r="R120" t="e">
            <v>#N/A</v>
          </cell>
          <cell r="S120" t="str">
            <v>INNOVA</v>
          </cell>
          <cell r="T120" t="str">
            <v>INV REBORN</v>
          </cell>
          <cell r="U120" t="str">
            <v>INNOVA E M/T</v>
          </cell>
        </row>
        <row r="121">
          <cell r="D121" t="e">
            <v>#N/A</v>
          </cell>
          <cell r="E121" t="str">
            <v>INNOVA</v>
          </cell>
          <cell r="F121" t="str">
            <v>INNOVA</v>
          </cell>
          <cell r="G121" t="str">
            <v>INNOVA</v>
          </cell>
          <cell r="H121" t="str">
            <v>INNOVA E M/T</v>
          </cell>
          <cell r="I121" t="str">
            <v>INNOVA E M/T</v>
          </cell>
          <cell r="J121" t="str">
            <v>INNOVA E M/T</v>
          </cell>
          <cell r="K121" t="str">
            <v>INNOVA REBORN</v>
          </cell>
          <cell r="L121" t="str">
            <v>TG40ESTD21M</v>
          </cell>
          <cell r="M121" t="str">
            <v>INNOVA</v>
          </cell>
          <cell r="N121" t="str">
            <v>INNOVA REBORN</v>
          </cell>
          <cell r="O121" t="e">
            <v>#N/A</v>
          </cell>
          <cell r="P121" t="e">
            <v>#N/A</v>
          </cell>
          <cell r="Q121" t="e">
            <v>#N/A</v>
          </cell>
          <cell r="R121" t="e">
            <v>#N/A</v>
          </cell>
          <cell r="S121" t="str">
            <v>INNOVA</v>
          </cell>
          <cell r="T121" t="str">
            <v>INV REBORN</v>
          </cell>
          <cell r="U121" t="str">
            <v>INNOVA E M/T</v>
          </cell>
        </row>
        <row r="122">
          <cell r="D122" t="e">
            <v>#N/A</v>
          </cell>
          <cell r="E122" t="str">
            <v>INNOVA</v>
          </cell>
          <cell r="F122" t="str">
            <v>INNOVA</v>
          </cell>
          <cell r="G122" t="str">
            <v>INNOVA</v>
          </cell>
          <cell r="H122" t="str">
            <v>INNOVA E M/T</v>
          </cell>
          <cell r="I122" t="str">
            <v>INNOVA E M/T</v>
          </cell>
          <cell r="J122" t="str">
            <v>INNOVA E M/T</v>
          </cell>
          <cell r="K122" t="str">
            <v>INNOVA REBORN</v>
          </cell>
          <cell r="L122" t="str">
            <v>TG40ESTD31</v>
          </cell>
          <cell r="M122" t="str">
            <v>INNOVA</v>
          </cell>
          <cell r="N122" t="str">
            <v>INNOVA REBORN</v>
          </cell>
          <cell r="O122" t="e">
            <v>#N/A</v>
          </cell>
          <cell r="P122" t="e">
            <v>#N/A</v>
          </cell>
          <cell r="Q122" t="e">
            <v>#N/A</v>
          </cell>
          <cell r="R122" t="e">
            <v>#N/A</v>
          </cell>
          <cell r="S122" t="str">
            <v>INNOVA</v>
          </cell>
          <cell r="T122" t="str">
            <v>INV REBORN</v>
          </cell>
          <cell r="U122" t="str">
            <v>INNOVA E M/T</v>
          </cell>
        </row>
        <row r="123">
          <cell r="D123" t="e">
            <v>#N/A</v>
          </cell>
          <cell r="E123" t="str">
            <v>INNOVA</v>
          </cell>
          <cell r="F123" t="str">
            <v>INNOVA</v>
          </cell>
          <cell r="G123" t="str">
            <v>INNOVA</v>
          </cell>
          <cell r="H123" t="str">
            <v>INNOVA E M/T DIESEL</v>
          </cell>
          <cell r="I123" t="str">
            <v>INNOVA E M/T DIESEL</v>
          </cell>
          <cell r="J123" t="str">
            <v>INNOVA E M/T DIESEL</v>
          </cell>
          <cell r="K123" t="str">
            <v>INNOVA REBORN</v>
          </cell>
          <cell r="L123" t="str">
            <v>KU40EM/T10M</v>
          </cell>
          <cell r="M123" t="str">
            <v>INNOVA</v>
          </cell>
          <cell r="N123" t="str">
            <v>INNOVA REBORN</v>
          </cell>
          <cell r="O123" t="e">
            <v>#N/A</v>
          </cell>
          <cell r="P123" t="e">
            <v>#N/A</v>
          </cell>
          <cell r="Q123" t="e">
            <v>#N/A</v>
          </cell>
          <cell r="R123" t="e">
            <v>#N/A</v>
          </cell>
          <cell r="S123" t="str">
            <v>INNOVA</v>
          </cell>
          <cell r="T123" t="str">
            <v>INV REBORN</v>
          </cell>
          <cell r="U123" t="str">
            <v>INNOVA E M/T DIESEL</v>
          </cell>
        </row>
        <row r="124">
          <cell r="D124" t="e">
            <v>#N/A</v>
          </cell>
          <cell r="E124" t="str">
            <v>INNOVA</v>
          </cell>
          <cell r="F124" t="str">
            <v>INNOVA</v>
          </cell>
          <cell r="G124" t="str">
            <v>INNOVA</v>
          </cell>
          <cell r="H124" t="str">
            <v>INNOVA E M/T DIESEL</v>
          </cell>
          <cell r="I124" t="str">
            <v>INNOVA E M/T DIESEL</v>
          </cell>
          <cell r="J124" t="str">
            <v>INNOVA E M/T DIESEL</v>
          </cell>
          <cell r="K124" t="str">
            <v>INNOVA REBORN</v>
          </cell>
          <cell r="L124" t="str">
            <v>KU40EM/T20M</v>
          </cell>
          <cell r="M124" t="str">
            <v>INNOVA</v>
          </cell>
          <cell r="N124" t="str">
            <v>INNOVA REBORN</v>
          </cell>
          <cell r="O124" t="e">
            <v>#N/A</v>
          </cell>
          <cell r="P124" t="e">
            <v>#N/A</v>
          </cell>
          <cell r="Q124" t="e">
            <v>#N/A</v>
          </cell>
          <cell r="R124" t="e">
            <v>#N/A</v>
          </cell>
          <cell r="S124" t="str">
            <v>INNOVA</v>
          </cell>
          <cell r="T124" t="str">
            <v>INV REBORN</v>
          </cell>
          <cell r="U124" t="str">
            <v>INNOVA E M/T DIESEL</v>
          </cell>
        </row>
        <row r="125">
          <cell r="D125" t="e">
            <v>#N/A</v>
          </cell>
          <cell r="E125" t="str">
            <v>INNOVA</v>
          </cell>
          <cell r="F125" t="str">
            <v>INNOVA</v>
          </cell>
          <cell r="G125" t="str">
            <v>INNOVA</v>
          </cell>
          <cell r="H125" t="str">
            <v>INNOVA E M/T DIESEL</v>
          </cell>
          <cell r="I125" t="str">
            <v>INNOVA E M/T DIESEL</v>
          </cell>
          <cell r="J125" t="str">
            <v>INNOVA E M/T DIESEL</v>
          </cell>
          <cell r="K125" t="str">
            <v>INNOVA REBORN</v>
          </cell>
          <cell r="L125" t="str">
            <v>KU40EM/T30</v>
          </cell>
          <cell r="M125" t="str">
            <v>INNOVA</v>
          </cell>
          <cell r="N125" t="str">
            <v>INNOVA REBORN</v>
          </cell>
          <cell r="O125" t="e">
            <v>#N/A</v>
          </cell>
          <cell r="P125" t="e">
            <v>#N/A</v>
          </cell>
          <cell r="Q125" t="e">
            <v>#N/A</v>
          </cell>
          <cell r="R125" t="e">
            <v>#N/A</v>
          </cell>
          <cell r="S125" t="str">
            <v>INNOVA</v>
          </cell>
          <cell r="T125" t="str">
            <v>INV REBORN</v>
          </cell>
          <cell r="U125" t="str">
            <v>INNOVA E M/T DIESEL</v>
          </cell>
        </row>
        <row r="126">
          <cell r="D126" t="e">
            <v>#N/A</v>
          </cell>
          <cell r="E126" t="str">
            <v>INNOVA</v>
          </cell>
          <cell r="F126" t="str">
            <v>INNOVA</v>
          </cell>
          <cell r="G126" t="str">
            <v>INNOVA</v>
          </cell>
          <cell r="H126" t="str">
            <v>INNOVA E M/T DIESEL</v>
          </cell>
          <cell r="I126" t="str">
            <v>INNOVA E M/T DIESEL</v>
          </cell>
          <cell r="J126" t="str">
            <v>INNOVA E M/T DIESEL</v>
          </cell>
          <cell r="K126" t="str">
            <v>INNOVA REBORN</v>
          </cell>
          <cell r="L126" t="str">
            <v>KU40EM/T30M</v>
          </cell>
          <cell r="M126" t="str">
            <v>INNOVA</v>
          </cell>
          <cell r="N126" t="str">
            <v>INNOVA REBORN</v>
          </cell>
          <cell r="O126" t="e">
            <v>#N/A</v>
          </cell>
          <cell r="P126" t="e">
            <v>#N/A</v>
          </cell>
          <cell r="Q126" t="e">
            <v>#N/A</v>
          </cell>
          <cell r="R126" t="e">
            <v>#N/A</v>
          </cell>
          <cell r="S126" t="str">
            <v>INNOVA</v>
          </cell>
          <cell r="T126" t="str">
            <v>INV REBORN</v>
          </cell>
          <cell r="U126" t="str">
            <v>INNOVA E M/T DIESEL</v>
          </cell>
        </row>
        <row r="127">
          <cell r="D127" t="e">
            <v>#N/A</v>
          </cell>
          <cell r="E127" t="str">
            <v>INNOVA</v>
          </cell>
          <cell r="F127" t="str">
            <v>INNOVA</v>
          </cell>
          <cell r="G127" t="str">
            <v>INNOVA</v>
          </cell>
          <cell r="H127" t="str">
            <v>INNOVA E M/T DIESEL</v>
          </cell>
          <cell r="I127" t="str">
            <v>INNOVA E M/T DIESEL</v>
          </cell>
          <cell r="J127" t="str">
            <v>INNOVA E M/T DIESEL</v>
          </cell>
          <cell r="K127" t="str">
            <v>INNOVA REBORN</v>
          </cell>
          <cell r="L127" t="str">
            <v>KU40EM/T40M</v>
          </cell>
          <cell r="M127" t="str">
            <v>INNOVA</v>
          </cell>
          <cell r="N127" t="str">
            <v>INNOVA REBORN</v>
          </cell>
          <cell r="O127" t="e">
            <v>#N/A</v>
          </cell>
          <cell r="P127" t="e">
            <v>#N/A</v>
          </cell>
          <cell r="Q127" t="e">
            <v>#N/A</v>
          </cell>
          <cell r="R127" t="e">
            <v>#N/A</v>
          </cell>
          <cell r="S127" t="str">
            <v>INNOVA</v>
          </cell>
          <cell r="T127" t="str">
            <v>INV REBORN</v>
          </cell>
          <cell r="U127" t="str">
            <v>INNOVA E M/T DIESEL</v>
          </cell>
        </row>
        <row r="128">
          <cell r="D128" t="e">
            <v>#N/A</v>
          </cell>
          <cell r="E128" t="str">
            <v>INNOVA</v>
          </cell>
          <cell r="F128" t="str">
            <v>INNOVA</v>
          </cell>
          <cell r="G128" t="str">
            <v>INNOVA</v>
          </cell>
          <cell r="H128" t="str">
            <v>INNOVA E M/T DIESEL</v>
          </cell>
          <cell r="I128" t="str">
            <v>INNOVA E M/T DIESEL</v>
          </cell>
          <cell r="J128" t="str">
            <v>INNOVA E M/T DIESEL</v>
          </cell>
          <cell r="K128" t="str">
            <v>INNOVA REBORN</v>
          </cell>
          <cell r="L128" t="str">
            <v>KU40EM/T50M</v>
          </cell>
          <cell r="M128" t="str">
            <v>INNOVA</v>
          </cell>
          <cell r="N128" t="str">
            <v>INNOVA REBORN</v>
          </cell>
          <cell r="O128" t="e">
            <v>#N/A</v>
          </cell>
          <cell r="P128" t="e">
            <v>#N/A</v>
          </cell>
          <cell r="Q128" t="e">
            <v>#N/A</v>
          </cell>
          <cell r="R128" t="e">
            <v>#N/A</v>
          </cell>
          <cell r="S128" t="str">
            <v>INNOVA</v>
          </cell>
          <cell r="T128" t="str">
            <v>INV REBORN</v>
          </cell>
          <cell r="U128" t="str">
            <v>INNOVA E M/T DIESEL</v>
          </cell>
        </row>
        <row r="129">
          <cell r="D129" t="e">
            <v>#N/A</v>
          </cell>
          <cell r="E129" t="str">
            <v>INNOVA</v>
          </cell>
          <cell r="F129" t="str">
            <v>INNOVA</v>
          </cell>
          <cell r="G129" t="str">
            <v>INNOVA</v>
          </cell>
          <cell r="H129" t="str">
            <v>INNOVA E M/T DIESEL</v>
          </cell>
          <cell r="I129" t="str">
            <v>INNOVA E M/T DIESEL</v>
          </cell>
          <cell r="J129" t="str">
            <v>INNOVA E M/T DIESEL</v>
          </cell>
          <cell r="K129" t="str">
            <v>INNOVA REBORN</v>
          </cell>
          <cell r="L129" t="str">
            <v>KU40EM/T20</v>
          </cell>
          <cell r="M129" t="str">
            <v>INNOVA</v>
          </cell>
          <cell r="N129" t="str">
            <v>INNOVA REBORN</v>
          </cell>
          <cell r="O129" t="e">
            <v>#N/A</v>
          </cell>
          <cell r="P129" t="e">
            <v>#N/A</v>
          </cell>
          <cell r="Q129" t="e">
            <v>#N/A</v>
          </cell>
          <cell r="R129" t="e">
            <v>#N/A</v>
          </cell>
          <cell r="S129" t="str">
            <v>INNOVA</v>
          </cell>
          <cell r="T129" t="str">
            <v>INV REBORN</v>
          </cell>
          <cell r="U129" t="str">
            <v>INNOVA E M/T DIESEL</v>
          </cell>
        </row>
        <row r="130">
          <cell r="D130" t="e">
            <v>#N/A</v>
          </cell>
          <cell r="E130" t="str">
            <v>INNOVA</v>
          </cell>
          <cell r="F130" t="str">
            <v>INNOVA</v>
          </cell>
          <cell r="G130" t="str">
            <v>INNOVA</v>
          </cell>
          <cell r="H130" t="str">
            <v>INNOVA E M/T DIESEL</v>
          </cell>
          <cell r="I130" t="str">
            <v>INNOVA E M/T DIESEL</v>
          </cell>
          <cell r="J130" t="str">
            <v>INNOVA E M/T DIESEL</v>
          </cell>
          <cell r="K130" t="str">
            <v>INNOVA REBORN</v>
          </cell>
          <cell r="L130" t="str">
            <v>KU40ESTD11M</v>
          </cell>
          <cell r="M130" t="str">
            <v>INNOVA</v>
          </cell>
          <cell r="N130" t="str">
            <v>INNOVA REBORN</v>
          </cell>
          <cell r="O130" t="e">
            <v>#N/A</v>
          </cell>
          <cell r="P130" t="e">
            <v>#N/A</v>
          </cell>
          <cell r="Q130" t="e">
            <v>#N/A</v>
          </cell>
          <cell r="R130" t="e">
            <v>#N/A</v>
          </cell>
          <cell r="S130" t="str">
            <v>INNOVA</v>
          </cell>
          <cell r="T130" t="str">
            <v>INV REBORN</v>
          </cell>
          <cell r="U130" t="str">
            <v>INNOVA E M/T DIESEL</v>
          </cell>
        </row>
        <row r="131">
          <cell r="D131" t="e">
            <v>#N/A</v>
          </cell>
          <cell r="E131" t="str">
            <v>INNOVA</v>
          </cell>
          <cell r="F131" t="str">
            <v>INNOVA</v>
          </cell>
          <cell r="G131" t="str">
            <v>INNOVA</v>
          </cell>
          <cell r="H131" t="str">
            <v>INNOVA E M/T DIESEL</v>
          </cell>
          <cell r="I131" t="str">
            <v>INNOVA E M/T DIESEL</v>
          </cell>
          <cell r="J131" t="str">
            <v>INNOVA E M/T DIESEL</v>
          </cell>
          <cell r="K131" t="str">
            <v>INNOVA REBORN</v>
          </cell>
          <cell r="L131" t="str">
            <v>KU40ESTD21</v>
          </cell>
          <cell r="M131" t="str">
            <v>INNOVA</v>
          </cell>
          <cell r="N131" t="str">
            <v>INNOVA REBORN</v>
          </cell>
          <cell r="O131" t="e">
            <v>#N/A</v>
          </cell>
          <cell r="P131" t="e">
            <v>#N/A</v>
          </cell>
          <cell r="Q131" t="e">
            <v>#N/A</v>
          </cell>
          <cell r="R131" t="e">
            <v>#N/A</v>
          </cell>
          <cell r="S131" t="str">
            <v>INNOVA</v>
          </cell>
          <cell r="T131" t="str">
            <v>INV REBORN</v>
          </cell>
          <cell r="U131" t="str">
            <v>INNOVA E M/T DIESEL</v>
          </cell>
        </row>
        <row r="132">
          <cell r="D132" t="str">
            <v>TGN140R-MDTSKD-00</v>
          </cell>
          <cell r="E132" t="str">
            <v>INNOVA</v>
          </cell>
          <cell r="F132" t="str">
            <v>INNOVA</v>
          </cell>
          <cell r="G132" t="str">
            <v>INNOVA</v>
          </cell>
          <cell r="H132" t="str">
            <v>INNOVA G A/T</v>
          </cell>
          <cell r="I132" t="str">
            <v>INNOVA G A/T</v>
          </cell>
          <cell r="J132" t="str">
            <v>INNOVA G A/T</v>
          </cell>
          <cell r="K132" t="str">
            <v>INNOVA REBORN</v>
          </cell>
          <cell r="L132" t="str">
            <v>TGN40GA/T</v>
          </cell>
          <cell r="M132" t="str">
            <v>INNOVA</v>
          </cell>
          <cell r="N132" t="str">
            <v>INNOVA REBORN</v>
          </cell>
          <cell r="O132" t="str">
            <v>TGN140R-MDTSKD-00</v>
          </cell>
          <cell r="P132" t="e">
            <v>#N/A</v>
          </cell>
          <cell r="Q132" t="e">
            <v>#N/A</v>
          </cell>
          <cell r="R132" t="str">
            <v>TGN140R-MDTSKD-00</v>
          </cell>
          <cell r="S132" t="str">
            <v>INNOVA</v>
          </cell>
          <cell r="T132" t="str">
            <v>INV REBORN</v>
          </cell>
          <cell r="U132" t="str">
            <v>INNOVA G A/T</v>
          </cell>
        </row>
        <row r="133">
          <cell r="D133" t="str">
            <v>TGN140R-MDTSKD-20</v>
          </cell>
          <cell r="E133" t="str">
            <v>INNOVA</v>
          </cell>
          <cell r="F133" t="str">
            <v>INNOVA</v>
          </cell>
          <cell r="G133" t="str">
            <v>INNOVA</v>
          </cell>
          <cell r="H133" t="str">
            <v>INNOVA G A/T</v>
          </cell>
          <cell r="I133" t="str">
            <v>INNOVA G A/T</v>
          </cell>
          <cell r="J133" t="str">
            <v>INNOVA G A/T</v>
          </cell>
          <cell r="K133" t="str">
            <v>INNOVA REBORN</v>
          </cell>
          <cell r="L133" t="str">
            <v>TGN40GA/T20M</v>
          </cell>
          <cell r="M133" t="str">
            <v>INNOVA</v>
          </cell>
          <cell r="N133" t="str">
            <v>INNOVA REBORN</v>
          </cell>
          <cell r="O133" t="str">
            <v>TGN140R-MDTSKD-20</v>
          </cell>
          <cell r="P133" t="e">
            <v>#N/A</v>
          </cell>
          <cell r="Q133" t="e">
            <v>#N/A</v>
          </cell>
          <cell r="R133" t="str">
            <v>TGN140R-MDTSKD-20</v>
          </cell>
          <cell r="S133" t="str">
            <v>INNOVA</v>
          </cell>
          <cell r="T133" t="str">
            <v>INV REBORN</v>
          </cell>
          <cell r="U133" t="str">
            <v>INNOVA G A/T</v>
          </cell>
        </row>
        <row r="134">
          <cell r="D134" t="str">
            <v>TGN140R-MDTSKD-F0</v>
          </cell>
          <cell r="E134" t="str">
            <v>INNOVA</v>
          </cell>
          <cell r="F134" t="str">
            <v>INNOVA</v>
          </cell>
          <cell r="G134" t="str">
            <v>INNOVA</v>
          </cell>
          <cell r="H134" t="str">
            <v>INNOVA G A/T</v>
          </cell>
          <cell r="I134" t="str">
            <v>INNOVA G A/T</v>
          </cell>
          <cell r="J134" t="str">
            <v>INNOVA G A/T</v>
          </cell>
          <cell r="K134" t="str">
            <v>INNOVA REBORN</v>
          </cell>
          <cell r="L134" t="str">
            <v>TGN40GA/TF0M</v>
          </cell>
          <cell r="M134" t="str">
            <v>INNOVA</v>
          </cell>
          <cell r="N134" t="str">
            <v>INNOVA REBORN</v>
          </cell>
          <cell r="O134" t="str">
            <v>TGN140R-MDTSKD-F0</v>
          </cell>
          <cell r="P134" t="e">
            <v>#N/A</v>
          </cell>
          <cell r="Q134" t="e">
            <v>#N/A</v>
          </cell>
          <cell r="R134" t="str">
            <v>TGN140R-MDTSKD-F0</v>
          </cell>
          <cell r="S134" t="str">
            <v>INNOVA</v>
          </cell>
          <cell r="T134" t="str">
            <v>INV REBORN</v>
          </cell>
          <cell r="U134" t="str">
            <v>INNOVA G A/T</v>
          </cell>
        </row>
        <row r="135">
          <cell r="D135" t="str">
            <v>TGN140R-MDTSKD-10</v>
          </cell>
          <cell r="E135" t="str">
            <v>INNOVA</v>
          </cell>
          <cell r="F135" t="str">
            <v>INNOVA</v>
          </cell>
          <cell r="G135" t="str">
            <v>INNOVA</v>
          </cell>
          <cell r="H135" t="str">
            <v>INNOVA G A/T</v>
          </cell>
          <cell r="I135" t="str">
            <v>INNOVA G A/T</v>
          </cell>
          <cell r="J135" t="str">
            <v>INNOVA G A/T</v>
          </cell>
          <cell r="K135" t="str">
            <v>INNOVA REBORN</v>
          </cell>
          <cell r="L135" t="str">
            <v>TGN40GA/T10M</v>
          </cell>
          <cell r="M135" t="str">
            <v>INNOVA</v>
          </cell>
          <cell r="N135" t="str">
            <v>INNOVA REBORN</v>
          </cell>
          <cell r="O135" t="str">
            <v>TGN140R-MDTSKD-10</v>
          </cell>
          <cell r="P135" t="e">
            <v>#N/A</v>
          </cell>
          <cell r="Q135" t="e">
            <v>#N/A</v>
          </cell>
          <cell r="R135" t="str">
            <v>TGN140R-MDTSKD-10</v>
          </cell>
          <cell r="S135" t="str">
            <v>INNOVA</v>
          </cell>
          <cell r="T135" t="str">
            <v>INV REBORN</v>
          </cell>
          <cell r="U135" t="str">
            <v>INNOVA G A/T</v>
          </cell>
        </row>
        <row r="136">
          <cell r="D136" t="str">
            <v>TGN140R-MDTSKD-E0</v>
          </cell>
          <cell r="E136" t="str">
            <v>INNOVA</v>
          </cell>
          <cell r="F136" t="str">
            <v>INNOVA</v>
          </cell>
          <cell r="G136" t="str">
            <v>INNOVA</v>
          </cell>
          <cell r="H136" t="str">
            <v>INNOVA G A/T</v>
          </cell>
          <cell r="I136" t="str">
            <v>INNOVA G A/T</v>
          </cell>
          <cell r="J136" t="str">
            <v>INNOVA G A/T</v>
          </cell>
          <cell r="K136" t="str">
            <v>INNOVA REBORN</v>
          </cell>
          <cell r="L136" t="str">
            <v>TGN40GA/TE0M</v>
          </cell>
          <cell r="M136" t="str">
            <v>INNOVA</v>
          </cell>
          <cell r="N136" t="str">
            <v>INNOVA REBORN</v>
          </cell>
          <cell r="O136" t="str">
            <v>TGN140R-MDTSKD-E0</v>
          </cell>
          <cell r="P136" t="e">
            <v>#N/A</v>
          </cell>
          <cell r="Q136" t="e">
            <v>#N/A</v>
          </cell>
          <cell r="R136" t="str">
            <v>TGN140R-MDTSKD-E0</v>
          </cell>
          <cell r="S136" t="str">
            <v>INNOVA</v>
          </cell>
          <cell r="T136" t="str">
            <v>INV REBORN</v>
          </cell>
          <cell r="U136" t="str">
            <v>INNOVA G A/T</v>
          </cell>
        </row>
        <row r="137">
          <cell r="D137" t="str">
            <v>GUN142R-MDMHYD-02</v>
          </cell>
          <cell r="E137" t="str">
            <v>INNOVA</v>
          </cell>
          <cell r="F137" t="str">
            <v>INNOVA</v>
          </cell>
          <cell r="G137" t="str">
            <v>INNOVA</v>
          </cell>
          <cell r="H137" t="str">
            <v>VENTURER M/T DIESEL</v>
          </cell>
          <cell r="I137" t="str">
            <v>VENTURER M/T DIESEL</v>
          </cell>
          <cell r="J137" t="str">
            <v>VENTURER M/T DIESEL</v>
          </cell>
          <cell r="K137" t="str">
            <v>INNOVA REBORN</v>
          </cell>
          <cell r="L137" t="str">
            <v>GUN42QM/T02M</v>
          </cell>
          <cell r="M137" t="str">
            <v>INNOVA</v>
          </cell>
          <cell r="N137" t="str">
            <v>INNOVA REBORN</v>
          </cell>
          <cell r="O137" t="str">
            <v>GUN142R-MDMHYD-02</v>
          </cell>
          <cell r="P137" t="e">
            <v>#N/A</v>
          </cell>
          <cell r="Q137" t="e">
            <v>#N/A</v>
          </cell>
          <cell r="R137" t="str">
            <v>GUN142R-MDMHYD-02</v>
          </cell>
          <cell r="S137" t="str">
            <v>INNOVA</v>
          </cell>
          <cell r="T137" t="e">
            <v>#N/A</v>
          </cell>
          <cell r="U137" t="str">
            <v>VENTURER M/T DIESEL</v>
          </cell>
        </row>
        <row r="138">
          <cell r="D138" t="e">
            <v>#N/A</v>
          </cell>
          <cell r="E138" t="str">
            <v>INNOVA</v>
          </cell>
          <cell r="F138" t="str">
            <v>INNOVA</v>
          </cell>
          <cell r="G138" t="str">
            <v>INNOVA</v>
          </cell>
          <cell r="H138" t="str">
            <v>INNOVA G A/T</v>
          </cell>
          <cell r="I138" t="str">
            <v>INNOVA G A/T</v>
          </cell>
          <cell r="J138" t="str">
            <v>INNOVA G A/T</v>
          </cell>
          <cell r="K138" t="str">
            <v>INNOVA REBORN</v>
          </cell>
          <cell r="L138" t="str">
            <v>TG40GA/T11M</v>
          </cell>
          <cell r="M138" t="str">
            <v>INNOVA</v>
          </cell>
          <cell r="N138" t="str">
            <v>INNOVA REBORN</v>
          </cell>
          <cell r="O138" t="e">
            <v>#N/A</v>
          </cell>
          <cell r="P138" t="e">
            <v>#N/A</v>
          </cell>
          <cell r="Q138" t="e">
            <v>#N/A</v>
          </cell>
          <cell r="R138" t="e">
            <v>#N/A</v>
          </cell>
          <cell r="S138" t="str">
            <v>INNOVA</v>
          </cell>
          <cell r="T138" t="str">
            <v>INV REBORN</v>
          </cell>
          <cell r="U138" t="str">
            <v>INNOVA G A/T</v>
          </cell>
        </row>
        <row r="139">
          <cell r="D139" t="e">
            <v>#N/A</v>
          </cell>
          <cell r="E139" t="str">
            <v>INNOVA</v>
          </cell>
          <cell r="F139" t="str">
            <v>INNOVA</v>
          </cell>
          <cell r="G139" t="str">
            <v>INNOVA</v>
          </cell>
          <cell r="H139" t="str">
            <v>INNOVA G A/T</v>
          </cell>
          <cell r="I139" t="str">
            <v>INNOVA G A/T</v>
          </cell>
          <cell r="J139" t="str">
            <v>INNOVA G A/T</v>
          </cell>
          <cell r="K139" t="str">
            <v>INNOVA REBORN</v>
          </cell>
          <cell r="L139" t="str">
            <v>TG40GA/T32</v>
          </cell>
          <cell r="M139" t="str">
            <v>INNOVA</v>
          </cell>
          <cell r="N139" t="str">
            <v>INNOVA REBORN</v>
          </cell>
          <cell r="O139" t="e">
            <v>#N/A</v>
          </cell>
          <cell r="P139" t="e">
            <v>#N/A</v>
          </cell>
          <cell r="Q139" t="e">
            <v>#N/A</v>
          </cell>
          <cell r="R139" t="e">
            <v>#N/A</v>
          </cell>
          <cell r="S139" t="str">
            <v>INNOVA</v>
          </cell>
          <cell r="T139" t="str">
            <v>INV REBORN</v>
          </cell>
          <cell r="U139" t="str">
            <v>INNOVA G A/T</v>
          </cell>
        </row>
        <row r="140">
          <cell r="D140" t="e">
            <v>#N/A</v>
          </cell>
          <cell r="E140" t="str">
            <v>INNOVA</v>
          </cell>
          <cell r="F140" t="str">
            <v>INNOVA</v>
          </cell>
          <cell r="G140" t="str">
            <v>INNOVA</v>
          </cell>
          <cell r="H140" t="str">
            <v>INNOVA G A/T</v>
          </cell>
          <cell r="I140" t="str">
            <v>INNOVA G A/T</v>
          </cell>
          <cell r="J140" t="str">
            <v>INNOVA G A/T</v>
          </cell>
          <cell r="K140" t="str">
            <v>INNOVA REBORN</v>
          </cell>
          <cell r="L140" t="str">
            <v>TG40GA/T32M</v>
          </cell>
          <cell r="M140" t="str">
            <v>INNOVA</v>
          </cell>
          <cell r="N140" t="str">
            <v>INNOVA REBORN</v>
          </cell>
          <cell r="O140" t="e">
            <v>#N/A</v>
          </cell>
          <cell r="P140" t="e">
            <v>#N/A</v>
          </cell>
          <cell r="Q140" t="e">
            <v>#N/A</v>
          </cell>
          <cell r="R140" t="e">
            <v>#N/A</v>
          </cell>
          <cell r="S140" t="str">
            <v>INNOVA</v>
          </cell>
          <cell r="T140" t="str">
            <v>INV REBORN</v>
          </cell>
          <cell r="U140" t="str">
            <v>INNOVA G A/T</v>
          </cell>
        </row>
        <row r="141">
          <cell r="D141" t="e">
            <v>#N/A</v>
          </cell>
          <cell r="E141" t="str">
            <v>INNOVA</v>
          </cell>
          <cell r="F141" t="str">
            <v>INNOVA</v>
          </cell>
          <cell r="G141" t="str">
            <v>INNOVA</v>
          </cell>
          <cell r="H141" t="str">
            <v>INNOVA G A/T</v>
          </cell>
          <cell r="I141" t="str">
            <v>INNOVA G A/T</v>
          </cell>
          <cell r="J141" t="str">
            <v>INNOVA G A/T</v>
          </cell>
          <cell r="K141" t="str">
            <v>INNOVA REBORN</v>
          </cell>
          <cell r="L141" t="str">
            <v>TG40GA/T33</v>
          </cell>
          <cell r="M141" t="str">
            <v>INNOVA</v>
          </cell>
          <cell r="N141" t="str">
            <v>INNOVA REBORN</v>
          </cell>
          <cell r="O141" t="e">
            <v>#N/A</v>
          </cell>
          <cell r="P141" t="e">
            <v>#N/A</v>
          </cell>
          <cell r="Q141" t="e">
            <v>#N/A</v>
          </cell>
          <cell r="R141" t="e">
            <v>#N/A</v>
          </cell>
          <cell r="S141" t="str">
            <v>INNOVA</v>
          </cell>
          <cell r="T141" t="str">
            <v>INV REBORN</v>
          </cell>
          <cell r="U141" t="str">
            <v>INNOVA G A/T</v>
          </cell>
        </row>
        <row r="142">
          <cell r="D142" t="e">
            <v>#N/A</v>
          </cell>
          <cell r="E142" t="str">
            <v>INNOVA</v>
          </cell>
          <cell r="F142" t="str">
            <v>INNOVA</v>
          </cell>
          <cell r="G142" t="str">
            <v>INNOVA</v>
          </cell>
          <cell r="H142" t="str">
            <v>INNOVA G A/T</v>
          </cell>
          <cell r="I142" t="str">
            <v>INNOVA G A/T</v>
          </cell>
          <cell r="J142" t="str">
            <v>INNOVA G A/T</v>
          </cell>
          <cell r="K142" t="str">
            <v>INNOVA REBORN</v>
          </cell>
          <cell r="L142" t="str">
            <v>TG40GA/T33m</v>
          </cell>
          <cell r="M142" t="str">
            <v>INNOVA</v>
          </cell>
          <cell r="N142" t="str">
            <v>INNOVA REBORN</v>
          </cell>
          <cell r="O142" t="e">
            <v>#N/A</v>
          </cell>
          <cell r="P142" t="e">
            <v>#N/A</v>
          </cell>
          <cell r="Q142" t="e">
            <v>#N/A</v>
          </cell>
          <cell r="R142" t="e">
            <v>#N/A</v>
          </cell>
          <cell r="S142" t="str">
            <v>INNOVA</v>
          </cell>
          <cell r="T142" t="str">
            <v>INV REBORN</v>
          </cell>
          <cell r="U142" t="str">
            <v>INNOVA G A/T</v>
          </cell>
        </row>
        <row r="143">
          <cell r="D143" t="e">
            <v>#N/A</v>
          </cell>
          <cell r="E143" t="str">
            <v>INNOVA</v>
          </cell>
          <cell r="F143" t="str">
            <v>INNOVA</v>
          </cell>
          <cell r="G143" t="str">
            <v>INNOVA</v>
          </cell>
          <cell r="H143" t="str">
            <v>INNOVA G A/T</v>
          </cell>
          <cell r="I143" t="str">
            <v>INNOVA G A/T</v>
          </cell>
          <cell r="J143" t="str">
            <v>INNOVA G A/T</v>
          </cell>
          <cell r="K143" t="str">
            <v>INNOVA REBORN</v>
          </cell>
          <cell r="L143" t="str">
            <v>TG40GA/T41M</v>
          </cell>
          <cell r="M143" t="str">
            <v>INNOVA</v>
          </cell>
          <cell r="N143" t="str">
            <v>INNOVA REBORN</v>
          </cell>
          <cell r="O143" t="e">
            <v>#N/A</v>
          </cell>
          <cell r="P143" t="e">
            <v>#N/A</v>
          </cell>
          <cell r="Q143" t="e">
            <v>#N/A</v>
          </cell>
          <cell r="R143" t="e">
            <v>#N/A</v>
          </cell>
          <cell r="S143" t="str">
            <v>INNOVA</v>
          </cell>
          <cell r="T143" t="str">
            <v>INV REBORN</v>
          </cell>
          <cell r="U143" t="str">
            <v>INNOVA G A/T</v>
          </cell>
        </row>
        <row r="144">
          <cell r="D144" t="str">
            <v>VDJ200R-GNTVZ-61</v>
          </cell>
          <cell r="E144" t="str">
            <v>LANDCRUISER</v>
          </cell>
          <cell r="F144" t="str">
            <v>LANDCRUISER</v>
          </cell>
          <cell r="G144" t="str">
            <v>LANDCRUISER</v>
          </cell>
          <cell r="H144" t="str">
            <v>LANDCRUISER</v>
          </cell>
          <cell r="I144" t="str">
            <v>LANDCRUISER</v>
          </cell>
          <cell r="J144" t="str">
            <v>LANDCRUISER</v>
          </cell>
          <cell r="K144" t="str">
            <v>LANDCRUISER</v>
          </cell>
          <cell r="L144" t="str">
            <v>VJ200VZA/T61M</v>
          </cell>
          <cell r="M144" t="str">
            <v>LANDCRUISER</v>
          </cell>
          <cell r="N144" t="str">
            <v>LANDCRUISER</v>
          </cell>
          <cell r="O144" t="str">
            <v>VDJ200R-GNTVZ-61</v>
          </cell>
          <cell r="P144" t="e">
            <v>#N/A</v>
          </cell>
          <cell r="Q144" t="e">
            <v>#N/A</v>
          </cell>
          <cell r="R144" t="str">
            <v>VDJ200R-GNTVZ-61</v>
          </cell>
          <cell r="S144" t="str">
            <v>LANDCRUISER</v>
          </cell>
          <cell r="T144" t="e">
            <v>#N/A</v>
          </cell>
          <cell r="U144" t="str">
            <v>LANDCRUISER</v>
          </cell>
        </row>
        <row r="145">
          <cell r="D145" t="str">
            <v>VDJ200R-GNTVZ-51</v>
          </cell>
          <cell r="E145" t="str">
            <v>LANDCRUISER</v>
          </cell>
          <cell r="F145" t="str">
            <v>LANDCRUISER</v>
          </cell>
          <cell r="G145" t="str">
            <v>LANDCRUISER</v>
          </cell>
          <cell r="H145" t="str">
            <v>LANDCRUISER</v>
          </cell>
          <cell r="I145" t="str">
            <v>LANDCRUISER</v>
          </cell>
          <cell r="J145" t="str">
            <v>LANDCRUISER</v>
          </cell>
          <cell r="K145" t="str">
            <v>LANDCRUISER</v>
          </cell>
          <cell r="L145" t="str">
            <v>VJ200VZA/T51M</v>
          </cell>
          <cell r="M145" t="str">
            <v>LANDCRUISER</v>
          </cell>
          <cell r="N145" t="str">
            <v>LANDCRUISER</v>
          </cell>
          <cell r="O145" t="str">
            <v>VDJ200R-GNTVZ-51</v>
          </cell>
          <cell r="P145" t="e">
            <v>#N/A</v>
          </cell>
          <cell r="Q145" t="e">
            <v>#N/A</v>
          </cell>
          <cell r="R145" t="str">
            <v>VDJ200R-GNTVZ-51</v>
          </cell>
          <cell r="S145" t="str">
            <v>LANDCRUISER</v>
          </cell>
          <cell r="T145" t="e">
            <v>#N/A</v>
          </cell>
          <cell r="U145" t="str">
            <v>LANDCRUISER</v>
          </cell>
        </row>
        <row r="146">
          <cell r="D146" t="str">
            <v>ZRE172R-GEXGKD-10</v>
          </cell>
          <cell r="E146" t="str">
            <v>COROLLA</v>
          </cell>
          <cell r="F146" t="str">
            <v>COROLLA ALTIS</v>
          </cell>
          <cell r="G146" t="str">
            <v>COROLLA ALTIS</v>
          </cell>
          <cell r="H146" t="str">
            <v>COROLLA ALTIS V A/T</v>
          </cell>
          <cell r="I146" t="str">
            <v>COROLLA ALTIS V A/T</v>
          </cell>
          <cell r="J146" t="str">
            <v>COROLLA ALTIS V A/T</v>
          </cell>
          <cell r="K146" t="str">
            <v>COROLLA ALTIS</v>
          </cell>
          <cell r="L146" t="str">
            <v>ZE172VA/T10M</v>
          </cell>
          <cell r="M146" t="str">
            <v>COROLLA ALTIS</v>
          </cell>
          <cell r="N146" t="str">
            <v>COROLLA ALTIS</v>
          </cell>
          <cell r="O146" t="str">
            <v>ZRE172R-GEXGKD-10</v>
          </cell>
          <cell r="P146" t="e">
            <v>#N/A</v>
          </cell>
          <cell r="Q146" t="e">
            <v>#N/A</v>
          </cell>
          <cell r="R146" t="str">
            <v>ZRE172R-GEXGKD-10</v>
          </cell>
          <cell r="S146" t="str">
            <v>COROLLA</v>
          </cell>
          <cell r="T146" t="e">
            <v>#N/A</v>
          </cell>
          <cell r="U146" t="str">
            <v>COROLLA ALTIS V A/T</v>
          </cell>
        </row>
        <row r="147">
          <cell r="D147" t="str">
            <v>F800RE-GQMFJ-10</v>
          </cell>
          <cell r="E147" t="str">
            <v>RUSH</v>
          </cell>
          <cell r="F147" t="str">
            <v>RUSH</v>
          </cell>
          <cell r="G147" t="str">
            <v>RUSH</v>
          </cell>
          <cell r="H147" t="str">
            <v>RUSH G A/T</v>
          </cell>
          <cell r="I147" t="str">
            <v>RUSH G A/T</v>
          </cell>
          <cell r="J147" t="str">
            <v>RUSH G A/T</v>
          </cell>
          <cell r="K147" t="str">
            <v>RUSH</v>
          </cell>
          <cell r="L147" t="str">
            <v>F80GA/T10M</v>
          </cell>
          <cell r="M147" t="str">
            <v>RUSH</v>
          </cell>
          <cell r="N147" t="str">
            <v>RUSH</v>
          </cell>
          <cell r="O147" t="str">
            <v>F800RE-GQMFJ-10</v>
          </cell>
          <cell r="P147" t="e">
            <v>#N/A</v>
          </cell>
          <cell r="Q147" t="e">
            <v>#N/A</v>
          </cell>
          <cell r="R147" t="str">
            <v>F800RE-GQMFJ-10</v>
          </cell>
          <cell r="S147" t="str">
            <v>RUSH</v>
          </cell>
          <cell r="T147" t="e">
            <v>#N/A</v>
          </cell>
          <cell r="U147" t="str">
            <v>RUSH G A/T</v>
          </cell>
        </row>
        <row r="148">
          <cell r="D148" t="str">
            <v>F800RE-GQMFJ-00</v>
          </cell>
          <cell r="E148" t="str">
            <v>RUSH</v>
          </cell>
          <cell r="F148" t="str">
            <v>RUSH</v>
          </cell>
          <cell r="G148" t="str">
            <v>RUSH</v>
          </cell>
          <cell r="H148" t="str">
            <v>RUSH G A/T</v>
          </cell>
          <cell r="I148" t="str">
            <v>RUSH G A/T</v>
          </cell>
          <cell r="J148" t="str">
            <v>RUSH G A/T</v>
          </cell>
          <cell r="K148" t="str">
            <v>RUSH</v>
          </cell>
          <cell r="L148" t="str">
            <v>F80GA/T00M</v>
          </cell>
          <cell r="M148" t="str">
            <v>RUSH</v>
          </cell>
          <cell r="N148" t="str">
            <v>RUSH</v>
          </cell>
          <cell r="O148" t="str">
            <v>F800RE-GQMFJ-00</v>
          </cell>
          <cell r="P148" t="e">
            <v>#N/A</v>
          </cell>
          <cell r="Q148" t="e">
            <v>#N/A</v>
          </cell>
          <cell r="R148" t="str">
            <v>F800RE-GQMFJ-00</v>
          </cell>
          <cell r="S148" t="str">
            <v>RUSH</v>
          </cell>
          <cell r="T148" t="e">
            <v>#N/A</v>
          </cell>
          <cell r="U148" t="str">
            <v>RUSH G A/T</v>
          </cell>
        </row>
        <row r="149">
          <cell r="D149" t="str">
            <v>F800RE-GMMFJ-10</v>
          </cell>
          <cell r="E149" t="str">
            <v>RUSH</v>
          </cell>
          <cell r="F149" t="str">
            <v>RUSH</v>
          </cell>
          <cell r="G149" t="str">
            <v>RUSH</v>
          </cell>
          <cell r="H149" t="str">
            <v>RUSH G M/T</v>
          </cell>
          <cell r="I149" t="str">
            <v>RUSH G M/T</v>
          </cell>
          <cell r="J149" t="str">
            <v>RUSH G M/T</v>
          </cell>
          <cell r="K149" t="str">
            <v>RUSH</v>
          </cell>
          <cell r="L149" t="str">
            <v>F80GM/T10M</v>
          </cell>
          <cell r="M149" t="str">
            <v>RUSH</v>
          </cell>
          <cell r="N149" t="str">
            <v>RUSH</v>
          </cell>
          <cell r="O149" t="str">
            <v>F800RE-GMMFJ-10</v>
          </cell>
          <cell r="P149" t="e">
            <v>#N/A</v>
          </cell>
          <cell r="Q149" t="e">
            <v>#N/A</v>
          </cell>
          <cell r="R149" t="str">
            <v>F800RE-GMMFJ-10</v>
          </cell>
          <cell r="S149" t="str">
            <v>RUSH</v>
          </cell>
          <cell r="T149" t="e">
            <v>#N/A</v>
          </cell>
          <cell r="U149" t="str">
            <v>RUSH G M/T</v>
          </cell>
        </row>
        <row r="150">
          <cell r="D150" t="str">
            <v>F800RE-GMMFJ-00</v>
          </cell>
          <cell r="E150" t="str">
            <v>RUSH</v>
          </cell>
          <cell r="F150" t="str">
            <v>RUSH</v>
          </cell>
          <cell r="G150" t="str">
            <v>RUSH</v>
          </cell>
          <cell r="H150" t="str">
            <v>RUSH G M/T</v>
          </cell>
          <cell r="I150" t="str">
            <v>RUSH G M/T</v>
          </cell>
          <cell r="J150" t="str">
            <v>RUSH G M/T</v>
          </cell>
          <cell r="K150" t="str">
            <v>RUSH</v>
          </cell>
          <cell r="L150" t="str">
            <v>F80GM/T00M</v>
          </cell>
          <cell r="M150" t="str">
            <v>RUSH</v>
          </cell>
          <cell r="N150" t="str">
            <v>RUSH</v>
          </cell>
          <cell r="O150" t="str">
            <v>F800RE-GMMFJ-00</v>
          </cell>
          <cell r="P150" t="e">
            <v>#N/A</v>
          </cell>
          <cell r="Q150" t="e">
            <v>#N/A</v>
          </cell>
          <cell r="R150" t="str">
            <v>F800RE-GMMFJ-00</v>
          </cell>
          <cell r="S150" t="str">
            <v>RUSH</v>
          </cell>
          <cell r="T150" t="e">
            <v>#N/A</v>
          </cell>
          <cell r="U150" t="str">
            <v>RUSH G M/T</v>
          </cell>
        </row>
        <row r="151">
          <cell r="D151" t="str">
            <v>F800RE-GQGFJ-00</v>
          </cell>
          <cell r="E151" t="str">
            <v>RUSH</v>
          </cell>
          <cell r="F151" t="str">
            <v>RUSH</v>
          </cell>
          <cell r="G151" t="str">
            <v>RUSH</v>
          </cell>
          <cell r="H151" t="str">
            <v>RUSH S A/T</v>
          </cell>
          <cell r="I151" t="str">
            <v>RUSH S A/T</v>
          </cell>
          <cell r="J151" t="str">
            <v>RUSH S A/T</v>
          </cell>
          <cell r="K151" t="str">
            <v>RUSH</v>
          </cell>
          <cell r="L151" t="str">
            <v>F80SA/T00M</v>
          </cell>
          <cell r="M151" t="str">
            <v>RUSH</v>
          </cell>
          <cell r="N151" t="str">
            <v>RUSH</v>
          </cell>
          <cell r="O151" t="str">
            <v>F800RE-GQGFJ-00</v>
          </cell>
          <cell r="P151" t="e">
            <v>#N/A</v>
          </cell>
          <cell r="Q151" t="e">
            <v>#N/A</v>
          </cell>
          <cell r="R151" t="str">
            <v>F800RE-GQGFJ-00</v>
          </cell>
          <cell r="S151" t="str">
            <v>RUSH</v>
          </cell>
          <cell r="T151" t="e">
            <v>#N/A</v>
          </cell>
          <cell r="U151" t="str">
            <v>RUSH S A/T</v>
          </cell>
        </row>
        <row r="152">
          <cell r="D152" t="str">
            <v>F800RE-GQGFJ-10</v>
          </cell>
          <cell r="E152" t="str">
            <v>RUSH</v>
          </cell>
          <cell r="F152" t="str">
            <v>RUSH</v>
          </cell>
          <cell r="G152" t="str">
            <v>RUSH</v>
          </cell>
          <cell r="H152" t="str">
            <v>RUSH S A/T</v>
          </cell>
          <cell r="I152" t="str">
            <v>RUSH S A/T</v>
          </cell>
          <cell r="J152" t="str">
            <v>RUSH S A/T</v>
          </cell>
          <cell r="K152" t="str">
            <v>RUSH</v>
          </cell>
          <cell r="L152" t="str">
            <v>F80SA/T10M</v>
          </cell>
          <cell r="M152" t="str">
            <v>RUSH</v>
          </cell>
          <cell r="N152" t="str">
            <v>RUSH</v>
          </cell>
          <cell r="O152" t="str">
            <v>F800RE-GQGFJ-10</v>
          </cell>
          <cell r="P152" t="e">
            <v>#N/A</v>
          </cell>
          <cell r="Q152" t="e">
            <v>#N/A</v>
          </cell>
          <cell r="R152" t="str">
            <v>F800RE-GQGFJ-10</v>
          </cell>
          <cell r="S152" t="str">
            <v>RUSH</v>
          </cell>
          <cell r="T152" t="e">
            <v>#N/A</v>
          </cell>
          <cell r="U152" t="str">
            <v>RUSH S A/T</v>
          </cell>
        </row>
        <row r="153">
          <cell r="D153" t="str">
            <v>F800RE-GMGFJ-10</v>
          </cell>
          <cell r="E153" t="str">
            <v>RUSH</v>
          </cell>
          <cell r="F153" t="str">
            <v>RUSH</v>
          </cell>
          <cell r="G153" t="str">
            <v>RUSH</v>
          </cell>
          <cell r="H153" t="str">
            <v>RUSH S M/T</v>
          </cell>
          <cell r="I153" t="str">
            <v>RUSH S M/T</v>
          </cell>
          <cell r="J153" t="str">
            <v>RUSH S M/T</v>
          </cell>
          <cell r="K153" t="str">
            <v>RUSH</v>
          </cell>
          <cell r="L153" t="str">
            <v>F80SM/T10M</v>
          </cell>
          <cell r="M153" t="str">
            <v>RUSH</v>
          </cell>
          <cell r="N153" t="str">
            <v>RUSH</v>
          </cell>
          <cell r="O153" t="str">
            <v>F800RE-GMGFJ-10</v>
          </cell>
          <cell r="P153" t="e">
            <v>#N/A</v>
          </cell>
          <cell r="Q153" t="e">
            <v>#N/A</v>
          </cell>
          <cell r="R153" t="str">
            <v>F800RE-GMGFJ-10</v>
          </cell>
          <cell r="S153" t="str">
            <v>RUSH</v>
          </cell>
          <cell r="T153" t="e">
            <v>#N/A</v>
          </cell>
          <cell r="U153" t="str">
            <v>RUSH S M/T</v>
          </cell>
        </row>
        <row r="154">
          <cell r="D154" t="str">
            <v>F800RE-GMGFJ-00</v>
          </cell>
          <cell r="E154" t="str">
            <v>RUSH</v>
          </cell>
          <cell r="F154" t="str">
            <v>RUSH</v>
          </cell>
          <cell r="G154" t="str">
            <v>RUSH</v>
          </cell>
          <cell r="H154" t="str">
            <v>RUSH S M/T</v>
          </cell>
          <cell r="I154" t="str">
            <v>RUSH S M/T</v>
          </cell>
          <cell r="J154" t="str">
            <v>RUSH S M/T</v>
          </cell>
          <cell r="K154" t="str">
            <v>RUSH</v>
          </cell>
          <cell r="L154" t="str">
            <v>F80SM/T00M</v>
          </cell>
          <cell r="M154" t="str">
            <v>RUSH</v>
          </cell>
          <cell r="N154" t="str">
            <v>RUSH</v>
          </cell>
          <cell r="O154" t="str">
            <v>F800RE-GMGFJ-00</v>
          </cell>
          <cell r="P154" t="e">
            <v>#N/A</v>
          </cell>
          <cell r="Q154" t="e">
            <v>#N/A</v>
          </cell>
          <cell r="R154" t="str">
            <v>F800RE-GMGFJ-00</v>
          </cell>
          <cell r="S154" t="str">
            <v>RUSH</v>
          </cell>
          <cell r="T154" t="e">
            <v>#N/A</v>
          </cell>
          <cell r="U154" t="str">
            <v>RUSH S M/T</v>
          </cell>
        </row>
        <row r="155">
          <cell r="D155" t="str">
            <v>NSP170R-MWYNKD-00</v>
          </cell>
          <cell r="E155" t="str">
            <v>SIENTA</v>
          </cell>
          <cell r="F155" t="str">
            <v>SIENTA</v>
          </cell>
          <cell r="G155" t="str">
            <v>SIENTA</v>
          </cell>
          <cell r="H155" t="str">
            <v>SIENTA G A/T</v>
          </cell>
          <cell r="I155" t="str">
            <v>SIENTA G A/T</v>
          </cell>
          <cell r="J155" t="str">
            <v>SIENTA G A/T</v>
          </cell>
          <cell r="K155" t="str">
            <v>SIENTA</v>
          </cell>
          <cell r="L155" t="str">
            <v>NP17GA/T00M</v>
          </cell>
          <cell r="M155" t="str">
            <v>SIENTA</v>
          </cell>
          <cell r="N155" t="str">
            <v>SIENTA</v>
          </cell>
          <cell r="O155" t="str">
            <v>NSP170R-MWYNKD-00</v>
          </cell>
          <cell r="P155" t="e">
            <v>#N/A</v>
          </cell>
          <cell r="Q155" t="e">
            <v>#N/A</v>
          </cell>
          <cell r="R155" t="str">
            <v>NSP170R-MWYNKD-00</v>
          </cell>
          <cell r="S155" t="str">
            <v>SIENTA</v>
          </cell>
          <cell r="T155" t="e">
            <v>#N/A</v>
          </cell>
          <cell r="U155" t="str">
            <v>SIENTA G A/T</v>
          </cell>
        </row>
        <row r="156">
          <cell r="D156" t="str">
            <v>NSP170R-MWYNKD-E0</v>
          </cell>
          <cell r="E156" t="str">
            <v>SIENTA</v>
          </cell>
          <cell r="F156" t="str">
            <v>SIENTA</v>
          </cell>
          <cell r="G156" t="str">
            <v>SIENTA</v>
          </cell>
          <cell r="H156" t="str">
            <v>SIENTA G A/T</v>
          </cell>
          <cell r="I156" t="str">
            <v>SIENTA G A/T</v>
          </cell>
          <cell r="J156" t="str">
            <v>SIENTA G A/T</v>
          </cell>
          <cell r="K156" t="str">
            <v>SIENTA</v>
          </cell>
          <cell r="L156" t="str">
            <v>NP17GA/TE0M</v>
          </cell>
          <cell r="M156" t="str">
            <v>SIENTA</v>
          </cell>
          <cell r="N156" t="str">
            <v>SIENTA</v>
          </cell>
          <cell r="O156" t="str">
            <v>NSP170R-MWYNKD-E0</v>
          </cell>
          <cell r="P156" t="e">
            <v>#N/A</v>
          </cell>
          <cell r="Q156" t="e">
            <v>#N/A</v>
          </cell>
          <cell r="R156" t="str">
            <v>NSP170R-MWYNKD-E0</v>
          </cell>
          <cell r="S156" t="str">
            <v>SIENTA</v>
          </cell>
          <cell r="T156" t="e">
            <v>#N/A</v>
          </cell>
          <cell r="U156" t="str">
            <v>SIENTA G A/T</v>
          </cell>
        </row>
        <row r="157">
          <cell r="D157" t="str">
            <v>NSP170R-MWFNKD-00</v>
          </cell>
          <cell r="E157" t="str">
            <v>SIENTA</v>
          </cell>
          <cell r="F157" t="str">
            <v>SIENTA</v>
          </cell>
          <cell r="G157" t="str">
            <v>SIENTA</v>
          </cell>
          <cell r="H157" t="str">
            <v>SIENTA G M/T</v>
          </cell>
          <cell r="I157" t="str">
            <v>SIENTA G M/T</v>
          </cell>
          <cell r="J157" t="str">
            <v>SIENTA G M/T</v>
          </cell>
          <cell r="K157" t="str">
            <v>SIENTA</v>
          </cell>
          <cell r="L157" t="str">
            <v>NP17GM/T00M</v>
          </cell>
          <cell r="M157" t="str">
            <v>SIENTA</v>
          </cell>
          <cell r="N157" t="str">
            <v>SIENTA</v>
          </cell>
          <cell r="O157" t="str">
            <v>NSP170R-MWFNKD-00</v>
          </cell>
          <cell r="P157" t="e">
            <v>#N/A</v>
          </cell>
          <cell r="Q157" t="e">
            <v>#N/A</v>
          </cell>
          <cell r="R157" t="str">
            <v>NSP170R-MWFNKD-00</v>
          </cell>
          <cell r="S157" t="str">
            <v>SIENTA</v>
          </cell>
          <cell r="T157" t="e">
            <v>#N/A</v>
          </cell>
          <cell r="U157" t="str">
            <v>SIENTA G M/T</v>
          </cell>
        </row>
        <row r="158">
          <cell r="D158" t="str">
            <v>NSP170R-MWFNKD-E0</v>
          </cell>
          <cell r="E158" t="str">
            <v>SIENTA</v>
          </cell>
          <cell r="F158" t="str">
            <v>SIENTA</v>
          </cell>
          <cell r="G158" t="str">
            <v>SIENTA</v>
          </cell>
          <cell r="H158" t="str">
            <v>SIENTA G M/T</v>
          </cell>
          <cell r="I158" t="str">
            <v>SIENTA G M/T</v>
          </cell>
          <cell r="J158" t="str">
            <v>SIENTA G M/T</v>
          </cell>
          <cell r="K158" t="str">
            <v>SIENTA</v>
          </cell>
          <cell r="L158" t="str">
            <v>NP17GM/TE0M</v>
          </cell>
          <cell r="M158" t="str">
            <v>SIENTA</v>
          </cell>
          <cell r="N158" t="str">
            <v>SIENTA</v>
          </cell>
          <cell r="O158" t="str">
            <v>NSP170R-MWFNKD-E0</v>
          </cell>
          <cell r="P158" t="e">
            <v>#N/A</v>
          </cell>
          <cell r="Q158" t="e">
            <v>#N/A</v>
          </cell>
          <cell r="R158" t="str">
            <v>NSP170R-MWFNKD-E0</v>
          </cell>
          <cell r="S158" t="str">
            <v>SIENTA</v>
          </cell>
          <cell r="T158" t="e">
            <v>#N/A</v>
          </cell>
          <cell r="U158" t="str">
            <v>SIENTA G M/T</v>
          </cell>
        </row>
        <row r="159">
          <cell r="D159" t="str">
            <v>NSP170R-MWYUKD-07</v>
          </cell>
          <cell r="E159" t="str">
            <v>SIENTA</v>
          </cell>
          <cell r="F159" t="str">
            <v>SIENTA</v>
          </cell>
          <cell r="G159" t="str">
            <v>SIENTA</v>
          </cell>
          <cell r="H159" t="str">
            <v>SIENTA Q A/T</v>
          </cell>
          <cell r="I159" t="str">
            <v>SIENTA Q A/T</v>
          </cell>
          <cell r="J159" t="str">
            <v>SIENTA Q A/T</v>
          </cell>
          <cell r="K159" t="str">
            <v>SIENTA</v>
          </cell>
          <cell r="L159" t="str">
            <v>NP17QA/T07M</v>
          </cell>
          <cell r="M159" t="str">
            <v>SIENTA</v>
          </cell>
          <cell r="N159" t="str">
            <v>SIENTA</v>
          </cell>
          <cell r="O159" t="str">
            <v>NSP170R-MWYUKD-07</v>
          </cell>
          <cell r="P159" t="e">
            <v>#N/A</v>
          </cell>
          <cell r="Q159" t="e">
            <v>#N/A</v>
          </cell>
          <cell r="R159" t="str">
            <v>NSP170R-MWYUKD-07</v>
          </cell>
          <cell r="S159" t="str">
            <v>SIENTA</v>
          </cell>
          <cell r="T159" t="e">
            <v>#N/A</v>
          </cell>
          <cell r="U159" t="str">
            <v>SIENTA Q A/T</v>
          </cell>
        </row>
        <row r="160">
          <cell r="D160" t="str">
            <v>NSP170R-MWYUKD-07</v>
          </cell>
          <cell r="E160" t="str">
            <v>SIENTA</v>
          </cell>
          <cell r="F160" t="str">
            <v>SIENTA</v>
          </cell>
          <cell r="G160" t="str">
            <v>SIENTA</v>
          </cell>
          <cell r="H160" t="str">
            <v>SIENTA Q A/T</v>
          </cell>
          <cell r="I160" t="str">
            <v>SIENTA Q A/T</v>
          </cell>
          <cell r="J160" t="str">
            <v>SIENTA Q A/T</v>
          </cell>
          <cell r="K160" t="str">
            <v>SIENTA</v>
          </cell>
          <cell r="L160" t="str">
            <v>NP17QA/T07M</v>
          </cell>
          <cell r="M160" t="str">
            <v>SIENTA</v>
          </cell>
          <cell r="N160" t="str">
            <v>SIENTA</v>
          </cell>
          <cell r="O160" t="str">
            <v>NSP170R-MWYUKD-07</v>
          </cell>
          <cell r="P160" t="e">
            <v>#N/A</v>
          </cell>
          <cell r="Q160" t="e">
            <v>#N/A</v>
          </cell>
          <cell r="R160" t="str">
            <v>NSP170R-MWYUKD-07</v>
          </cell>
          <cell r="S160" t="str">
            <v>SIENTA</v>
          </cell>
          <cell r="T160" t="e">
            <v>#N/A</v>
          </cell>
          <cell r="U160" t="str">
            <v>SIENTA Q A/T</v>
          </cell>
        </row>
        <row r="161">
          <cell r="D161" t="str">
            <v>NSP170R-MWYUKD-F7</v>
          </cell>
          <cell r="E161" t="str">
            <v>SIENTA</v>
          </cell>
          <cell r="F161" t="str">
            <v>SIENTA</v>
          </cell>
          <cell r="G161" t="str">
            <v>SIENTA</v>
          </cell>
          <cell r="H161" t="str">
            <v>SIENTA Q A/T</v>
          </cell>
          <cell r="I161" t="str">
            <v>SIENTA Q A/T</v>
          </cell>
          <cell r="J161" t="str">
            <v>SIENTA Q A/T</v>
          </cell>
          <cell r="K161" t="str">
            <v>SIENTA</v>
          </cell>
          <cell r="L161" t="str">
            <v>NP17QA/TF7M</v>
          </cell>
          <cell r="M161" t="str">
            <v>SIENTA</v>
          </cell>
          <cell r="N161" t="str">
            <v>SIENTA</v>
          </cell>
          <cell r="O161" t="str">
            <v>NSP170R-MWYUKD-F7</v>
          </cell>
          <cell r="P161" t="e">
            <v>#N/A</v>
          </cell>
          <cell r="Q161" t="e">
            <v>#N/A</v>
          </cell>
          <cell r="R161" t="str">
            <v>NSP170R-MWYUKD-F7</v>
          </cell>
          <cell r="S161" t="str">
            <v>SIENTA</v>
          </cell>
          <cell r="T161" t="e">
            <v>#N/A</v>
          </cell>
          <cell r="U161" t="str">
            <v>SIENTA Q A/T</v>
          </cell>
        </row>
        <row r="162">
          <cell r="D162" t="str">
            <v>NSP170R-MWYUKD-00</v>
          </cell>
          <cell r="E162" t="str">
            <v>SIENTA</v>
          </cell>
          <cell r="F162" t="str">
            <v>SIENTA</v>
          </cell>
          <cell r="G162" t="str">
            <v>SIENTA</v>
          </cell>
          <cell r="H162" t="str">
            <v>SIENTA Q A/T</v>
          </cell>
          <cell r="I162" t="str">
            <v>SIENTA Q A/T</v>
          </cell>
          <cell r="J162" t="str">
            <v>SIENTA Q A/T</v>
          </cell>
          <cell r="K162" t="str">
            <v>SIENTA</v>
          </cell>
          <cell r="L162" t="str">
            <v>NP17QA/T00M</v>
          </cell>
          <cell r="M162" t="str">
            <v>SIENTA</v>
          </cell>
          <cell r="N162" t="str">
            <v>SIENTA</v>
          </cell>
          <cell r="O162" t="str">
            <v>NSP170R-MWYUKD-00</v>
          </cell>
          <cell r="P162" t="e">
            <v>#N/A</v>
          </cell>
          <cell r="Q162" t="e">
            <v>#N/A</v>
          </cell>
          <cell r="R162" t="str">
            <v>NSP170R-MWYUKD-00</v>
          </cell>
          <cell r="S162" t="str">
            <v>SIENTA</v>
          </cell>
          <cell r="T162" t="e">
            <v>#N/A</v>
          </cell>
          <cell r="U162" t="str">
            <v>SIENTA Q A/T</v>
          </cell>
        </row>
        <row r="163">
          <cell r="D163" t="str">
            <v>NSP170R-MWYUKD-02</v>
          </cell>
          <cell r="E163" t="str">
            <v>SIENTA</v>
          </cell>
          <cell r="F163" t="str">
            <v>SIENTA</v>
          </cell>
          <cell r="G163" t="str">
            <v>SIENTA</v>
          </cell>
          <cell r="H163" t="str">
            <v>SIENTA Q A/T</v>
          </cell>
          <cell r="I163" t="str">
            <v>SIENTA Q A/T</v>
          </cell>
          <cell r="J163" t="str">
            <v>SIENTA Q A/T</v>
          </cell>
          <cell r="K163" t="str">
            <v>SIENTA</v>
          </cell>
          <cell r="L163" t="str">
            <v>NP17QA/T02M</v>
          </cell>
          <cell r="M163" t="str">
            <v>SIENTA</v>
          </cell>
          <cell r="N163" t="str">
            <v>SIENTA</v>
          </cell>
          <cell r="O163" t="str">
            <v>NSP170R-MWYUKD-02</v>
          </cell>
          <cell r="P163" t="e">
            <v>#N/A</v>
          </cell>
          <cell r="Q163" t="e">
            <v>#N/A</v>
          </cell>
          <cell r="R163" t="str">
            <v>NSP170R-MWYUKD-02</v>
          </cell>
          <cell r="S163" t="str">
            <v>SIENTA</v>
          </cell>
          <cell r="T163" t="e">
            <v>#N/A</v>
          </cell>
          <cell r="U163" t="str">
            <v>SIENTA Q A/T</v>
          </cell>
        </row>
        <row r="164">
          <cell r="D164" t="str">
            <v>NSP170R-MWYUKD-D0</v>
          </cell>
          <cell r="E164" t="str">
            <v>SIENTA</v>
          </cell>
          <cell r="F164" t="str">
            <v>SIENTA</v>
          </cell>
          <cell r="G164" t="str">
            <v>SIENTA</v>
          </cell>
          <cell r="H164" t="str">
            <v>SIENTA Q A/T</v>
          </cell>
          <cell r="I164" t="str">
            <v>SIENTA Q A/T</v>
          </cell>
          <cell r="J164" t="str">
            <v>SIENTA Q A/T</v>
          </cell>
          <cell r="K164" t="str">
            <v>SIENTA</v>
          </cell>
          <cell r="L164" t="str">
            <v>NP17QA/TD0M</v>
          </cell>
          <cell r="M164" t="str">
            <v>SIENTA</v>
          </cell>
          <cell r="N164" t="str">
            <v>SIENTA</v>
          </cell>
          <cell r="O164" t="str">
            <v>NSP170R-MWYUKD-D0</v>
          </cell>
          <cell r="P164" t="e">
            <v>#N/A</v>
          </cell>
          <cell r="Q164" t="e">
            <v>#N/A</v>
          </cell>
          <cell r="R164" t="str">
            <v>NSP170R-MWYUKD-D0</v>
          </cell>
          <cell r="S164" t="str">
            <v>SIENTA</v>
          </cell>
          <cell r="T164" t="e">
            <v>#N/A</v>
          </cell>
          <cell r="U164" t="str">
            <v>SIENTA Q A/T</v>
          </cell>
        </row>
        <row r="165">
          <cell r="D165" t="str">
            <v>NSP170R-MWYUKD-E4</v>
          </cell>
          <cell r="E165" t="str">
            <v>SIENTA</v>
          </cell>
          <cell r="F165" t="str">
            <v>SIENTA</v>
          </cell>
          <cell r="G165" t="str">
            <v>SIENTA</v>
          </cell>
          <cell r="H165" t="str">
            <v>SIENTA Q A/T</v>
          </cell>
          <cell r="I165" t="str">
            <v>SIENTA Q A/T</v>
          </cell>
          <cell r="J165" t="str">
            <v>SIENTA Q A/T</v>
          </cell>
          <cell r="K165" t="str">
            <v>SIENTA</v>
          </cell>
          <cell r="L165" t="str">
            <v>NP17QA/TE4M</v>
          </cell>
          <cell r="M165" t="str">
            <v>SIENTA</v>
          </cell>
          <cell r="N165" t="str">
            <v>SIENTA</v>
          </cell>
          <cell r="O165" t="str">
            <v>NSP170R-MWYUKD-E4</v>
          </cell>
          <cell r="P165" t="e">
            <v>#N/A</v>
          </cell>
          <cell r="Q165" t="e">
            <v>#N/A</v>
          </cell>
          <cell r="R165" t="str">
            <v>NSP170R-MWYUKD-E4</v>
          </cell>
          <cell r="S165" t="str">
            <v>SIENTA</v>
          </cell>
          <cell r="T165" t="e">
            <v>#N/A</v>
          </cell>
          <cell r="U165" t="str">
            <v>SIENTA Q A/T</v>
          </cell>
        </row>
        <row r="166">
          <cell r="D166" t="str">
            <v>NSP170R-MWYQKD-00</v>
          </cell>
          <cell r="E166" t="str">
            <v>SIENTA</v>
          </cell>
          <cell r="F166" t="str">
            <v>SIENTA</v>
          </cell>
          <cell r="G166" t="str">
            <v>SIENTA</v>
          </cell>
          <cell r="H166" t="str">
            <v>SIENTA V A/T</v>
          </cell>
          <cell r="I166" t="str">
            <v>SIENTA V A/T</v>
          </cell>
          <cell r="J166" t="str">
            <v>SIENTA V A/T</v>
          </cell>
          <cell r="K166" t="str">
            <v>SIENTA</v>
          </cell>
          <cell r="L166" t="str">
            <v>NP17VA/T00M</v>
          </cell>
          <cell r="M166" t="str">
            <v>SIENTA</v>
          </cell>
          <cell r="N166" t="str">
            <v>SIENTA</v>
          </cell>
          <cell r="O166" t="str">
            <v>NSP170R-MWYQKD-00</v>
          </cell>
          <cell r="P166" t="e">
            <v>#N/A</v>
          </cell>
          <cell r="Q166" t="e">
            <v>#N/A</v>
          </cell>
          <cell r="R166" t="str">
            <v>NSP170R-MWYQKD-00</v>
          </cell>
          <cell r="S166" t="str">
            <v>SIENTA</v>
          </cell>
          <cell r="T166" t="e">
            <v>#N/A</v>
          </cell>
          <cell r="U166" t="str">
            <v>SIENTA V A/T</v>
          </cell>
        </row>
        <row r="167">
          <cell r="D167" t="str">
            <v>NSP170R-MWYQKD-E0</v>
          </cell>
          <cell r="E167" t="str">
            <v>SIENTA</v>
          </cell>
          <cell r="F167" t="str">
            <v>SIENTA</v>
          </cell>
          <cell r="G167" t="str">
            <v>SIENTA</v>
          </cell>
          <cell r="H167" t="str">
            <v>SIENTA V A/T</v>
          </cell>
          <cell r="I167" t="str">
            <v>SIENTA V A/T</v>
          </cell>
          <cell r="J167" t="str">
            <v>SIENTA V A/T</v>
          </cell>
          <cell r="K167" t="str">
            <v>SIENTA</v>
          </cell>
          <cell r="L167" t="str">
            <v>NP17VA/TE0M</v>
          </cell>
          <cell r="M167" t="str">
            <v>SIENTA</v>
          </cell>
          <cell r="N167" t="str">
            <v>SIENTA</v>
          </cell>
          <cell r="O167" t="str">
            <v>NSP170R-MWYQKD-E0</v>
          </cell>
          <cell r="P167" t="e">
            <v>#N/A</v>
          </cell>
          <cell r="Q167" t="e">
            <v>#N/A</v>
          </cell>
          <cell r="R167" t="str">
            <v>NSP170R-MWYQKD-E0</v>
          </cell>
          <cell r="S167" t="str">
            <v>SIENTA</v>
          </cell>
          <cell r="T167" t="e">
            <v>#N/A</v>
          </cell>
          <cell r="U167" t="str">
            <v>SIENTA V A/T</v>
          </cell>
        </row>
        <row r="168">
          <cell r="D168" t="str">
            <v>NSP170R-MWYQKD-07</v>
          </cell>
          <cell r="E168" t="str">
            <v>SIENTA</v>
          </cell>
          <cell r="F168" t="str">
            <v>SIENTA</v>
          </cell>
          <cell r="G168" t="str">
            <v>SIENTA</v>
          </cell>
          <cell r="H168" t="str">
            <v>SIENTA V A/T</v>
          </cell>
          <cell r="I168" t="str">
            <v>SIENTA V A/T</v>
          </cell>
          <cell r="J168" t="str">
            <v>SIENTA V A/T</v>
          </cell>
          <cell r="K168" t="str">
            <v>SIENTA</v>
          </cell>
          <cell r="L168" t="str">
            <v>NP17VA/T07M</v>
          </cell>
          <cell r="M168" t="str">
            <v>SIENTA</v>
          </cell>
          <cell r="N168" t="str">
            <v>SIENTA</v>
          </cell>
          <cell r="O168" t="str">
            <v>NSP170R-MWYQKD-07</v>
          </cell>
          <cell r="P168" t="e">
            <v>#N/A</v>
          </cell>
          <cell r="Q168" t="e">
            <v>#N/A</v>
          </cell>
          <cell r="R168" t="str">
            <v>NSP170R-MWYQKD-07</v>
          </cell>
          <cell r="S168" t="str">
            <v>SIENTA</v>
          </cell>
          <cell r="T168" t="e">
            <v>#N/A</v>
          </cell>
          <cell r="U168" t="str">
            <v>SIENTA V A/T</v>
          </cell>
        </row>
        <row r="169">
          <cell r="D169" t="str">
            <v>NSP170R-MWYQKD-F7</v>
          </cell>
          <cell r="E169" t="str">
            <v>SIENTA</v>
          </cell>
          <cell r="F169" t="str">
            <v>SIENTA</v>
          </cell>
          <cell r="G169" t="str">
            <v>SIENTA</v>
          </cell>
          <cell r="H169" t="str">
            <v>SIENTA V A/T</v>
          </cell>
          <cell r="I169" t="str">
            <v>SIENTA V A/T</v>
          </cell>
          <cell r="J169" t="str">
            <v>SIENTA V A/T</v>
          </cell>
          <cell r="K169" t="str">
            <v>SIENTA</v>
          </cell>
          <cell r="L169" t="str">
            <v>NP17VA/TF7M</v>
          </cell>
          <cell r="M169" t="str">
            <v>SIENTA</v>
          </cell>
          <cell r="N169" t="str">
            <v>SIENTA</v>
          </cell>
          <cell r="O169" t="str">
            <v>NSP170R-MWYQKD-F7</v>
          </cell>
          <cell r="P169" t="e">
            <v>#N/A</v>
          </cell>
          <cell r="Q169" t="e">
            <v>#N/A</v>
          </cell>
          <cell r="R169" t="str">
            <v>NSP170R-MWYQKD-F7</v>
          </cell>
          <cell r="S169" t="str">
            <v>SIENTA</v>
          </cell>
          <cell r="T169" t="e">
            <v>#N/A</v>
          </cell>
          <cell r="U169" t="str">
            <v>SIENTA V A/T</v>
          </cell>
        </row>
        <row r="170">
          <cell r="D170" t="str">
            <v>NSP170R-MWYQKD-D0</v>
          </cell>
          <cell r="E170" t="str">
            <v>SIENTA</v>
          </cell>
          <cell r="F170" t="str">
            <v>SIENTA</v>
          </cell>
          <cell r="G170" t="str">
            <v>SIENTA</v>
          </cell>
          <cell r="H170" t="str">
            <v>SIENTA V A/T</v>
          </cell>
          <cell r="I170" t="str">
            <v>SIENTA V A/T</v>
          </cell>
          <cell r="J170" t="str">
            <v>SIENTA V A/T</v>
          </cell>
          <cell r="K170" t="str">
            <v>SIENTA</v>
          </cell>
          <cell r="L170" t="str">
            <v>NP17VA/TD0M</v>
          </cell>
          <cell r="M170" t="str">
            <v>SIENTA</v>
          </cell>
          <cell r="N170" t="str">
            <v>SIENTA</v>
          </cell>
          <cell r="O170" t="str">
            <v>NSP170R-MWYQKD-D0</v>
          </cell>
          <cell r="P170" t="e">
            <v>#N/A</v>
          </cell>
          <cell r="Q170" t="e">
            <v>#N/A</v>
          </cell>
          <cell r="R170" t="str">
            <v>NSP170R-MWYQKD-D0</v>
          </cell>
          <cell r="S170" t="str">
            <v>SIENTA</v>
          </cell>
          <cell r="T170" t="e">
            <v>#N/A</v>
          </cell>
          <cell r="U170" t="str">
            <v>SIENTA V A/T</v>
          </cell>
        </row>
        <row r="171">
          <cell r="D171" t="str">
            <v>AGH30R-NFXLK-11</v>
          </cell>
          <cell r="E171" t="str">
            <v>VELLFIRE</v>
          </cell>
          <cell r="F171" t="str">
            <v>VELLFIRE</v>
          </cell>
          <cell r="G171" t="str">
            <v>VELLFIRE</v>
          </cell>
          <cell r="H171" t="str">
            <v>VELLFIRE</v>
          </cell>
          <cell r="I171" t="str">
            <v>VELLFIRE</v>
          </cell>
          <cell r="J171" t="str">
            <v>VELLFIRE</v>
          </cell>
          <cell r="K171" t="str">
            <v>VELLFIRE</v>
          </cell>
          <cell r="L171" t="str">
            <v>VE30GA/T11M</v>
          </cell>
          <cell r="M171" t="str">
            <v>VELLFIRE</v>
          </cell>
          <cell r="N171" t="str">
            <v>VELLFIRE</v>
          </cell>
          <cell r="O171" t="str">
            <v>AGH30R-NFXLK-11</v>
          </cell>
          <cell r="P171" t="e">
            <v>#N/A</v>
          </cell>
          <cell r="Q171" t="e">
            <v>#N/A</v>
          </cell>
          <cell r="R171" t="str">
            <v>AGH30R-NFXLK-11</v>
          </cell>
          <cell r="S171" t="str">
            <v>VELLFIRE</v>
          </cell>
          <cell r="T171" t="e">
            <v>#N/A</v>
          </cell>
          <cell r="U171" t="str">
            <v>VELLFIRE</v>
          </cell>
        </row>
        <row r="172">
          <cell r="D172" t="str">
            <v>AGH30R-NFXLK-10</v>
          </cell>
          <cell r="E172" t="str">
            <v>VELLFIRE</v>
          </cell>
          <cell r="F172" t="str">
            <v>VELLFIRE</v>
          </cell>
          <cell r="G172" t="str">
            <v>VELLFIRE</v>
          </cell>
          <cell r="H172" t="str">
            <v>VELLFIRE</v>
          </cell>
          <cell r="I172" t="str">
            <v>VELLFIRE</v>
          </cell>
          <cell r="J172" t="str">
            <v>VELLFIRE</v>
          </cell>
          <cell r="K172" t="str">
            <v>VELLFIRE</v>
          </cell>
          <cell r="L172" t="str">
            <v>VE30GA/T10M</v>
          </cell>
          <cell r="M172" t="str">
            <v>VELLFIRE</v>
          </cell>
          <cell r="N172" t="str">
            <v>VELLFIRE</v>
          </cell>
          <cell r="O172" t="str">
            <v>AGH30R-NFXLK-10</v>
          </cell>
          <cell r="P172" t="e">
            <v>#N/A</v>
          </cell>
          <cell r="Q172" t="e">
            <v>#N/A</v>
          </cell>
          <cell r="R172" t="str">
            <v>AGH30R-NFXLK-10</v>
          </cell>
          <cell r="S172" t="str">
            <v>VELLFIRE</v>
          </cell>
          <cell r="T172" t="e">
            <v>#N/A</v>
          </cell>
          <cell r="U172" t="str">
            <v>VELLFIRE</v>
          </cell>
        </row>
        <row r="173">
          <cell r="D173" t="str">
            <v>AGH30R-NFXLK-02</v>
          </cell>
          <cell r="E173" t="str">
            <v>VELLFIRE</v>
          </cell>
          <cell r="F173" t="str">
            <v>VELLFIRE</v>
          </cell>
          <cell r="G173" t="str">
            <v>VELLFIRE</v>
          </cell>
          <cell r="H173" t="str">
            <v>VELLFIRE</v>
          </cell>
          <cell r="I173" t="str">
            <v>VELLFIRE</v>
          </cell>
          <cell r="J173" t="str">
            <v>VELLFIRE</v>
          </cell>
          <cell r="K173" t="str">
            <v>VELLFIRE</v>
          </cell>
          <cell r="L173" t="str">
            <v>VE30GA/T02M</v>
          </cell>
          <cell r="M173" t="str">
            <v>VELLFIRE</v>
          </cell>
          <cell r="N173" t="str">
            <v>VELLFIRE</v>
          </cell>
          <cell r="O173" t="str">
            <v>AGH30R-NFXLK-02</v>
          </cell>
          <cell r="P173" t="e">
            <v>#N/A</v>
          </cell>
          <cell r="Q173" t="e">
            <v>#N/A</v>
          </cell>
          <cell r="R173" t="str">
            <v>AGH30R-NFXLK-02</v>
          </cell>
          <cell r="S173" t="str">
            <v>VELLFIRE</v>
          </cell>
          <cell r="T173" t="e">
            <v>#N/A</v>
          </cell>
          <cell r="U173" t="str">
            <v>VELLFIRE</v>
          </cell>
        </row>
        <row r="174">
          <cell r="D174" t="str">
            <v>NSP151R-CEMRKD-10</v>
          </cell>
          <cell r="E174" t="str">
            <v>VIOS</v>
          </cell>
          <cell r="F174" t="str">
            <v>VIOS</v>
          </cell>
          <cell r="G174" t="str">
            <v>VIOS</v>
          </cell>
          <cell r="H174" t="str">
            <v>VIOS E M/T</v>
          </cell>
          <cell r="I174" t="str">
            <v>VIOS E M/T</v>
          </cell>
          <cell r="J174" t="str">
            <v>VIOS E M/T</v>
          </cell>
          <cell r="K174" t="str">
            <v>VIOS</v>
          </cell>
          <cell r="L174" t="str">
            <v>NS15MREM/T10M</v>
          </cell>
          <cell r="M174" t="str">
            <v>VIOS</v>
          </cell>
          <cell r="N174" t="str">
            <v>VIOS</v>
          </cell>
          <cell r="O174" t="str">
            <v>NSP151R-CEMRKD-10</v>
          </cell>
          <cell r="P174" t="e">
            <v>#N/A</v>
          </cell>
          <cell r="Q174" t="e">
            <v>#N/A</v>
          </cell>
          <cell r="R174" t="str">
            <v>NSP151R-CEMRKD-10</v>
          </cell>
          <cell r="S174" t="str">
            <v>VIOS</v>
          </cell>
          <cell r="T174" t="e">
            <v>#N/A</v>
          </cell>
          <cell r="U174" t="str">
            <v>VIOS E M/T</v>
          </cell>
        </row>
        <row r="175">
          <cell r="D175" t="str">
            <v>ZRR80R-BPXSP-00</v>
          </cell>
          <cell r="E175" t="str">
            <v>VOXY</v>
          </cell>
          <cell r="F175" t="str">
            <v>VOXY</v>
          </cell>
          <cell r="G175" t="str">
            <v>VOXY</v>
          </cell>
          <cell r="H175" t="str">
            <v>VOXY 2.0 A/T</v>
          </cell>
          <cell r="I175" t="str">
            <v>VOXY 2.0 A/T</v>
          </cell>
          <cell r="J175" t="str">
            <v>VOXY 2.0 A/T</v>
          </cell>
          <cell r="K175" t="str">
            <v>VOXY</v>
          </cell>
          <cell r="L175" t="str">
            <v>ZRR80SPA/T00M</v>
          </cell>
          <cell r="M175" t="str">
            <v>VOXY</v>
          </cell>
          <cell r="N175" t="str">
            <v>VOXY</v>
          </cell>
          <cell r="O175" t="str">
            <v>ZRR80R-BPXSP-00</v>
          </cell>
          <cell r="P175" t="e">
            <v>#N/A</v>
          </cell>
          <cell r="Q175" t="e">
            <v>#N/A</v>
          </cell>
          <cell r="R175" t="str">
            <v>ZRR80R-BPXSP-00</v>
          </cell>
          <cell r="S175" t="str">
            <v>VOXY</v>
          </cell>
          <cell r="T175" t="e">
            <v>#N/A</v>
          </cell>
          <cell r="U175" t="str">
            <v>VOXY 2.0 A/T</v>
          </cell>
        </row>
        <row r="176">
          <cell r="D176" t="str">
            <v>NSP151R-CHXGKD-10</v>
          </cell>
          <cell r="E176" t="str">
            <v>YARIS</v>
          </cell>
          <cell r="F176" t="str">
            <v>YARIS</v>
          </cell>
          <cell r="G176" t="str">
            <v>YARIS</v>
          </cell>
          <cell r="H176" t="str">
            <v>YARIS G A/T</v>
          </cell>
          <cell r="I176" t="str">
            <v>YARIS G A/T</v>
          </cell>
          <cell r="J176" t="str">
            <v>YARIS G A/T</v>
          </cell>
          <cell r="K176" t="str">
            <v>YARIS</v>
          </cell>
          <cell r="L176" t="str">
            <v>NS51HXGA/T10M</v>
          </cell>
          <cell r="M176" t="str">
            <v>YARIS</v>
          </cell>
          <cell r="N176" t="str">
            <v>YARIS</v>
          </cell>
          <cell r="O176" t="str">
            <v>NSP151R-CHXGKD-10</v>
          </cell>
          <cell r="P176" t="e">
            <v>#N/A</v>
          </cell>
          <cell r="Q176" t="e">
            <v>#N/A</v>
          </cell>
          <cell r="R176" t="str">
            <v>NSP151R-CHXGKD-10</v>
          </cell>
          <cell r="S176" t="str">
            <v>YARIS</v>
          </cell>
          <cell r="T176" t="e">
            <v>#N/A</v>
          </cell>
          <cell r="U176" t="str">
            <v>YARIS G A/T</v>
          </cell>
        </row>
        <row r="177">
          <cell r="D177" t="str">
            <v>NSP151R-CHXGKD-F0</v>
          </cell>
          <cell r="E177" t="str">
            <v>YARIS</v>
          </cell>
          <cell r="F177" t="str">
            <v>YARIS</v>
          </cell>
          <cell r="G177" t="str">
            <v>YARIS</v>
          </cell>
          <cell r="H177" t="str">
            <v>YARIS G A/T</v>
          </cell>
          <cell r="I177" t="str">
            <v>YARIS G A/T</v>
          </cell>
          <cell r="J177" t="str">
            <v>YARIS G A/T</v>
          </cell>
          <cell r="K177" t="str">
            <v>YARIS</v>
          </cell>
          <cell r="L177" t="str">
            <v>NS51HXGA/TF0M</v>
          </cell>
          <cell r="M177" t="str">
            <v>YARIS</v>
          </cell>
          <cell r="N177" t="str">
            <v>YARIS</v>
          </cell>
          <cell r="O177" t="str">
            <v>NSP151R-CHXGKD-F0</v>
          </cell>
          <cell r="P177" t="e">
            <v>#N/A</v>
          </cell>
          <cell r="Q177" t="e">
            <v>#N/A</v>
          </cell>
          <cell r="R177" t="str">
            <v>NSP151R-CHXGKD-F0</v>
          </cell>
          <cell r="S177" t="str">
            <v>YARIS</v>
          </cell>
          <cell r="T177" t="e">
            <v>#N/A</v>
          </cell>
          <cell r="U177" t="str">
            <v>YARIS G A/T</v>
          </cell>
        </row>
        <row r="178">
          <cell r="D178" t="str">
            <v>NSP151R-CHMGKD-10</v>
          </cell>
          <cell r="E178" t="str">
            <v>YARIS</v>
          </cell>
          <cell r="F178" t="str">
            <v>YARIS</v>
          </cell>
          <cell r="G178" t="str">
            <v>YARIS</v>
          </cell>
          <cell r="H178" t="str">
            <v>YARIS G M/T</v>
          </cell>
          <cell r="I178" t="str">
            <v>YARIS G M/T</v>
          </cell>
          <cell r="J178" t="str">
            <v>YARIS G M/T</v>
          </cell>
          <cell r="K178" t="str">
            <v>YARIS</v>
          </cell>
          <cell r="L178" t="str">
            <v>NS51HMGM/T10M</v>
          </cell>
          <cell r="M178" t="str">
            <v>YARIS</v>
          </cell>
          <cell r="N178" t="str">
            <v>YARIS</v>
          </cell>
          <cell r="O178" t="str">
            <v>NSP151R-CHMGKD-10</v>
          </cell>
          <cell r="P178" t="e">
            <v>#N/A</v>
          </cell>
          <cell r="Q178" t="e">
            <v>#N/A</v>
          </cell>
          <cell r="R178" t="str">
            <v>NSP151R-CHMGKD-10</v>
          </cell>
          <cell r="S178" t="str">
            <v>YARIS</v>
          </cell>
          <cell r="T178" t="e">
            <v>#N/A</v>
          </cell>
          <cell r="U178" t="str">
            <v>YARIS G M/T</v>
          </cell>
        </row>
        <row r="179">
          <cell r="D179" t="e">
            <v>#N/A</v>
          </cell>
          <cell r="E179" t="str">
            <v>YARIS</v>
          </cell>
          <cell r="F179" t="str">
            <v>YARIS</v>
          </cell>
          <cell r="G179" t="str">
            <v>YARIS</v>
          </cell>
          <cell r="H179" t="str">
            <v>YARIS S A/T</v>
          </cell>
          <cell r="I179" t="str">
            <v>YARIS S A/T</v>
          </cell>
          <cell r="J179" t="str">
            <v>YARIS S A/T</v>
          </cell>
          <cell r="K179" t="str">
            <v>YARIS</v>
          </cell>
          <cell r="L179" t="str">
            <v>NR15SA/TTRDS</v>
          </cell>
          <cell r="M179" t="str">
            <v>YARIS</v>
          </cell>
          <cell r="N179" t="str">
            <v>YARIS</v>
          </cell>
          <cell r="O179" t="e">
            <v>#N/A</v>
          </cell>
          <cell r="P179" t="e">
            <v>#N/A</v>
          </cell>
          <cell r="Q179" t="e">
            <v>#N/A</v>
          </cell>
          <cell r="R179" t="e">
            <v>#N/A</v>
          </cell>
          <cell r="S179" t="str">
            <v>YARIS</v>
          </cell>
          <cell r="T179" t="e">
            <v>#N/A</v>
          </cell>
          <cell r="U179" t="str">
            <v>YARIS S A/T</v>
          </cell>
        </row>
        <row r="180">
          <cell r="D180" t="str">
            <v>NSP151R-CHXVKD-10</v>
          </cell>
          <cell r="E180" t="str">
            <v>YARIS</v>
          </cell>
          <cell r="F180" t="str">
            <v>YARIS</v>
          </cell>
          <cell r="G180" t="str">
            <v>YARIS</v>
          </cell>
          <cell r="H180" t="str">
            <v>YARIS S A/T</v>
          </cell>
          <cell r="I180" t="str">
            <v>YARIS S A/T</v>
          </cell>
          <cell r="J180" t="str">
            <v>YARIS S A/T</v>
          </cell>
          <cell r="K180" t="str">
            <v>YARIS</v>
          </cell>
          <cell r="L180" t="str">
            <v>NS51HXSA/T10M</v>
          </cell>
          <cell r="M180" t="str">
            <v>YARIS</v>
          </cell>
          <cell r="N180" t="str">
            <v>YARIS</v>
          </cell>
          <cell r="O180" t="str">
            <v>NSP151R-CHXVKD-10</v>
          </cell>
          <cell r="P180" t="e">
            <v>#N/A</v>
          </cell>
          <cell r="Q180" t="e">
            <v>#N/A</v>
          </cell>
          <cell r="R180" t="str">
            <v>NSP151R-CHXVKD-10</v>
          </cell>
          <cell r="S180" t="str">
            <v>YARIS</v>
          </cell>
          <cell r="T180" t="e">
            <v>#N/A</v>
          </cell>
          <cell r="U180" t="str">
            <v>YARIS S A/T</v>
          </cell>
        </row>
        <row r="181">
          <cell r="D181" t="str">
            <v>NSP151R-CHXVKD-F0</v>
          </cell>
          <cell r="E181" t="str">
            <v>YARIS</v>
          </cell>
          <cell r="F181" t="str">
            <v>YARIS</v>
          </cell>
          <cell r="G181" t="str">
            <v>YARIS</v>
          </cell>
          <cell r="H181" t="str">
            <v>YARIS S A/T</v>
          </cell>
          <cell r="I181" t="str">
            <v>YARIS S A/T</v>
          </cell>
          <cell r="J181" t="str">
            <v>YARIS S A/T</v>
          </cell>
          <cell r="K181" t="str">
            <v>YARIS</v>
          </cell>
          <cell r="L181" t="str">
            <v>NS51HXSA/TF0M</v>
          </cell>
          <cell r="M181" t="str">
            <v>YARIS</v>
          </cell>
          <cell r="N181" t="str">
            <v>YARIS</v>
          </cell>
          <cell r="O181" t="str">
            <v>NSP151R-CHXVKD-F0</v>
          </cell>
          <cell r="P181" t="e">
            <v>#N/A</v>
          </cell>
          <cell r="Q181" t="e">
            <v>#N/A</v>
          </cell>
          <cell r="R181" t="str">
            <v>NSP151R-CHXVKD-F0</v>
          </cell>
          <cell r="S181" t="str">
            <v>YARIS</v>
          </cell>
          <cell r="T181" t="e">
            <v>#N/A</v>
          </cell>
          <cell r="U181" t="str">
            <v>YARIS S A/T</v>
          </cell>
        </row>
        <row r="182">
          <cell r="D182" t="str">
            <v>NSP151R-CHMVKD-10</v>
          </cell>
          <cell r="E182" t="str">
            <v>YARIS</v>
          </cell>
          <cell r="F182" t="str">
            <v>YARIS</v>
          </cell>
          <cell r="G182" t="str">
            <v>YARIS</v>
          </cell>
          <cell r="H182" t="str">
            <v>YARIS S M/T</v>
          </cell>
          <cell r="I182" t="str">
            <v>YARIS S M/T</v>
          </cell>
          <cell r="J182" t="str">
            <v>YARIS S M/T</v>
          </cell>
          <cell r="K182" t="str">
            <v>YARIS</v>
          </cell>
          <cell r="L182" t="str">
            <v>NS51HMSM/T10M</v>
          </cell>
          <cell r="M182" t="str">
            <v>YARIS</v>
          </cell>
          <cell r="N182" t="str">
            <v>YARIS</v>
          </cell>
          <cell r="O182" t="str">
            <v>NSP151R-CHMVKD-10</v>
          </cell>
          <cell r="P182" t="e">
            <v>#N/A</v>
          </cell>
          <cell r="Q182" t="e">
            <v>#N/A</v>
          </cell>
          <cell r="R182" t="str">
            <v>NSP151R-CHMVKD-10</v>
          </cell>
          <cell r="S182" t="str">
            <v>YARIS</v>
          </cell>
          <cell r="T182" t="e">
            <v>#N/A</v>
          </cell>
          <cell r="U182" t="str">
            <v>YARIS S M/T</v>
          </cell>
        </row>
        <row r="183">
          <cell r="D183" t="str">
            <v>NSP151R-CHMVKD-01</v>
          </cell>
          <cell r="E183" t="str">
            <v>YARIS</v>
          </cell>
          <cell r="F183" t="str">
            <v>YARIS</v>
          </cell>
          <cell r="G183" t="str">
            <v>YARIS</v>
          </cell>
          <cell r="H183" t="str">
            <v>YARIS S M/T</v>
          </cell>
          <cell r="I183" t="str">
            <v>YARIS S M/T</v>
          </cell>
          <cell r="J183" t="str">
            <v>YARIS S M/T</v>
          </cell>
          <cell r="K183" t="str">
            <v>YARIS</v>
          </cell>
          <cell r="L183" t="str">
            <v>NS51HMSM/T01M</v>
          </cell>
          <cell r="M183" t="str">
            <v>YARIS</v>
          </cell>
          <cell r="N183" t="str">
            <v>YARIS</v>
          </cell>
          <cell r="O183" t="str">
            <v>NSP151R-CHMVKD-01</v>
          </cell>
          <cell r="P183" t="e">
            <v>#N/A</v>
          </cell>
          <cell r="Q183" t="e">
            <v>#N/A</v>
          </cell>
          <cell r="R183" t="str">
            <v>NSP151R-CHMVKD-01</v>
          </cell>
          <cell r="S183" t="str">
            <v>YARIS</v>
          </cell>
          <cell r="T183" t="e">
            <v>#N/A</v>
          </cell>
          <cell r="U183" t="str">
            <v>YARIS S M/T</v>
          </cell>
        </row>
        <row r="184">
          <cell r="D184" t="str">
            <v>B101RA-GMSGJ-03</v>
          </cell>
          <cell r="E184" t="str">
            <v>AGYA</v>
          </cell>
          <cell r="F184" t="str">
            <v>AGYA</v>
          </cell>
          <cell r="G184" t="str">
            <v>AGYA</v>
          </cell>
          <cell r="H184" t="str">
            <v>AGYA G M/T</v>
          </cell>
          <cell r="I184" t="str">
            <v>AGYA G M/T TRD</v>
          </cell>
          <cell r="J184" t="str">
            <v xml:space="preserve">AGYA G M/T TRD </v>
          </cell>
          <cell r="K184" t="str">
            <v>AGYA</v>
          </cell>
          <cell r="L184" t="str">
            <v>B101SGM/T03M</v>
          </cell>
          <cell r="M184" t="str">
            <v>AGYA</v>
          </cell>
          <cell r="N184" t="str">
            <v>AGYA</v>
          </cell>
          <cell r="O184" t="str">
            <v>B101RA-GMSGJ-03</v>
          </cell>
          <cell r="P184" t="e">
            <v>#N/A</v>
          </cell>
          <cell r="Q184" t="e">
            <v>#N/A</v>
          </cell>
          <cell r="R184" t="str">
            <v>B101RA-GMSGJ-03</v>
          </cell>
          <cell r="S184" t="str">
            <v>AGYA</v>
          </cell>
          <cell r="T184" t="e">
            <v>#N/A</v>
          </cell>
          <cell r="U184" t="str">
            <v>AGYA G M/T</v>
          </cell>
        </row>
        <row r="185">
          <cell r="D185" t="str">
            <v>B100RA-GQDFJ-01</v>
          </cell>
          <cell r="E185" t="str">
            <v>AGYA</v>
          </cell>
          <cell r="F185" t="str">
            <v>AGYA</v>
          </cell>
          <cell r="G185" t="str">
            <v>AGYA</v>
          </cell>
          <cell r="H185" t="str">
            <v>AGYA E A/T</v>
          </cell>
          <cell r="I185" t="str">
            <v>AGYA E A/T TRD</v>
          </cell>
          <cell r="J185" t="str">
            <v>AGYA E A/T TRD</v>
          </cell>
          <cell r="K185" t="str">
            <v>AGYA</v>
          </cell>
          <cell r="L185" t="str">
            <v>B10EA/T01M</v>
          </cell>
          <cell r="M185" t="str">
            <v>AGYA</v>
          </cell>
          <cell r="N185" t="str">
            <v>AGYA</v>
          </cell>
          <cell r="O185" t="str">
            <v>B100RA-GQDFJ-01</v>
          </cell>
          <cell r="P185" t="e">
            <v>#N/A</v>
          </cell>
          <cell r="Q185" t="e">
            <v>#N/A</v>
          </cell>
          <cell r="R185" t="str">
            <v>B100RA-GQDFJ-01</v>
          </cell>
          <cell r="S185" t="str">
            <v>AGYA</v>
          </cell>
          <cell r="T185" t="e">
            <v>#N/A</v>
          </cell>
          <cell r="U185" t="str">
            <v>AGYA E A/T</v>
          </cell>
        </row>
        <row r="186">
          <cell r="D186" t="str">
            <v>B100RA-GQDFJ-11</v>
          </cell>
          <cell r="E186" t="str">
            <v>AGYA</v>
          </cell>
          <cell r="F186" t="str">
            <v>AGYA</v>
          </cell>
          <cell r="G186" t="str">
            <v>AGYA</v>
          </cell>
          <cell r="H186" t="str">
            <v>AGYA E A/T</v>
          </cell>
          <cell r="I186" t="str">
            <v>AGYA E A/T TRD</v>
          </cell>
          <cell r="J186" t="str">
            <v>AGYA E A/T TRD</v>
          </cell>
          <cell r="K186" t="str">
            <v>AGYA</v>
          </cell>
          <cell r="L186" t="str">
            <v>B10EA/T11M</v>
          </cell>
          <cell r="M186" t="str">
            <v>AGYA</v>
          </cell>
          <cell r="N186" t="str">
            <v>AGYA</v>
          </cell>
          <cell r="O186" t="str">
            <v>B100RA-GQDFJ-11</v>
          </cell>
          <cell r="P186" t="e">
            <v>#N/A</v>
          </cell>
          <cell r="Q186" t="e">
            <v>#N/A</v>
          </cell>
          <cell r="R186" t="str">
            <v>B100RA-GQDFJ-11</v>
          </cell>
          <cell r="S186" t="str">
            <v>AGYA</v>
          </cell>
          <cell r="T186" t="e">
            <v>#N/A</v>
          </cell>
          <cell r="U186" t="str">
            <v>AGYA E A/T</v>
          </cell>
        </row>
        <row r="187">
          <cell r="D187" t="str">
            <v>B100RA-GQDFJ-00</v>
          </cell>
          <cell r="E187" t="str">
            <v>AGYA</v>
          </cell>
          <cell r="F187" t="str">
            <v>AGYA</v>
          </cell>
          <cell r="G187" t="str">
            <v>AGYA</v>
          </cell>
          <cell r="H187" t="str">
            <v>AGYA E A/T</v>
          </cell>
          <cell r="I187" t="str">
            <v>AGYA E A/T TRD</v>
          </cell>
          <cell r="J187" t="str">
            <v>AGYA E A/T TRD</v>
          </cell>
          <cell r="K187" t="str">
            <v>AGYA</v>
          </cell>
          <cell r="L187" t="str">
            <v>B10EA/TM</v>
          </cell>
          <cell r="M187" t="str">
            <v>AGYA</v>
          </cell>
          <cell r="N187" t="str">
            <v>AGYA</v>
          </cell>
          <cell r="O187" t="str">
            <v>B100RA-GQDFJ-00</v>
          </cell>
          <cell r="P187" t="e">
            <v>#N/A</v>
          </cell>
          <cell r="Q187" t="e">
            <v>#N/A</v>
          </cell>
          <cell r="R187" t="str">
            <v>B100RA-GQDFJ-00</v>
          </cell>
          <cell r="S187" t="str">
            <v>AGYA</v>
          </cell>
          <cell r="T187" t="e">
            <v>#N/A</v>
          </cell>
          <cell r="U187" t="str">
            <v>AGYA E A/T</v>
          </cell>
        </row>
        <row r="188">
          <cell r="D188" t="str">
            <v>B100RA-GMDFJ-01</v>
          </cell>
          <cell r="E188" t="str">
            <v>AGYA</v>
          </cell>
          <cell r="F188" t="str">
            <v>AGYA</v>
          </cell>
          <cell r="G188" t="str">
            <v>AGYA</v>
          </cell>
          <cell r="H188" t="str">
            <v>AGYA E M/T</v>
          </cell>
          <cell r="I188" t="str">
            <v>AGYA E M/T</v>
          </cell>
          <cell r="J188" t="str">
            <v>AGYA E M/T</v>
          </cell>
          <cell r="K188" t="str">
            <v>AGYA</v>
          </cell>
          <cell r="L188" t="str">
            <v>B10EM/T01M</v>
          </cell>
          <cell r="M188" t="str">
            <v>AGYA</v>
          </cell>
          <cell r="N188" t="str">
            <v>AGYA</v>
          </cell>
          <cell r="O188" t="str">
            <v>B100RA-GMDFJ-01</v>
          </cell>
          <cell r="P188" t="e">
            <v>#N/A</v>
          </cell>
          <cell r="Q188" t="e">
            <v>#N/A</v>
          </cell>
          <cell r="R188" t="str">
            <v>B100RA-GMDFJ-01</v>
          </cell>
          <cell r="S188" t="str">
            <v>AGYA</v>
          </cell>
          <cell r="T188" t="e">
            <v>#N/A</v>
          </cell>
          <cell r="U188" t="str">
            <v>AGYA E M/T</v>
          </cell>
        </row>
        <row r="189">
          <cell r="D189" t="str">
            <v>B100RA-GMDFJ-11</v>
          </cell>
          <cell r="E189" t="str">
            <v>AGYA</v>
          </cell>
          <cell r="F189" t="str">
            <v>AGYA</v>
          </cell>
          <cell r="G189" t="str">
            <v>AGYA</v>
          </cell>
          <cell r="H189" t="str">
            <v>AGYA E M/T</v>
          </cell>
          <cell r="I189" t="str">
            <v>AGYA E M/T</v>
          </cell>
          <cell r="J189" t="str">
            <v>AGYA E M/T</v>
          </cell>
          <cell r="K189" t="str">
            <v>AGYA</v>
          </cell>
          <cell r="L189" t="str">
            <v>B10EM/T11M</v>
          </cell>
          <cell r="M189" t="str">
            <v>AGYA</v>
          </cell>
          <cell r="N189" t="str">
            <v>AGYA</v>
          </cell>
          <cell r="O189" t="str">
            <v>B100RA-GMDFJ-11</v>
          </cell>
          <cell r="P189" t="e">
            <v>#N/A</v>
          </cell>
          <cell r="Q189" t="e">
            <v>#N/A</v>
          </cell>
          <cell r="R189" t="str">
            <v>B100RA-GMDFJ-11</v>
          </cell>
          <cell r="S189" t="str">
            <v>AGYA</v>
          </cell>
          <cell r="T189" t="e">
            <v>#N/A</v>
          </cell>
          <cell r="U189" t="str">
            <v>AGYA E M/T</v>
          </cell>
        </row>
        <row r="190">
          <cell r="D190" t="str">
            <v>B100RA-GMDFJ-00</v>
          </cell>
          <cell r="E190" t="str">
            <v>AGYA</v>
          </cell>
          <cell r="F190" t="str">
            <v>AGYA</v>
          </cell>
          <cell r="G190" t="str">
            <v>AGYA</v>
          </cell>
          <cell r="H190" t="str">
            <v>AGYA E M/T</v>
          </cell>
          <cell r="I190" t="str">
            <v>AGYA E M/T</v>
          </cell>
          <cell r="J190" t="str">
            <v>AGYA E M/T</v>
          </cell>
          <cell r="K190" t="str">
            <v>AGYA</v>
          </cell>
          <cell r="L190" t="str">
            <v>B10EM/TM</v>
          </cell>
          <cell r="M190" t="str">
            <v>AGYA</v>
          </cell>
          <cell r="N190" t="str">
            <v>AGYA</v>
          </cell>
          <cell r="O190" t="str">
            <v>B100RA-GMDFJ-00</v>
          </cell>
          <cell r="P190" t="e">
            <v>#N/A</v>
          </cell>
          <cell r="Q190" t="e">
            <v>#N/A</v>
          </cell>
          <cell r="R190" t="str">
            <v>B100RA-GMDFJ-00</v>
          </cell>
          <cell r="S190" t="str">
            <v>AGYA</v>
          </cell>
          <cell r="T190" t="e">
            <v>#N/A</v>
          </cell>
          <cell r="U190" t="str">
            <v>AGYA E M/T</v>
          </cell>
        </row>
        <row r="191">
          <cell r="D191" t="str">
            <v>B100RA-GQQFJ-01</v>
          </cell>
          <cell r="E191" t="str">
            <v>AGYA</v>
          </cell>
          <cell r="F191" t="str">
            <v>AGYA</v>
          </cell>
          <cell r="G191" t="str">
            <v>AGYA</v>
          </cell>
          <cell r="H191" t="str">
            <v>AGYA G A/T</v>
          </cell>
          <cell r="I191" t="str">
            <v>AGYA G A/T TRD</v>
          </cell>
          <cell r="J191" t="str">
            <v>AGYA G A/T TRD</v>
          </cell>
          <cell r="K191" t="str">
            <v>AGYA</v>
          </cell>
          <cell r="L191" t="str">
            <v>B10GA/T01TRDM</v>
          </cell>
          <cell r="M191" t="str">
            <v>AGYA</v>
          </cell>
          <cell r="N191" t="str">
            <v>AGYA</v>
          </cell>
          <cell r="O191" t="str">
            <v>B100RA-GQQFJ-01</v>
          </cell>
          <cell r="P191" t="e">
            <v>#N/A</v>
          </cell>
          <cell r="Q191" t="e">
            <v>#N/A</v>
          </cell>
          <cell r="R191" t="str">
            <v>B100RA-GQQFJ-01</v>
          </cell>
          <cell r="S191" t="str">
            <v>AGYA</v>
          </cell>
          <cell r="T191" t="e">
            <v>#N/A</v>
          </cell>
          <cell r="U191" t="str">
            <v>AGYA G A/T</v>
          </cell>
        </row>
        <row r="192">
          <cell r="D192" t="str">
            <v>B100RA-GQQFJ-02</v>
          </cell>
          <cell r="E192" t="str">
            <v>AGYA</v>
          </cell>
          <cell r="F192" t="str">
            <v>AGYA</v>
          </cell>
          <cell r="G192" t="str">
            <v>AGYA</v>
          </cell>
          <cell r="H192" t="str">
            <v>AGYA G A/T</v>
          </cell>
          <cell r="I192" t="str">
            <v>AGYA G A/T STD</v>
          </cell>
          <cell r="J192" t="str">
            <v>AGYA G A/T STD</v>
          </cell>
          <cell r="K192" t="str">
            <v>AGYA</v>
          </cell>
          <cell r="L192" t="str">
            <v>B10GA/T02M</v>
          </cell>
          <cell r="M192" t="str">
            <v>AGYA</v>
          </cell>
          <cell r="N192" t="str">
            <v>AGYA</v>
          </cell>
          <cell r="O192" t="str">
            <v>B100RA-GQQFJ-02</v>
          </cell>
          <cell r="P192" t="e">
            <v>#N/A</v>
          </cell>
          <cell r="Q192" t="e">
            <v>#N/A</v>
          </cell>
          <cell r="R192" t="str">
            <v>B100RA-GQQFJ-02</v>
          </cell>
          <cell r="S192" t="str">
            <v>AGYA</v>
          </cell>
          <cell r="T192" t="e">
            <v>#N/A</v>
          </cell>
          <cell r="U192" t="str">
            <v>AGYA G A/T</v>
          </cell>
        </row>
        <row r="193">
          <cell r="D193" t="e">
            <v>#N/A</v>
          </cell>
          <cell r="E193" t="str">
            <v>AGYA</v>
          </cell>
          <cell r="F193" t="str">
            <v>AGYA</v>
          </cell>
          <cell r="G193" t="str">
            <v>AGYA</v>
          </cell>
          <cell r="H193" t="str">
            <v>AGYA G A/T</v>
          </cell>
          <cell r="I193" t="str">
            <v>AGYA G A/T TRD</v>
          </cell>
          <cell r="J193" t="str">
            <v>AGYA G A/T TRD</v>
          </cell>
          <cell r="K193" t="str">
            <v>AGYA</v>
          </cell>
          <cell r="L193" t="str">
            <v>B10GA/T03TRDM</v>
          </cell>
          <cell r="M193" t="str">
            <v>AGYA</v>
          </cell>
          <cell r="N193" t="str">
            <v>AGYA</v>
          </cell>
          <cell r="O193" t="e">
            <v>#N/A</v>
          </cell>
          <cell r="P193" t="e">
            <v>#N/A</v>
          </cell>
          <cell r="Q193" t="e">
            <v>#N/A</v>
          </cell>
          <cell r="R193" t="e">
            <v>#N/A</v>
          </cell>
          <cell r="S193" t="str">
            <v>AGYA</v>
          </cell>
          <cell r="T193" t="e">
            <v>#N/A</v>
          </cell>
          <cell r="U193" t="str">
            <v>AGYA G A/T</v>
          </cell>
        </row>
        <row r="194">
          <cell r="D194" t="str">
            <v>B100RA-GQQFJ-12</v>
          </cell>
          <cell r="E194" t="str">
            <v>AGYA</v>
          </cell>
          <cell r="F194" t="str">
            <v>AGYA</v>
          </cell>
          <cell r="G194" t="str">
            <v>AGYA</v>
          </cell>
          <cell r="H194" t="str">
            <v>AGYA G A/T</v>
          </cell>
          <cell r="I194" t="str">
            <v>AGYA G A/T STD</v>
          </cell>
          <cell r="J194" t="str">
            <v>AGYA G A/T STD</v>
          </cell>
          <cell r="K194" t="str">
            <v>AGYA</v>
          </cell>
          <cell r="L194" t="str">
            <v>B10GA/T12M</v>
          </cell>
          <cell r="M194" t="str">
            <v>AGYA</v>
          </cell>
          <cell r="N194" t="str">
            <v>AGYA</v>
          </cell>
          <cell r="O194" t="str">
            <v>B100RA-GQQFJ-12</v>
          </cell>
          <cell r="P194" t="e">
            <v>#N/A</v>
          </cell>
          <cell r="Q194" t="e">
            <v>#N/A</v>
          </cell>
          <cell r="R194" t="str">
            <v>B100RA-GQQFJ-12</v>
          </cell>
          <cell r="S194" t="str">
            <v>AGYA</v>
          </cell>
          <cell r="T194" t="e">
            <v>#N/A</v>
          </cell>
          <cell r="U194" t="str">
            <v>AGYA G A/T</v>
          </cell>
        </row>
        <row r="195">
          <cell r="D195" t="str">
            <v>B100RA-GQQFJ-13</v>
          </cell>
          <cell r="E195" t="str">
            <v>AGYA</v>
          </cell>
          <cell r="F195" t="str">
            <v>AGYA</v>
          </cell>
          <cell r="G195" t="str">
            <v>AGYA</v>
          </cell>
          <cell r="H195" t="str">
            <v>AGYA G A/T</v>
          </cell>
          <cell r="I195" t="str">
            <v>AGYA G A/T TRD</v>
          </cell>
          <cell r="J195" t="str">
            <v>AGYA G A/T TRD</v>
          </cell>
          <cell r="K195" t="str">
            <v>AGYA</v>
          </cell>
          <cell r="L195" t="str">
            <v>B10GA/T13TRDM</v>
          </cell>
          <cell r="M195" t="str">
            <v>AGYA</v>
          </cell>
          <cell r="N195" t="str">
            <v>AGYA</v>
          </cell>
          <cell r="O195" t="str">
            <v>B100RA-GQQFJ-13</v>
          </cell>
          <cell r="P195" t="e">
            <v>#N/A</v>
          </cell>
          <cell r="Q195" t="e">
            <v>#N/A</v>
          </cell>
          <cell r="R195" t="str">
            <v>B100RA-GQQFJ-13</v>
          </cell>
          <cell r="S195" t="str">
            <v>AGYA</v>
          </cell>
          <cell r="T195" t="e">
            <v>#N/A</v>
          </cell>
          <cell r="U195" t="str">
            <v>AGYA G A/T</v>
          </cell>
        </row>
        <row r="196">
          <cell r="D196" t="e">
            <v>#N/A</v>
          </cell>
          <cell r="E196" t="str">
            <v>AGYA</v>
          </cell>
          <cell r="F196" t="str">
            <v>AGYA</v>
          </cell>
          <cell r="G196" t="str">
            <v>AGYA</v>
          </cell>
          <cell r="H196" t="str">
            <v>AGYA G A/T</v>
          </cell>
          <cell r="I196" t="str">
            <v>AGYA G A/T STD</v>
          </cell>
          <cell r="J196" t="str">
            <v>AGYA G A/T STD</v>
          </cell>
          <cell r="K196" t="str">
            <v>AGYA</v>
          </cell>
          <cell r="L196" t="str">
            <v>B10GA/TM</v>
          </cell>
          <cell r="M196" t="str">
            <v>AGYA</v>
          </cell>
          <cell r="N196" t="str">
            <v>AGYA</v>
          </cell>
          <cell r="O196" t="e">
            <v>#N/A</v>
          </cell>
          <cell r="P196" t="e">
            <v>#N/A</v>
          </cell>
          <cell r="Q196" t="e">
            <v>#N/A</v>
          </cell>
          <cell r="R196" t="e">
            <v>#N/A</v>
          </cell>
          <cell r="S196" t="str">
            <v>AGYA</v>
          </cell>
          <cell r="T196" t="e">
            <v>#N/A</v>
          </cell>
          <cell r="U196" t="str">
            <v>AGYA G A/T</v>
          </cell>
        </row>
        <row r="197">
          <cell r="D197" t="e">
            <v>#N/A</v>
          </cell>
          <cell r="E197" t="str">
            <v>AGYA</v>
          </cell>
          <cell r="F197" t="str">
            <v>AGYA</v>
          </cell>
          <cell r="G197" t="str">
            <v>AGYA</v>
          </cell>
          <cell r="H197" t="str">
            <v>AGYA G M/T</v>
          </cell>
          <cell r="I197" t="str">
            <v>AGYA G M/T TRD</v>
          </cell>
          <cell r="J197" t="str">
            <v>AGYA G M/T TRD</v>
          </cell>
          <cell r="K197" t="str">
            <v>AGYA</v>
          </cell>
          <cell r="L197" t="str">
            <v>B10GM/T01TRDM</v>
          </cell>
          <cell r="M197" t="str">
            <v>AGYA</v>
          </cell>
          <cell r="N197" t="str">
            <v>AGYA</v>
          </cell>
          <cell r="O197" t="e">
            <v>#N/A</v>
          </cell>
          <cell r="P197" t="e">
            <v>#N/A</v>
          </cell>
          <cell r="Q197" t="e">
            <v>#N/A</v>
          </cell>
          <cell r="R197" t="e">
            <v>#N/A</v>
          </cell>
          <cell r="S197" t="str">
            <v>AGYA</v>
          </cell>
          <cell r="T197" t="e">
            <v>#N/A</v>
          </cell>
          <cell r="U197" t="str">
            <v>AGYA G M/T</v>
          </cell>
        </row>
        <row r="198">
          <cell r="D198" t="e">
            <v>#N/A</v>
          </cell>
          <cell r="E198" t="str">
            <v>AGYA</v>
          </cell>
          <cell r="F198" t="str">
            <v>AGYA</v>
          </cell>
          <cell r="G198" t="str">
            <v>AGYA</v>
          </cell>
          <cell r="H198" t="str">
            <v>AGYA G M/T</v>
          </cell>
          <cell r="I198" t="str">
            <v>AGYA G M/T STD</v>
          </cell>
          <cell r="J198" t="str">
            <v>AGYA G M/T STD</v>
          </cell>
          <cell r="K198" t="str">
            <v>AGYA</v>
          </cell>
          <cell r="L198" t="str">
            <v>B10GM/T02M</v>
          </cell>
          <cell r="M198" t="str">
            <v>AGYA</v>
          </cell>
          <cell r="N198" t="str">
            <v>AGYA</v>
          </cell>
          <cell r="O198" t="e">
            <v>#N/A</v>
          </cell>
          <cell r="P198" t="e">
            <v>#N/A</v>
          </cell>
          <cell r="Q198" t="e">
            <v>#N/A</v>
          </cell>
          <cell r="R198" t="e">
            <v>#N/A</v>
          </cell>
          <cell r="S198" t="str">
            <v>AGYA</v>
          </cell>
          <cell r="T198" t="e">
            <v>#N/A</v>
          </cell>
          <cell r="U198" t="str">
            <v>AGYA G M/T</v>
          </cell>
        </row>
        <row r="199">
          <cell r="D199" t="e">
            <v>#N/A</v>
          </cell>
          <cell r="E199" t="str">
            <v>AGYA</v>
          </cell>
          <cell r="F199" t="str">
            <v>AGYA</v>
          </cell>
          <cell r="G199" t="str">
            <v>AGYA</v>
          </cell>
          <cell r="H199" t="str">
            <v>AGYA G M/T</v>
          </cell>
          <cell r="I199" t="str">
            <v>AGYA G M/T TRD</v>
          </cell>
          <cell r="J199" t="str">
            <v>AGYA G M/T TRD</v>
          </cell>
          <cell r="K199" t="str">
            <v>AGYA</v>
          </cell>
          <cell r="L199" t="str">
            <v>B10GM/T03TRDM</v>
          </cell>
          <cell r="M199" t="str">
            <v>AGYA</v>
          </cell>
          <cell r="N199" t="str">
            <v>AGYA</v>
          </cell>
          <cell r="O199" t="e">
            <v>#N/A</v>
          </cell>
          <cell r="P199" t="e">
            <v>#N/A</v>
          </cell>
          <cell r="Q199" t="e">
            <v>#N/A</v>
          </cell>
          <cell r="R199" t="e">
            <v>#N/A</v>
          </cell>
          <cell r="S199" t="str">
            <v>AGYA</v>
          </cell>
          <cell r="T199" t="e">
            <v>#N/A</v>
          </cell>
          <cell r="U199" t="str">
            <v>AGYA G M/T</v>
          </cell>
        </row>
        <row r="200">
          <cell r="D200" t="str">
            <v>B100RA-GMQFJ-12</v>
          </cell>
          <cell r="E200" t="str">
            <v>AGYA</v>
          </cell>
          <cell r="F200" t="str">
            <v>AGYA</v>
          </cell>
          <cell r="G200" t="str">
            <v>AGYA</v>
          </cell>
          <cell r="H200" t="str">
            <v>AGYA G M/T</v>
          </cell>
          <cell r="I200" t="str">
            <v>AGYA G M/T STD</v>
          </cell>
          <cell r="J200" t="str">
            <v>AGYA G M/T STD</v>
          </cell>
          <cell r="K200" t="str">
            <v>AGYA</v>
          </cell>
          <cell r="L200" t="str">
            <v>B10GM/T12M</v>
          </cell>
          <cell r="M200" t="str">
            <v>AGYA</v>
          </cell>
          <cell r="N200" t="str">
            <v>AGYA</v>
          </cell>
          <cell r="O200" t="str">
            <v>B100RA-GMQFJ-12</v>
          </cell>
          <cell r="P200" t="e">
            <v>#N/A</v>
          </cell>
          <cell r="Q200" t="e">
            <v>#N/A</v>
          </cell>
          <cell r="R200" t="str">
            <v>B100RA-GMQFJ-12</v>
          </cell>
          <cell r="S200" t="str">
            <v>AGYA</v>
          </cell>
          <cell r="T200" t="e">
            <v>#N/A</v>
          </cell>
          <cell r="U200" t="str">
            <v>AGYA G M/T</v>
          </cell>
        </row>
        <row r="201">
          <cell r="D201" t="str">
            <v>B100RA-GMQFJ-13</v>
          </cell>
          <cell r="E201" t="str">
            <v>AGYA</v>
          </cell>
          <cell r="F201" t="str">
            <v>AGYA</v>
          </cell>
          <cell r="G201" t="str">
            <v>AGYA</v>
          </cell>
          <cell r="H201" t="str">
            <v>AGYA G M/T</v>
          </cell>
          <cell r="I201" t="str">
            <v>AGYA G M/T TRD</v>
          </cell>
          <cell r="J201" t="str">
            <v>AGYA G M/T TRD</v>
          </cell>
          <cell r="K201" t="str">
            <v>AGYA</v>
          </cell>
          <cell r="L201" t="str">
            <v>B10GM/T13TRDM</v>
          </cell>
          <cell r="M201" t="str">
            <v>AGYA</v>
          </cell>
          <cell r="N201" t="str">
            <v>AGYA</v>
          </cell>
          <cell r="O201" t="str">
            <v>B100RA-GMQFJ-13</v>
          </cell>
          <cell r="P201" t="e">
            <v>#N/A</v>
          </cell>
          <cell r="Q201" t="e">
            <v>#N/A</v>
          </cell>
          <cell r="R201" t="str">
            <v>B100RA-GMQFJ-13</v>
          </cell>
          <cell r="S201" t="str">
            <v>AGYA</v>
          </cell>
          <cell r="T201" t="e">
            <v>#N/A</v>
          </cell>
          <cell r="U201" t="str">
            <v>AGYA G M/T</v>
          </cell>
        </row>
        <row r="202">
          <cell r="D202" t="e">
            <v>#N/A</v>
          </cell>
          <cell r="E202" t="str">
            <v>AGYA</v>
          </cell>
          <cell r="F202" t="str">
            <v>AGYA</v>
          </cell>
          <cell r="G202" t="str">
            <v>AGYA</v>
          </cell>
          <cell r="H202" t="str">
            <v>AGYA G M/T</v>
          </cell>
          <cell r="I202" t="str">
            <v>AGYA G M/T STD</v>
          </cell>
          <cell r="J202" t="str">
            <v>AGYA G M/T STD</v>
          </cell>
          <cell r="K202" t="str">
            <v>AGYA</v>
          </cell>
          <cell r="L202" t="str">
            <v>B10GM/TM</v>
          </cell>
          <cell r="M202" t="str">
            <v>AGYA</v>
          </cell>
          <cell r="N202" t="str">
            <v>AGYA</v>
          </cell>
          <cell r="O202" t="e">
            <v>#N/A</v>
          </cell>
          <cell r="P202" t="e">
            <v>#N/A</v>
          </cell>
          <cell r="Q202" t="e">
            <v>#N/A</v>
          </cell>
          <cell r="R202" t="e">
            <v>#N/A</v>
          </cell>
          <cell r="S202" t="str">
            <v>AGYA</v>
          </cell>
          <cell r="T202" t="e">
            <v>#N/A</v>
          </cell>
          <cell r="U202" t="str">
            <v>AGYA G M/T</v>
          </cell>
        </row>
        <row r="203">
          <cell r="D203" t="e">
            <v>#N/A</v>
          </cell>
          <cell r="E203" t="str">
            <v>ALPHARD</v>
          </cell>
          <cell r="F203" t="str">
            <v>ALPHARD</v>
          </cell>
          <cell r="G203" t="str">
            <v>ALPHARD</v>
          </cell>
          <cell r="H203" t="str">
            <v>ALPHARD G A/T</v>
          </cell>
          <cell r="I203" t="str">
            <v>ALPHARD G A/T</v>
          </cell>
          <cell r="J203" t="str">
            <v>ALPHARD G A/T</v>
          </cell>
          <cell r="K203" t="str">
            <v>ALPHARD</v>
          </cell>
          <cell r="L203" t="str">
            <v>AN20GA/TM</v>
          </cell>
          <cell r="M203" t="str">
            <v>ALPHARD</v>
          </cell>
          <cell r="N203" t="str">
            <v>ALPHARD</v>
          </cell>
          <cell r="O203" t="e">
            <v>#N/A</v>
          </cell>
          <cell r="P203" t="e">
            <v>#N/A</v>
          </cell>
          <cell r="Q203" t="e">
            <v>#N/A</v>
          </cell>
          <cell r="R203" t="e">
            <v>#N/A</v>
          </cell>
          <cell r="S203" t="str">
            <v>ALPHARD</v>
          </cell>
          <cell r="T203" t="e">
            <v>#N/A</v>
          </cell>
          <cell r="U203" t="str">
            <v>ALPHARD G A/T</v>
          </cell>
        </row>
        <row r="204">
          <cell r="D204" t="e">
            <v>#N/A</v>
          </cell>
          <cell r="E204" t="str">
            <v>ALPHARD</v>
          </cell>
          <cell r="F204" t="str">
            <v>ALPHARD</v>
          </cell>
          <cell r="G204" t="str">
            <v>ALPHARD</v>
          </cell>
          <cell r="H204" t="str">
            <v>ALPHARD G A/T</v>
          </cell>
          <cell r="I204" t="str">
            <v>ALPHARD G A/T</v>
          </cell>
          <cell r="J204" t="str">
            <v>ALPHARD G A/T</v>
          </cell>
          <cell r="K204" t="str">
            <v>ALPHARD</v>
          </cell>
          <cell r="L204" t="str">
            <v>AN20GA/T10M</v>
          </cell>
          <cell r="M204" t="str">
            <v>ALPHARD</v>
          </cell>
          <cell r="N204" t="str">
            <v>ALPHARD</v>
          </cell>
          <cell r="O204" t="e">
            <v>#N/A</v>
          </cell>
          <cell r="P204" t="e">
            <v>#N/A</v>
          </cell>
          <cell r="Q204" t="e">
            <v>#N/A</v>
          </cell>
          <cell r="R204" t="e">
            <v>#N/A</v>
          </cell>
          <cell r="S204" t="str">
            <v>ALPHARD</v>
          </cell>
          <cell r="T204" t="e">
            <v>#N/A</v>
          </cell>
          <cell r="U204" t="str">
            <v>ALPHARD G A/T</v>
          </cell>
        </row>
        <row r="205">
          <cell r="D205" t="e">
            <v>#N/A</v>
          </cell>
          <cell r="E205" t="str">
            <v>ALPHARD</v>
          </cell>
          <cell r="F205" t="str">
            <v>ALPHARD</v>
          </cell>
          <cell r="G205" t="str">
            <v>ALPHARD</v>
          </cell>
          <cell r="H205" t="str">
            <v>ALPHARD G A/T</v>
          </cell>
          <cell r="I205" t="str">
            <v>ALPHARD G A/T</v>
          </cell>
          <cell r="J205" t="str">
            <v>ALPHARD G A/T</v>
          </cell>
          <cell r="K205" t="str">
            <v>ALPHARD</v>
          </cell>
          <cell r="L205" t="str">
            <v>AN20GA/T20M</v>
          </cell>
          <cell r="M205" t="str">
            <v>ALPHARD</v>
          </cell>
          <cell r="N205" t="str">
            <v>ALPHARD</v>
          </cell>
          <cell r="O205" t="e">
            <v>#N/A</v>
          </cell>
          <cell r="P205" t="e">
            <v>#N/A</v>
          </cell>
          <cell r="Q205" t="e">
            <v>#N/A</v>
          </cell>
          <cell r="R205" t="e">
            <v>#N/A</v>
          </cell>
          <cell r="S205" t="str">
            <v>ALPHARD</v>
          </cell>
          <cell r="T205" t="e">
            <v>#N/A</v>
          </cell>
          <cell r="U205" t="str">
            <v>ALPHARD G A/T</v>
          </cell>
        </row>
        <row r="206">
          <cell r="D206" t="e">
            <v>#N/A</v>
          </cell>
          <cell r="E206" t="str">
            <v>ALPHARD</v>
          </cell>
          <cell r="F206" t="str">
            <v>ALPHARD</v>
          </cell>
          <cell r="G206" t="str">
            <v>ALPHARD</v>
          </cell>
          <cell r="H206" t="str">
            <v>ALPHARD G A/T</v>
          </cell>
          <cell r="I206" t="str">
            <v>ALPHARD G A/T</v>
          </cell>
          <cell r="J206" t="str">
            <v>ALPHARD G A/T</v>
          </cell>
          <cell r="K206" t="str">
            <v>ALPHARD</v>
          </cell>
          <cell r="L206" t="str">
            <v>AN20GA/T30LUXM</v>
          </cell>
          <cell r="M206" t="str">
            <v>ALPHARD</v>
          </cell>
          <cell r="N206" t="str">
            <v>ALPHARD</v>
          </cell>
          <cell r="O206" t="e">
            <v>#N/A</v>
          </cell>
          <cell r="P206" t="e">
            <v>#N/A</v>
          </cell>
          <cell r="Q206" t="e">
            <v>#N/A</v>
          </cell>
          <cell r="R206" t="e">
            <v>#N/A</v>
          </cell>
          <cell r="S206" t="str">
            <v>ALPHARD</v>
          </cell>
          <cell r="T206" t="e">
            <v>#N/A</v>
          </cell>
          <cell r="U206" t="str">
            <v>ALPHARD G A/T</v>
          </cell>
        </row>
        <row r="207">
          <cell r="D207" t="e">
            <v>#N/A</v>
          </cell>
          <cell r="E207" t="str">
            <v>ALPHARD</v>
          </cell>
          <cell r="F207" t="str">
            <v>ALPHARD</v>
          </cell>
          <cell r="G207" t="str">
            <v>ALPHARD</v>
          </cell>
          <cell r="H207" t="str">
            <v>ALPHARD G A/T</v>
          </cell>
          <cell r="I207" t="str">
            <v>ALPHARD G A/T</v>
          </cell>
          <cell r="J207" t="str">
            <v>ALPHARD G A/T</v>
          </cell>
          <cell r="K207" t="str">
            <v>ALPHARD</v>
          </cell>
          <cell r="L207" t="str">
            <v>AN20GA/T30M</v>
          </cell>
          <cell r="M207" t="str">
            <v>ALPHARD</v>
          </cell>
          <cell r="N207" t="str">
            <v>ALPHARD</v>
          </cell>
          <cell r="O207" t="e">
            <v>#N/A</v>
          </cell>
          <cell r="P207" t="e">
            <v>#N/A</v>
          </cell>
          <cell r="Q207" t="e">
            <v>#N/A</v>
          </cell>
          <cell r="R207" t="e">
            <v>#N/A</v>
          </cell>
          <cell r="S207" t="str">
            <v>ALPHARD</v>
          </cell>
          <cell r="T207" t="e">
            <v>#N/A</v>
          </cell>
          <cell r="U207" t="str">
            <v>ALPHARD G A/T</v>
          </cell>
        </row>
        <row r="208">
          <cell r="D208" t="e">
            <v>#N/A</v>
          </cell>
          <cell r="E208" t="str">
            <v>ALPHARD</v>
          </cell>
          <cell r="F208" t="str">
            <v>ALPHARD</v>
          </cell>
          <cell r="G208" t="str">
            <v>ALPHARD</v>
          </cell>
          <cell r="H208" t="str">
            <v>ALPHARD HYBRID 4X4</v>
          </cell>
          <cell r="I208" t="str">
            <v>ALPHARD HYBRID 4X4</v>
          </cell>
          <cell r="J208" t="str">
            <v>ALPHARD HYBRID 4X4</v>
          </cell>
          <cell r="K208" t="str">
            <v>ALPHARD</v>
          </cell>
          <cell r="L208" t="str">
            <v>AY30HV/T00M</v>
          </cell>
          <cell r="M208" t="str">
            <v>ALPHARD</v>
          </cell>
          <cell r="N208" t="str">
            <v>ALPHARD</v>
          </cell>
          <cell r="O208" t="e">
            <v>#N/A</v>
          </cell>
          <cell r="P208" t="e">
            <v>#N/A</v>
          </cell>
          <cell r="Q208" t="e">
            <v>#N/A</v>
          </cell>
          <cell r="R208" t="e">
            <v>#N/A</v>
          </cell>
          <cell r="S208" t="str">
            <v>ALPHARD</v>
          </cell>
          <cell r="T208" t="str">
            <v>ALPHARD HYBRID</v>
          </cell>
          <cell r="U208" t="str">
            <v>ALPHARD A/T HYBRID</v>
          </cell>
        </row>
        <row r="209">
          <cell r="D209" t="e">
            <v>#N/A</v>
          </cell>
          <cell r="E209" t="str">
            <v>ALPHARD</v>
          </cell>
          <cell r="F209" t="str">
            <v>ALPHARD</v>
          </cell>
          <cell r="G209" t="str">
            <v>ALPHARD</v>
          </cell>
          <cell r="H209" t="str">
            <v>ALPHARD HYBRID 4X4</v>
          </cell>
          <cell r="I209" t="str">
            <v>ALPHARD HYBRID 4X4</v>
          </cell>
          <cell r="J209" t="str">
            <v>ALPHARD HYBRID 4X4</v>
          </cell>
          <cell r="K209" t="str">
            <v>ALPHARD</v>
          </cell>
          <cell r="L209" t="str">
            <v>AY30HV/T01M</v>
          </cell>
          <cell r="M209" t="str">
            <v>ALPHARD</v>
          </cell>
          <cell r="N209" t="str">
            <v>ALPHARD</v>
          </cell>
          <cell r="O209" t="e">
            <v>#N/A</v>
          </cell>
          <cell r="P209" t="e">
            <v>#N/A</v>
          </cell>
          <cell r="Q209" t="e">
            <v>#N/A</v>
          </cell>
          <cell r="R209" t="e">
            <v>#N/A</v>
          </cell>
          <cell r="S209" t="str">
            <v>ALPHARD</v>
          </cell>
          <cell r="T209" t="str">
            <v>ALPHARD HYBRID</v>
          </cell>
          <cell r="U209" t="str">
            <v>ALPHARD A/T HYBRID</v>
          </cell>
        </row>
        <row r="210">
          <cell r="D210" t="str">
            <v>GGH30R-PFTVK-01</v>
          </cell>
          <cell r="E210" t="str">
            <v>ALPHARD</v>
          </cell>
          <cell r="F210" t="str">
            <v>ALPHARD</v>
          </cell>
          <cell r="G210" t="str">
            <v>ALPHARD</v>
          </cell>
          <cell r="H210" t="str">
            <v>ALPHARD Q A/T</v>
          </cell>
          <cell r="I210" t="str">
            <v>ALPHARD Q A/T</v>
          </cell>
          <cell r="J210" t="str">
            <v>ALPHARD Q A/T</v>
          </cell>
          <cell r="K210" t="str">
            <v>ALPHARD</v>
          </cell>
          <cell r="L210" t="str">
            <v>AL30QA/T</v>
          </cell>
          <cell r="M210" t="str">
            <v>ALPHARD</v>
          </cell>
          <cell r="N210" t="str">
            <v>ALPHARD</v>
          </cell>
          <cell r="O210" t="str">
            <v>GGH30R-PFTVK-01</v>
          </cell>
          <cell r="P210" t="e">
            <v>#N/A</v>
          </cell>
          <cell r="Q210" t="e">
            <v>#N/A</v>
          </cell>
          <cell r="R210" t="str">
            <v>GGH30R-PFTVK-01</v>
          </cell>
          <cell r="S210" t="str">
            <v>ALPHARD</v>
          </cell>
          <cell r="T210" t="e">
            <v>#N/A</v>
          </cell>
          <cell r="U210" t="str">
            <v>ALPHARD Q A/T</v>
          </cell>
        </row>
        <row r="211">
          <cell r="D211" t="e">
            <v>#N/A</v>
          </cell>
          <cell r="E211" t="str">
            <v>ALPHARD</v>
          </cell>
          <cell r="F211" t="str">
            <v>ALPHARD</v>
          </cell>
          <cell r="G211" t="str">
            <v>ALPHARD</v>
          </cell>
          <cell r="H211" t="str">
            <v>ALPHARD V A/T</v>
          </cell>
          <cell r="I211" t="str">
            <v>ALPHARD V A/T</v>
          </cell>
          <cell r="J211" t="str">
            <v>ALPHARD V A/T</v>
          </cell>
          <cell r="K211" t="str">
            <v>ALPHARD</v>
          </cell>
          <cell r="L211" t="str">
            <v>GG20VA/T20LUXM</v>
          </cell>
          <cell r="M211" t="str">
            <v>ALPHARD</v>
          </cell>
          <cell r="N211" t="str">
            <v>ALPHARD</v>
          </cell>
          <cell r="O211" t="e">
            <v>#N/A</v>
          </cell>
          <cell r="P211" t="e">
            <v>#N/A</v>
          </cell>
          <cell r="Q211" t="e">
            <v>#N/A</v>
          </cell>
          <cell r="R211" t="e">
            <v>#N/A</v>
          </cell>
          <cell r="S211" t="str">
            <v>ALPHARD</v>
          </cell>
          <cell r="T211" t="e">
            <v>#N/A</v>
          </cell>
          <cell r="U211" t="str">
            <v>ALPHARD V A/T</v>
          </cell>
        </row>
        <row r="212">
          <cell r="D212" t="e">
            <v>#N/A</v>
          </cell>
          <cell r="E212" t="str">
            <v>ALPHARD</v>
          </cell>
          <cell r="F212" t="str">
            <v>ALPHARD</v>
          </cell>
          <cell r="G212" t="str">
            <v>ALPHARD</v>
          </cell>
          <cell r="H212" t="str">
            <v>ALPHARD V A/T</v>
          </cell>
          <cell r="I212" t="str">
            <v>ALPHARD V A/T</v>
          </cell>
          <cell r="J212" t="str">
            <v>ALPHARD V A/T</v>
          </cell>
          <cell r="K212" t="str">
            <v>ALPHARD</v>
          </cell>
          <cell r="L212" t="str">
            <v>GG20VA/T/T10M</v>
          </cell>
          <cell r="M212" t="str">
            <v>ALPHARD</v>
          </cell>
          <cell r="N212" t="str">
            <v>ALPHARD</v>
          </cell>
          <cell r="O212" t="e">
            <v>#N/A</v>
          </cell>
          <cell r="P212" t="e">
            <v>#N/A</v>
          </cell>
          <cell r="Q212" t="e">
            <v>#N/A</v>
          </cell>
          <cell r="R212" t="e">
            <v>#N/A</v>
          </cell>
          <cell r="S212" t="str">
            <v>ALPHARD</v>
          </cell>
          <cell r="T212" t="e">
            <v>#N/A</v>
          </cell>
          <cell r="U212" t="str">
            <v>ALPHARD V A/T</v>
          </cell>
        </row>
        <row r="213">
          <cell r="D213" t="e">
            <v>#N/A</v>
          </cell>
          <cell r="E213" t="str">
            <v>ALPHARD</v>
          </cell>
          <cell r="F213" t="str">
            <v>ALPHARD</v>
          </cell>
          <cell r="G213" t="str">
            <v>ALPHARD</v>
          </cell>
          <cell r="H213" t="str">
            <v>ALPHARD V A/T</v>
          </cell>
          <cell r="I213" t="str">
            <v>ALPHARD V A/T</v>
          </cell>
          <cell r="J213" t="str">
            <v>ALPHARD V A/T</v>
          </cell>
          <cell r="K213" t="str">
            <v>ALPHARD</v>
          </cell>
          <cell r="L213" t="str">
            <v>GG20VA/TM</v>
          </cell>
          <cell r="M213" t="str">
            <v>ALPHARD</v>
          </cell>
          <cell r="N213" t="str">
            <v>ALPHARD</v>
          </cell>
          <cell r="O213" t="e">
            <v>#N/A</v>
          </cell>
          <cell r="P213" t="e">
            <v>#N/A</v>
          </cell>
          <cell r="Q213" t="e">
            <v>#N/A</v>
          </cell>
          <cell r="R213" t="e">
            <v>#N/A</v>
          </cell>
          <cell r="S213" t="str">
            <v>ALPHARD</v>
          </cell>
          <cell r="T213" t="e">
            <v>#N/A</v>
          </cell>
          <cell r="U213" t="str">
            <v>ALPHARD V A/T</v>
          </cell>
        </row>
        <row r="214">
          <cell r="D214" t="e">
            <v>#N/A</v>
          </cell>
          <cell r="E214" t="str">
            <v>ALPHARD</v>
          </cell>
          <cell r="F214" t="str">
            <v>ALPHARD</v>
          </cell>
          <cell r="G214" t="str">
            <v>ALPHARD</v>
          </cell>
          <cell r="H214" t="str">
            <v>ALPHARD X A/T</v>
          </cell>
          <cell r="I214" t="str">
            <v>ALPHARD X A/T</v>
          </cell>
          <cell r="J214" t="str">
            <v>ALPHARD X A/T</v>
          </cell>
          <cell r="K214" t="str">
            <v>ALPHARD</v>
          </cell>
          <cell r="L214" t="str">
            <v>AN20XA/TM</v>
          </cell>
          <cell r="M214" t="str">
            <v>ALPHARD</v>
          </cell>
          <cell r="N214" t="str">
            <v>ALPHARD</v>
          </cell>
          <cell r="O214" t="e">
            <v>#N/A</v>
          </cell>
          <cell r="P214" t="e">
            <v>#N/A</v>
          </cell>
          <cell r="Q214" t="e">
            <v>#N/A</v>
          </cell>
          <cell r="R214" t="e">
            <v>#N/A</v>
          </cell>
          <cell r="S214" t="str">
            <v>ALPHARD</v>
          </cell>
          <cell r="T214" t="e">
            <v>#N/A</v>
          </cell>
          <cell r="U214" t="str">
            <v>ALPHARD X A/T</v>
          </cell>
        </row>
        <row r="215">
          <cell r="D215" t="str">
            <v>AGH30R-PFXGK-00</v>
          </cell>
          <cell r="E215" t="str">
            <v>ALPHARD</v>
          </cell>
          <cell r="F215" t="str">
            <v>ALPHARD</v>
          </cell>
          <cell r="G215" t="str">
            <v>ALPHARD</v>
          </cell>
          <cell r="H215" t="str">
            <v>ALPHARD X A/T</v>
          </cell>
          <cell r="I215" t="str">
            <v>ALPHARD X A/T</v>
          </cell>
          <cell r="J215" t="str">
            <v>ALPHARD X A/T</v>
          </cell>
          <cell r="K215" t="str">
            <v>ALPHARD</v>
          </cell>
          <cell r="L215" t="str">
            <v>AL30XA/T</v>
          </cell>
          <cell r="M215" t="str">
            <v>ALPHARD</v>
          </cell>
          <cell r="N215" t="str">
            <v>ALPHARD</v>
          </cell>
          <cell r="O215" t="str">
            <v>AGH30R-PFXGK-00</v>
          </cell>
          <cell r="P215" t="e">
            <v>#N/A</v>
          </cell>
          <cell r="Q215" t="e">
            <v>#N/A</v>
          </cell>
          <cell r="R215" t="str">
            <v>AGH30R-PFXGK-00</v>
          </cell>
          <cell r="S215" t="str">
            <v>ALPHARD</v>
          </cell>
          <cell r="T215" t="e">
            <v>#N/A</v>
          </cell>
          <cell r="U215" t="str">
            <v>ALPHARD X A/T</v>
          </cell>
        </row>
        <row r="216">
          <cell r="D216" t="e">
            <v>#N/A</v>
          </cell>
          <cell r="E216" t="str">
            <v>ALPHARD</v>
          </cell>
          <cell r="F216" t="str">
            <v>ALPHARD</v>
          </cell>
          <cell r="G216" t="str">
            <v>ALPHARD</v>
          </cell>
          <cell r="H216" t="str">
            <v>ALPHARD X A/T</v>
          </cell>
          <cell r="I216" t="str">
            <v>ALPHARD X A/T</v>
          </cell>
          <cell r="J216" t="str">
            <v>ALPHARD X A/T</v>
          </cell>
          <cell r="K216" t="str">
            <v>ALPHARD</v>
          </cell>
          <cell r="L216" t="str">
            <v>AN20XA/T10M</v>
          </cell>
          <cell r="M216" t="str">
            <v>ALPHARD</v>
          </cell>
          <cell r="N216" t="str">
            <v>ALPHARD</v>
          </cell>
          <cell r="O216" t="e">
            <v>#N/A</v>
          </cell>
          <cell r="P216" t="e">
            <v>#N/A</v>
          </cell>
          <cell r="Q216" t="e">
            <v>#N/A</v>
          </cell>
          <cell r="R216" t="e">
            <v>#N/A</v>
          </cell>
          <cell r="S216" t="str">
            <v>ALPHARD</v>
          </cell>
          <cell r="T216" t="e">
            <v>#N/A</v>
          </cell>
          <cell r="U216" t="str">
            <v>ALPHARD X A/T</v>
          </cell>
        </row>
        <row r="217">
          <cell r="D217" t="e">
            <v>#N/A</v>
          </cell>
          <cell r="E217" t="str">
            <v>ALPHARD</v>
          </cell>
          <cell r="F217" t="str">
            <v>ALPHARD</v>
          </cell>
          <cell r="G217" t="str">
            <v>ALPHARD</v>
          </cell>
          <cell r="H217" t="str">
            <v>ALPHARD X A/T</v>
          </cell>
          <cell r="I217" t="str">
            <v>ALPHARD X A/T</v>
          </cell>
          <cell r="J217" t="str">
            <v>ALPHARD X A/T</v>
          </cell>
          <cell r="K217" t="str">
            <v>ALPHARD</v>
          </cell>
          <cell r="L217" t="str">
            <v>AN20XA/T20LUXM</v>
          </cell>
          <cell r="M217" t="str">
            <v>ALPHARD</v>
          </cell>
          <cell r="N217" t="str">
            <v>ALPHARD</v>
          </cell>
          <cell r="O217" t="e">
            <v>#N/A</v>
          </cell>
          <cell r="P217" t="e">
            <v>#N/A</v>
          </cell>
          <cell r="Q217" t="e">
            <v>#N/A</v>
          </cell>
          <cell r="R217" t="e">
            <v>#N/A</v>
          </cell>
          <cell r="S217" t="str">
            <v>ALPHARD</v>
          </cell>
          <cell r="T217" t="e">
            <v>#N/A</v>
          </cell>
          <cell r="U217" t="str">
            <v>ALPHARD X A/T</v>
          </cell>
        </row>
        <row r="218">
          <cell r="D218" t="e">
            <v>#N/A</v>
          </cell>
          <cell r="E218" t="str">
            <v>ALPHARD</v>
          </cell>
          <cell r="F218" t="str">
            <v>ALPHARD</v>
          </cell>
          <cell r="G218" t="str">
            <v>ALPHARD</v>
          </cell>
          <cell r="H218" t="str">
            <v>ALPHARD X A/T</v>
          </cell>
          <cell r="I218" t="str">
            <v>ALPHARD X A/T</v>
          </cell>
          <cell r="J218" t="str">
            <v>ALPHARD X A/T</v>
          </cell>
          <cell r="K218" t="str">
            <v>ALPHARD</v>
          </cell>
          <cell r="L218" t="str">
            <v>AN20XA/T20M</v>
          </cell>
          <cell r="M218" t="str">
            <v>ALPHARD</v>
          </cell>
          <cell r="N218" t="str">
            <v>ALPHARD</v>
          </cell>
          <cell r="O218" t="e">
            <v>#N/A</v>
          </cell>
          <cell r="P218" t="e">
            <v>#N/A</v>
          </cell>
          <cell r="Q218" t="e">
            <v>#N/A</v>
          </cell>
          <cell r="R218" t="e">
            <v>#N/A</v>
          </cell>
          <cell r="S218" t="str">
            <v>ALPHARD</v>
          </cell>
          <cell r="T218" t="e">
            <v>#N/A</v>
          </cell>
          <cell r="U218" t="str">
            <v>ALPHARD X A/T</v>
          </cell>
        </row>
        <row r="219">
          <cell r="D219" t="e">
            <v>#N/A</v>
          </cell>
          <cell r="E219" t="str">
            <v>COROLLA</v>
          </cell>
          <cell r="F219" t="str">
            <v>COROLLA ALTIS</v>
          </cell>
          <cell r="G219" t="str">
            <v>COROLLA ALTIS</v>
          </cell>
          <cell r="H219" t="str">
            <v>COROLLA ALTIS E M/T</v>
          </cell>
          <cell r="I219" t="str">
            <v>COROLLA ALTIS E M/T</v>
          </cell>
          <cell r="J219" t="str">
            <v>COROLLA ALTIS E M/T</v>
          </cell>
          <cell r="K219" t="str">
            <v>COROLLA ALTIS</v>
          </cell>
          <cell r="L219" t="str">
            <v>ZE142EM/T10</v>
          </cell>
          <cell r="M219" t="str">
            <v>COROLLA ALTIS</v>
          </cell>
          <cell r="N219" t="str">
            <v>COROLLA ALTIS</v>
          </cell>
          <cell r="O219" t="e">
            <v>#N/A</v>
          </cell>
          <cell r="P219" t="e">
            <v>#N/A</v>
          </cell>
          <cell r="Q219" t="e">
            <v>#N/A</v>
          </cell>
          <cell r="R219" t="e">
            <v>#N/A</v>
          </cell>
          <cell r="S219" t="str">
            <v>COROLLA</v>
          </cell>
          <cell r="T219" t="e">
            <v>#N/A</v>
          </cell>
          <cell r="U219" t="str">
            <v>COROLLA ALTIS E M/T</v>
          </cell>
        </row>
        <row r="220">
          <cell r="D220" t="e">
            <v>#N/A</v>
          </cell>
          <cell r="E220" t="str">
            <v>COROLLA</v>
          </cell>
          <cell r="F220" t="str">
            <v>COROLLA ALTIS</v>
          </cell>
          <cell r="G220" t="str">
            <v>COROLLA ALTIS</v>
          </cell>
          <cell r="H220" t="str">
            <v>COROLLA ALTIS E M/T</v>
          </cell>
          <cell r="I220" t="str">
            <v>COROLLA ALTIS E M/T</v>
          </cell>
          <cell r="J220" t="str">
            <v>COROLLA ALTIS E M/T</v>
          </cell>
          <cell r="K220" t="str">
            <v>COROLLA ALTIS</v>
          </cell>
          <cell r="L220" t="str">
            <v>ZE142EM/T10M</v>
          </cell>
          <cell r="M220" t="str">
            <v>COROLLA ALTIS</v>
          </cell>
          <cell r="N220" t="str">
            <v>COROLLA ALTIS</v>
          </cell>
          <cell r="O220" t="e">
            <v>#N/A</v>
          </cell>
          <cell r="P220" t="e">
            <v>#N/A</v>
          </cell>
          <cell r="Q220" t="e">
            <v>#N/A</v>
          </cell>
          <cell r="R220" t="e">
            <v>#N/A</v>
          </cell>
          <cell r="S220" t="str">
            <v>COROLLA</v>
          </cell>
          <cell r="T220" t="e">
            <v>#N/A</v>
          </cell>
          <cell r="U220" t="str">
            <v>COROLLA ALTIS E M/T</v>
          </cell>
        </row>
        <row r="221">
          <cell r="D221" t="e">
            <v>#N/A</v>
          </cell>
          <cell r="E221" t="str">
            <v>COROLLA</v>
          </cell>
          <cell r="F221" t="str">
            <v>COROLLA ALTIS</v>
          </cell>
          <cell r="G221" t="str">
            <v>COROLLA ALTIS</v>
          </cell>
          <cell r="H221" t="str">
            <v>COROLLA ALTIS G A/T</v>
          </cell>
          <cell r="I221" t="str">
            <v>COROLLA ALTIS G A/T</v>
          </cell>
          <cell r="J221" t="str">
            <v>COROLLA ALTIS G A/T</v>
          </cell>
          <cell r="K221" t="str">
            <v>COROLLA ALTIS</v>
          </cell>
          <cell r="L221" t="str">
            <v>ZE122GA/TM1M-M1</v>
          </cell>
          <cell r="M221" t="str">
            <v>COROLLA ALTIS</v>
          </cell>
          <cell r="N221" t="str">
            <v>COROLLA ALTIS</v>
          </cell>
          <cell r="O221" t="e">
            <v>#N/A</v>
          </cell>
          <cell r="P221" t="e">
            <v>#N/A</v>
          </cell>
          <cell r="Q221" t="e">
            <v>#N/A</v>
          </cell>
          <cell r="R221" t="e">
            <v>#N/A</v>
          </cell>
          <cell r="S221" t="str">
            <v>COROLLA</v>
          </cell>
          <cell r="T221" t="e">
            <v>#N/A</v>
          </cell>
          <cell r="U221" t="str">
            <v>COROLLA ALTIS G A/T</v>
          </cell>
        </row>
        <row r="222">
          <cell r="D222" t="e">
            <v>#N/A</v>
          </cell>
          <cell r="E222" t="str">
            <v>COROLLA</v>
          </cell>
          <cell r="F222" t="str">
            <v>COROLLA ALTIS</v>
          </cell>
          <cell r="G222" t="str">
            <v>COROLLA ALTIS</v>
          </cell>
          <cell r="H222" t="str">
            <v>COROLLA ALTIS G A/T</v>
          </cell>
          <cell r="I222" t="str">
            <v>COROLLA ALTIS G A/T</v>
          </cell>
          <cell r="J222" t="str">
            <v>COROLLA ALTIS G A/T</v>
          </cell>
          <cell r="K222" t="str">
            <v>COROLLA ALTIS</v>
          </cell>
          <cell r="L222" t="str">
            <v>ZE122GA/TM2M</v>
          </cell>
          <cell r="M222" t="str">
            <v>COROLLA ALTIS</v>
          </cell>
          <cell r="N222" t="str">
            <v>COROLLA ALTIS</v>
          </cell>
          <cell r="O222" t="e">
            <v>#N/A</v>
          </cell>
          <cell r="P222" t="e">
            <v>#N/A</v>
          </cell>
          <cell r="Q222" t="e">
            <v>#N/A</v>
          </cell>
          <cell r="R222" t="e">
            <v>#N/A</v>
          </cell>
          <cell r="S222" t="str">
            <v>COROLLA</v>
          </cell>
          <cell r="T222" t="e">
            <v>#N/A</v>
          </cell>
          <cell r="U222" t="str">
            <v>COROLLA ALTIS G A/T</v>
          </cell>
        </row>
        <row r="223">
          <cell r="D223" t="e">
            <v>#N/A</v>
          </cell>
          <cell r="E223" t="str">
            <v>COROLLA</v>
          </cell>
          <cell r="F223" t="str">
            <v>COROLLA ALTIS</v>
          </cell>
          <cell r="G223" t="str">
            <v>COROLLA ALTIS</v>
          </cell>
          <cell r="H223" t="str">
            <v>COROLLA ALTIS G A/T</v>
          </cell>
          <cell r="I223" t="str">
            <v>COROLLA ALTIS G A/T</v>
          </cell>
          <cell r="J223" t="str">
            <v>COROLLA ALTIS G A/T</v>
          </cell>
          <cell r="K223" t="str">
            <v>COROLLA ALTIS</v>
          </cell>
          <cell r="L223" t="str">
            <v>ZE122GA/TM2M</v>
          </cell>
          <cell r="M223" t="str">
            <v>COROLLA ALTIS</v>
          </cell>
          <cell r="N223" t="str">
            <v>COROLLA ALTIS</v>
          </cell>
          <cell r="O223" t="e">
            <v>#N/A</v>
          </cell>
          <cell r="P223" t="e">
            <v>#N/A</v>
          </cell>
          <cell r="Q223" t="e">
            <v>#N/A</v>
          </cell>
          <cell r="R223" t="e">
            <v>#N/A</v>
          </cell>
          <cell r="S223" t="str">
            <v>COROLLA</v>
          </cell>
          <cell r="T223" t="e">
            <v>#N/A</v>
          </cell>
          <cell r="U223" t="str">
            <v>COROLLA ALTIS G A/T</v>
          </cell>
        </row>
        <row r="224">
          <cell r="D224" t="e">
            <v>#N/A</v>
          </cell>
          <cell r="E224" t="str">
            <v>COROLLA</v>
          </cell>
          <cell r="F224" t="str">
            <v>COROLLA ALTIS</v>
          </cell>
          <cell r="G224" t="str">
            <v>COROLLA ALTIS</v>
          </cell>
          <cell r="H224" t="str">
            <v>COROLLA ALTIS G A/T</v>
          </cell>
          <cell r="I224" t="str">
            <v>COROLLA ALTIS G A/T</v>
          </cell>
          <cell r="J224" t="str">
            <v>COROLLA ALTIS G A/T</v>
          </cell>
          <cell r="K224" t="str">
            <v>COROLLA ALTIS</v>
          </cell>
          <cell r="L224" t="str">
            <v>ZE142GA/T10</v>
          </cell>
          <cell r="M224" t="str">
            <v>COROLLA ALTIS</v>
          </cell>
          <cell r="N224" t="str">
            <v>COROLLA ALTIS</v>
          </cell>
          <cell r="O224" t="e">
            <v>#N/A</v>
          </cell>
          <cell r="P224" t="e">
            <v>#N/A</v>
          </cell>
          <cell r="Q224" t="e">
            <v>#N/A</v>
          </cell>
          <cell r="R224" t="e">
            <v>#N/A</v>
          </cell>
          <cell r="S224" t="str">
            <v>COROLLA</v>
          </cell>
          <cell r="T224" t="e">
            <v>#N/A</v>
          </cell>
          <cell r="U224" t="str">
            <v>COROLLA ALTIS G A/T</v>
          </cell>
        </row>
        <row r="225">
          <cell r="D225" t="e">
            <v>#N/A</v>
          </cell>
          <cell r="E225" t="str">
            <v>COROLLA</v>
          </cell>
          <cell r="F225" t="str">
            <v>COROLLA ALTIS</v>
          </cell>
          <cell r="G225" t="str">
            <v>COROLLA ALTIS</v>
          </cell>
          <cell r="H225" t="str">
            <v>COROLLA ALTIS G A/T</v>
          </cell>
          <cell r="I225" t="str">
            <v>COROLLA ALTIS G A/T</v>
          </cell>
          <cell r="J225" t="str">
            <v>COROLLA ALTIS G A/T</v>
          </cell>
          <cell r="K225" t="str">
            <v>COROLLA ALTIS</v>
          </cell>
          <cell r="L225" t="str">
            <v>ZE142GA/T10M</v>
          </cell>
          <cell r="M225" t="str">
            <v>COROLLA ALTIS</v>
          </cell>
          <cell r="N225" t="str">
            <v>COROLLA ALTIS</v>
          </cell>
          <cell r="O225" t="e">
            <v>#N/A</v>
          </cell>
          <cell r="P225" t="e">
            <v>#N/A</v>
          </cell>
          <cell r="Q225" t="e">
            <v>#N/A</v>
          </cell>
          <cell r="R225" t="e">
            <v>#N/A</v>
          </cell>
          <cell r="S225" t="str">
            <v>COROLLA</v>
          </cell>
          <cell r="T225" t="e">
            <v>#N/A</v>
          </cell>
          <cell r="U225" t="str">
            <v>COROLLA ALTIS G A/T</v>
          </cell>
        </row>
        <row r="226">
          <cell r="D226" t="e">
            <v>#N/A</v>
          </cell>
          <cell r="E226" t="str">
            <v>COROLLA</v>
          </cell>
          <cell r="F226" t="str">
            <v>COROLLA ALTIS</v>
          </cell>
          <cell r="G226" t="str">
            <v>COROLLA ALTIS</v>
          </cell>
          <cell r="H226" t="str">
            <v>COROLLA ALTIS G A/T</v>
          </cell>
          <cell r="I226" t="str">
            <v>COROLLA ALTIS G A/T</v>
          </cell>
          <cell r="J226" t="str">
            <v>COROLLA ALTIS G A/T</v>
          </cell>
          <cell r="K226" t="str">
            <v>COROLLA ALTIS</v>
          </cell>
          <cell r="L226" t="str">
            <v>ZE142GA/TM</v>
          </cell>
          <cell r="M226" t="str">
            <v>COROLLA ALTIS</v>
          </cell>
          <cell r="N226" t="str">
            <v>COROLLA ALTIS</v>
          </cell>
          <cell r="O226" t="e">
            <v>#N/A</v>
          </cell>
          <cell r="P226" t="e">
            <v>#N/A</v>
          </cell>
          <cell r="Q226" t="e">
            <v>#N/A</v>
          </cell>
          <cell r="R226" t="e">
            <v>#N/A</v>
          </cell>
          <cell r="S226" t="str">
            <v>COROLLA</v>
          </cell>
          <cell r="T226" t="e">
            <v>#N/A</v>
          </cell>
          <cell r="U226" t="str">
            <v>COROLLA ALTIS G A/T</v>
          </cell>
        </row>
        <row r="227">
          <cell r="D227" t="e">
            <v>#N/A</v>
          </cell>
          <cell r="E227" t="str">
            <v>COROLLA</v>
          </cell>
          <cell r="F227" t="str">
            <v>COROLLA ALTIS</v>
          </cell>
          <cell r="G227" t="str">
            <v>COROLLA ALTIS</v>
          </cell>
          <cell r="H227" t="str">
            <v>COROLLA ALTIS G M/T</v>
          </cell>
          <cell r="I227" t="str">
            <v>COROLLA ALTIS G M/T</v>
          </cell>
          <cell r="J227" t="str">
            <v>COROLLA ALTIS G M/T</v>
          </cell>
          <cell r="K227" t="str">
            <v>COROLLA ALTIS</v>
          </cell>
          <cell r="L227" t="str">
            <v>ZE122GM/TM2M</v>
          </cell>
          <cell r="M227" t="str">
            <v>COROLLA ALTIS</v>
          </cell>
          <cell r="N227" t="str">
            <v>COROLLA ALTIS</v>
          </cell>
          <cell r="O227" t="e">
            <v>#N/A</v>
          </cell>
          <cell r="P227" t="e">
            <v>#N/A</v>
          </cell>
          <cell r="Q227" t="e">
            <v>#N/A</v>
          </cell>
          <cell r="R227" t="e">
            <v>#N/A</v>
          </cell>
          <cell r="S227" t="str">
            <v>COROLLA</v>
          </cell>
          <cell r="T227" t="e">
            <v>#N/A</v>
          </cell>
          <cell r="U227" t="str">
            <v>COROLLA ALTIS G M/T</v>
          </cell>
        </row>
        <row r="228">
          <cell r="D228" t="e">
            <v>#N/A</v>
          </cell>
          <cell r="E228" t="str">
            <v>COROLLA</v>
          </cell>
          <cell r="F228" t="str">
            <v>COROLLA ALTIS</v>
          </cell>
          <cell r="G228" t="str">
            <v>COROLLA ALTIS</v>
          </cell>
          <cell r="H228" t="str">
            <v>COROLLA ALTIS G M/T</v>
          </cell>
          <cell r="I228" t="str">
            <v>COROLLA ALTIS G M/T</v>
          </cell>
          <cell r="J228" t="str">
            <v>COROLLA ALTIS G M/T</v>
          </cell>
          <cell r="K228" t="str">
            <v>COROLLA ALTIS</v>
          </cell>
          <cell r="L228" t="str">
            <v>ZE122GM/TM2M</v>
          </cell>
          <cell r="M228" t="str">
            <v>COROLLA ALTIS</v>
          </cell>
          <cell r="N228" t="str">
            <v>COROLLA ALTIS</v>
          </cell>
          <cell r="O228" t="e">
            <v>#N/A</v>
          </cell>
          <cell r="P228" t="e">
            <v>#N/A</v>
          </cell>
          <cell r="Q228" t="e">
            <v>#N/A</v>
          </cell>
          <cell r="R228" t="e">
            <v>#N/A</v>
          </cell>
          <cell r="S228" t="str">
            <v>COROLLA</v>
          </cell>
          <cell r="T228" t="e">
            <v>#N/A</v>
          </cell>
          <cell r="U228" t="str">
            <v>COROLLA ALTIS G M/T</v>
          </cell>
        </row>
        <row r="229">
          <cell r="D229" t="str">
            <v>ZRE172R-GEFNKD-00</v>
          </cell>
          <cell r="E229" t="str">
            <v>COROLLA</v>
          </cell>
          <cell r="F229" t="str">
            <v>COROLLA ALTIS</v>
          </cell>
          <cell r="G229" t="str">
            <v>COROLLA ALTIS</v>
          </cell>
          <cell r="H229" t="str">
            <v>COROLLA ALTIS G M/T</v>
          </cell>
          <cell r="I229" t="str">
            <v>COROLLA ALTIS G M/T</v>
          </cell>
          <cell r="J229" t="str">
            <v>COROLLA ALTIS G M/T</v>
          </cell>
          <cell r="K229" t="str">
            <v>COROLLA ALTIS</v>
          </cell>
          <cell r="L229" t="str">
            <v>ZE172GM/TM</v>
          </cell>
          <cell r="M229" t="str">
            <v>COROLLA ALTIS</v>
          </cell>
          <cell r="N229" t="str">
            <v>COROLLA ALTIS</v>
          </cell>
          <cell r="O229" t="str">
            <v>ZRE172R-GEFNKD-00</v>
          </cell>
          <cell r="P229" t="e">
            <v>#N/A</v>
          </cell>
          <cell r="Q229" t="e">
            <v>#N/A</v>
          </cell>
          <cell r="R229" t="str">
            <v>ZRE172R-GEFNKD-00</v>
          </cell>
          <cell r="S229" t="str">
            <v>COROLLA</v>
          </cell>
          <cell r="T229" t="e">
            <v>#N/A</v>
          </cell>
          <cell r="U229" t="str">
            <v>COROLLA ALTIS G M/T</v>
          </cell>
        </row>
        <row r="230">
          <cell r="D230" t="str">
            <v>ZRE172R-GEFNKD-00</v>
          </cell>
          <cell r="E230" t="str">
            <v>COROLLA</v>
          </cell>
          <cell r="F230" t="str">
            <v>COROLLA ALTIS</v>
          </cell>
          <cell r="G230" t="str">
            <v>COROLLA ALTIS</v>
          </cell>
          <cell r="H230" t="str">
            <v>COROLLA ALTIS G M/T</v>
          </cell>
          <cell r="I230" t="str">
            <v>COROLLA ALTIS G M/T</v>
          </cell>
          <cell r="J230" t="str">
            <v>COROLLA ALTIS G M/T</v>
          </cell>
          <cell r="K230" t="str">
            <v>COROLLA ALTIS</v>
          </cell>
          <cell r="L230" t="str">
            <v>ZE172GM/TM</v>
          </cell>
          <cell r="M230" t="str">
            <v>COROLLA ALTIS</v>
          </cell>
          <cell r="N230" t="str">
            <v>COROLLA ALTIS</v>
          </cell>
          <cell r="O230" t="str">
            <v>ZRE172R-GEFNKD-00</v>
          </cell>
          <cell r="P230" t="e">
            <v>#N/A</v>
          </cell>
          <cell r="Q230" t="e">
            <v>#N/A</v>
          </cell>
          <cell r="R230" t="str">
            <v>ZRE172R-GEFNKD-00</v>
          </cell>
          <cell r="S230" t="str">
            <v>COROLLA</v>
          </cell>
          <cell r="T230" t="e">
            <v>#N/A</v>
          </cell>
          <cell r="U230" t="str">
            <v>COROLLA ALTIS G M/T</v>
          </cell>
        </row>
        <row r="231">
          <cell r="D231" t="str">
            <v>ZRE172R-GEFNKD-20</v>
          </cell>
          <cell r="E231" t="str">
            <v>COROLLA</v>
          </cell>
          <cell r="F231" t="str">
            <v>COROLLA ALTIS</v>
          </cell>
          <cell r="G231" t="str">
            <v>COROLLA ALTIS</v>
          </cell>
          <cell r="H231" t="str">
            <v>COROLLA ALTIS G M/T</v>
          </cell>
          <cell r="I231" t="str">
            <v>COROLLA ALTIS G M/T</v>
          </cell>
          <cell r="J231" t="str">
            <v>COROLLA ALTIS G M/T</v>
          </cell>
          <cell r="K231" t="str">
            <v>COROLLA ALTIS</v>
          </cell>
          <cell r="L231" t="str">
            <v>ZRE172GM/T20M</v>
          </cell>
          <cell r="M231" t="str">
            <v>COROLLA ALTIS</v>
          </cell>
          <cell r="N231" t="str">
            <v>COROLLA ALTIS</v>
          </cell>
          <cell r="O231" t="str">
            <v>ZRE172R-GEFNKD-20</v>
          </cell>
          <cell r="P231" t="e">
            <v>#N/A</v>
          </cell>
          <cell r="Q231" t="e">
            <v>#N/A</v>
          </cell>
          <cell r="R231" t="str">
            <v>ZRE172R-GEFNKD-20</v>
          </cell>
          <cell r="S231" t="str">
            <v>COROLLA</v>
          </cell>
          <cell r="T231" t="e">
            <v>#N/A</v>
          </cell>
          <cell r="U231" t="str">
            <v>COROLLA ALTIS G M/T</v>
          </cell>
        </row>
        <row r="232">
          <cell r="D232" t="str">
            <v>ZRE172R-GEFNKD-70</v>
          </cell>
          <cell r="E232" t="str">
            <v>COROLLA</v>
          </cell>
          <cell r="F232" t="str">
            <v>COROLLA ALTIS</v>
          </cell>
          <cell r="G232" t="str">
            <v>COROLLA ALTIS</v>
          </cell>
          <cell r="H232" t="str">
            <v>COROLLA ALTIS G M/T</v>
          </cell>
          <cell r="I232" t="str">
            <v>COROLLA ALTIS G M/T</v>
          </cell>
          <cell r="J232" t="str">
            <v>COROLLA ALTIS G M/T</v>
          </cell>
          <cell r="K232" t="str">
            <v>COROLLA ALTIS</v>
          </cell>
          <cell r="L232" t="str">
            <v>ZRE172GM/T70M</v>
          </cell>
          <cell r="M232" t="str">
            <v>COROLLA ALTIS</v>
          </cell>
          <cell r="N232" t="str">
            <v>COROLLA ALTIS</v>
          </cell>
          <cell r="O232" t="str">
            <v>ZRE172R-GEFNKD-70</v>
          </cell>
          <cell r="P232" t="e">
            <v>#N/A</v>
          </cell>
          <cell r="Q232" t="e">
            <v>#N/A</v>
          </cell>
          <cell r="R232" t="str">
            <v>ZRE172R-GEFNKD-70</v>
          </cell>
          <cell r="S232" t="str">
            <v>COROLLA</v>
          </cell>
          <cell r="T232" t="e">
            <v>#N/A</v>
          </cell>
          <cell r="U232" t="str">
            <v>COROLLA ALTIS G M/T</v>
          </cell>
        </row>
        <row r="233">
          <cell r="D233" t="e">
            <v>#N/A</v>
          </cell>
          <cell r="E233" t="str">
            <v>COROLLA</v>
          </cell>
          <cell r="F233" t="str">
            <v>COROLLA ALTIS</v>
          </cell>
          <cell r="G233" t="str">
            <v>COROLLA ALTIS</v>
          </cell>
          <cell r="H233" t="str">
            <v>COROLLA ALTIS J M/T</v>
          </cell>
          <cell r="I233" t="str">
            <v>COROLLA ALTIS J M/T</v>
          </cell>
          <cell r="J233" t="str">
            <v>COROLLA ALTIS J M/T</v>
          </cell>
          <cell r="K233" t="str">
            <v>COROLLA ALTIS</v>
          </cell>
          <cell r="L233" t="str">
            <v>ZE122JM/TM2M</v>
          </cell>
          <cell r="M233" t="str">
            <v>COROLLA ALTIS</v>
          </cell>
          <cell r="N233" t="str">
            <v>COROLLA ALTIS</v>
          </cell>
          <cell r="O233" t="e">
            <v>#N/A</v>
          </cell>
          <cell r="P233" t="e">
            <v>#N/A</v>
          </cell>
          <cell r="Q233" t="e">
            <v>#N/A</v>
          </cell>
          <cell r="R233" t="e">
            <v>#N/A</v>
          </cell>
          <cell r="S233" t="str">
            <v>COROLLA</v>
          </cell>
          <cell r="T233" t="e">
            <v>#N/A</v>
          </cell>
          <cell r="U233" t="str">
            <v>COROLLA ALTIS J M/T</v>
          </cell>
        </row>
        <row r="234">
          <cell r="D234" t="e">
            <v>#N/A</v>
          </cell>
          <cell r="E234" t="str">
            <v>COROLLA</v>
          </cell>
          <cell r="F234" t="str">
            <v>COROLLA ALTIS</v>
          </cell>
          <cell r="G234" t="str">
            <v>COROLLA ALTIS</v>
          </cell>
          <cell r="H234" t="str">
            <v>COROLLA ALTIS J M/T</v>
          </cell>
          <cell r="I234" t="str">
            <v>COROLLA ALTIS J M/T</v>
          </cell>
          <cell r="J234" t="str">
            <v>COROLLA ALTIS J M/T</v>
          </cell>
          <cell r="K234" t="str">
            <v>COROLLA ALTIS</v>
          </cell>
          <cell r="L234" t="str">
            <v>ZE122JM/TM2M</v>
          </cell>
          <cell r="M234" t="str">
            <v>COROLLA ALTIS</v>
          </cell>
          <cell r="N234" t="str">
            <v>COROLLA ALTIS</v>
          </cell>
          <cell r="O234" t="e">
            <v>#N/A</v>
          </cell>
          <cell r="P234" t="e">
            <v>#N/A</v>
          </cell>
          <cell r="Q234" t="e">
            <v>#N/A</v>
          </cell>
          <cell r="R234" t="e">
            <v>#N/A</v>
          </cell>
          <cell r="S234" t="str">
            <v>COROLLA</v>
          </cell>
          <cell r="T234" t="e">
            <v>#N/A</v>
          </cell>
          <cell r="U234" t="str">
            <v>COROLLA ALTIS J M/T</v>
          </cell>
        </row>
        <row r="235">
          <cell r="D235" t="e">
            <v>#N/A</v>
          </cell>
          <cell r="E235" t="str">
            <v>COROLLA</v>
          </cell>
          <cell r="F235" t="str">
            <v>COROLLA ALTIS</v>
          </cell>
          <cell r="G235" t="str">
            <v>COROLLA ALTIS</v>
          </cell>
          <cell r="H235" t="str">
            <v>COROLLA ALTIS J M/T</v>
          </cell>
          <cell r="I235" t="str">
            <v>COROLLA ALTIS J M/T</v>
          </cell>
          <cell r="J235" t="str">
            <v>COROLLA ALTIS J M/T</v>
          </cell>
          <cell r="K235" t="str">
            <v>COROLLA ALTIS</v>
          </cell>
          <cell r="L235" t="str">
            <v>ZE142JM/TM</v>
          </cell>
          <cell r="M235" t="str">
            <v>COROLLA ALTIS</v>
          </cell>
          <cell r="N235" t="str">
            <v>COROLLA ALTIS</v>
          </cell>
          <cell r="O235" t="e">
            <v>#N/A</v>
          </cell>
          <cell r="P235" t="e">
            <v>#N/A</v>
          </cell>
          <cell r="Q235" t="e">
            <v>#N/A</v>
          </cell>
          <cell r="R235" t="e">
            <v>#N/A</v>
          </cell>
          <cell r="S235" t="str">
            <v>COROLLA</v>
          </cell>
          <cell r="T235" t="e">
            <v>#N/A</v>
          </cell>
          <cell r="U235" t="str">
            <v>COROLLA ALTIS J M/T</v>
          </cell>
        </row>
        <row r="236">
          <cell r="D236" t="e">
            <v>#N/A</v>
          </cell>
          <cell r="E236" t="str">
            <v>COROLLA</v>
          </cell>
          <cell r="F236" t="str">
            <v>COROLLA ALTIS</v>
          </cell>
          <cell r="G236" t="str">
            <v>COROLLA ALTIS</v>
          </cell>
          <cell r="H236" t="str">
            <v>COROLLA ALTIS V A/T</v>
          </cell>
          <cell r="I236" t="str">
            <v>COROLLA ALTIS V A/T</v>
          </cell>
          <cell r="J236" t="str">
            <v>COROLLA ALTIS V A/T</v>
          </cell>
          <cell r="K236" t="str">
            <v>COROLLA ALTIS</v>
          </cell>
          <cell r="L236" t="str">
            <v>ZE143VA/T</v>
          </cell>
          <cell r="M236" t="str">
            <v>COROLLA ALTIS</v>
          </cell>
          <cell r="N236" t="str">
            <v>COROLLA ALTIS</v>
          </cell>
          <cell r="O236" t="e">
            <v>#N/A</v>
          </cell>
          <cell r="P236" t="e">
            <v>#N/A</v>
          </cell>
          <cell r="Q236" t="e">
            <v>#N/A</v>
          </cell>
          <cell r="R236" t="e">
            <v>#N/A</v>
          </cell>
          <cell r="S236" t="str">
            <v>COROLLA</v>
          </cell>
          <cell r="T236" t="e">
            <v>#N/A</v>
          </cell>
          <cell r="U236" t="str">
            <v>COROLLA ALTIS V A/T</v>
          </cell>
        </row>
        <row r="237">
          <cell r="D237" t="e">
            <v>#N/A</v>
          </cell>
          <cell r="E237" t="str">
            <v>COROLLA</v>
          </cell>
          <cell r="F237" t="str">
            <v>COROLLA ALTIS</v>
          </cell>
          <cell r="G237" t="str">
            <v>COROLLA ALTIS</v>
          </cell>
          <cell r="H237" t="str">
            <v>COROLLA ALTIS V A/T</v>
          </cell>
          <cell r="I237" t="str">
            <v>COROLLA ALTIS V A/T</v>
          </cell>
          <cell r="J237" t="str">
            <v>COROLLA ALTIS V A/T</v>
          </cell>
          <cell r="K237" t="str">
            <v>COROLLA ALTIS</v>
          </cell>
          <cell r="L237" t="str">
            <v>ZE143VA/T10</v>
          </cell>
          <cell r="M237" t="str">
            <v>COROLLA ALTIS</v>
          </cell>
          <cell r="N237" t="str">
            <v>COROLLA ALTIS</v>
          </cell>
          <cell r="O237" t="e">
            <v>#N/A</v>
          </cell>
          <cell r="P237" t="e">
            <v>#N/A</v>
          </cell>
          <cell r="Q237" t="e">
            <v>#N/A</v>
          </cell>
          <cell r="R237" t="e">
            <v>#N/A</v>
          </cell>
          <cell r="S237" t="str">
            <v>COROLLA</v>
          </cell>
          <cell r="T237" t="e">
            <v>#N/A</v>
          </cell>
          <cell r="U237" t="str">
            <v>COROLLA ALTIS V A/T</v>
          </cell>
        </row>
        <row r="238">
          <cell r="D238" t="e">
            <v>#N/A</v>
          </cell>
          <cell r="E238" t="str">
            <v>COROLLA</v>
          </cell>
          <cell r="F238" t="str">
            <v>COROLLA ALTIS</v>
          </cell>
          <cell r="G238" t="str">
            <v>COROLLA ALTIS</v>
          </cell>
          <cell r="H238" t="str">
            <v>COROLLA ALTIS V A/T</v>
          </cell>
          <cell r="I238" t="str">
            <v>COROLLA ALTIS V A/T</v>
          </cell>
          <cell r="J238" t="str">
            <v>COROLLA ALTIS V A/T</v>
          </cell>
          <cell r="K238" t="str">
            <v>COROLLA ALTIS</v>
          </cell>
          <cell r="L238" t="str">
            <v>ZE142VA/TM</v>
          </cell>
          <cell r="M238" t="str">
            <v>COROLLA ALTIS</v>
          </cell>
          <cell r="N238" t="str">
            <v>COROLLA ALTIS</v>
          </cell>
          <cell r="O238" t="e">
            <v>#N/A</v>
          </cell>
          <cell r="P238" t="e">
            <v>#N/A</v>
          </cell>
          <cell r="Q238" t="e">
            <v>#N/A</v>
          </cell>
          <cell r="R238" t="e">
            <v>#N/A</v>
          </cell>
          <cell r="S238" t="str">
            <v>COROLLA</v>
          </cell>
          <cell r="T238" t="e">
            <v>#N/A</v>
          </cell>
          <cell r="U238" t="str">
            <v>COROLLA ALTIS V A/T</v>
          </cell>
        </row>
        <row r="239">
          <cell r="D239" t="e">
            <v>#N/A</v>
          </cell>
          <cell r="E239" t="str">
            <v>COROLLA</v>
          </cell>
          <cell r="F239" t="str">
            <v>COROLLA ALTIS</v>
          </cell>
          <cell r="G239" t="str">
            <v>COROLLA ALTIS</v>
          </cell>
          <cell r="H239" t="str">
            <v>COROLLA ALTIS V A/T</v>
          </cell>
          <cell r="I239" t="str">
            <v>COROLLA ALTIS V A/T</v>
          </cell>
          <cell r="J239" t="str">
            <v>COROLLA ALTIS V A/T</v>
          </cell>
          <cell r="K239" t="str">
            <v>COROLLA ALTIS</v>
          </cell>
          <cell r="L239" t="str">
            <v>ZE143VA/T10M</v>
          </cell>
          <cell r="M239" t="str">
            <v>COROLLA ALTIS</v>
          </cell>
          <cell r="N239" t="str">
            <v>COROLLA ALTIS</v>
          </cell>
          <cell r="O239" t="e">
            <v>#N/A</v>
          </cell>
          <cell r="P239" t="e">
            <v>#N/A</v>
          </cell>
          <cell r="Q239" t="e">
            <v>#N/A</v>
          </cell>
          <cell r="R239" t="e">
            <v>#N/A</v>
          </cell>
          <cell r="S239" t="str">
            <v>COROLLA</v>
          </cell>
          <cell r="T239" t="e">
            <v>#N/A</v>
          </cell>
          <cell r="U239" t="str">
            <v>COROLLA ALTIS V A/T</v>
          </cell>
        </row>
        <row r="240">
          <cell r="D240" t="e">
            <v>#N/A</v>
          </cell>
          <cell r="E240" t="str">
            <v>COROLLA</v>
          </cell>
          <cell r="F240" t="str">
            <v>COROLLA ALTIS</v>
          </cell>
          <cell r="G240" t="str">
            <v>COROLLA ALTIS</v>
          </cell>
          <cell r="H240" t="str">
            <v>COROLLA ALTIS V A/T</v>
          </cell>
          <cell r="I240" t="str">
            <v>COROLLA ALTIS V A/T</v>
          </cell>
          <cell r="J240" t="str">
            <v>COROLLA ALTIS V A/T</v>
          </cell>
          <cell r="K240" t="str">
            <v>COROLLA ALTIS</v>
          </cell>
          <cell r="L240" t="str">
            <v>ZE143VA/TM</v>
          </cell>
          <cell r="M240" t="str">
            <v>COROLLA ALTIS</v>
          </cell>
          <cell r="N240" t="str">
            <v>COROLLA ALTIS</v>
          </cell>
          <cell r="O240" t="e">
            <v>#N/A</v>
          </cell>
          <cell r="P240" t="e">
            <v>#N/A</v>
          </cell>
          <cell r="Q240" t="e">
            <v>#N/A</v>
          </cell>
          <cell r="R240" t="e">
            <v>#N/A</v>
          </cell>
          <cell r="S240" t="str">
            <v>COROLLA</v>
          </cell>
          <cell r="T240" t="e">
            <v>#N/A</v>
          </cell>
          <cell r="U240" t="str">
            <v>COROLLA ALTIS V A/T</v>
          </cell>
        </row>
        <row r="241">
          <cell r="D241" t="str">
            <v>ZRE172R-GEXGKD-00</v>
          </cell>
          <cell r="E241" t="str">
            <v>COROLLA</v>
          </cell>
          <cell r="F241" t="str">
            <v>COROLLA ALTIS</v>
          </cell>
          <cell r="G241" t="str">
            <v>COROLLA ALTIS</v>
          </cell>
          <cell r="H241" t="str">
            <v>COROLLA ALTIS V A/T</v>
          </cell>
          <cell r="I241" t="str">
            <v>COROLLA ALTIS V A/T</v>
          </cell>
          <cell r="J241" t="str">
            <v>COROLLA ALTIS V A/T</v>
          </cell>
          <cell r="K241" t="str">
            <v>COROLLA ALTIS</v>
          </cell>
          <cell r="L241" t="str">
            <v>ZE172VA/TM</v>
          </cell>
          <cell r="M241" t="str">
            <v>COROLLA ALTIS</v>
          </cell>
          <cell r="N241" t="str">
            <v>COROLLA ALTIS</v>
          </cell>
          <cell r="O241" t="str">
            <v>ZRE172R-GEXGKD-00</v>
          </cell>
          <cell r="P241" t="e">
            <v>#N/A</v>
          </cell>
          <cell r="Q241" t="e">
            <v>#N/A</v>
          </cell>
          <cell r="R241" t="str">
            <v>ZRE172R-GEXGKD-00</v>
          </cell>
          <cell r="S241" t="str">
            <v>COROLLA</v>
          </cell>
          <cell r="T241" t="e">
            <v>#N/A</v>
          </cell>
          <cell r="U241" t="str">
            <v>COROLLA ALTIS V A/T</v>
          </cell>
        </row>
        <row r="242">
          <cell r="D242" t="e">
            <v>#N/A</v>
          </cell>
          <cell r="E242" t="str">
            <v>COROLLA</v>
          </cell>
          <cell r="F242" t="str">
            <v>COROLLA ALTIS</v>
          </cell>
          <cell r="G242" t="str">
            <v>COROLLA ALTIS</v>
          </cell>
          <cell r="H242" t="str">
            <v>COROLLA ALTIS V A/T</v>
          </cell>
          <cell r="I242" t="str">
            <v>COROLLA ALTIS V A/T</v>
          </cell>
          <cell r="J242" t="str">
            <v>COROLLA ALTIS V A/T</v>
          </cell>
          <cell r="K242" t="str">
            <v>COROLLA ALTIS</v>
          </cell>
          <cell r="L242" t="str">
            <v>ZE172VA/TS</v>
          </cell>
          <cell r="M242" t="str">
            <v>COROLLA ALTIS</v>
          </cell>
          <cell r="N242" t="str">
            <v>COROLLA ALTIS</v>
          </cell>
          <cell r="O242" t="e">
            <v>#N/A</v>
          </cell>
          <cell r="P242" t="e">
            <v>#N/A</v>
          </cell>
          <cell r="Q242" t="e">
            <v>#N/A</v>
          </cell>
          <cell r="R242" t="e">
            <v>#N/A</v>
          </cell>
          <cell r="S242" t="str">
            <v>COROLLA</v>
          </cell>
          <cell r="T242" t="e">
            <v>#N/A</v>
          </cell>
          <cell r="U242" t="str">
            <v>COROLLA ALTIS V A/T</v>
          </cell>
        </row>
        <row r="243">
          <cell r="D243" t="str">
            <v>ZRE172R-GEXGKD-70</v>
          </cell>
          <cell r="E243" t="str">
            <v>COROLLA</v>
          </cell>
          <cell r="F243" t="str">
            <v>COROLLA ALTIS</v>
          </cell>
          <cell r="G243" t="str">
            <v>COROLLA ALTIS</v>
          </cell>
          <cell r="H243" t="str">
            <v>COROLLA ALTIS V A/T</v>
          </cell>
          <cell r="I243" t="str">
            <v>COROLLA ALTIS V A/T</v>
          </cell>
          <cell r="J243" t="str">
            <v>COROLLA ALTIS V A/T</v>
          </cell>
          <cell r="K243" t="str">
            <v>COROLLA ALTIS</v>
          </cell>
          <cell r="L243" t="str">
            <v>ZRE172VA/T70M</v>
          </cell>
          <cell r="M243" t="str">
            <v>COROLLA ALTIS</v>
          </cell>
          <cell r="N243" t="str">
            <v>COROLLA ALTIS</v>
          </cell>
          <cell r="O243" t="str">
            <v>ZRE172R-GEXGKD-70</v>
          </cell>
          <cell r="P243" t="e">
            <v>#N/A</v>
          </cell>
          <cell r="Q243" t="e">
            <v>#N/A</v>
          </cell>
          <cell r="R243" t="str">
            <v>ZRE172R-GEXGKD-70</v>
          </cell>
          <cell r="S243" t="str">
            <v>COROLLA</v>
          </cell>
          <cell r="T243" t="e">
            <v>#N/A</v>
          </cell>
          <cell r="U243" t="str">
            <v>COROLLA ALTIS V A/T</v>
          </cell>
        </row>
        <row r="244">
          <cell r="D244" t="e">
            <v>#N/A</v>
          </cell>
          <cell r="E244" t="str">
            <v>AVANZA</v>
          </cell>
          <cell r="F244" t="str">
            <v>AVANZA</v>
          </cell>
          <cell r="G244" t="str">
            <v>AVANZA</v>
          </cell>
          <cell r="H244" t="str">
            <v>AVANZA S A/T</v>
          </cell>
          <cell r="I244" t="str">
            <v>AVANZA S A/T</v>
          </cell>
          <cell r="J244" t="str">
            <v>AVANZA S A/T</v>
          </cell>
          <cell r="K244" t="str">
            <v>AVANZA</v>
          </cell>
          <cell r="L244" t="str">
            <v>F62SA/TM</v>
          </cell>
          <cell r="M244" t="str">
            <v>AVANZA</v>
          </cell>
          <cell r="N244" t="str">
            <v>AVANZA</v>
          </cell>
          <cell r="O244" t="e">
            <v>#N/A</v>
          </cell>
          <cell r="P244" t="e">
            <v>#N/A</v>
          </cell>
          <cell r="Q244" t="e">
            <v>#N/A</v>
          </cell>
          <cell r="R244" t="e">
            <v>#N/A</v>
          </cell>
          <cell r="S244" t="str">
            <v>AVANZA</v>
          </cell>
          <cell r="T244" t="e">
            <v>#N/A</v>
          </cell>
          <cell r="U244" t="str">
            <v>AVANZA S A/T</v>
          </cell>
        </row>
        <row r="245">
          <cell r="D245" t="e">
            <v>#N/A</v>
          </cell>
          <cell r="E245" t="str">
            <v>AVANZA</v>
          </cell>
          <cell r="F245" t="str">
            <v>AVANZA</v>
          </cell>
          <cell r="G245" t="str">
            <v>AVANZA</v>
          </cell>
          <cell r="H245" t="str">
            <v>AVANZA S M/T</v>
          </cell>
          <cell r="I245" t="str">
            <v>AVANZA S M/T</v>
          </cell>
          <cell r="J245" t="str">
            <v>AVANZA S M/T</v>
          </cell>
          <cell r="K245" t="str">
            <v>AVANZA</v>
          </cell>
          <cell r="L245" t="str">
            <v>F62SM/TM</v>
          </cell>
          <cell r="M245" t="str">
            <v>AVANZA</v>
          </cell>
          <cell r="N245" t="str">
            <v>AVANZA</v>
          </cell>
          <cell r="O245" t="e">
            <v>#N/A</v>
          </cell>
          <cell r="P245" t="e">
            <v>#N/A</v>
          </cell>
          <cell r="Q245" t="e">
            <v>#N/A</v>
          </cell>
          <cell r="R245" t="e">
            <v>#N/A</v>
          </cell>
          <cell r="S245" t="str">
            <v>AVANZA</v>
          </cell>
          <cell r="T245" t="e">
            <v>#N/A</v>
          </cell>
          <cell r="U245" t="str">
            <v>AVANZA S M/T</v>
          </cell>
        </row>
        <row r="246">
          <cell r="D246" t="e">
            <v>#N/A</v>
          </cell>
          <cell r="E246" t="str">
            <v>AVANZA</v>
          </cell>
          <cell r="F246" t="str">
            <v>AVANZA</v>
          </cell>
          <cell r="G246" t="str">
            <v>AVANZA</v>
          </cell>
          <cell r="H246" t="str">
            <v>AVANZA E A/T</v>
          </cell>
          <cell r="I246" t="str">
            <v>AVANZA E A/T</v>
          </cell>
          <cell r="J246" t="str">
            <v>AVANZA E A/T</v>
          </cell>
          <cell r="K246" t="str">
            <v>AVANZA</v>
          </cell>
          <cell r="L246" t="str">
            <v>F61EA/TM</v>
          </cell>
          <cell r="M246" t="str">
            <v>AVANZA</v>
          </cell>
          <cell r="N246" t="str">
            <v>AVANZA</v>
          </cell>
          <cell r="O246" t="e">
            <v>#N/A</v>
          </cell>
          <cell r="P246" t="e">
            <v>#N/A</v>
          </cell>
          <cell r="Q246" t="e">
            <v>#N/A</v>
          </cell>
          <cell r="R246" t="e">
            <v>#N/A</v>
          </cell>
          <cell r="S246" t="str">
            <v>AVANZA</v>
          </cell>
          <cell r="T246" t="e">
            <v>#N/A</v>
          </cell>
          <cell r="U246" t="str">
            <v>AVANZA E A/T</v>
          </cell>
        </row>
        <row r="247">
          <cell r="D247" t="e">
            <v>#N/A</v>
          </cell>
          <cell r="E247" t="str">
            <v>AVANZA</v>
          </cell>
          <cell r="F247" t="str">
            <v>AVANZA</v>
          </cell>
          <cell r="G247" t="str">
            <v>AVANZA</v>
          </cell>
          <cell r="H247" t="str">
            <v>AVANZA E A/T</v>
          </cell>
          <cell r="I247" t="str">
            <v>AVANZA E A/T</v>
          </cell>
          <cell r="J247" t="str">
            <v>AVANZA E A/T</v>
          </cell>
          <cell r="K247" t="str">
            <v>AVANZA</v>
          </cell>
          <cell r="L247" t="str">
            <v>F51EA/T10M</v>
          </cell>
          <cell r="M247" t="str">
            <v>AVANZA</v>
          </cell>
          <cell r="N247" t="str">
            <v>AVANZA</v>
          </cell>
          <cell r="O247" t="e">
            <v>#N/A</v>
          </cell>
          <cell r="P247" t="e">
            <v>#N/A</v>
          </cell>
          <cell r="Q247" t="e">
            <v>#N/A</v>
          </cell>
          <cell r="R247" t="e">
            <v>#N/A</v>
          </cell>
          <cell r="S247" t="str">
            <v>AVANZA</v>
          </cell>
          <cell r="T247" t="e">
            <v>#N/A</v>
          </cell>
          <cell r="U247" t="str">
            <v>AVANZA E A/T</v>
          </cell>
        </row>
        <row r="248">
          <cell r="D248" t="e">
            <v>#N/A</v>
          </cell>
          <cell r="E248" t="str">
            <v>AVANZA</v>
          </cell>
          <cell r="F248" t="str">
            <v>AVANZA</v>
          </cell>
          <cell r="G248" t="str">
            <v>AVANZA</v>
          </cell>
          <cell r="H248" t="str">
            <v>AVANZA E A/T</v>
          </cell>
          <cell r="I248" t="str">
            <v>AVANZA E A/T</v>
          </cell>
          <cell r="J248" t="str">
            <v>AVANZA E A/T</v>
          </cell>
          <cell r="K248" t="str">
            <v>AVANZA</v>
          </cell>
          <cell r="L248" t="str">
            <v>F51EA/TM</v>
          </cell>
          <cell r="M248" t="str">
            <v>AVANZA</v>
          </cell>
          <cell r="N248" t="str">
            <v>AVANZA</v>
          </cell>
          <cell r="O248" t="e">
            <v>#N/A</v>
          </cell>
          <cell r="P248" t="e">
            <v>#N/A</v>
          </cell>
          <cell r="Q248" t="e">
            <v>#N/A</v>
          </cell>
          <cell r="R248" t="e">
            <v>#N/A</v>
          </cell>
          <cell r="S248" t="str">
            <v>AVANZA</v>
          </cell>
          <cell r="T248" t="e">
            <v>#N/A</v>
          </cell>
          <cell r="U248" t="str">
            <v>AVANZA E A/T</v>
          </cell>
        </row>
        <row r="249">
          <cell r="D249" t="str">
            <v>F653RM-GQDFJ-00</v>
          </cell>
          <cell r="E249" t="str">
            <v>AVANZA</v>
          </cell>
          <cell r="F249" t="str">
            <v>AVANZA</v>
          </cell>
          <cell r="G249" t="str">
            <v>AVANZA</v>
          </cell>
          <cell r="H249" t="str">
            <v>AVANZA E A/T</v>
          </cell>
          <cell r="I249" t="str">
            <v>AVANZA E A/T</v>
          </cell>
          <cell r="J249" t="str">
            <v>AVANZA E A/T</v>
          </cell>
          <cell r="K249" t="str">
            <v>AVANZA</v>
          </cell>
          <cell r="L249" t="str">
            <v>F53EA/T</v>
          </cell>
          <cell r="M249" t="str">
            <v>AVANZA</v>
          </cell>
          <cell r="N249" t="str">
            <v>AVANZA</v>
          </cell>
          <cell r="O249" t="str">
            <v>F653RM-GQDFJ-00</v>
          </cell>
          <cell r="P249" t="e">
            <v>#N/A</v>
          </cell>
          <cell r="Q249" t="e">
            <v>#N/A</v>
          </cell>
          <cell r="R249" t="str">
            <v>F653RM-GQDFJ-00</v>
          </cell>
          <cell r="S249" t="str">
            <v>AVANZA</v>
          </cell>
          <cell r="T249" t="e">
            <v>#N/A</v>
          </cell>
          <cell r="U249" t="str">
            <v>AVANZA E A/T</v>
          </cell>
        </row>
        <row r="250">
          <cell r="D250" t="str">
            <v>F653RM-GQDFJ-01</v>
          </cell>
          <cell r="E250" t="str">
            <v>AVANZA</v>
          </cell>
          <cell r="F250" t="str">
            <v>AVANZA</v>
          </cell>
          <cell r="G250" t="str">
            <v>AVANZA</v>
          </cell>
          <cell r="H250" t="str">
            <v>AVANZA E A/T</v>
          </cell>
          <cell r="I250" t="str">
            <v>AVANZA E A/T</v>
          </cell>
          <cell r="J250" t="str">
            <v>AVANZA E A/T</v>
          </cell>
          <cell r="K250" t="str">
            <v>AVANZA</v>
          </cell>
          <cell r="L250" t="str">
            <v>F53EA/T01</v>
          </cell>
          <cell r="M250" t="str">
            <v>AVANZA</v>
          </cell>
          <cell r="N250" t="str">
            <v>AVANZA</v>
          </cell>
          <cell r="O250" t="str">
            <v>F653RM-GQDFJ-01</v>
          </cell>
          <cell r="P250" t="e">
            <v>#N/A</v>
          </cell>
          <cell r="Q250" t="e">
            <v>#N/A</v>
          </cell>
          <cell r="R250" t="str">
            <v>F653RM-GQDFJ-01</v>
          </cell>
          <cell r="S250" t="str">
            <v>AVANZA</v>
          </cell>
          <cell r="T250" t="e">
            <v>#N/A</v>
          </cell>
          <cell r="U250" t="str">
            <v>AVANZA E A/T</v>
          </cell>
        </row>
        <row r="251">
          <cell r="D251" t="str">
            <v>F653RM-GQDFJ-02</v>
          </cell>
          <cell r="E251" t="str">
            <v>AVANZA</v>
          </cell>
          <cell r="F251" t="str">
            <v>AVANZA</v>
          </cell>
          <cell r="G251" t="str">
            <v>AVANZA</v>
          </cell>
          <cell r="H251" t="str">
            <v>AVANZA E A/T</v>
          </cell>
          <cell r="I251" t="str">
            <v>AVANZA E A/T</v>
          </cell>
          <cell r="J251" t="str">
            <v>AVANZA E A/T</v>
          </cell>
          <cell r="K251" t="str">
            <v>AVANZA</v>
          </cell>
          <cell r="L251" t="str">
            <v>F53EA/T02M</v>
          </cell>
          <cell r="M251" t="str">
            <v>AVANZA</v>
          </cell>
          <cell r="N251" t="str">
            <v>AVANZA</v>
          </cell>
          <cell r="O251" t="str">
            <v>F653RM-GQDFJ-02</v>
          </cell>
          <cell r="P251" t="e">
            <v>#N/A</v>
          </cell>
          <cell r="Q251" t="e">
            <v>#N/A</v>
          </cell>
          <cell r="R251" t="str">
            <v>F653RM-GQDFJ-02</v>
          </cell>
          <cell r="S251" t="str">
            <v>AVANZA</v>
          </cell>
          <cell r="T251" t="e">
            <v>#N/A</v>
          </cell>
          <cell r="U251" t="str">
            <v>AVANZA E A/T</v>
          </cell>
        </row>
        <row r="252">
          <cell r="D252" t="str">
            <v>F653RM-GQDFJ-03</v>
          </cell>
          <cell r="E252" t="str">
            <v>AVANZA</v>
          </cell>
          <cell r="F252" t="str">
            <v>AVANZA</v>
          </cell>
          <cell r="G252" t="str">
            <v>AVANZA</v>
          </cell>
          <cell r="H252" t="str">
            <v>AVANZA E A/T</v>
          </cell>
          <cell r="I252" t="str">
            <v>AVANZA E A/T</v>
          </cell>
          <cell r="J252" t="str">
            <v>AVANZA E A/T</v>
          </cell>
          <cell r="K252" t="str">
            <v>AVANZA</v>
          </cell>
          <cell r="L252" t="str">
            <v>F53EA/T03M</v>
          </cell>
          <cell r="M252" t="str">
            <v>AVANZA</v>
          </cell>
          <cell r="N252" t="str">
            <v>AVANZA</v>
          </cell>
          <cell r="O252" t="str">
            <v>F653RM-GQDFJ-03</v>
          </cell>
          <cell r="P252" t="e">
            <v>#N/A</v>
          </cell>
          <cell r="Q252" t="e">
            <v>#N/A</v>
          </cell>
          <cell r="R252" t="str">
            <v>F653RM-GQDFJ-03</v>
          </cell>
          <cell r="S252" t="str">
            <v>AVANZA</v>
          </cell>
          <cell r="T252" t="e">
            <v>#N/A</v>
          </cell>
          <cell r="U252" t="str">
            <v>AVANZA E A/T</v>
          </cell>
        </row>
        <row r="253">
          <cell r="D253" t="e">
            <v>#N/A</v>
          </cell>
          <cell r="E253" t="str">
            <v>AVANZA</v>
          </cell>
          <cell r="F253" t="str">
            <v>AVANZA</v>
          </cell>
          <cell r="G253" t="str">
            <v>AVANZA</v>
          </cell>
          <cell r="H253" t="str">
            <v>AVANZA E M/T</v>
          </cell>
          <cell r="I253" t="str">
            <v>AVANZA E M/T</v>
          </cell>
          <cell r="J253" t="str">
            <v>AVANZA E M/T</v>
          </cell>
          <cell r="K253" t="str">
            <v>AVANZA</v>
          </cell>
          <cell r="L253" t="str">
            <v>F61EM/TM</v>
          </cell>
          <cell r="M253" t="str">
            <v>AVANZA</v>
          </cell>
          <cell r="N253" t="str">
            <v>AVANZA</v>
          </cell>
          <cell r="O253" t="e">
            <v>#N/A</v>
          </cell>
          <cell r="P253" t="e">
            <v>#N/A</v>
          </cell>
          <cell r="Q253" t="e">
            <v>#N/A</v>
          </cell>
          <cell r="R253" t="e">
            <v>#N/A</v>
          </cell>
          <cell r="S253" t="str">
            <v>AVANZA</v>
          </cell>
          <cell r="T253" t="e">
            <v>#N/A</v>
          </cell>
          <cell r="U253" t="str">
            <v>AVANZA E M/T</v>
          </cell>
        </row>
        <row r="254">
          <cell r="D254" t="e">
            <v>#N/A</v>
          </cell>
          <cell r="E254" t="str">
            <v>AVANZA</v>
          </cell>
          <cell r="F254" t="str">
            <v>AVANZA</v>
          </cell>
          <cell r="G254" t="str">
            <v>AVANZA</v>
          </cell>
          <cell r="H254" t="str">
            <v>AVANZA E M/T</v>
          </cell>
          <cell r="I254" t="str">
            <v>AVANZA E M/T</v>
          </cell>
          <cell r="J254" t="str">
            <v>AVANZA E M/T</v>
          </cell>
          <cell r="K254" t="str">
            <v>AVANZA</v>
          </cell>
          <cell r="L254" t="str">
            <v>F51EM/T10M</v>
          </cell>
          <cell r="M254" t="str">
            <v>AVANZA</v>
          </cell>
          <cell r="N254" t="str">
            <v>AVANZA</v>
          </cell>
          <cell r="O254" t="e">
            <v>#N/A</v>
          </cell>
          <cell r="P254" t="e">
            <v>#N/A</v>
          </cell>
          <cell r="Q254" t="e">
            <v>#N/A</v>
          </cell>
          <cell r="R254" t="e">
            <v>#N/A</v>
          </cell>
          <cell r="S254" t="str">
            <v>AVANZA</v>
          </cell>
          <cell r="T254" t="e">
            <v>#N/A</v>
          </cell>
          <cell r="U254" t="str">
            <v>AVANZA E M/T</v>
          </cell>
        </row>
        <row r="255">
          <cell r="D255" t="e">
            <v>#N/A</v>
          </cell>
          <cell r="E255" t="str">
            <v>AVANZA</v>
          </cell>
          <cell r="F255" t="str">
            <v>AVANZA</v>
          </cell>
          <cell r="G255" t="str">
            <v>AVANZA</v>
          </cell>
          <cell r="H255" t="str">
            <v>AVANZA E M/T</v>
          </cell>
          <cell r="I255" t="str">
            <v>AVANZA E M/T</v>
          </cell>
          <cell r="J255" t="str">
            <v>AVANZA E M/T</v>
          </cell>
          <cell r="K255" t="str">
            <v>AVANZA</v>
          </cell>
          <cell r="L255" t="str">
            <v>F51EM/TM</v>
          </cell>
          <cell r="M255" t="str">
            <v>AVANZA</v>
          </cell>
          <cell r="N255" t="str">
            <v>AVANZA</v>
          </cell>
          <cell r="O255" t="e">
            <v>#N/A</v>
          </cell>
          <cell r="P255" t="e">
            <v>#N/A</v>
          </cell>
          <cell r="Q255" t="e">
            <v>#N/A</v>
          </cell>
          <cell r="R255" t="e">
            <v>#N/A</v>
          </cell>
          <cell r="S255" t="str">
            <v>AVANZA</v>
          </cell>
          <cell r="T255" t="e">
            <v>#N/A</v>
          </cell>
          <cell r="U255" t="str">
            <v>AVANZA E M/T</v>
          </cell>
        </row>
        <row r="256">
          <cell r="D256" t="str">
            <v>F653RM-GMDFJ-00</v>
          </cell>
          <cell r="E256" t="str">
            <v>AVANZA</v>
          </cell>
          <cell r="F256" t="str">
            <v>AVANZA</v>
          </cell>
          <cell r="G256" t="str">
            <v>AVANZA</v>
          </cell>
          <cell r="H256" t="str">
            <v>AVANZA E M/T</v>
          </cell>
          <cell r="I256" t="str">
            <v>AVANZA E M/T</v>
          </cell>
          <cell r="J256" t="str">
            <v>AVANZA E M/T</v>
          </cell>
          <cell r="K256" t="str">
            <v>AVANZA</v>
          </cell>
          <cell r="L256" t="str">
            <v>F53EM/T</v>
          </cell>
          <cell r="M256" t="str">
            <v>AVANZA</v>
          </cell>
          <cell r="N256" t="str">
            <v>AVANZA</v>
          </cell>
          <cell r="O256" t="str">
            <v>F653RM-GMDFJ-00</v>
          </cell>
          <cell r="P256" t="e">
            <v>#N/A</v>
          </cell>
          <cell r="Q256" t="e">
            <v>#N/A</v>
          </cell>
          <cell r="R256" t="str">
            <v>F653RM-GMDFJ-00</v>
          </cell>
          <cell r="S256" t="str">
            <v>AVANZA</v>
          </cell>
          <cell r="T256" t="e">
            <v>#N/A</v>
          </cell>
          <cell r="U256" t="str">
            <v>AVANZA E M/T</v>
          </cell>
        </row>
        <row r="257">
          <cell r="D257" t="e">
            <v>#N/A</v>
          </cell>
          <cell r="E257" t="str">
            <v>AVANZA</v>
          </cell>
          <cell r="F257" t="str">
            <v>AVANZA</v>
          </cell>
          <cell r="G257" t="str">
            <v>AVANZA</v>
          </cell>
          <cell r="H257" t="str">
            <v>AVANZA E M/T</v>
          </cell>
          <cell r="I257" t="str">
            <v>AVANZA E M/T</v>
          </cell>
          <cell r="J257" t="str">
            <v>AVANZA E M/T</v>
          </cell>
          <cell r="K257" t="str">
            <v>AVANZA</v>
          </cell>
          <cell r="L257" t="str">
            <v>F61EM/T10M</v>
          </cell>
          <cell r="M257" t="str">
            <v>AVANZA</v>
          </cell>
          <cell r="N257" t="str">
            <v>AVANZA</v>
          </cell>
          <cell r="O257" t="e">
            <v>#N/A</v>
          </cell>
          <cell r="P257" t="e">
            <v>#N/A</v>
          </cell>
          <cell r="Q257" t="e">
            <v>#N/A</v>
          </cell>
          <cell r="R257" t="e">
            <v>#N/A</v>
          </cell>
          <cell r="S257" t="str">
            <v>AVANZA</v>
          </cell>
          <cell r="T257" t="e">
            <v>#N/A</v>
          </cell>
          <cell r="U257" t="str">
            <v>AVANZA E M/T</v>
          </cell>
        </row>
        <row r="258">
          <cell r="D258" t="e">
            <v>#N/A</v>
          </cell>
          <cell r="E258" t="str">
            <v>AVANZA</v>
          </cell>
          <cell r="F258" t="str">
            <v>AVANZA</v>
          </cell>
          <cell r="G258" t="str">
            <v>AVANZA</v>
          </cell>
          <cell r="H258" t="str">
            <v>AVANZA E M/T</v>
          </cell>
          <cell r="I258" t="str">
            <v>AVANZA E M/T</v>
          </cell>
          <cell r="J258" t="str">
            <v>AVANZA E M/T</v>
          </cell>
          <cell r="K258" t="str">
            <v>AVANZA</v>
          </cell>
          <cell r="L258" t="str">
            <v>F61EM/TDU</v>
          </cell>
          <cell r="M258" t="str">
            <v>AVANZA</v>
          </cell>
          <cell r="N258" t="str">
            <v>AVANZA</v>
          </cell>
          <cell r="O258" t="e">
            <v>#N/A</v>
          </cell>
          <cell r="P258" t="e">
            <v>#N/A</v>
          </cell>
          <cell r="Q258" t="e">
            <v>#N/A</v>
          </cell>
          <cell r="R258" t="e">
            <v>#N/A</v>
          </cell>
          <cell r="S258" t="str">
            <v>AVANZA</v>
          </cell>
          <cell r="T258" t="e">
            <v>#N/A</v>
          </cell>
          <cell r="U258" t="str">
            <v>AVANZA E M/T</v>
          </cell>
        </row>
        <row r="259">
          <cell r="D259" t="e">
            <v>#N/A</v>
          </cell>
          <cell r="E259" t="str">
            <v>AVANZA</v>
          </cell>
          <cell r="F259" t="str">
            <v>AVANZA</v>
          </cell>
          <cell r="G259" t="str">
            <v>AVANZA</v>
          </cell>
          <cell r="H259" t="str">
            <v>AVANZA E M/T</v>
          </cell>
          <cell r="I259" t="str">
            <v>AVANZA E M/T</v>
          </cell>
          <cell r="J259" t="str">
            <v>AVANZA E M/T</v>
          </cell>
          <cell r="K259" t="str">
            <v>AVANZA</v>
          </cell>
          <cell r="L259" t="str">
            <v>F61EM/TDUM</v>
          </cell>
          <cell r="M259" t="str">
            <v>AVANZA</v>
          </cell>
          <cell r="N259" t="str">
            <v>AVANZA</v>
          </cell>
          <cell r="O259" t="e">
            <v>#N/A</v>
          </cell>
          <cell r="P259" t="e">
            <v>#N/A</v>
          </cell>
          <cell r="Q259" t="e">
            <v>#N/A</v>
          </cell>
          <cell r="R259" t="e">
            <v>#N/A</v>
          </cell>
          <cell r="S259" t="str">
            <v>AVANZA</v>
          </cell>
          <cell r="T259" t="e">
            <v>#N/A</v>
          </cell>
          <cell r="U259" t="str">
            <v>AVANZA E M/T</v>
          </cell>
        </row>
        <row r="260">
          <cell r="D260" t="e">
            <v>#N/A</v>
          </cell>
          <cell r="E260" t="str">
            <v>AVANZA</v>
          </cell>
          <cell r="F260" t="str">
            <v>AVANZA</v>
          </cell>
          <cell r="G260" t="str">
            <v>AVANZA</v>
          </cell>
          <cell r="H260" t="str">
            <v>AVANZA E M/T</v>
          </cell>
          <cell r="I260" t="str">
            <v>AVANZA E M/T</v>
          </cell>
          <cell r="J260" t="str">
            <v>AVANZA E M/T</v>
          </cell>
          <cell r="K260" t="str">
            <v>AVANZA</v>
          </cell>
          <cell r="L260" t="str">
            <v>F61EM/TDUM</v>
          </cell>
          <cell r="M260" t="str">
            <v>AVANZA</v>
          </cell>
          <cell r="N260" t="str">
            <v>AVANZA</v>
          </cell>
          <cell r="O260" t="e">
            <v>#N/A</v>
          </cell>
          <cell r="P260" t="e">
            <v>#N/A</v>
          </cell>
          <cell r="Q260" t="e">
            <v>#N/A</v>
          </cell>
          <cell r="R260" t="e">
            <v>#N/A</v>
          </cell>
          <cell r="S260" t="str">
            <v>AVANZA</v>
          </cell>
          <cell r="T260" t="e">
            <v>#N/A</v>
          </cell>
          <cell r="U260" t="str">
            <v>AVANZA E M/T</v>
          </cell>
        </row>
        <row r="261">
          <cell r="D261" t="e">
            <v>#N/A</v>
          </cell>
          <cell r="E261" t="str">
            <v>AVANZA</v>
          </cell>
          <cell r="F261" t="str">
            <v>AVANZA</v>
          </cell>
          <cell r="G261" t="str">
            <v>AVANZA</v>
          </cell>
          <cell r="H261" t="str">
            <v>AVANZA E M/T</v>
          </cell>
          <cell r="I261" t="str">
            <v>AVANZA E M/T</v>
          </cell>
          <cell r="J261" t="str">
            <v>AVANZA E M/T</v>
          </cell>
          <cell r="K261" t="str">
            <v>AVANZA</v>
          </cell>
          <cell r="L261" t="str">
            <v>F61EM/T10mDU</v>
          </cell>
          <cell r="M261" t="str">
            <v>AVANZA</v>
          </cell>
          <cell r="N261" t="str">
            <v>AVANZA</v>
          </cell>
          <cell r="O261" t="e">
            <v>#N/A</v>
          </cell>
          <cell r="P261" t="e">
            <v>#N/A</v>
          </cell>
          <cell r="Q261" t="e">
            <v>#N/A</v>
          </cell>
          <cell r="R261" t="e">
            <v>#N/A</v>
          </cell>
          <cell r="S261" t="str">
            <v>AVANZA</v>
          </cell>
          <cell r="T261" t="e">
            <v>#N/A</v>
          </cell>
          <cell r="U261" t="str">
            <v>AVANZA E M/T</v>
          </cell>
        </row>
        <row r="262">
          <cell r="D262" t="str">
            <v>F653RM-GMDFJ-03</v>
          </cell>
          <cell r="E262" t="str">
            <v>AVANZA</v>
          </cell>
          <cell r="F262" t="str">
            <v>AVANZA</v>
          </cell>
          <cell r="G262" t="str">
            <v>AVANZA</v>
          </cell>
          <cell r="H262" t="str">
            <v>AVANZA E M/T</v>
          </cell>
          <cell r="I262" t="str">
            <v>AVANZA E M/T</v>
          </cell>
          <cell r="J262" t="str">
            <v>AVANZA E M/T</v>
          </cell>
          <cell r="K262" t="str">
            <v>AVANZA</v>
          </cell>
          <cell r="L262" t="str">
            <v>F53EM/T03M</v>
          </cell>
          <cell r="M262" t="str">
            <v>AVANZA</v>
          </cell>
          <cell r="N262" t="str">
            <v>AVANZA</v>
          </cell>
          <cell r="O262" t="str">
            <v>F653RM-GMDFJ-03</v>
          </cell>
          <cell r="P262" t="e">
            <v>#N/A</v>
          </cell>
          <cell r="Q262" t="e">
            <v>#N/A</v>
          </cell>
          <cell r="R262" t="str">
            <v>F653RM-GMDFJ-03</v>
          </cell>
          <cell r="S262" t="str">
            <v>AVANZA</v>
          </cell>
          <cell r="T262" t="e">
            <v>#N/A</v>
          </cell>
          <cell r="U262" t="str">
            <v>AVANZA E M/T</v>
          </cell>
        </row>
        <row r="263">
          <cell r="D263" t="str">
            <v>F653RM-GMDFJ-04</v>
          </cell>
          <cell r="E263" t="str">
            <v>AVANZA</v>
          </cell>
          <cell r="F263" t="str">
            <v>AVANZA</v>
          </cell>
          <cell r="G263" t="str">
            <v>AVANZA</v>
          </cell>
          <cell r="H263" t="str">
            <v>AVANZA E M/T</v>
          </cell>
          <cell r="I263" t="str">
            <v>AVANZA E M/T</v>
          </cell>
          <cell r="J263" t="str">
            <v>AVANZA E M/T</v>
          </cell>
          <cell r="K263" t="str">
            <v>AVANZA</v>
          </cell>
          <cell r="L263" t="str">
            <v>F53EM/T04M</v>
          </cell>
          <cell r="M263" t="str">
            <v>AVANZA</v>
          </cell>
          <cell r="N263" t="str">
            <v>AVANZA</v>
          </cell>
          <cell r="O263" t="str">
            <v>F653RM-GMDFJ-04</v>
          </cell>
          <cell r="P263" t="e">
            <v>#N/A</v>
          </cell>
          <cell r="Q263" t="e">
            <v>#N/A</v>
          </cell>
          <cell r="R263" t="str">
            <v>F653RM-GMDFJ-04</v>
          </cell>
          <cell r="S263" t="str">
            <v>AVANZA</v>
          </cell>
          <cell r="T263" t="e">
            <v>#N/A</v>
          </cell>
          <cell r="U263" t="str">
            <v>AVANZA E M/T</v>
          </cell>
        </row>
        <row r="264">
          <cell r="D264" t="str">
            <v>F653RM-GMDFJ-05</v>
          </cell>
          <cell r="E264" t="str">
            <v>AVANZA</v>
          </cell>
          <cell r="F264" t="str">
            <v>AVANZA</v>
          </cell>
          <cell r="G264" t="str">
            <v>AVANZA</v>
          </cell>
          <cell r="H264" t="str">
            <v>AVANZA E M/T</v>
          </cell>
          <cell r="I264" t="str">
            <v>AVANZA E M/T</v>
          </cell>
          <cell r="J264" t="str">
            <v>AVANZA E M/T</v>
          </cell>
          <cell r="K264" t="str">
            <v>AVANZA</v>
          </cell>
          <cell r="L264" t="str">
            <v>F53EM/T05M</v>
          </cell>
          <cell r="M264" t="str">
            <v>AVANZA</v>
          </cell>
          <cell r="N264" t="str">
            <v>AVANZA</v>
          </cell>
          <cell r="O264" t="str">
            <v>F653RM-GMDFJ-05</v>
          </cell>
          <cell r="P264" t="e">
            <v>#N/A</v>
          </cell>
          <cell r="Q264" t="e">
            <v>#N/A</v>
          </cell>
          <cell r="R264" t="str">
            <v>F653RM-GMDFJ-05</v>
          </cell>
          <cell r="S264" t="str">
            <v>AVANZA</v>
          </cell>
          <cell r="T264" t="e">
            <v>#N/A</v>
          </cell>
          <cell r="U264" t="str">
            <v>AVANZA E M/T</v>
          </cell>
        </row>
        <row r="265">
          <cell r="D265" t="str">
            <v>F653RM-GMDFJ-03</v>
          </cell>
          <cell r="E265" t="str">
            <v>AVANZA</v>
          </cell>
          <cell r="F265" t="str">
            <v>AVANZA</v>
          </cell>
          <cell r="G265" t="str">
            <v>AVANZA</v>
          </cell>
          <cell r="H265" t="str">
            <v>AVANZA E M/T</v>
          </cell>
          <cell r="I265" t="str">
            <v>AVANZA E M/T</v>
          </cell>
          <cell r="J265" t="str">
            <v>AVANZA E M/T</v>
          </cell>
          <cell r="K265" t="str">
            <v>AVANZA</v>
          </cell>
          <cell r="L265" t="str">
            <v>F53EM/T03M</v>
          </cell>
          <cell r="M265" t="str">
            <v>AVANZA</v>
          </cell>
          <cell r="N265" t="str">
            <v>AVANZA</v>
          </cell>
          <cell r="O265" t="str">
            <v>F653RM-GMDFJ-03</v>
          </cell>
          <cell r="P265" t="e">
            <v>#N/A</v>
          </cell>
          <cell r="Q265" t="e">
            <v>#N/A</v>
          </cell>
          <cell r="R265" t="str">
            <v>F653RM-GMDFJ-03</v>
          </cell>
          <cell r="S265" t="str">
            <v>AVANZA</v>
          </cell>
          <cell r="T265" t="e">
            <v>#N/A</v>
          </cell>
          <cell r="U265" t="str">
            <v>AVANZA E M/T</v>
          </cell>
        </row>
        <row r="266">
          <cell r="D266" t="str">
            <v>F653RM-GMDFJ-04</v>
          </cell>
          <cell r="E266" t="str">
            <v>AVANZA</v>
          </cell>
          <cell r="F266" t="str">
            <v>AVANZA</v>
          </cell>
          <cell r="G266" t="str">
            <v>AVANZA</v>
          </cell>
          <cell r="H266" t="str">
            <v>AVANZA E M/T</v>
          </cell>
          <cell r="I266" t="str">
            <v>AVANZA E M/T</v>
          </cell>
          <cell r="J266" t="str">
            <v>AVANZA E M/T</v>
          </cell>
          <cell r="K266" t="str">
            <v>AVANZA</v>
          </cell>
          <cell r="L266" t="str">
            <v>F53EM/T04M</v>
          </cell>
          <cell r="M266" t="str">
            <v>AVANZA</v>
          </cell>
          <cell r="N266" t="str">
            <v>AVANZA</v>
          </cell>
          <cell r="O266" t="str">
            <v>F653RM-GMDFJ-04</v>
          </cell>
          <cell r="P266" t="e">
            <v>#N/A</v>
          </cell>
          <cell r="Q266" t="e">
            <v>#N/A</v>
          </cell>
          <cell r="R266" t="str">
            <v>F653RM-GMDFJ-04</v>
          </cell>
          <cell r="S266" t="str">
            <v>AVANZA</v>
          </cell>
          <cell r="T266" t="e">
            <v>#N/A</v>
          </cell>
          <cell r="U266" t="str">
            <v>AVANZA E M/T</v>
          </cell>
        </row>
        <row r="267">
          <cell r="D267" t="str">
            <v>F653RM-GMDFJ-02</v>
          </cell>
          <cell r="E267" t="str">
            <v>AVANZA</v>
          </cell>
          <cell r="F267" t="str">
            <v>AVANZA</v>
          </cell>
          <cell r="G267" t="str">
            <v>AVANZA</v>
          </cell>
          <cell r="H267" t="str">
            <v>AVANZA E M/T</v>
          </cell>
          <cell r="I267" t="str">
            <v>AVANZA E M/T</v>
          </cell>
          <cell r="J267" t="str">
            <v>AVANZA E M/T</v>
          </cell>
          <cell r="K267" t="str">
            <v>AVANZA</v>
          </cell>
          <cell r="L267" t="str">
            <v>F53EM/T02M</v>
          </cell>
          <cell r="M267" t="str">
            <v>AVANZA</v>
          </cell>
          <cell r="N267" t="str">
            <v>AVANZA</v>
          </cell>
          <cell r="O267" t="str">
            <v>F653RM-GMDFJ-02</v>
          </cell>
          <cell r="P267" t="e">
            <v>#N/A</v>
          </cell>
          <cell r="Q267" t="e">
            <v>#N/A</v>
          </cell>
          <cell r="R267" t="str">
            <v>F653RM-GMDFJ-02</v>
          </cell>
          <cell r="S267" t="str">
            <v>AVANZA</v>
          </cell>
          <cell r="T267" t="e">
            <v>#N/A</v>
          </cell>
          <cell r="U267" t="str">
            <v>AVANZA E M/T</v>
          </cell>
        </row>
        <row r="268">
          <cell r="D268" t="e">
            <v>#N/A</v>
          </cell>
          <cell r="E268" t="str">
            <v>AVANZA</v>
          </cell>
          <cell r="F268" t="str">
            <v>AVANZA</v>
          </cell>
          <cell r="G268" t="str">
            <v>AVANZA</v>
          </cell>
          <cell r="H268" t="str">
            <v>AVANZA G A/T</v>
          </cell>
          <cell r="I268" t="str">
            <v>AVANZA G A/T</v>
          </cell>
          <cell r="J268" t="str">
            <v>AVANZA G A/T</v>
          </cell>
          <cell r="K268" t="str">
            <v>AVANZA</v>
          </cell>
          <cell r="L268" t="str">
            <v>F51GA/T10M</v>
          </cell>
          <cell r="M268" t="str">
            <v>AVANZA</v>
          </cell>
          <cell r="N268" t="str">
            <v>AVANZA</v>
          </cell>
          <cell r="O268" t="e">
            <v>#N/A</v>
          </cell>
          <cell r="P268" t="e">
            <v>#N/A</v>
          </cell>
          <cell r="Q268" t="e">
            <v>#N/A</v>
          </cell>
          <cell r="R268" t="e">
            <v>#N/A</v>
          </cell>
          <cell r="S268" t="str">
            <v>AVANZA</v>
          </cell>
          <cell r="T268" t="e">
            <v>#N/A</v>
          </cell>
          <cell r="U268" t="str">
            <v>AVANZA G A/T</v>
          </cell>
        </row>
        <row r="269">
          <cell r="D269" t="e">
            <v>#N/A</v>
          </cell>
          <cell r="E269" t="str">
            <v>AVANZA</v>
          </cell>
          <cell r="F269" t="str">
            <v>AVANZA</v>
          </cell>
          <cell r="G269" t="str">
            <v>AVANZA</v>
          </cell>
          <cell r="H269" t="str">
            <v>AVANZA G A/T</v>
          </cell>
          <cell r="I269" t="str">
            <v>AVANZA G A/T</v>
          </cell>
          <cell r="J269" t="str">
            <v>AVANZA G A/T</v>
          </cell>
          <cell r="K269" t="str">
            <v>AVANZA</v>
          </cell>
          <cell r="L269" t="str">
            <v>F51GA/T21M</v>
          </cell>
          <cell r="M269" t="str">
            <v>AVANZA</v>
          </cell>
          <cell r="N269" t="str">
            <v>AVANZA</v>
          </cell>
          <cell r="O269" t="e">
            <v>#N/A</v>
          </cell>
          <cell r="P269" t="e">
            <v>#N/A</v>
          </cell>
          <cell r="Q269" t="e">
            <v>#N/A</v>
          </cell>
          <cell r="R269" t="e">
            <v>#N/A</v>
          </cell>
          <cell r="S269" t="str">
            <v>AVANZA</v>
          </cell>
          <cell r="T269" t="e">
            <v>#N/A</v>
          </cell>
          <cell r="U269" t="str">
            <v>AVANZA G A/T</v>
          </cell>
        </row>
        <row r="270">
          <cell r="D270" t="e">
            <v>#N/A</v>
          </cell>
          <cell r="E270" t="str">
            <v>AVANZA</v>
          </cell>
          <cell r="F270" t="str">
            <v>AVANZA</v>
          </cell>
          <cell r="G270" t="str">
            <v>AVANZA</v>
          </cell>
          <cell r="H270" t="str">
            <v>AVANZA G A/T</v>
          </cell>
          <cell r="I270" t="str">
            <v>AVANZA G A/T</v>
          </cell>
          <cell r="J270" t="str">
            <v>AVANZA G A/T</v>
          </cell>
          <cell r="K270" t="str">
            <v>AVANZA</v>
          </cell>
          <cell r="L270" t="str">
            <v>F51GA/TM</v>
          </cell>
          <cell r="M270" t="str">
            <v>AVANZA</v>
          </cell>
          <cell r="N270" t="str">
            <v>AVANZA</v>
          </cell>
          <cell r="O270" t="e">
            <v>#N/A</v>
          </cell>
          <cell r="P270" t="e">
            <v>#N/A</v>
          </cell>
          <cell r="Q270" t="e">
            <v>#N/A</v>
          </cell>
          <cell r="R270" t="e">
            <v>#N/A</v>
          </cell>
          <cell r="S270" t="str">
            <v>AVANZA</v>
          </cell>
          <cell r="T270" t="e">
            <v>#N/A</v>
          </cell>
          <cell r="U270" t="str">
            <v>AVANZA G A/T</v>
          </cell>
        </row>
        <row r="271">
          <cell r="D271" t="e">
            <v>#N/A</v>
          </cell>
          <cell r="E271" t="str">
            <v>AVANZA</v>
          </cell>
          <cell r="F271" t="str">
            <v>AVANZA</v>
          </cell>
          <cell r="G271" t="str">
            <v>AVANZA</v>
          </cell>
          <cell r="H271" t="str">
            <v>AVANZA G A/T</v>
          </cell>
          <cell r="I271" t="str">
            <v>AVANZA G A/T</v>
          </cell>
          <cell r="J271" t="str">
            <v>AVANZA G A/T</v>
          </cell>
          <cell r="K271" t="str">
            <v>AVANZA</v>
          </cell>
          <cell r="L271" t="str">
            <v>F61GA/TM</v>
          </cell>
          <cell r="M271" t="str">
            <v>AVANZA</v>
          </cell>
          <cell r="N271" t="str">
            <v>AVANZA</v>
          </cell>
          <cell r="O271" t="e">
            <v>#N/A</v>
          </cell>
          <cell r="P271" t="e">
            <v>#N/A</v>
          </cell>
          <cell r="Q271" t="e">
            <v>#N/A</v>
          </cell>
          <cell r="R271" t="e">
            <v>#N/A</v>
          </cell>
          <cell r="S271" t="str">
            <v>AVANZA</v>
          </cell>
          <cell r="T271" t="e">
            <v>#N/A</v>
          </cell>
          <cell r="U271" t="str">
            <v>AVANZA G A/T</v>
          </cell>
        </row>
        <row r="272">
          <cell r="D272" t="e">
            <v>#N/A</v>
          </cell>
          <cell r="E272" t="str">
            <v>AVANZA</v>
          </cell>
          <cell r="F272" t="str">
            <v>AVANZA</v>
          </cell>
          <cell r="G272" t="str">
            <v>AVANZA</v>
          </cell>
          <cell r="H272" t="str">
            <v>AVANZA G M/T</v>
          </cell>
          <cell r="I272" t="str">
            <v>AVANZA G M/T</v>
          </cell>
          <cell r="J272" t="str">
            <v>AVANZA G M/T</v>
          </cell>
          <cell r="K272" t="str">
            <v>AVANZA</v>
          </cell>
          <cell r="L272" t="str">
            <v>F61GM/TM</v>
          </cell>
          <cell r="M272" t="str">
            <v>AVANZA</v>
          </cell>
          <cell r="N272" t="str">
            <v>AVANZA</v>
          </cell>
          <cell r="O272" t="e">
            <v>#N/A</v>
          </cell>
          <cell r="P272" t="e">
            <v>#N/A</v>
          </cell>
          <cell r="Q272" t="e">
            <v>#N/A</v>
          </cell>
          <cell r="R272" t="e">
            <v>#N/A</v>
          </cell>
          <cell r="S272" t="str">
            <v>AVANZA</v>
          </cell>
          <cell r="T272" t="e">
            <v>#N/A</v>
          </cell>
          <cell r="U272" t="str">
            <v>AVANZA G M/T</v>
          </cell>
        </row>
        <row r="273">
          <cell r="D273" t="e">
            <v>#N/A</v>
          </cell>
          <cell r="E273" t="str">
            <v>AVANZA</v>
          </cell>
          <cell r="F273" t="str">
            <v>AVANZA</v>
          </cell>
          <cell r="G273" t="str">
            <v>AVANZA</v>
          </cell>
          <cell r="H273" t="str">
            <v>AVANZA G M/T</v>
          </cell>
          <cell r="I273" t="str">
            <v>AVANZA G M/T</v>
          </cell>
          <cell r="J273" t="str">
            <v>AVANZA G M/T</v>
          </cell>
          <cell r="K273" t="str">
            <v>AVANZA</v>
          </cell>
          <cell r="L273" t="str">
            <v>F51GM/T10M</v>
          </cell>
          <cell r="M273" t="str">
            <v>AVANZA</v>
          </cell>
          <cell r="N273" t="str">
            <v>AVANZA</v>
          </cell>
          <cell r="O273" t="e">
            <v>#N/A</v>
          </cell>
          <cell r="P273" t="e">
            <v>#N/A</v>
          </cell>
          <cell r="Q273" t="e">
            <v>#N/A</v>
          </cell>
          <cell r="R273" t="e">
            <v>#N/A</v>
          </cell>
          <cell r="S273" t="str">
            <v>AVANZA</v>
          </cell>
          <cell r="T273" t="e">
            <v>#N/A</v>
          </cell>
          <cell r="U273" t="str">
            <v>AVANZA G M/T</v>
          </cell>
        </row>
        <row r="274">
          <cell r="D274" t="e">
            <v>#N/A</v>
          </cell>
          <cell r="E274" t="str">
            <v>AVANZA</v>
          </cell>
          <cell r="F274" t="str">
            <v>AVANZA</v>
          </cell>
          <cell r="G274" t="str">
            <v>AVANZA</v>
          </cell>
          <cell r="H274" t="str">
            <v>AVANZA G M/T</v>
          </cell>
          <cell r="I274" t="str">
            <v>AVANZA G M/T</v>
          </cell>
          <cell r="J274" t="str">
            <v>AVANZA G M/T</v>
          </cell>
          <cell r="K274" t="str">
            <v>AVANZA</v>
          </cell>
          <cell r="L274" t="str">
            <v>F51GM/T21M</v>
          </cell>
          <cell r="M274" t="str">
            <v>AVANZA</v>
          </cell>
          <cell r="N274" t="str">
            <v>AVANZA</v>
          </cell>
          <cell r="O274" t="e">
            <v>#N/A</v>
          </cell>
          <cell r="P274" t="e">
            <v>#N/A</v>
          </cell>
          <cell r="Q274" t="e">
            <v>#N/A</v>
          </cell>
          <cell r="R274" t="e">
            <v>#N/A</v>
          </cell>
          <cell r="S274" t="str">
            <v>AVANZA</v>
          </cell>
          <cell r="T274" t="e">
            <v>#N/A</v>
          </cell>
          <cell r="U274" t="str">
            <v>AVANZA G M/T</v>
          </cell>
        </row>
        <row r="275">
          <cell r="D275" t="e">
            <v>#N/A</v>
          </cell>
          <cell r="E275" t="str">
            <v>AVANZA</v>
          </cell>
          <cell r="F275" t="str">
            <v>AVANZA</v>
          </cell>
          <cell r="G275" t="str">
            <v>AVANZA</v>
          </cell>
          <cell r="H275" t="str">
            <v>AVANZA G M/T</v>
          </cell>
          <cell r="I275" t="str">
            <v>AVANZA G M/T</v>
          </cell>
          <cell r="J275" t="str">
            <v>AVANZA G M/T</v>
          </cell>
          <cell r="K275" t="str">
            <v>AVANZA</v>
          </cell>
          <cell r="L275" t="str">
            <v>F51GM/TM</v>
          </cell>
          <cell r="M275" t="str">
            <v>AVANZA</v>
          </cell>
          <cell r="N275" t="str">
            <v>AVANZA</v>
          </cell>
          <cell r="O275" t="e">
            <v>#N/A</v>
          </cell>
          <cell r="P275" t="e">
            <v>#N/A</v>
          </cell>
          <cell r="Q275" t="e">
            <v>#N/A</v>
          </cell>
          <cell r="R275" t="e">
            <v>#N/A</v>
          </cell>
          <cell r="S275" t="str">
            <v>AVANZA</v>
          </cell>
          <cell r="T275" t="e">
            <v>#N/A</v>
          </cell>
          <cell r="U275" t="str">
            <v>AVANZA G M/T</v>
          </cell>
        </row>
        <row r="276">
          <cell r="D276" t="str">
            <v>F653RM-GMMFJ01-01</v>
          </cell>
          <cell r="E276" t="str">
            <v>AVANZA</v>
          </cell>
          <cell r="F276" t="str">
            <v>AVANZA</v>
          </cell>
          <cell r="G276" t="str">
            <v>AVANZA</v>
          </cell>
          <cell r="H276" t="str">
            <v>AVANZA G M/T</v>
          </cell>
          <cell r="I276" t="str">
            <v>AVANZA G M/T</v>
          </cell>
          <cell r="J276" t="str">
            <v>AVANZA G M/T</v>
          </cell>
          <cell r="K276" t="str">
            <v>AVANZA</v>
          </cell>
          <cell r="L276" t="str">
            <v>F53GM/T01M</v>
          </cell>
          <cell r="M276" t="str">
            <v>AVANZA</v>
          </cell>
          <cell r="N276" t="str">
            <v>AVANZA</v>
          </cell>
          <cell r="O276" t="str">
            <v>F653RM-GMMFJ01-01</v>
          </cell>
          <cell r="P276" t="e">
            <v>#N/A</v>
          </cell>
          <cell r="Q276" t="e">
            <v>#N/A</v>
          </cell>
          <cell r="R276" t="str">
            <v>F653RM-GMMFJ01-01</v>
          </cell>
          <cell r="S276" t="str">
            <v>AVANZA</v>
          </cell>
          <cell r="T276" t="e">
            <v>#N/A</v>
          </cell>
          <cell r="U276" t="str">
            <v>AVANZA G M/T</v>
          </cell>
        </row>
        <row r="277">
          <cell r="D277" t="e">
            <v>#N/A</v>
          </cell>
          <cell r="E277" t="str">
            <v>AVANZA</v>
          </cell>
          <cell r="F277" t="str">
            <v>AVANZA</v>
          </cell>
          <cell r="G277" t="str">
            <v>AVANZA</v>
          </cell>
          <cell r="H277" t="str">
            <v>AVANZA G M/T</v>
          </cell>
          <cell r="I277" t="str">
            <v>AVANZA G M/T</v>
          </cell>
          <cell r="J277" t="str">
            <v>AVANZA G M/T</v>
          </cell>
          <cell r="K277" t="str">
            <v>AVANZA</v>
          </cell>
          <cell r="L277" t="str">
            <v>F61GM/T10M</v>
          </cell>
          <cell r="M277" t="str">
            <v>AVANZA</v>
          </cell>
          <cell r="N277" t="str">
            <v>AVANZA</v>
          </cell>
          <cell r="O277" t="e">
            <v>#N/A</v>
          </cell>
          <cell r="P277" t="e">
            <v>#N/A</v>
          </cell>
          <cell r="Q277" t="e">
            <v>#N/A</v>
          </cell>
          <cell r="R277" t="e">
            <v>#N/A</v>
          </cell>
          <cell r="S277" t="str">
            <v>AVANZA</v>
          </cell>
          <cell r="T277" t="e">
            <v>#N/A</v>
          </cell>
          <cell r="U277" t="str">
            <v>AVANZA G M/T</v>
          </cell>
        </row>
        <row r="278">
          <cell r="D278" t="str">
            <v>F653RM-GMMFJ-02</v>
          </cell>
          <cell r="E278" t="str">
            <v>AVANZA</v>
          </cell>
          <cell r="F278" t="str">
            <v>AVANZA</v>
          </cell>
          <cell r="G278" t="str">
            <v>AVANZA</v>
          </cell>
          <cell r="H278" t="str">
            <v>AVANZA G M/T</v>
          </cell>
          <cell r="I278" t="str">
            <v>AVANZA G M/T</v>
          </cell>
          <cell r="J278" t="str">
            <v>AVANZA G M/T</v>
          </cell>
          <cell r="K278" t="str">
            <v>AVANZA</v>
          </cell>
          <cell r="L278" t="str">
            <v>F53GM/T02M</v>
          </cell>
          <cell r="M278" t="str">
            <v>AVANZA</v>
          </cell>
          <cell r="N278" t="str">
            <v>AVANZA</v>
          </cell>
          <cell r="O278" t="str">
            <v>F653RM-GMMFJ-02</v>
          </cell>
          <cell r="P278" t="e">
            <v>#N/A</v>
          </cell>
          <cell r="Q278" t="e">
            <v>#N/A</v>
          </cell>
          <cell r="R278" t="str">
            <v>F653RM-GMMFJ-02</v>
          </cell>
          <cell r="S278" t="str">
            <v>AVANZA</v>
          </cell>
          <cell r="T278" t="e">
            <v>#N/A</v>
          </cell>
          <cell r="U278" t="str">
            <v>AVANZA G M/T</v>
          </cell>
        </row>
        <row r="279">
          <cell r="D279" t="e">
            <v>#N/A</v>
          </cell>
          <cell r="E279" t="str">
            <v>AVANZA</v>
          </cell>
          <cell r="F279" t="str">
            <v>AVANZA</v>
          </cell>
          <cell r="G279" t="str">
            <v>AVANZA</v>
          </cell>
          <cell r="H279" t="str">
            <v>AVANZA G M/T</v>
          </cell>
          <cell r="I279" t="str">
            <v>AVANZA G M/T 1.5</v>
          </cell>
          <cell r="J279" t="str">
            <v>AVANZA G M/T 1.5</v>
          </cell>
          <cell r="K279" t="str">
            <v>AVANZA</v>
          </cell>
          <cell r="L279" t="str">
            <v>F52GM/T10M</v>
          </cell>
          <cell r="M279" t="str">
            <v>AVANZA</v>
          </cell>
          <cell r="N279" t="str">
            <v>AVANZA</v>
          </cell>
          <cell r="O279" t="e">
            <v>#N/A</v>
          </cell>
          <cell r="P279" t="e">
            <v>#N/A</v>
          </cell>
          <cell r="Q279" t="e">
            <v>#N/A</v>
          </cell>
          <cell r="R279" t="e">
            <v>#N/A</v>
          </cell>
          <cell r="S279" t="str">
            <v>AVANZA</v>
          </cell>
          <cell r="T279" t="e">
            <v>#N/A</v>
          </cell>
          <cell r="U279" t="str">
            <v>AVANZA G M/T</v>
          </cell>
        </row>
        <row r="280">
          <cell r="D280" t="e">
            <v>#N/A</v>
          </cell>
          <cell r="E280" t="str">
            <v>AVANZA</v>
          </cell>
          <cell r="F280" t="str">
            <v>AVANZA</v>
          </cell>
          <cell r="G280" t="str">
            <v>AVANZA</v>
          </cell>
          <cell r="H280" t="str">
            <v>AVANZA G M/T</v>
          </cell>
          <cell r="I280" t="str">
            <v>AVANZA G M/T 1.5</v>
          </cell>
          <cell r="J280" t="str">
            <v>AVANZA G M/T 1.5</v>
          </cell>
          <cell r="K280" t="str">
            <v>AVANZA</v>
          </cell>
          <cell r="L280" t="str">
            <v>F52GM/T20M</v>
          </cell>
          <cell r="M280" t="str">
            <v>AVANZA</v>
          </cell>
          <cell r="N280" t="str">
            <v>AVANZA</v>
          </cell>
          <cell r="O280" t="e">
            <v>#N/A</v>
          </cell>
          <cell r="P280" t="e">
            <v>#N/A</v>
          </cell>
          <cell r="Q280" t="e">
            <v>#N/A</v>
          </cell>
          <cell r="R280" t="e">
            <v>#N/A</v>
          </cell>
          <cell r="S280" t="str">
            <v>AVANZA</v>
          </cell>
          <cell r="T280" t="e">
            <v>#N/A</v>
          </cell>
          <cell r="U280" t="str">
            <v>AVANZA G M/T</v>
          </cell>
        </row>
        <row r="281">
          <cell r="D281" t="e">
            <v>#N/A</v>
          </cell>
          <cell r="E281" t="str">
            <v>AVANZA</v>
          </cell>
          <cell r="F281" t="str">
            <v>AVANZA</v>
          </cell>
          <cell r="G281" t="str">
            <v>AVANZA</v>
          </cell>
          <cell r="H281" t="str">
            <v>AVANZA G M/T</v>
          </cell>
          <cell r="I281" t="str">
            <v>AVANZA G M/T 1.5</v>
          </cell>
          <cell r="J281" t="str">
            <v>AVANZA G M/T 1.5</v>
          </cell>
          <cell r="K281" t="str">
            <v>AVANZA</v>
          </cell>
          <cell r="L281" t="str">
            <v>F52GM/TM</v>
          </cell>
          <cell r="M281" t="str">
            <v>AVANZA</v>
          </cell>
          <cell r="N281" t="str">
            <v>AVANZA</v>
          </cell>
          <cell r="O281" t="e">
            <v>#N/A</v>
          </cell>
          <cell r="P281" t="e">
            <v>#N/A</v>
          </cell>
          <cell r="Q281" t="e">
            <v>#N/A</v>
          </cell>
          <cell r="R281" t="e">
            <v>#N/A</v>
          </cell>
          <cell r="S281" t="str">
            <v>AVANZA</v>
          </cell>
          <cell r="T281" t="e">
            <v>#N/A</v>
          </cell>
          <cell r="U281" t="str">
            <v>AVANZA G M/T</v>
          </cell>
        </row>
        <row r="282">
          <cell r="D282" t="str">
            <v>F654RM-GMMFJ-00</v>
          </cell>
          <cell r="E282" t="str">
            <v>AVANZA</v>
          </cell>
          <cell r="F282" t="str">
            <v>AVANZA</v>
          </cell>
          <cell r="G282" t="str">
            <v>AVANZA</v>
          </cell>
          <cell r="H282" t="str">
            <v>AVANZA G M/T</v>
          </cell>
          <cell r="I282" t="str">
            <v>AVANZA G M/T 1.5</v>
          </cell>
          <cell r="J282" t="str">
            <v>AVANZA G M/T 1.5</v>
          </cell>
          <cell r="K282" t="str">
            <v>AVANZA</v>
          </cell>
          <cell r="L282" t="str">
            <v>F54GM/T</v>
          </cell>
          <cell r="M282" t="str">
            <v>AVANZA</v>
          </cell>
          <cell r="N282" t="str">
            <v>AVANZA</v>
          </cell>
          <cell r="O282" t="str">
            <v>F654RM-GMMFJ-00</v>
          </cell>
          <cell r="P282" t="e">
            <v>#N/A</v>
          </cell>
          <cell r="Q282" t="e">
            <v>#N/A</v>
          </cell>
          <cell r="R282" t="str">
            <v>F654RM-GMMFJ-00</v>
          </cell>
          <cell r="S282" t="str">
            <v>AVANZA</v>
          </cell>
          <cell r="T282" t="e">
            <v>#N/A</v>
          </cell>
          <cell r="U282" t="str">
            <v>AVANZA G M/T</v>
          </cell>
        </row>
        <row r="283">
          <cell r="D283" t="str">
            <v>F654RM-GMMFJ-01</v>
          </cell>
          <cell r="E283" t="str">
            <v>AVANZA</v>
          </cell>
          <cell r="F283" t="str">
            <v>AVANZA</v>
          </cell>
          <cell r="G283" t="str">
            <v>AVANZA</v>
          </cell>
          <cell r="H283" t="str">
            <v>AVANZA G M/T</v>
          </cell>
          <cell r="I283" t="str">
            <v>AVANZA G M/T 1.5</v>
          </cell>
          <cell r="J283" t="str">
            <v>AVANZA G M/T 1.5</v>
          </cell>
          <cell r="K283" t="str">
            <v>AVANZA</v>
          </cell>
          <cell r="L283" t="str">
            <v>F54GM/T01M</v>
          </cell>
          <cell r="M283" t="str">
            <v>AVANZA</v>
          </cell>
          <cell r="N283" t="str">
            <v>AVANZA</v>
          </cell>
          <cell r="O283" t="str">
            <v>F654RM-GMMFJ-01</v>
          </cell>
          <cell r="P283" t="e">
            <v>#N/A</v>
          </cell>
          <cell r="Q283" t="e">
            <v>#N/A</v>
          </cell>
          <cell r="R283" t="str">
            <v>F654RM-GMMFJ-01</v>
          </cell>
          <cell r="S283" t="str">
            <v>AVANZA</v>
          </cell>
          <cell r="T283" t="e">
            <v>#N/A</v>
          </cell>
          <cell r="U283" t="str">
            <v>AVANZA G M/T</v>
          </cell>
        </row>
        <row r="284">
          <cell r="D284" t="str">
            <v>F654RM-GMMFJ-02</v>
          </cell>
          <cell r="E284" t="str">
            <v>AVANZA</v>
          </cell>
          <cell r="F284" t="str">
            <v>AVANZA</v>
          </cell>
          <cell r="G284" t="str">
            <v>AVANZA</v>
          </cell>
          <cell r="H284" t="str">
            <v>AVANZA G M/T</v>
          </cell>
          <cell r="I284" t="str">
            <v>AVANZA G M/T 1.5</v>
          </cell>
          <cell r="J284" t="str">
            <v>AVANZA G M/T 1.5</v>
          </cell>
          <cell r="K284" t="str">
            <v>AVANZA</v>
          </cell>
          <cell r="L284" t="str">
            <v>F54GM/T02M</v>
          </cell>
          <cell r="M284" t="str">
            <v>AVANZA</v>
          </cell>
          <cell r="N284" t="str">
            <v>AVANZA</v>
          </cell>
          <cell r="O284" t="str">
            <v>F654RM-GMMFJ-02</v>
          </cell>
          <cell r="P284" t="e">
            <v>#N/A</v>
          </cell>
          <cell r="Q284" t="e">
            <v>#N/A</v>
          </cell>
          <cell r="R284" t="str">
            <v>F654RM-GMMFJ-02</v>
          </cell>
          <cell r="S284" t="str">
            <v>AVANZA</v>
          </cell>
          <cell r="T284" t="e">
            <v>#N/A</v>
          </cell>
          <cell r="U284" t="str">
            <v>AVANZA G M/T</v>
          </cell>
        </row>
        <row r="285">
          <cell r="D285" t="e">
            <v>#N/A</v>
          </cell>
          <cell r="E285" t="str">
            <v>AVANZA</v>
          </cell>
          <cell r="F285" t="str">
            <v>AVANZA</v>
          </cell>
          <cell r="G285" t="str">
            <v>AVANZA</v>
          </cell>
          <cell r="H285" t="str">
            <v>AVANZA S A/T</v>
          </cell>
          <cell r="I285" t="str">
            <v>AVANZA S A/T</v>
          </cell>
          <cell r="J285" t="str">
            <v>AVANZA S A/T</v>
          </cell>
          <cell r="K285" t="str">
            <v>AVANZA</v>
          </cell>
          <cell r="L285" t="str">
            <v>F62SA/T10M</v>
          </cell>
          <cell r="M285" t="str">
            <v>AVANZA</v>
          </cell>
          <cell r="N285" t="str">
            <v>AVANZA</v>
          </cell>
          <cell r="O285" t="e">
            <v>#N/A</v>
          </cell>
          <cell r="P285" t="e">
            <v>#N/A</v>
          </cell>
          <cell r="Q285" t="e">
            <v>#N/A</v>
          </cell>
          <cell r="R285" t="e">
            <v>#N/A</v>
          </cell>
          <cell r="S285" t="str">
            <v>AVANZA</v>
          </cell>
          <cell r="T285" t="e">
            <v>#N/A</v>
          </cell>
          <cell r="U285" t="str">
            <v>AVANZA S A/T</v>
          </cell>
        </row>
        <row r="286">
          <cell r="D286" t="e">
            <v>#N/A</v>
          </cell>
          <cell r="E286" t="str">
            <v>AVANZA</v>
          </cell>
          <cell r="F286" t="str">
            <v>AVANZA</v>
          </cell>
          <cell r="G286" t="str">
            <v>AVANZA</v>
          </cell>
          <cell r="H286" t="str">
            <v>AVANZA S M/T</v>
          </cell>
          <cell r="I286" t="str">
            <v>AVANZA S M/T</v>
          </cell>
          <cell r="J286" t="str">
            <v>AVANZA S M/T</v>
          </cell>
          <cell r="K286" t="str">
            <v>AVANZA</v>
          </cell>
          <cell r="L286" t="str">
            <v>F62SM/T10M</v>
          </cell>
          <cell r="M286" t="str">
            <v>AVANZA</v>
          </cell>
          <cell r="N286" t="str">
            <v>AVANZA</v>
          </cell>
          <cell r="O286" t="e">
            <v>#N/A</v>
          </cell>
          <cell r="P286" t="e">
            <v>#N/A</v>
          </cell>
          <cell r="Q286" t="e">
            <v>#N/A</v>
          </cell>
          <cell r="R286" t="e">
            <v>#N/A</v>
          </cell>
          <cell r="S286" t="str">
            <v>AVANZA</v>
          </cell>
          <cell r="T286" t="e">
            <v>#N/A</v>
          </cell>
          <cell r="U286" t="str">
            <v>AVANZA S M/T</v>
          </cell>
        </row>
        <row r="287">
          <cell r="D287" t="str">
            <v>F653RM-GQSFJ-00</v>
          </cell>
          <cell r="E287" t="str">
            <v>AVANZA</v>
          </cell>
          <cell r="F287" t="str">
            <v>AVANZA</v>
          </cell>
          <cell r="G287" t="str">
            <v>AVANZA</v>
          </cell>
          <cell r="H287" t="str">
            <v>AVANZA VELOZ 1.3 A/T</v>
          </cell>
          <cell r="I287" t="str">
            <v>AVANZA VELOZ 1.3 A/T</v>
          </cell>
          <cell r="J287" t="str">
            <v>AVANZA VELOZ 1.3 A/T</v>
          </cell>
          <cell r="K287" t="str">
            <v>AVANZA</v>
          </cell>
          <cell r="L287" t="str">
            <v>F53VA/T</v>
          </cell>
          <cell r="M287" t="str">
            <v>AVANZA</v>
          </cell>
          <cell r="N287" t="str">
            <v>AVANZA</v>
          </cell>
          <cell r="O287" t="str">
            <v>F653RM-GQSFJ-00</v>
          </cell>
          <cell r="P287" t="e">
            <v>#N/A</v>
          </cell>
          <cell r="Q287" t="e">
            <v>#N/A</v>
          </cell>
          <cell r="R287" t="str">
            <v>F653RM-GQSFJ-00</v>
          </cell>
          <cell r="S287" t="str">
            <v>AVANZA</v>
          </cell>
          <cell r="T287" t="e">
            <v>#N/A</v>
          </cell>
          <cell r="U287" t="str">
            <v>AVANZA VELOZ 1.3 A/T</v>
          </cell>
        </row>
        <row r="288">
          <cell r="D288" t="str">
            <v>F653RM-GQSFJ-01</v>
          </cell>
          <cell r="E288" t="str">
            <v>AVANZA</v>
          </cell>
          <cell r="F288" t="str">
            <v>AVANZA</v>
          </cell>
          <cell r="G288" t="str">
            <v>AVANZA</v>
          </cell>
          <cell r="H288" t="str">
            <v>AVANZA VELOZ 1.3 A/T</v>
          </cell>
          <cell r="I288" t="str">
            <v>AVANZA VELOZ 1.3 A/T</v>
          </cell>
          <cell r="J288" t="str">
            <v>AVANZA VELOZ 1.3 A/T</v>
          </cell>
          <cell r="K288" t="str">
            <v>AVANZA</v>
          </cell>
          <cell r="L288" t="str">
            <v>F53VA/T01M</v>
          </cell>
          <cell r="M288" t="str">
            <v>AVANZA</v>
          </cell>
          <cell r="N288" t="str">
            <v>AVANZA</v>
          </cell>
          <cell r="O288" t="str">
            <v>F653RM-GQSFJ-01</v>
          </cell>
          <cell r="P288" t="e">
            <v>#N/A</v>
          </cell>
          <cell r="Q288" t="e">
            <v>#N/A</v>
          </cell>
          <cell r="R288" t="str">
            <v>F653RM-GQSFJ-01</v>
          </cell>
          <cell r="S288" t="str">
            <v>AVANZA</v>
          </cell>
          <cell r="T288" t="e">
            <v>#N/A</v>
          </cell>
          <cell r="U288" t="str">
            <v>AVANZA VELOZ 1.3 A/T</v>
          </cell>
        </row>
        <row r="289">
          <cell r="D289" t="str">
            <v>F653RM-GQSFJ-02</v>
          </cell>
          <cell r="E289" t="str">
            <v>AVANZA</v>
          </cell>
          <cell r="F289" t="str">
            <v>AVANZA</v>
          </cell>
          <cell r="G289" t="str">
            <v>AVANZA</v>
          </cell>
          <cell r="H289" t="str">
            <v>AVANZA VELOZ 1.3 A/T</v>
          </cell>
          <cell r="I289" t="str">
            <v>AVANZA VELOZ 1.3 A/T</v>
          </cell>
          <cell r="J289" t="str">
            <v>AVANZA VELOZ 1.3 A/T</v>
          </cell>
          <cell r="K289" t="str">
            <v>AVANZA</v>
          </cell>
          <cell r="L289" t="str">
            <v>F53VA/T02M</v>
          </cell>
          <cell r="M289" t="str">
            <v>AVANZA</v>
          </cell>
          <cell r="N289" t="str">
            <v>AVANZA</v>
          </cell>
          <cell r="O289" t="str">
            <v>F653RM-GQSFJ-02</v>
          </cell>
          <cell r="P289" t="e">
            <v>#N/A</v>
          </cell>
          <cell r="Q289" t="e">
            <v>#N/A</v>
          </cell>
          <cell r="R289" t="str">
            <v>F653RM-GQSFJ-02</v>
          </cell>
          <cell r="S289" t="str">
            <v>AVANZA</v>
          </cell>
          <cell r="T289" t="e">
            <v>#N/A</v>
          </cell>
          <cell r="U289" t="str">
            <v>AVANZA VELOZ 1.3 A/T</v>
          </cell>
        </row>
        <row r="290">
          <cell r="D290" t="str">
            <v>F653RM-GMSFJ-01</v>
          </cell>
          <cell r="E290" t="str">
            <v>AVANZA</v>
          </cell>
          <cell r="F290" t="str">
            <v>AVANZA</v>
          </cell>
          <cell r="G290" t="str">
            <v>AVANZA</v>
          </cell>
          <cell r="H290" t="str">
            <v>AVANZA VELOZ 1.3 M/T</v>
          </cell>
          <cell r="I290" t="str">
            <v>AVANZA VELOZ 1.3 M/T</v>
          </cell>
          <cell r="J290" t="str">
            <v>AVANZA VELOZ 1.3 M/T</v>
          </cell>
          <cell r="K290" t="str">
            <v>AVANZA</v>
          </cell>
          <cell r="L290" t="str">
            <v>F53VM/T01M</v>
          </cell>
          <cell r="M290" t="str">
            <v>AVANZA</v>
          </cell>
          <cell r="N290" t="str">
            <v>AVANZA</v>
          </cell>
          <cell r="O290" t="str">
            <v>F653RM-GMSFJ-01</v>
          </cell>
          <cell r="P290" t="e">
            <v>#N/A</v>
          </cell>
          <cell r="Q290" t="e">
            <v>#N/A</v>
          </cell>
          <cell r="R290" t="str">
            <v>F653RM-GMSFJ-01</v>
          </cell>
          <cell r="S290" t="str">
            <v>AVANZA</v>
          </cell>
          <cell r="T290" t="e">
            <v>#N/A</v>
          </cell>
          <cell r="U290" t="str">
            <v>AVANZA VELOZ 1.3 M/T</v>
          </cell>
        </row>
        <row r="291">
          <cell r="D291" t="str">
            <v>F653RM-GMSFJ-02</v>
          </cell>
          <cell r="E291" t="str">
            <v>AVANZA</v>
          </cell>
          <cell r="F291" t="str">
            <v>AVANZA</v>
          </cell>
          <cell r="G291" t="str">
            <v>AVANZA</v>
          </cell>
          <cell r="H291" t="str">
            <v>AVANZA VELOZ 1.3 M/T</v>
          </cell>
          <cell r="I291" t="str">
            <v>AVANZA VELOZ 1.3 M/T</v>
          </cell>
          <cell r="J291" t="str">
            <v>AVANZA VELOZ 1.3 M/T</v>
          </cell>
          <cell r="K291" t="str">
            <v>AVANZA</v>
          </cell>
          <cell r="L291" t="str">
            <v>F53VM/T02M</v>
          </cell>
          <cell r="M291" t="str">
            <v>AVANZA</v>
          </cell>
          <cell r="N291" t="str">
            <v>AVANZA</v>
          </cell>
          <cell r="O291" t="str">
            <v>F653RM-GMSFJ-02</v>
          </cell>
          <cell r="P291" t="e">
            <v>#N/A</v>
          </cell>
          <cell r="Q291" t="e">
            <v>#N/A</v>
          </cell>
          <cell r="R291" t="str">
            <v>F653RM-GMSFJ-02</v>
          </cell>
          <cell r="S291" t="str">
            <v>AVANZA</v>
          </cell>
          <cell r="T291" t="e">
            <v>#N/A</v>
          </cell>
          <cell r="U291" t="str">
            <v>AVANZA VELOZ 1.3 M/T</v>
          </cell>
        </row>
        <row r="292">
          <cell r="D292" t="str">
            <v>F654RM-GQSFJ-00</v>
          </cell>
          <cell r="E292" t="str">
            <v>AVANZA</v>
          </cell>
          <cell r="F292" t="str">
            <v>AVANZA</v>
          </cell>
          <cell r="G292" t="str">
            <v>AVANZA</v>
          </cell>
          <cell r="H292" t="str">
            <v>AVANZA VELOZ 1.5 A/T</v>
          </cell>
          <cell r="I292" t="str">
            <v>AVANZA VELOZ 1.5 A/T</v>
          </cell>
          <cell r="J292" t="str">
            <v>AVANZA VELOZ 1.5 A/T</v>
          </cell>
          <cell r="K292" t="str">
            <v>AVANZA</v>
          </cell>
          <cell r="L292" t="str">
            <v>F54VA/T</v>
          </cell>
          <cell r="M292" t="str">
            <v>AVANZA</v>
          </cell>
          <cell r="N292" t="str">
            <v>AVANZA</v>
          </cell>
          <cell r="O292" t="str">
            <v>F654RM-GQSFJ-00</v>
          </cell>
          <cell r="P292" t="e">
            <v>#N/A</v>
          </cell>
          <cell r="Q292" t="e">
            <v>#N/A</v>
          </cell>
          <cell r="R292" t="str">
            <v>F654RM-GQSFJ-00</v>
          </cell>
          <cell r="S292" t="str">
            <v>AVANZA</v>
          </cell>
          <cell r="T292" t="e">
            <v>#N/A</v>
          </cell>
          <cell r="U292" t="str">
            <v>AVANZA VELOZ 1.5 A/T</v>
          </cell>
        </row>
        <row r="293">
          <cell r="D293" t="str">
            <v>F654RM-GQSFJ-02</v>
          </cell>
          <cell r="E293" t="str">
            <v>AVANZA</v>
          </cell>
          <cell r="F293" t="str">
            <v>AVANZA</v>
          </cell>
          <cell r="G293" t="str">
            <v>AVANZA</v>
          </cell>
          <cell r="H293" t="str">
            <v>AVANZA VELOZ 1.5 A/T</v>
          </cell>
          <cell r="I293" t="str">
            <v>AVANZA VELOZ 1.5 A/T</v>
          </cell>
          <cell r="J293" t="str">
            <v>AVANZA VELOZ 1.5 A/T</v>
          </cell>
          <cell r="K293" t="str">
            <v>AVANZA</v>
          </cell>
          <cell r="L293" t="str">
            <v>F54VA/T02M</v>
          </cell>
          <cell r="M293" t="str">
            <v>AVANZA</v>
          </cell>
          <cell r="N293" t="str">
            <v>AVANZA</v>
          </cell>
          <cell r="O293" t="str">
            <v>F654RM-GQSFJ-02</v>
          </cell>
          <cell r="P293" t="e">
            <v>#N/A</v>
          </cell>
          <cell r="Q293" t="e">
            <v>#N/A</v>
          </cell>
          <cell r="R293" t="str">
            <v>F654RM-GQSFJ-02</v>
          </cell>
          <cell r="S293" t="str">
            <v>AVANZA</v>
          </cell>
          <cell r="T293" t="e">
            <v>#N/A</v>
          </cell>
          <cell r="U293" t="str">
            <v>AVANZA VELOZ 1.5 A/T</v>
          </cell>
        </row>
        <row r="294">
          <cell r="D294" t="str">
            <v>F654RM-GMSFJ-00</v>
          </cell>
          <cell r="E294" t="str">
            <v>AVANZA</v>
          </cell>
          <cell r="F294" t="str">
            <v>AVANZA</v>
          </cell>
          <cell r="G294" t="str">
            <v>AVANZA</v>
          </cell>
          <cell r="H294" t="str">
            <v>AVANZA VELOZ 1.5 M/T</v>
          </cell>
          <cell r="I294" t="str">
            <v>AVANZA VELOZ 1.5 M/T</v>
          </cell>
          <cell r="J294" t="str">
            <v>AVANZA VELOZ 1.5 M/T</v>
          </cell>
          <cell r="K294" t="str">
            <v>AVANZA</v>
          </cell>
          <cell r="L294" t="str">
            <v>F54VM/T</v>
          </cell>
          <cell r="M294" t="str">
            <v>AVANZA</v>
          </cell>
          <cell r="N294" t="str">
            <v>AVANZA</v>
          </cell>
          <cell r="O294" t="str">
            <v>F654RM-GMSFJ-00</v>
          </cell>
          <cell r="P294" t="e">
            <v>#N/A</v>
          </cell>
          <cell r="Q294" t="e">
            <v>#N/A</v>
          </cell>
          <cell r="R294" t="str">
            <v>F654RM-GMSFJ-00</v>
          </cell>
          <cell r="S294" t="str">
            <v>AVANZA</v>
          </cell>
          <cell r="T294" t="e">
            <v>#N/A</v>
          </cell>
          <cell r="U294" t="str">
            <v>AVANZA VELOZ 1.5 M/T</v>
          </cell>
        </row>
        <row r="295">
          <cell r="D295" t="str">
            <v>F654RM-GMSFJ-00</v>
          </cell>
          <cell r="E295" t="str">
            <v>AVANZA</v>
          </cell>
          <cell r="F295" t="str">
            <v>AVANZA</v>
          </cell>
          <cell r="G295" t="str">
            <v>AVANZA</v>
          </cell>
          <cell r="H295" t="str">
            <v>AVANZA VELOZ 1.5 M/T</v>
          </cell>
          <cell r="I295" t="str">
            <v>AVANZA VELOZ 1.5 M/T</v>
          </cell>
          <cell r="J295" t="str">
            <v>AVANZA VELOZ 1.5 M/T</v>
          </cell>
          <cell r="K295" t="str">
            <v>AVANZA</v>
          </cell>
          <cell r="L295" t="str">
            <v>F54VM/T</v>
          </cell>
          <cell r="M295" t="str">
            <v>AVANZA</v>
          </cell>
          <cell r="N295" t="str">
            <v>AVANZA</v>
          </cell>
          <cell r="O295" t="str">
            <v>F654RM-GMSFJ-00</v>
          </cell>
          <cell r="P295" t="e">
            <v>#N/A</v>
          </cell>
          <cell r="Q295" t="e">
            <v>#N/A</v>
          </cell>
          <cell r="R295" t="str">
            <v>F654RM-GMSFJ-00</v>
          </cell>
          <cell r="S295" t="str">
            <v>AVANZA</v>
          </cell>
          <cell r="T295" t="e">
            <v>#N/A</v>
          </cell>
          <cell r="U295" t="str">
            <v>AVANZA VELOZ 1.5 M/T</v>
          </cell>
        </row>
        <row r="296">
          <cell r="D296" t="e">
            <v>#N/A</v>
          </cell>
          <cell r="E296" t="str">
            <v>AVANZA</v>
          </cell>
          <cell r="F296" t="str">
            <v>AVANZA</v>
          </cell>
          <cell r="G296" t="str">
            <v>AVANZA</v>
          </cell>
          <cell r="H296" t="str">
            <v>AVANZA VELOZ A/T</v>
          </cell>
          <cell r="I296" t="str">
            <v>AVANZA VELOZ A/T</v>
          </cell>
          <cell r="J296" t="str">
            <v>AVANZA VELOZ A/T</v>
          </cell>
          <cell r="K296" t="str">
            <v>AVANZA</v>
          </cell>
          <cell r="L296" t="str">
            <v>F52VA/T10M</v>
          </cell>
          <cell r="M296" t="str">
            <v>AVANZA</v>
          </cell>
          <cell r="N296" t="str">
            <v>AVANZA</v>
          </cell>
          <cell r="O296" t="e">
            <v>#N/A</v>
          </cell>
          <cell r="P296" t="e">
            <v>#N/A</v>
          </cell>
          <cell r="Q296" t="e">
            <v>#N/A</v>
          </cell>
          <cell r="R296" t="e">
            <v>#N/A</v>
          </cell>
          <cell r="S296" t="str">
            <v>AVANZA</v>
          </cell>
          <cell r="T296" t="e">
            <v>#N/A</v>
          </cell>
          <cell r="U296" t="str">
            <v>AVANZA VELOZ A/T</v>
          </cell>
        </row>
        <row r="297">
          <cell r="D297" t="e">
            <v>#N/A</v>
          </cell>
          <cell r="E297" t="str">
            <v>AVANZA</v>
          </cell>
          <cell r="F297" t="str">
            <v>AVANZA</v>
          </cell>
          <cell r="G297" t="str">
            <v>AVANZA</v>
          </cell>
          <cell r="H297" t="str">
            <v>AVANZA VELOZ A/T</v>
          </cell>
          <cell r="I297" t="str">
            <v>AVANZA VELOZ A/T</v>
          </cell>
          <cell r="J297" t="str">
            <v>AVANZA VELOZ A/T</v>
          </cell>
          <cell r="K297" t="str">
            <v>AVANZA</v>
          </cell>
          <cell r="L297" t="str">
            <v>F52VA/T21M</v>
          </cell>
          <cell r="M297" t="str">
            <v>AVANZA</v>
          </cell>
          <cell r="N297" t="str">
            <v>AVANZA</v>
          </cell>
          <cell r="O297" t="e">
            <v>#N/A</v>
          </cell>
          <cell r="P297" t="e">
            <v>#N/A</v>
          </cell>
          <cell r="Q297" t="e">
            <v>#N/A</v>
          </cell>
          <cell r="R297" t="e">
            <v>#N/A</v>
          </cell>
          <cell r="S297" t="str">
            <v>AVANZA</v>
          </cell>
          <cell r="T297" t="e">
            <v>#N/A</v>
          </cell>
          <cell r="U297" t="str">
            <v>AVANZA VELOZ A/T</v>
          </cell>
        </row>
        <row r="298">
          <cell r="D298" t="e">
            <v>#N/A</v>
          </cell>
          <cell r="E298" t="str">
            <v>AVANZA</v>
          </cell>
          <cell r="F298" t="str">
            <v>AVANZA</v>
          </cell>
          <cell r="G298" t="str">
            <v>AVANZA</v>
          </cell>
          <cell r="H298" t="str">
            <v>AVANZA VELOZ A/T</v>
          </cell>
          <cell r="I298" t="str">
            <v>AVANZA VELOZ A/T</v>
          </cell>
          <cell r="J298" t="str">
            <v>AVANZA VELOZ A/T</v>
          </cell>
          <cell r="K298" t="str">
            <v>AVANZA</v>
          </cell>
          <cell r="L298" t="str">
            <v>F52VA/TM</v>
          </cell>
          <cell r="M298" t="str">
            <v>AVANZA</v>
          </cell>
          <cell r="N298" t="str">
            <v>AVANZA</v>
          </cell>
          <cell r="O298" t="e">
            <v>#N/A</v>
          </cell>
          <cell r="P298" t="e">
            <v>#N/A</v>
          </cell>
          <cell r="Q298" t="e">
            <v>#N/A</v>
          </cell>
          <cell r="R298" t="e">
            <v>#N/A</v>
          </cell>
          <cell r="S298" t="str">
            <v>AVANZA</v>
          </cell>
          <cell r="T298" t="e">
            <v>#N/A</v>
          </cell>
          <cell r="U298" t="str">
            <v>AVANZA VELOZ A/T</v>
          </cell>
        </row>
        <row r="299">
          <cell r="D299" t="e">
            <v>#N/A</v>
          </cell>
          <cell r="E299" t="str">
            <v>AVANZA</v>
          </cell>
          <cell r="F299" t="str">
            <v>AVANZA</v>
          </cell>
          <cell r="G299" t="str">
            <v>AVANZA</v>
          </cell>
          <cell r="H299" t="str">
            <v>AVANZA VELOZ M/T</v>
          </cell>
          <cell r="I299" t="str">
            <v>AVANZA VELOZ M/T</v>
          </cell>
          <cell r="J299" t="str">
            <v>AVANZA VELOZ M/T</v>
          </cell>
          <cell r="K299" t="str">
            <v>AVANZA</v>
          </cell>
          <cell r="L299" t="str">
            <v>F52VM/T10M</v>
          </cell>
          <cell r="M299" t="str">
            <v>AVANZA</v>
          </cell>
          <cell r="N299" t="str">
            <v>AVANZA</v>
          </cell>
          <cell r="O299" t="e">
            <v>#N/A</v>
          </cell>
          <cell r="P299" t="e">
            <v>#N/A</v>
          </cell>
          <cell r="Q299" t="e">
            <v>#N/A</v>
          </cell>
          <cell r="R299" t="e">
            <v>#N/A</v>
          </cell>
          <cell r="S299" t="str">
            <v>AVANZA</v>
          </cell>
          <cell r="T299" t="e">
            <v>#N/A</v>
          </cell>
          <cell r="U299" t="str">
            <v>AVANZA VELOZ M/T</v>
          </cell>
        </row>
        <row r="300">
          <cell r="D300" t="e">
            <v>#N/A</v>
          </cell>
          <cell r="E300" t="str">
            <v>AVANZA</v>
          </cell>
          <cell r="F300" t="str">
            <v>AVANZA</v>
          </cell>
          <cell r="G300" t="str">
            <v>AVANZA</v>
          </cell>
          <cell r="H300" t="str">
            <v>AVANZA VELOZ M/T</v>
          </cell>
          <cell r="I300" t="str">
            <v>AVANZA VELOZ M/T</v>
          </cell>
          <cell r="J300" t="str">
            <v>AVANZA VELOZ M/T</v>
          </cell>
          <cell r="K300" t="str">
            <v>AVANZA</v>
          </cell>
          <cell r="L300" t="str">
            <v>F52VM/T21M</v>
          </cell>
          <cell r="M300" t="str">
            <v>AVANZA</v>
          </cell>
          <cell r="N300" t="str">
            <v>AVANZA</v>
          </cell>
          <cell r="O300" t="e">
            <v>#N/A</v>
          </cell>
          <cell r="P300" t="e">
            <v>#N/A</v>
          </cell>
          <cell r="Q300" t="e">
            <v>#N/A</v>
          </cell>
          <cell r="R300" t="e">
            <v>#N/A</v>
          </cell>
          <cell r="S300" t="str">
            <v>AVANZA</v>
          </cell>
          <cell r="T300" t="e">
            <v>#N/A</v>
          </cell>
          <cell r="U300" t="str">
            <v>AVANZA VELOZ M/T</v>
          </cell>
        </row>
        <row r="301">
          <cell r="D301" t="e">
            <v>#N/A</v>
          </cell>
          <cell r="E301" t="str">
            <v>AVANZA</v>
          </cell>
          <cell r="F301" t="str">
            <v>AVANZA</v>
          </cell>
          <cell r="G301" t="str">
            <v>AVANZA</v>
          </cell>
          <cell r="H301" t="str">
            <v>AVANZA VELOZ M/T</v>
          </cell>
          <cell r="I301" t="str">
            <v>AVANZA VELOZ M/T</v>
          </cell>
          <cell r="J301" t="str">
            <v>AVANZA VELOZ M/T</v>
          </cell>
          <cell r="K301" t="str">
            <v>AVANZA</v>
          </cell>
          <cell r="L301" t="str">
            <v>F52VM/TM</v>
          </cell>
          <cell r="M301" t="str">
            <v>AVANZA</v>
          </cell>
          <cell r="N301" t="str">
            <v>AVANZA</v>
          </cell>
          <cell r="O301" t="e">
            <v>#N/A</v>
          </cell>
          <cell r="P301" t="e">
            <v>#N/A</v>
          </cell>
          <cell r="Q301" t="e">
            <v>#N/A</v>
          </cell>
          <cell r="R301" t="e">
            <v>#N/A</v>
          </cell>
          <cell r="S301" t="str">
            <v>AVANZA</v>
          </cell>
          <cell r="T301" t="e">
            <v>#N/A</v>
          </cell>
          <cell r="U301" t="str">
            <v>AVANZA VELOZ M/T</v>
          </cell>
        </row>
        <row r="302">
          <cell r="D302" t="str">
            <v>B401RA-GQQFJ-00</v>
          </cell>
          <cell r="E302" t="str">
            <v>CALYA</v>
          </cell>
          <cell r="F302" t="str">
            <v>CALYA</v>
          </cell>
          <cell r="G302" t="str">
            <v>CALYA</v>
          </cell>
          <cell r="H302" t="str">
            <v>CALYA E A/T</v>
          </cell>
          <cell r="I302" t="str">
            <v>CALYA E A/T</v>
          </cell>
          <cell r="J302" t="str">
            <v>CALYA E A/T</v>
          </cell>
          <cell r="K302" t="str">
            <v>CALYA</v>
          </cell>
          <cell r="L302" t="str">
            <v>B401EA/T00M</v>
          </cell>
          <cell r="M302" t="str">
            <v>CALYA</v>
          </cell>
          <cell r="N302" t="str">
            <v>CALYA</v>
          </cell>
          <cell r="O302" t="str">
            <v>B401RA-GQQFJ-00</v>
          </cell>
          <cell r="P302" t="e">
            <v>#N/A</v>
          </cell>
          <cell r="Q302" t="e">
            <v>#N/A</v>
          </cell>
          <cell r="R302" t="str">
            <v>B401RA-GQQFJ-00</v>
          </cell>
          <cell r="S302" t="str">
            <v>CALYA</v>
          </cell>
          <cell r="T302" t="e">
            <v>#N/A</v>
          </cell>
          <cell r="U302" t="str">
            <v>CALYA E A/T</v>
          </cell>
        </row>
        <row r="303">
          <cell r="D303" t="e">
            <v>#N/A</v>
          </cell>
          <cell r="E303" t="str">
            <v>CAMRY</v>
          </cell>
          <cell r="F303" t="str">
            <v>CAMRY</v>
          </cell>
          <cell r="G303" t="str">
            <v>CAMRY</v>
          </cell>
          <cell r="H303" t="str">
            <v>CAMRY G A/T</v>
          </cell>
          <cell r="I303" t="str">
            <v>CAMRY G A/T</v>
          </cell>
          <cell r="J303" t="str">
            <v>CAMRY G A/T</v>
          </cell>
          <cell r="K303" t="str">
            <v>CAMRY</v>
          </cell>
          <cell r="L303" t="str">
            <v>AV40GA/TM</v>
          </cell>
          <cell r="M303" t="str">
            <v>CAMRY</v>
          </cell>
          <cell r="N303" t="str">
            <v>CAMRY</v>
          </cell>
          <cell r="O303" t="e">
            <v>#N/A</v>
          </cell>
          <cell r="P303" t="e">
            <v>#N/A</v>
          </cell>
          <cell r="Q303" t="e">
            <v>#N/A</v>
          </cell>
          <cell r="R303" t="e">
            <v>#N/A</v>
          </cell>
          <cell r="S303" t="str">
            <v>CAMRY</v>
          </cell>
          <cell r="T303" t="e">
            <v>#N/A</v>
          </cell>
          <cell r="U303" t="str">
            <v>CAMRY G A/T</v>
          </cell>
        </row>
        <row r="304">
          <cell r="D304" t="e">
            <v>#N/A</v>
          </cell>
          <cell r="E304" t="str">
            <v>CAMRY</v>
          </cell>
          <cell r="F304" t="str">
            <v>CAMRY</v>
          </cell>
          <cell r="G304" t="str">
            <v>CAMRY</v>
          </cell>
          <cell r="H304" t="str">
            <v>CAMRY G A/T</v>
          </cell>
          <cell r="I304" t="str">
            <v>CAMRY G A/T</v>
          </cell>
          <cell r="J304" t="str">
            <v>CAMRY G A/T</v>
          </cell>
          <cell r="K304" t="str">
            <v>CAMRY</v>
          </cell>
          <cell r="L304" t="str">
            <v>AV40GA/T10M</v>
          </cell>
          <cell r="M304" t="str">
            <v>CAMRY</v>
          </cell>
          <cell r="N304" t="str">
            <v>CAMRY</v>
          </cell>
          <cell r="O304" t="e">
            <v>#N/A</v>
          </cell>
          <cell r="P304" t="e">
            <v>#N/A</v>
          </cell>
          <cell r="Q304" t="e">
            <v>#N/A</v>
          </cell>
          <cell r="R304" t="e">
            <v>#N/A</v>
          </cell>
          <cell r="S304" t="str">
            <v>CAMRY</v>
          </cell>
          <cell r="T304" t="e">
            <v>#N/A</v>
          </cell>
          <cell r="U304" t="str">
            <v>CAMRY G A/T</v>
          </cell>
        </row>
        <row r="305">
          <cell r="D305" t="str">
            <v>ASV50R-JETEKD-10</v>
          </cell>
          <cell r="E305" t="str">
            <v>CAMRY</v>
          </cell>
          <cell r="F305" t="str">
            <v>CAMRY</v>
          </cell>
          <cell r="G305" t="str">
            <v>CAMRY</v>
          </cell>
          <cell r="H305" t="str">
            <v>CAMRY G A/T</v>
          </cell>
          <cell r="I305" t="str">
            <v>CAMRY G A/T</v>
          </cell>
          <cell r="J305" t="str">
            <v>CAMRY G A/T</v>
          </cell>
          <cell r="K305" t="str">
            <v>CAMRY</v>
          </cell>
          <cell r="L305" t="str">
            <v>AS50GA/T10M</v>
          </cell>
          <cell r="M305" t="str">
            <v>CAMRY</v>
          </cell>
          <cell r="N305" t="str">
            <v>CAMRY</v>
          </cell>
          <cell r="O305" t="str">
            <v>ASV50R-JETEKD-10</v>
          </cell>
          <cell r="P305" t="e">
            <v>#N/A</v>
          </cell>
          <cell r="Q305" t="e">
            <v>#N/A</v>
          </cell>
          <cell r="R305" t="str">
            <v>ASV50R-JETEKD-10</v>
          </cell>
          <cell r="S305" t="str">
            <v>CAMRY</v>
          </cell>
          <cell r="T305" t="e">
            <v>#N/A</v>
          </cell>
          <cell r="U305" t="str">
            <v>CAMRY G A/T</v>
          </cell>
        </row>
        <row r="306">
          <cell r="D306" t="e">
            <v>#N/A</v>
          </cell>
          <cell r="E306" t="str">
            <v>CAMRY</v>
          </cell>
          <cell r="F306" t="str">
            <v>CAMRY</v>
          </cell>
          <cell r="G306" t="str">
            <v>CAMRY</v>
          </cell>
          <cell r="H306" t="str">
            <v>CAMRY G A/T</v>
          </cell>
          <cell r="I306" t="str">
            <v>CAMRY G A/T</v>
          </cell>
          <cell r="J306" t="str">
            <v>CAMRY G A/T</v>
          </cell>
          <cell r="K306" t="str">
            <v>CAMRY</v>
          </cell>
          <cell r="L306" t="str">
            <v>AS50GA/TM</v>
          </cell>
          <cell r="M306" t="str">
            <v>CAMRY</v>
          </cell>
          <cell r="N306" t="str">
            <v>CAMRY</v>
          </cell>
          <cell r="O306" t="e">
            <v>#N/A</v>
          </cell>
          <cell r="P306" t="e">
            <v>#N/A</v>
          </cell>
          <cell r="Q306" t="e">
            <v>#N/A</v>
          </cell>
          <cell r="R306" t="e">
            <v>#N/A</v>
          </cell>
          <cell r="S306" t="str">
            <v>CAMRY</v>
          </cell>
          <cell r="T306" t="e">
            <v>#N/A</v>
          </cell>
          <cell r="U306" t="str">
            <v>CAMRY G A/T</v>
          </cell>
        </row>
        <row r="307">
          <cell r="D307" t="e">
            <v>#N/A</v>
          </cell>
          <cell r="E307" t="str">
            <v>CAMRY</v>
          </cell>
          <cell r="F307" t="str">
            <v>CAMRY</v>
          </cell>
          <cell r="G307" t="str">
            <v>CAMRY</v>
          </cell>
          <cell r="H307" t="str">
            <v>CAMRY G A/T</v>
          </cell>
          <cell r="I307" t="str">
            <v>CAMRY G A/T</v>
          </cell>
          <cell r="J307" t="str">
            <v>CAMRY G A/T</v>
          </cell>
          <cell r="K307" t="str">
            <v>CAMRY</v>
          </cell>
          <cell r="L307" t="str">
            <v>AS50GA/T11M</v>
          </cell>
          <cell r="M307" t="str">
            <v>CAMRY</v>
          </cell>
          <cell r="N307" t="str">
            <v>CAMRY</v>
          </cell>
          <cell r="O307" t="e">
            <v>#N/A</v>
          </cell>
          <cell r="P307" t="e">
            <v>#N/A</v>
          </cell>
          <cell r="Q307" t="e">
            <v>#N/A</v>
          </cell>
          <cell r="R307" t="e">
            <v>#N/A</v>
          </cell>
          <cell r="S307" t="str">
            <v>CAMRY</v>
          </cell>
          <cell r="T307" t="e">
            <v>#N/A</v>
          </cell>
          <cell r="U307" t="str">
            <v>CAMRY G A/T</v>
          </cell>
        </row>
        <row r="308">
          <cell r="D308" t="str">
            <v>AVV50R-JEXVBT-10</v>
          </cell>
          <cell r="E308" t="str">
            <v>CAMRY</v>
          </cell>
          <cell r="F308" t="str">
            <v>CAMRY</v>
          </cell>
          <cell r="G308" t="str">
            <v>CAMRY</v>
          </cell>
          <cell r="H308" t="str">
            <v>CAMRY HYBRID A/T</v>
          </cell>
          <cell r="I308" t="str">
            <v>CAMRY HYBRID A/T</v>
          </cell>
          <cell r="J308" t="str">
            <v>CAMRY HYBRID A/T</v>
          </cell>
          <cell r="K308" t="str">
            <v>CAMRY</v>
          </cell>
          <cell r="L308" t="str">
            <v>AV50LA/T10M</v>
          </cell>
          <cell r="M308" t="str">
            <v>CAMRY</v>
          </cell>
          <cell r="N308" t="str">
            <v>CAMRY</v>
          </cell>
          <cell r="O308" t="str">
            <v>AVV50R-JEXVBT-10</v>
          </cell>
          <cell r="P308" t="e">
            <v>#N/A</v>
          </cell>
          <cell r="Q308" t="e">
            <v>#N/A</v>
          </cell>
          <cell r="R308" t="str">
            <v>AVV50R-JEXVBT-10</v>
          </cell>
          <cell r="S308" t="str">
            <v>CAMRY</v>
          </cell>
          <cell r="T308" t="e">
            <v>#N/A</v>
          </cell>
          <cell r="U308" t="str">
            <v>CAMRY HYBRID A/T</v>
          </cell>
        </row>
        <row r="309">
          <cell r="D309" t="e">
            <v>#N/A</v>
          </cell>
          <cell r="E309" t="str">
            <v>CAMRY</v>
          </cell>
          <cell r="F309" t="str">
            <v>CAMRY</v>
          </cell>
          <cell r="G309" t="str">
            <v>CAMRY</v>
          </cell>
          <cell r="H309" t="str">
            <v>CAMRY HYBRID A/T</v>
          </cell>
          <cell r="I309" t="str">
            <v>CAMRY HYBRID A/T</v>
          </cell>
          <cell r="J309" t="str">
            <v>CAMRY HYBRID A/T</v>
          </cell>
          <cell r="K309" t="str">
            <v>CAMRY</v>
          </cell>
          <cell r="L309" t="str">
            <v>AV50LA/TM</v>
          </cell>
          <cell r="M309" t="str">
            <v>CAMRY</v>
          </cell>
          <cell r="N309" t="str">
            <v>CAMRY</v>
          </cell>
          <cell r="O309" t="e">
            <v>#N/A</v>
          </cell>
          <cell r="P309" t="e">
            <v>#N/A</v>
          </cell>
          <cell r="Q309" t="e">
            <v>#N/A</v>
          </cell>
          <cell r="R309" t="e">
            <v>#N/A</v>
          </cell>
          <cell r="S309" t="str">
            <v>CAMRY</v>
          </cell>
          <cell r="T309" t="e">
            <v>#N/A</v>
          </cell>
          <cell r="U309" t="str">
            <v>CAMRY HYBRID A/T</v>
          </cell>
        </row>
        <row r="310">
          <cell r="D310" t="str">
            <v>AVV50R-JEXVBT-11</v>
          </cell>
          <cell r="E310" t="str">
            <v>CAMRY</v>
          </cell>
          <cell r="F310" t="str">
            <v>CAMRY</v>
          </cell>
          <cell r="G310" t="str">
            <v>CAMRY</v>
          </cell>
          <cell r="H310" t="str">
            <v>CAMRY HYBRID A/T</v>
          </cell>
          <cell r="I310" t="str">
            <v>CAMRY HYBRID A/T</v>
          </cell>
          <cell r="J310" t="str">
            <v>CAMRY HYBRID A/T</v>
          </cell>
          <cell r="K310" t="str">
            <v>CAMRY</v>
          </cell>
          <cell r="L310" t="str">
            <v>AS50HA/T11M</v>
          </cell>
          <cell r="M310" t="str">
            <v>CAMRY</v>
          </cell>
          <cell r="N310" t="str">
            <v>CAMRY</v>
          </cell>
          <cell r="O310" t="str">
            <v>AVV50R-JEXVBT-11</v>
          </cell>
          <cell r="P310" t="e">
            <v>#N/A</v>
          </cell>
          <cell r="Q310" t="e">
            <v>#N/A</v>
          </cell>
          <cell r="R310" t="str">
            <v>AVV50R-JEXVBT-11</v>
          </cell>
          <cell r="S310" t="str">
            <v>CAMRY</v>
          </cell>
          <cell r="T310" t="e">
            <v>#N/A</v>
          </cell>
          <cell r="U310" t="str">
            <v>CAMRY HYBRID A/T</v>
          </cell>
        </row>
        <row r="311">
          <cell r="D311" t="str">
            <v>AVV50R-JEXVBT-12</v>
          </cell>
          <cell r="E311" t="str">
            <v>CAMRY</v>
          </cell>
          <cell r="F311" t="str">
            <v>CAMRY</v>
          </cell>
          <cell r="G311" t="str">
            <v>CAMRY</v>
          </cell>
          <cell r="H311" t="str">
            <v>CAMRY HYBRID A/T</v>
          </cell>
          <cell r="I311" t="str">
            <v>CAMRY HYBRID A/T</v>
          </cell>
          <cell r="J311" t="str">
            <v>CAMRY HYBRID A/T</v>
          </cell>
          <cell r="K311" t="str">
            <v>CAMRY</v>
          </cell>
          <cell r="L311" t="str">
            <v>AS50HA/T12M</v>
          </cell>
          <cell r="M311" t="str">
            <v>CAMRY</v>
          </cell>
          <cell r="N311" t="str">
            <v>CAMRY</v>
          </cell>
          <cell r="O311" t="str">
            <v>AVV50R-JEXVBT-12</v>
          </cell>
          <cell r="P311" t="e">
            <v>#N/A</v>
          </cell>
          <cell r="Q311" t="e">
            <v>#N/A</v>
          </cell>
          <cell r="R311" t="str">
            <v>AVV50R-JEXVBT-12</v>
          </cell>
          <cell r="S311" t="str">
            <v>CAMRY</v>
          </cell>
          <cell r="T311" t="e">
            <v>#N/A</v>
          </cell>
          <cell r="U311" t="str">
            <v>CAMRY HYBRID A/T</v>
          </cell>
        </row>
        <row r="312">
          <cell r="D312" t="e">
            <v>#N/A</v>
          </cell>
          <cell r="E312" t="str">
            <v>CAMRY</v>
          </cell>
          <cell r="F312" t="str">
            <v>CAMRY</v>
          </cell>
          <cell r="G312" t="str">
            <v>CAMRY</v>
          </cell>
          <cell r="H312" t="str">
            <v>CAMRY Q A/T</v>
          </cell>
          <cell r="I312" t="str">
            <v>CAMRY Q A/T</v>
          </cell>
          <cell r="J312" t="str">
            <v>CAMRY Q A/T</v>
          </cell>
          <cell r="K312" t="str">
            <v>CAMRY</v>
          </cell>
          <cell r="L312" t="str">
            <v>GV40QA/T10M</v>
          </cell>
          <cell r="M312" t="str">
            <v>CAMRY</v>
          </cell>
          <cell r="N312" t="str">
            <v>CAMRY</v>
          </cell>
          <cell r="O312" t="e">
            <v>#N/A</v>
          </cell>
          <cell r="P312" t="e">
            <v>#N/A</v>
          </cell>
          <cell r="Q312" t="e">
            <v>#N/A</v>
          </cell>
          <cell r="R312" t="e">
            <v>#N/A</v>
          </cell>
          <cell r="S312" t="str">
            <v>CAMRY</v>
          </cell>
          <cell r="T312" t="e">
            <v>#N/A</v>
          </cell>
          <cell r="U312" t="str">
            <v>CAMRY Q A/T</v>
          </cell>
        </row>
        <row r="313">
          <cell r="D313" t="e">
            <v>#N/A</v>
          </cell>
          <cell r="E313" t="str">
            <v>CAMRY</v>
          </cell>
          <cell r="F313" t="str">
            <v>CAMRY</v>
          </cell>
          <cell r="G313" t="str">
            <v>CAMRY</v>
          </cell>
          <cell r="H313" t="str">
            <v>CAMRY Q A/T</v>
          </cell>
          <cell r="I313" t="str">
            <v>CAMRY Q A/T</v>
          </cell>
          <cell r="J313" t="str">
            <v>CAMRY Q A/T</v>
          </cell>
          <cell r="K313" t="str">
            <v>CAMRY</v>
          </cell>
          <cell r="L313" t="str">
            <v>GV40QA/TM</v>
          </cell>
          <cell r="M313" t="str">
            <v>CAMRY</v>
          </cell>
          <cell r="N313" t="str">
            <v>CAMRY</v>
          </cell>
          <cell r="O313" t="e">
            <v>#N/A</v>
          </cell>
          <cell r="P313" t="e">
            <v>#N/A</v>
          </cell>
          <cell r="Q313" t="e">
            <v>#N/A</v>
          </cell>
          <cell r="R313" t="e">
            <v>#N/A</v>
          </cell>
          <cell r="S313" t="str">
            <v>CAMRY</v>
          </cell>
          <cell r="T313" t="e">
            <v>#N/A</v>
          </cell>
          <cell r="U313" t="str">
            <v>CAMRY Q A/T</v>
          </cell>
        </row>
        <row r="314">
          <cell r="D314" t="e">
            <v>#N/A</v>
          </cell>
          <cell r="E314" t="str">
            <v>CAMRY</v>
          </cell>
          <cell r="F314" t="str">
            <v>CAMRY</v>
          </cell>
          <cell r="G314" t="str">
            <v>CAMRY</v>
          </cell>
          <cell r="H314" t="str">
            <v>CAMRY V A/T</v>
          </cell>
          <cell r="I314" t="str">
            <v>CAMRY V A/T</v>
          </cell>
          <cell r="J314" t="str">
            <v>CAMRY V A/T</v>
          </cell>
          <cell r="K314" t="str">
            <v>CAMRY</v>
          </cell>
          <cell r="L314" t="str">
            <v>AV40VA/TM</v>
          </cell>
          <cell r="M314" t="str">
            <v>CAMRY</v>
          </cell>
          <cell r="N314" t="str">
            <v>CAMRY</v>
          </cell>
          <cell r="O314" t="e">
            <v>#N/A</v>
          </cell>
          <cell r="P314" t="e">
            <v>#N/A</v>
          </cell>
          <cell r="Q314" t="e">
            <v>#N/A</v>
          </cell>
          <cell r="R314" t="e">
            <v>#N/A</v>
          </cell>
          <cell r="S314" t="str">
            <v>CAMRY</v>
          </cell>
          <cell r="T314" t="e">
            <v>#N/A</v>
          </cell>
          <cell r="U314" t="str">
            <v>CAMRY V A/T</v>
          </cell>
        </row>
        <row r="315">
          <cell r="D315" t="e">
            <v>#N/A</v>
          </cell>
          <cell r="E315" t="str">
            <v>CAMRY</v>
          </cell>
          <cell r="F315" t="str">
            <v>CAMRY</v>
          </cell>
          <cell r="G315" t="str">
            <v>CAMRY</v>
          </cell>
          <cell r="H315" t="str">
            <v>CAMRY V A/T</v>
          </cell>
          <cell r="I315" t="str">
            <v>CAMRY V A/T</v>
          </cell>
          <cell r="J315" t="str">
            <v>CAMRY V A/T</v>
          </cell>
          <cell r="K315" t="str">
            <v>CAMRY</v>
          </cell>
          <cell r="L315" t="str">
            <v>AV40VA/T10M</v>
          </cell>
          <cell r="M315" t="str">
            <v>CAMRY</v>
          </cell>
          <cell r="N315" t="str">
            <v>CAMRY</v>
          </cell>
          <cell r="O315" t="e">
            <v>#N/A</v>
          </cell>
          <cell r="P315" t="e">
            <v>#N/A</v>
          </cell>
          <cell r="Q315" t="e">
            <v>#N/A</v>
          </cell>
          <cell r="R315" t="e">
            <v>#N/A</v>
          </cell>
          <cell r="S315" t="str">
            <v>CAMRY</v>
          </cell>
          <cell r="T315" t="e">
            <v>#N/A</v>
          </cell>
          <cell r="U315" t="str">
            <v>CAMRY V A/T</v>
          </cell>
        </row>
        <row r="316">
          <cell r="D316" t="str">
            <v>ASV50R-JETGKD-10</v>
          </cell>
          <cell r="E316" t="str">
            <v>CAMRY</v>
          </cell>
          <cell r="F316" t="str">
            <v>CAMRY</v>
          </cell>
          <cell r="G316" t="str">
            <v>CAMRY</v>
          </cell>
          <cell r="H316" t="str">
            <v>CAMRY V A/T</v>
          </cell>
          <cell r="I316" t="str">
            <v>CAMRY V A/T</v>
          </cell>
          <cell r="J316" t="str">
            <v>CAMRY V A/T</v>
          </cell>
          <cell r="K316" t="str">
            <v>CAMRY</v>
          </cell>
          <cell r="L316" t="str">
            <v>AS50VA/T10M</v>
          </cell>
          <cell r="M316" t="str">
            <v>CAMRY</v>
          </cell>
          <cell r="N316" t="str">
            <v>CAMRY</v>
          </cell>
          <cell r="O316" t="str">
            <v>ASV50R-JETGKD-10</v>
          </cell>
          <cell r="P316" t="e">
            <v>#N/A</v>
          </cell>
          <cell r="Q316" t="e">
            <v>#N/A</v>
          </cell>
          <cell r="R316" t="str">
            <v>ASV50R-JETGKD-10</v>
          </cell>
          <cell r="S316" t="str">
            <v>CAMRY</v>
          </cell>
          <cell r="T316" t="e">
            <v>#N/A</v>
          </cell>
          <cell r="U316" t="str">
            <v>CAMRY V A/T</v>
          </cell>
        </row>
        <row r="317">
          <cell r="D317" t="e">
            <v>#N/A</v>
          </cell>
          <cell r="E317" t="str">
            <v>CAMRY</v>
          </cell>
          <cell r="F317" t="str">
            <v>CAMRY</v>
          </cell>
          <cell r="G317" t="str">
            <v>CAMRY</v>
          </cell>
          <cell r="H317" t="str">
            <v>CAMRY V A/T</v>
          </cell>
          <cell r="I317" t="str">
            <v>CAMRY V A/T</v>
          </cell>
          <cell r="J317" t="str">
            <v>CAMRY V A/T</v>
          </cell>
          <cell r="K317" t="str">
            <v>CAMRY</v>
          </cell>
          <cell r="L317" t="str">
            <v>AS50VA/TM</v>
          </cell>
          <cell r="M317" t="str">
            <v>CAMRY</v>
          </cell>
          <cell r="N317" t="str">
            <v>CAMRY</v>
          </cell>
          <cell r="O317" t="e">
            <v>#N/A</v>
          </cell>
          <cell r="P317" t="e">
            <v>#N/A</v>
          </cell>
          <cell r="Q317" t="e">
            <v>#N/A</v>
          </cell>
          <cell r="R317" t="e">
            <v>#N/A</v>
          </cell>
          <cell r="S317" t="str">
            <v>CAMRY</v>
          </cell>
          <cell r="T317" t="e">
            <v>#N/A</v>
          </cell>
          <cell r="U317" t="str">
            <v>CAMRY V A/T</v>
          </cell>
        </row>
        <row r="318">
          <cell r="D318" t="str">
            <v>ASV50R-JETGKD-11</v>
          </cell>
          <cell r="E318" t="str">
            <v>CAMRY</v>
          </cell>
          <cell r="F318" t="str">
            <v>CAMRY</v>
          </cell>
          <cell r="G318" t="str">
            <v>CAMRY</v>
          </cell>
          <cell r="H318" t="str">
            <v>CAMRY V A/T</v>
          </cell>
          <cell r="I318" t="str">
            <v>CAMRY V A/T</v>
          </cell>
          <cell r="J318" t="str">
            <v>CAMRY V A/T</v>
          </cell>
          <cell r="K318" t="str">
            <v>CAMRY</v>
          </cell>
          <cell r="L318" t="str">
            <v>AS50VA/T11M</v>
          </cell>
          <cell r="M318" t="str">
            <v>CAMRY</v>
          </cell>
          <cell r="N318" t="str">
            <v>CAMRY</v>
          </cell>
          <cell r="O318" t="str">
            <v>ASV50R-JETGKD-11</v>
          </cell>
          <cell r="P318" t="e">
            <v>#N/A</v>
          </cell>
          <cell r="Q318" t="e">
            <v>#N/A</v>
          </cell>
          <cell r="R318" t="str">
            <v>ASV50R-JETGKD-11</v>
          </cell>
          <cell r="S318" t="str">
            <v>CAMRY</v>
          </cell>
          <cell r="T318" t="e">
            <v>#N/A</v>
          </cell>
          <cell r="U318" t="str">
            <v>CAMRY V A/T</v>
          </cell>
        </row>
        <row r="319">
          <cell r="D319" t="e">
            <v>#N/A</v>
          </cell>
          <cell r="E319" t="str">
            <v>CROWN</v>
          </cell>
          <cell r="F319" t="str">
            <v>CROWN</v>
          </cell>
          <cell r="G319" t="str">
            <v>CROWN</v>
          </cell>
          <cell r="H319" t="str">
            <v>CROWN</v>
          </cell>
          <cell r="I319" t="str">
            <v>CROWN</v>
          </cell>
          <cell r="J319" t="str">
            <v>CROWN</v>
          </cell>
          <cell r="K319" t="str">
            <v>CROWN</v>
          </cell>
          <cell r="L319" t="str">
            <v>GRS202GA/T</v>
          </cell>
          <cell r="M319" t="str">
            <v>CROWN</v>
          </cell>
          <cell r="N319" t="str">
            <v>CROWN</v>
          </cell>
          <cell r="O319" t="e">
            <v>#N/A</v>
          </cell>
          <cell r="P319" t="e">
            <v>#N/A</v>
          </cell>
          <cell r="Q319" t="e">
            <v>#N/A</v>
          </cell>
          <cell r="R319" t="e">
            <v>#N/A</v>
          </cell>
          <cell r="S319" t="str">
            <v>CROWN</v>
          </cell>
          <cell r="T319" t="e">
            <v>#N/A</v>
          </cell>
          <cell r="U319" t="str">
            <v>CROWN</v>
          </cell>
        </row>
        <row r="320">
          <cell r="D320" t="e">
            <v>#N/A</v>
          </cell>
          <cell r="E320" t="str">
            <v>DYNA</v>
          </cell>
          <cell r="F320" t="str">
            <v>DYNA</v>
          </cell>
          <cell r="G320" t="str">
            <v>DYNA</v>
          </cell>
          <cell r="H320" t="str">
            <v>DYNA ET</v>
          </cell>
          <cell r="I320" t="str">
            <v>DYNA ET</v>
          </cell>
          <cell r="J320" t="str">
            <v>DYNA ET</v>
          </cell>
          <cell r="K320" t="str">
            <v>DYNA</v>
          </cell>
          <cell r="L320" t="str">
            <v>BU34ETS</v>
          </cell>
          <cell r="M320" t="str">
            <v>DYNA</v>
          </cell>
          <cell r="N320" t="str">
            <v>DYNA</v>
          </cell>
          <cell r="O320" t="e">
            <v>#N/A</v>
          </cell>
          <cell r="P320" t="e">
            <v>#N/A</v>
          </cell>
          <cell r="Q320" t="e">
            <v>#N/A</v>
          </cell>
          <cell r="R320" t="e">
            <v>#N/A</v>
          </cell>
          <cell r="S320" t="str">
            <v>DYNA</v>
          </cell>
          <cell r="T320" t="e">
            <v>#N/A</v>
          </cell>
          <cell r="U320" t="str">
            <v>DYNA ET</v>
          </cell>
        </row>
        <row r="321">
          <cell r="D321" t="e">
            <v>#N/A</v>
          </cell>
          <cell r="E321" t="str">
            <v>DYNA</v>
          </cell>
          <cell r="F321" t="str">
            <v>DYNA</v>
          </cell>
          <cell r="G321" t="str">
            <v>DYNA</v>
          </cell>
          <cell r="H321" t="str">
            <v>DYNA ET</v>
          </cell>
          <cell r="I321" t="str">
            <v>DYNA ET</v>
          </cell>
          <cell r="J321" t="str">
            <v>DYNA ET</v>
          </cell>
          <cell r="K321" t="str">
            <v>DYNA</v>
          </cell>
          <cell r="L321" t="str">
            <v>WU34ETS</v>
          </cell>
          <cell r="M321" t="str">
            <v>DYNA</v>
          </cell>
          <cell r="N321" t="str">
            <v>DYNA</v>
          </cell>
          <cell r="O321" t="e">
            <v>#N/A</v>
          </cell>
          <cell r="P321" t="e">
            <v>#N/A</v>
          </cell>
          <cell r="Q321" t="e">
            <v>#N/A</v>
          </cell>
          <cell r="R321" t="e">
            <v>#N/A</v>
          </cell>
          <cell r="S321" t="str">
            <v>DYNA</v>
          </cell>
          <cell r="T321" t="e">
            <v>#N/A</v>
          </cell>
          <cell r="U321" t="str">
            <v>DYNA ET</v>
          </cell>
        </row>
        <row r="322">
          <cell r="D322" t="str">
            <v>WU342R-TKMRHD3-0B</v>
          </cell>
          <cell r="E322" t="str">
            <v>DYNA</v>
          </cell>
          <cell r="F322" t="str">
            <v>DYNA</v>
          </cell>
          <cell r="G322" t="str">
            <v>DYNA</v>
          </cell>
          <cell r="H322" t="str">
            <v>DYNA ET</v>
          </cell>
          <cell r="I322" t="str">
            <v>DYNA ET</v>
          </cell>
          <cell r="J322" t="str">
            <v>DYNA ET</v>
          </cell>
          <cell r="K322" t="str">
            <v>DYNA</v>
          </cell>
          <cell r="L322" t="str">
            <v>WU34ETORS</v>
          </cell>
          <cell r="M322" t="str">
            <v>DYNA</v>
          </cell>
          <cell r="N322" t="str">
            <v>DYNA</v>
          </cell>
          <cell r="O322" t="str">
            <v>WU342R-TKMRHD3-0B</v>
          </cell>
          <cell r="P322" t="e">
            <v>#N/A</v>
          </cell>
          <cell r="Q322" t="e">
            <v>#N/A</v>
          </cell>
          <cell r="R322" t="str">
            <v>WU342R-TKMRHD3-0B</v>
          </cell>
          <cell r="S322" t="str">
            <v>DYNA</v>
          </cell>
          <cell r="T322" t="e">
            <v>#N/A</v>
          </cell>
          <cell r="U322" t="str">
            <v>DYNA ET</v>
          </cell>
        </row>
        <row r="323">
          <cell r="D323" t="str">
            <v>WU342R-TKMRHD3-00</v>
          </cell>
          <cell r="E323" t="str">
            <v>DYNA</v>
          </cell>
          <cell r="F323" t="str">
            <v>DYNA</v>
          </cell>
          <cell r="G323" t="str">
            <v>DYNA</v>
          </cell>
          <cell r="H323" t="str">
            <v>DYNA ET</v>
          </cell>
          <cell r="I323" t="str">
            <v>DYNA ET</v>
          </cell>
          <cell r="J323" t="str">
            <v>DYNA ET</v>
          </cell>
          <cell r="K323" t="str">
            <v>DYNA</v>
          </cell>
          <cell r="L323" t="str">
            <v>WU34ET1S</v>
          </cell>
          <cell r="M323" t="str">
            <v>DYNA</v>
          </cell>
          <cell r="N323" t="str">
            <v>DYNA</v>
          </cell>
          <cell r="O323" t="str">
            <v>WU342R-TKMRHD3-00</v>
          </cell>
          <cell r="P323" t="e">
            <v>#N/A</v>
          </cell>
          <cell r="Q323" t="e">
            <v>#N/A</v>
          </cell>
          <cell r="R323" t="str">
            <v>WU342R-TKMRHD3-00</v>
          </cell>
          <cell r="S323" t="str">
            <v>DYNA</v>
          </cell>
          <cell r="T323" t="e">
            <v>#N/A</v>
          </cell>
          <cell r="U323" t="str">
            <v>DYNA ET</v>
          </cell>
        </row>
        <row r="324">
          <cell r="D324" t="str">
            <v>WU342R-TKMRHD3-01</v>
          </cell>
          <cell r="E324" t="str">
            <v>DYNA</v>
          </cell>
          <cell r="F324" t="str">
            <v>DYNA</v>
          </cell>
          <cell r="G324" t="str">
            <v>DYNA</v>
          </cell>
          <cell r="H324" t="str">
            <v>DYNA ET</v>
          </cell>
          <cell r="I324" t="str">
            <v>DYNA ET</v>
          </cell>
          <cell r="J324" t="str">
            <v>DYNA ET</v>
          </cell>
          <cell r="K324" t="str">
            <v>DYNA</v>
          </cell>
          <cell r="L324" t="str">
            <v>WU34ET2S</v>
          </cell>
          <cell r="M324" t="str">
            <v>DYNA</v>
          </cell>
          <cell r="N324" t="str">
            <v>DYNA</v>
          </cell>
          <cell r="O324" t="str">
            <v>WU342R-TKMRHD3-01</v>
          </cell>
          <cell r="P324" t="e">
            <v>#N/A</v>
          </cell>
          <cell r="Q324" t="e">
            <v>#N/A</v>
          </cell>
          <cell r="R324" t="str">
            <v>WU342R-TKMRHD3-01</v>
          </cell>
          <cell r="S324" t="str">
            <v>DYNA</v>
          </cell>
          <cell r="T324" t="e">
            <v>#N/A</v>
          </cell>
          <cell r="U324" t="str">
            <v>DYNA ET</v>
          </cell>
        </row>
        <row r="325">
          <cell r="D325" t="str">
            <v>WU342R-TKMRHD3-0A</v>
          </cell>
          <cell r="E325" t="str">
            <v>DYNA</v>
          </cell>
          <cell r="F325" t="str">
            <v>DYNA</v>
          </cell>
          <cell r="G325" t="str">
            <v>DYNA</v>
          </cell>
          <cell r="H325" t="str">
            <v>DYNA ET</v>
          </cell>
          <cell r="I325" t="str">
            <v>DYNA ET</v>
          </cell>
          <cell r="J325" t="str">
            <v>DYNA ET</v>
          </cell>
          <cell r="K325" t="str">
            <v>DYNA</v>
          </cell>
          <cell r="L325" t="str">
            <v>WU34ETHDS</v>
          </cell>
          <cell r="M325" t="str">
            <v>DYNA</v>
          </cell>
          <cell r="N325" t="str">
            <v>DYNA</v>
          </cell>
          <cell r="O325" t="str">
            <v>WU342R-TKMRHD3-0A</v>
          </cell>
          <cell r="P325" t="e">
            <v>#N/A</v>
          </cell>
          <cell r="Q325" t="e">
            <v>#N/A</v>
          </cell>
          <cell r="R325" t="str">
            <v>WU342R-TKMRHD3-0A</v>
          </cell>
          <cell r="S325" t="str">
            <v>DYNA</v>
          </cell>
          <cell r="T325" t="e">
            <v>#N/A</v>
          </cell>
          <cell r="U325" t="str">
            <v>DYNA ET</v>
          </cell>
        </row>
        <row r="326">
          <cell r="D326" t="str">
            <v>WU342R-TKMQHD3-0M</v>
          </cell>
          <cell r="E326" t="str">
            <v>DYNA</v>
          </cell>
          <cell r="F326" t="str">
            <v>DYNA</v>
          </cell>
          <cell r="G326" t="str">
            <v>DYNA</v>
          </cell>
          <cell r="H326" t="str">
            <v>DYNA FT</v>
          </cell>
          <cell r="I326" t="str">
            <v>DYNA FT</v>
          </cell>
          <cell r="J326" t="str">
            <v>DYNA FT</v>
          </cell>
          <cell r="K326" t="str">
            <v>DYNA</v>
          </cell>
          <cell r="L326" t="str">
            <v>WU34FTBCS</v>
          </cell>
          <cell r="M326" t="str">
            <v>DYNA</v>
          </cell>
          <cell r="N326" t="str">
            <v>DYNA</v>
          </cell>
          <cell r="O326" t="str">
            <v>WU342R-TKMQHD3-0M</v>
          </cell>
          <cell r="P326" t="e">
            <v>#N/A</v>
          </cell>
          <cell r="Q326" t="e">
            <v>#N/A</v>
          </cell>
          <cell r="R326" t="str">
            <v>WU342R-TKMQHD3-0M</v>
          </cell>
          <cell r="S326" t="str">
            <v>DYNA</v>
          </cell>
          <cell r="T326" t="e">
            <v>#N/A</v>
          </cell>
          <cell r="U326" t="str">
            <v>DYNA FT</v>
          </cell>
        </row>
        <row r="327">
          <cell r="D327" t="str">
            <v>WU342R-TKMQHD3-00</v>
          </cell>
          <cell r="E327" t="str">
            <v>DYNA</v>
          </cell>
          <cell r="F327" t="str">
            <v>DYNA</v>
          </cell>
          <cell r="G327" t="str">
            <v>DYNA</v>
          </cell>
          <cell r="H327" t="str">
            <v>DYNA FT</v>
          </cell>
          <cell r="I327" t="str">
            <v>DYNA FT</v>
          </cell>
          <cell r="J327" t="str">
            <v>DYNA FT</v>
          </cell>
          <cell r="K327" t="str">
            <v>DYNA</v>
          </cell>
          <cell r="L327" t="str">
            <v>WU34FT1S</v>
          </cell>
          <cell r="M327" t="str">
            <v>DYNA</v>
          </cell>
          <cell r="N327" t="str">
            <v>DYNA</v>
          </cell>
          <cell r="O327" t="str">
            <v>WU342R-TKMQHD3-00</v>
          </cell>
          <cell r="P327" t="e">
            <v>#N/A</v>
          </cell>
          <cell r="Q327" t="e">
            <v>#N/A</v>
          </cell>
          <cell r="R327" t="str">
            <v>WU342R-TKMQHD3-00</v>
          </cell>
          <cell r="S327" t="str">
            <v>DYNA</v>
          </cell>
          <cell r="T327" t="e">
            <v>#N/A</v>
          </cell>
          <cell r="U327" t="str">
            <v>DYNA FT</v>
          </cell>
        </row>
        <row r="328">
          <cell r="D328" t="str">
            <v>WU342R-TKMQHD3-01</v>
          </cell>
          <cell r="E328" t="str">
            <v>DYNA</v>
          </cell>
          <cell r="F328" t="str">
            <v>DYNA</v>
          </cell>
          <cell r="G328" t="str">
            <v>DYNA</v>
          </cell>
          <cell r="H328" t="str">
            <v>DYNA FT</v>
          </cell>
          <cell r="I328" t="str">
            <v>DYNA FT</v>
          </cell>
          <cell r="J328" t="str">
            <v>DYNA FT</v>
          </cell>
          <cell r="K328" t="str">
            <v>DYNA</v>
          </cell>
          <cell r="L328" t="str">
            <v>WU34FT2S</v>
          </cell>
          <cell r="M328" t="str">
            <v>DYNA</v>
          </cell>
          <cell r="N328" t="str">
            <v>DYNA</v>
          </cell>
          <cell r="O328" t="str">
            <v>WU342R-TKMQHD3-01</v>
          </cell>
          <cell r="P328" t="e">
            <v>#N/A</v>
          </cell>
          <cell r="Q328" t="e">
            <v>#N/A</v>
          </cell>
          <cell r="R328" t="str">
            <v>WU342R-TKMQHD3-01</v>
          </cell>
          <cell r="S328" t="str">
            <v>DYNA</v>
          </cell>
          <cell r="T328" t="e">
            <v>#N/A</v>
          </cell>
          <cell r="U328" t="str">
            <v>DYNA FT</v>
          </cell>
        </row>
        <row r="329">
          <cell r="D329" t="e">
            <v>#N/A</v>
          </cell>
          <cell r="E329" t="str">
            <v>DYNA</v>
          </cell>
          <cell r="F329" t="str">
            <v>DYNA</v>
          </cell>
          <cell r="G329" t="str">
            <v>DYNA</v>
          </cell>
          <cell r="H329" t="str">
            <v>DYNA HT</v>
          </cell>
          <cell r="I329" t="str">
            <v>DYNA HT</v>
          </cell>
          <cell r="J329" t="str">
            <v>DYNA HT</v>
          </cell>
          <cell r="K329" t="str">
            <v>DYNA</v>
          </cell>
          <cell r="L329" t="str">
            <v>WU42HTS</v>
          </cell>
          <cell r="M329" t="str">
            <v>DYNA</v>
          </cell>
          <cell r="N329" t="str">
            <v>DYNA</v>
          </cell>
          <cell r="O329" t="e">
            <v>#N/A</v>
          </cell>
          <cell r="P329" t="e">
            <v>#N/A</v>
          </cell>
          <cell r="Q329" t="e">
            <v>#N/A</v>
          </cell>
          <cell r="R329" t="e">
            <v>#N/A</v>
          </cell>
          <cell r="S329" t="str">
            <v>DYNA</v>
          </cell>
          <cell r="T329" t="e">
            <v>#N/A</v>
          </cell>
          <cell r="U329" t="str">
            <v>DYNA HT</v>
          </cell>
        </row>
        <row r="330">
          <cell r="D330" t="str">
            <v>WU342R-TKM/TJD3-0E</v>
          </cell>
          <cell r="E330" t="str">
            <v>DYNA</v>
          </cell>
          <cell r="F330" t="str">
            <v>DYNA</v>
          </cell>
          <cell r="G330" t="str">
            <v>DYNA</v>
          </cell>
          <cell r="H330" t="str">
            <v>DYNA HT</v>
          </cell>
          <cell r="I330" t="str">
            <v>DYNA HT</v>
          </cell>
          <cell r="J330" t="str">
            <v>DYNA HT</v>
          </cell>
          <cell r="K330" t="str">
            <v>DYNA</v>
          </cell>
          <cell r="L330" t="str">
            <v>WU42HT1HDS</v>
          </cell>
          <cell r="M330" t="str">
            <v>DYNA</v>
          </cell>
          <cell r="N330" t="str">
            <v>DYNA</v>
          </cell>
          <cell r="O330" t="str">
            <v>WU342R-TKM/TJD3-0E</v>
          </cell>
          <cell r="P330" t="e">
            <v>#N/A</v>
          </cell>
          <cell r="Q330" t="e">
            <v>#N/A</v>
          </cell>
          <cell r="R330" t="str">
            <v>WU342R-TKM/TJD3-0E</v>
          </cell>
          <cell r="S330" t="str">
            <v>DYNA</v>
          </cell>
          <cell r="T330" t="e">
            <v>#N/A</v>
          </cell>
          <cell r="U330" t="str">
            <v>DYNA HT</v>
          </cell>
        </row>
        <row r="331">
          <cell r="D331" t="str">
            <v>WU342R-TKM/TJD3-0A</v>
          </cell>
          <cell r="E331" t="str">
            <v>DYNA</v>
          </cell>
          <cell r="F331" t="str">
            <v>DYNA</v>
          </cell>
          <cell r="G331" t="str">
            <v>DYNA</v>
          </cell>
          <cell r="H331" t="str">
            <v>DYNA HT</v>
          </cell>
          <cell r="I331" t="str">
            <v>DYNA HT</v>
          </cell>
          <cell r="J331" t="str">
            <v>DYNA HT</v>
          </cell>
          <cell r="K331" t="str">
            <v>DYNA</v>
          </cell>
          <cell r="L331" t="str">
            <v>WU42HT3HDS</v>
          </cell>
          <cell r="M331" t="str">
            <v>DYNA</v>
          </cell>
          <cell r="N331" t="str">
            <v>DYNA</v>
          </cell>
          <cell r="O331" t="str">
            <v>WU342R-TKM/TJD3-0A</v>
          </cell>
          <cell r="P331" t="e">
            <v>#N/A</v>
          </cell>
          <cell r="Q331" t="e">
            <v>#N/A</v>
          </cell>
          <cell r="R331" t="str">
            <v>WU342R-TKM/TJD3-0A</v>
          </cell>
          <cell r="S331" t="str">
            <v>DYNA</v>
          </cell>
          <cell r="T331" t="e">
            <v>#N/A</v>
          </cell>
          <cell r="U331" t="str">
            <v>DYNA HT</v>
          </cell>
        </row>
        <row r="332">
          <cell r="D332" t="str">
            <v>WU342R-TKM/TJD3-0B</v>
          </cell>
          <cell r="E332" t="str">
            <v>DYNA</v>
          </cell>
          <cell r="F332" t="str">
            <v>DYNA</v>
          </cell>
          <cell r="G332" t="str">
            <v>DYNA</v>
          </cell>
          <cell r="H332" t="str">
            <v>DYNA HT</v>
          </cell>
          <cell r="I332" t="str">
            <v>DYNA HT</v>
          </cell>
          <cell r="J332" t="str">
            <v>DYNA HT</v>
          </cell>
          <cell r="K332" t="str">
            <v>DYNA</v>
          </cell>
          <cell r="L332" t="str">
            <v>WU42HT1ORS</v>
          </cell>
          <cell r="M332" t="str">
            <v>DYNA</v>
          </cell>
          <cell r="N332" t="str">
            <v>DYNA</v>
          </cell>
          <cell r="O332" t="str">
            <v>WU342R-TKM/TJD3-0B</v>
          </cell>
          <cell r="P332" t="e">
            <v>#N/A</v>
          </cell>
          <cell r="Q332" t="e">
            <v>#N/A</v>
          </cell>
          <cell r="R332" t="str">
            <v>WU342R-TKM/TJD3-0B</v>
          </cell>
          <cell r="S332" t="str">
            <v>DYNA</v>
          </cell>
          <cell r="T332" t="e">
            <v>#N/A</v>
          </cell>
          <cell r="U332" t="str">
            <v>DYNA HT</v>
          </cell>
        </row>
        <row r="333">
          <cell r="D333" t="str">
            <v>WU342R-TKM/TJD3-00</v>
          </cell>
          <cell r="E333" t="str">
            <v>DYNA</v>
          </cell>
          <cell r="F333" t="str">
            <v>DYNA</v>
          </cell>
          <cell r="G333" t="str">
            <v>DYNA</v>
          </cell>
          <cell r="H333" t="str">
            <v>DYNA HT</v>
          </cell>
          <cell r="I333" t="str">
            <v>DYNA HT</v>
          </cell>
          <cell r="J333" t="str">
            <v>DYNA HT</v>
          </cell>
          <cell r="K333" t="str">
            <v>DYNA</v>
          </cell>
          <cell r="L333" t="str">
            <v>WU42HT1S</v>
          </cell>
          <cell r="M333" t="str">
            <v>DYNA</v>
          </cell>
          <cell r="N333" t="str">
            <v>DYNA</v>
          </cell>
          <cell r="O333" t="str">
            <v>WU342R-TKM/TJD3-00</v>
          </cell>
          <cell r="P333" t="e">
            <v>#N/A</v>
          </cell>
          <cell r="Q333" t="e">
            <v>#N/A</v>
          </cell>
          <cell r="R333" t="str">
            <v>WU342R-TKM/TJD3-00</v>
          </cell>
          <cell r="S333" t="str">
            <v>DYNA</v>
          </cell>
          <cell r="T333" t="e">
            <v>#N/A</v>
          </cell>
          <cell r="U333" t="str">
            <v>DYNA HT</v>
          </cell>
        </row>
        <row r="334">
          <cell r="D334" t="str">
            <v>WU342R-TKM/TJD3-01</v>
          </cell>
          <cell r="E334" t="str">
            <v>DYNA</v>
          </cell>
          <cell r="F334" t="str">
            <v>DYNA</v>
          </cell>
          <cell r="G334" t="str">
            <v>DYNA</v>
          </cell>
          <cell r="H334" t="str">
            <v>DYNA HT</v>
          </cell>
          <cell r="I334" t="str">
            <v>DYNA HT</v>
          </cell>
          <cell r="J334" t="str">
            <v>DYNA HT</v>
          </cell>
          <cell r="K334" t="str">
            <v>DYNA</v>
          </cell>
          <cell r="L334" t="str">
            <v>WU42HT2S</v>
          </cell>
          <cell r="M334" t="str">
            <v>DYNA</v>
          </cell>
          <cell r="N334" t="str">
            <v>DYNA</v>
          </cell>
          <cell r="O334" t="str">
            <v>WU342R-TKM/TJD3-01</v>
          </cell>
          <cell r="P334" t="e">
            <v>#N/A</v>
          </cell>
          <cell r="Q334" t="e">
            <v>#N/A</v>
          </cell>
          <cell r="R334" t="str">
            <v>WU342R-TKM/TJD3-01</v>
          </cell>
          <cell r="S334" t="str">
            <v>DYNA</v>
          </cell>
          <cell r="T334" t="e">
            <v>#N/A</v>
          </cell>
          <cell r="U334" t="str">
            <v>DYNA HT</v>
          </cell>
        </row>
        <row r="335">
          <cell r="D335" t="str">
            <v>WU342R-TKM/TJD3-0F</v>
          </cell>
          <cell r="E335" t="str">
            <v>DYNA</v>
          </cell>
          <cell r="F335" t="str">
            <v>DYNA</v>
          </cell>
          <cell r="G335" t="str">
            <v>DYNA</v>
          </cell>
          <cell r="H335" t="str">
            <v>DYNA HT</v>
          </cell>
          <cell r="I335" t="str">
            <v>DYNA HT</v>
          </cell>
          <cell r="J335" t="str">
            <v>DYNA HT</v>
          </cell>
          <cell r="K335" t="str">
            <v>DYNA</v>
          </cell>
          <cell r="L335" t="str">
            <v>WU42HT3ORS</v>
          </cell>
          <cell r="M335" t="str">
            <v>DYNA</v>
          </cell>
          <cell r="N335" t="str">
            <v>DYNA</v>
          </cell>
          <cell r="O335" t="str">
            <v>WU342R-TKM/TJD3-0F</v>
          </cell>
          <cell r="P335" t="e">
            <v>#N/A</v>
          </cell>
          <cell r="Q335" t="e">
            <v>#N/A</v>
          </cell>
          <cell r="R335" t="str">
            <v>WU342R-TKM/TJD3-0F</v>
          </cell>
          <cell r="S335" t="str">
            <v>DYNA</v>
          </cell>
          <cell r="T335" t="e">
            <v>#N/A</v>
          </cell>
          <cell r="U335" t="str">
            <v>DYNA HT</v>
          </cell>
        </row>
        <row r="336">
          <cell r="D336" t="str">
            <v>WU342R-TKM/TJD3-02</v>
          </cell>
          <cell r="E336" t="str">
            <v>DYNA</v>
          </cell>
          <cell r="F336" t="str">
            <v>DYNA</v>
          </cell>
          <cell r="G336" t="str">
            <v>DYNA</v>
          </cell>
          <cell r="H336" t="str">
            <v>DYNA HT</v>
          </cell>
          <cell r="I336" t="str">
            <v>DYNA HT</v>
          </cell>
          <cell r="J336" t="str">
            <v>DYNA HT</v>
          </cell>
          <cell r="K336" t="str">
            <v>DYNA</v>
          </cell>
          <cell r="L336" t="str">
            <v>WU42HT3S</v>
          </cell>
          <cell r="M336" t="str">
            <v>DYNA</v>
          </cell>
          <cell r="N336" t="str">
            <v>DYNA</v>
          </cell>
          <cell r="O336" t="str">
            <v>WU342R-TKM/TJD3-02</v>
          </cell>
          <cell r="P336" t="e">
            <v>#N/A</v>
          </cell>
          <cell r="Q336" t="e">
            <v>#N/A</v>
          </cell>
          <cell r="R336" t="str">
            <v>WU342R-TKM/TJD3-02</v>
          </cell>
          <cell r="S336" t="str">
            <v>DYNA</v>
          </cell>
          <cell r="T336" t="e">
            <v>#N/A</v>
          </cell>
          <cell r="U336" t="str">
            <v>DYNA HT</v>
          </cell>
        </row>
        <row r="337">
          <cell r="D337" t="str">
            <v>WU342R-TKM/TJD3-03</v>
          </cell>
          <cell r="E337" t="str">
            <v>DYNA</v>
          </cell>
          <cell r="F337" t="str">
            <v>DYNA</v>
          </cell>
          <cell r="G337" t="str">
            <v>DYNA</v>
          </cell>
          <cell r="H337" t="str">
            <v>DYNA HT</v>
          </cell>
          <cell r="I337" t="str">
            <v>DYNA HT</v>
          </cell>
          <cell r="J337" t="str">
            <v>DYNA HT</v>
          </cell>
          <cell r="K337" t="str">
            <v>DYNA</v>
          </cell>
          <cell r="L337" t="str">
            <v>WU42HT4S</v>
          </cell>
          <cell r="M337" t="str">
            <v>DYNA</v>
          </cell>
          <cell r="N337" t="str">
            <v>DYNA</v>
          </cell>
          <cell r="O337" t="str">
            <v>WU342R-TKM/TJD3-03</v>
          </cell>
          <cell r="P337" t="e">
            <v>#N/A</v>
          </cell>
          <cell r="Q337" t="e">
            <v>#N/A</v>
          </cell>
          <cell r="R337" t="str">
            <v>WU342R-TKM/TJD3-03</v>
          </cell>
          <cell r="S337" t="str">
            <v>DYNA</v>
          </cell>
          <cell r="T337" t="e">
            <v>#N/A</v>
          </cell>
          <cell r="U337" t="str">
            <v>DYNA HT</v>
          </cell>
        </row>
        <row r="338">
          <cell r="D338" t="e">
            <v>#N/A</v>
          </cell>
          <cell r="E338" t="str">
            <v>DYNA</v>
          </cell>
          <cell r="F338" t="str">
            <v>DYNA</v>
          </cell>
          <cell r="G338" t="str">
            <v>DYNA</v>
          </cell>
          <cell r="H338" t="str">
            <v>DYNA LT</v>
          </cell>
          <cell r="I338" t="str">
            <v>DYNA LT</v>
          </cell>
          <cell r="J338" t="str">
            <v>DYNA LT</v>
          </cell>
          <cell r="K338" t="str">
            <v>DYNA</v>
          </cell>
          <cell r="L338" t="str">
            <v>WU42LTS</v>
          </cell>
          <cell r="M338" t="str">
            <v>DYNA</v>
          </cell>
          <cell r="N338" t="str">
            <v>DYNA</v>
          </cell>
          <cell r="O338" t="e">
            <v>#N/A</v>
          </cell>
          <cell r="P338" t="e">
            <v>#N/A</v>
          </cell>
          <cell r="Q338" t="e">
            <v>#N/A</v>
          </cell>
          <cell r="R338" t="e">
            <v>#N/A</v>
          </cell>
          <cell r="S338" t="str">
            <v>DYNA</v>
          </cell>
          <cell r="T338" t="e">
            <v>#N/A</v>
          </cell>
          <cell r="U338" t="str">
            <v>DYNA LT</v>
          </cell>
        </row>
        <row r="339">
          <cell r="D339" t="e">
            <v>#N/A</v>
          </cell>
          <cell r="E339" t="str">
            <v>DYNA</v>
          </cell>
          <cell r="F339" t="str">
            <v>DYNA</v>
          </cell>
          <cell r="G339" t="str">
            <v>DYNA</v>
          </cell>
          <cell r="H339" t="str">
            <v>DYNA ST</v>
          </cell>
          <cell r="I339" t="str">
            <v>DYNA ST</v>
          </cell>
          <cell r="J339" t="str">
            <v>DYNA ST</v>
          </cell>
          <cell r="K339" t="str">
            <v>DYNA</v>
          </cell>
          <cell r="L339" t="str">
            <v>WU30STS</v>
          </cell>
          <cell r="M339" t="str">
            <v>DYNA</v>
          </cell>
          <cell r="N339" t="str">
            <v>DYNA</v>
          </cell>
          <cell r="O339" t="e">
            <v>#N/A</v>
          </cell>
          <cell r="P339" t="e">
            <v>#N/A</v>
          </cell>
          <cell r="Q339" t="e">
            <v>#N/A</v>
          </cell>
          <cell r="R339" t="e">
            <v>#N/A</v>
          </cell>
          <cell r="S339" t="str">
            <v>DYNA</v>
          </cell>
          <cell r="T339" t="e">
            <v>#N/A</v>
          </cell>
          <cell r="U339" t="str">
            <v>DYNA ST</v>
          </cell>
        </row>
        <row r="340">
          <cell r="D340" t="str">
            <v>WU302R-TKMLHD3-0I</v>
          </cell>
          <cell r="E340" t="str">
            <v>DYNA</v>
          </cell>
          <cell r="F340" t="str">
            <v>DYNA</v>
          </cell>
          <cell r="G340" t="str">
            <v>DYNA</v>
          </cell>
          <cell r="H340" t="str">
            <v>DYNA ST</v>
          </cell>
          <cell r="I340" t="str">
            <v>DYNA ST</v>
          </cell>
          <cell r="J340" t="str">
            <v>DYNA ST</v>
          </cell>
          <cell r="K340" t="str">
            <v>DYNA</v>
          </cell>
          <cell r="L340" t="str">
            <v>WU30STLS</v>
          </cell>
          <cell r="M340" t="str">
            <v>DYNA</v>
          </cell>
          <cell r="N340" t="str">
            <v>DYNA</v>
          </cell>
          <cell r="O340" t="str">
            <v>WU302R-TKMLHD3-0I</v>
          </cell>
          <cell r="P340" t="e">
            <v>#N/A</v>
          </cell>
          <cell r="Q340" t="e">
            <v>#N/A</v>
          </cell>
          <cell r="R340" t="str">
            <v>WU302R-TKMLHD3-0I</v>
          </cell>
          <cell r="S340" t="str">
            <v>DYNA</v>
          </cell>
          <cell r="T340" t="e">
            <v>#N/A</v>
          </cell>
          <cell r="U340" t="str">
            <v>DYNA ST</v>
          </cell>
        </row>
        <row r="341">
          <cell r="D341" t="str">
            <v>WU302R-TKMLHD3-0J</v>
          </cell>
          <cell r="E341" t="str">
            <v>DYNA</v>
          </cell>
          <cell r="F341" t="str">
            <v>DYNA</v>
          </cell>
          <cell r="G341" t="str">
            <v>DYNA</v>
          </cell>
          <cell r="H341" t="str">
            <v>DYNA ST</v>
          </cell>
          <cell r="I341" t="str">
            <v>DYNA ST</v>
          </cell>
          <cell r="J341" t="str">
            <v>DYNA ST</v>
          </cell>
          <cell r="K341" t="str">
            <v>DYNA</v>
          </cell>
          <cell r="L341" t="str">
            <v>WU30STBCS</v>
          </cell>
          <cell r="M341" t="str">
            <v>DYNA</v>
          </cell>
          <cell r="N341" t="str">
            <v>DYNA</v>
          </cell>
          <cell r="O341" t="str">
            <v>WU302R-TKMLHD3-0J</v>
          </cell>
          <cell r="P341" t="e">
            <v>#N/A</v>
          </cell>
          <cell r="Q341" t="e">
            <v>#N/A</v>
          </cell>
          <cell r="R341" t="str">
            <v>WU302R-TKMLHD3-0J</v>
          </cell>
          <cell r="S341" t="str">
            <v>DYNA</v>
          </cell>
          <cell r="T341" t="e">
            <v>#N/A</v>
          </cell>
          <cell r="U341" t="str">
            <v>DYNA ST</v>
          </cell>
        </row>
        <row r="342">
          <cell r="D342" t="str">
            <v>WU302R-TKMLHD3-0K</v>
          </cell>
          <cell r="E342" t="str">
            <v>DYNA</v>
          </cell>
          <cell r="F342" t="str">
            <v>DYNA</v>
          </cell>
          <cell r="G342" t="str">
            <v>DYNA</v>
          </cell>
          <cell r="H342" t="str">
            <v>DYNA ST</v>
          </cell>
          <cell r="I342" t="str">
            <v>DYNA ST</v>
          </cell>
          <cell r="J342" t="str">
            <v>DYNA ST</v>
          </cell>
          <cell r="K342" t="str">
            <v>DYNA</v>
          </cell>
          <cell r="L342" t="str">
            <v>WU30STBLS</v>
          </cell>
          <cell r="M342" t="str">
            <v>DYNA</v>
          </cell>
          <cell r="N342" t="str">
            <v>DYNA</v>
          </cell>
          <cell r="O342" t="str">
            <v>WU302R-TKMLHD3-0K</v>
          </cell>
          <cell r="P342" t="e">
            <v>#N/A</v>
          </cell>
          <cell r="Q342" t="e">
            <v>#N/A</v>
          </cell>
          <cell r="R342" t="str">
            <v>WU302R-TKMLHD3-0K</v>
          </cell>
          <cell r="S342" t="str">
            <v>DYNA</v>
          </cell>
          <cell r="T342" t="e">
            <v>#N/A</v>
          </cell>
          <cell r="U342" t="str">
            <v>DYNA ST</v>
          </cell>
        </row>
        <row r="343">
          <cell r="D343" t="str">
            <v>WU302R-TKMLHD3-00</v>
          </cell>
          <cell r="E343" t="str">
            <v>DYNA</v>
          </cell>
          <cell r="F343" t="str">
            <v>DYNA</v>
          </cell>
          <cell r="G343" t="str">
            <v>DYNA</v>
          </cell>
          <cell r="H343" t="str">
            <v>DYNA ST</v>
          </cell>
          <cell r="I343" t="str">
            <v>DYNA ST</v>
          </cell>
          <cell r="J343" t="str">
            <v>DYNA ST</v>
          </cell>
          <cell r="K343" t="str">
            <v>DYNA</v>
          </cell>
          <cell r="L343" t="str">
            <v>WU30ST1S</v>
          </cell>
          <cell r="M343" t="str">
            <v>DYNA</v>
          </cell>
          <cell r="N343" t="str">
            <v>DYNA</v>
          </cell>
          <cell r="O343" t="str">
            <v>WU302R-TKMLHD3-00</v>
          </cell>
          <cell r="P343" t="e">
            <v>#N/A</v>
          </cell>
          <cell r="Q343" t="e">
            <v>#N/A</v>
          </cell>
          <cell r="R343" t="str">
            <v>WU302R-TKMLHD3-00</v>
          </cell>
          <cell r="S343" t="str">
            <v>DYNA</v>
          </cell>
          <cell r="T343" t="e">
            <v>#N/A</v>
          </cell>
          <cell r="U343" t="str">
            <v>DYNA ST</v>
          </cell>
        </row>
        <row r="344">
          <cell r="D344" t="str">
            <v>WU302R-TKMLHD3-01</v>
          </cell>
          <cell r="E344" t="str">
            <v>DYNA</v>
          </cell>
          <cell r="F344" t="str">
            <v>DYNA</v>
          </cell>
          <cell r="G344" t="str">
            <v>DYNA</v>
          </cell>
          <cell r="H344" t="str">
            <v>DYNA ST</v>
          </cell>
          <cell r="I344" t="str">
            <v>DYNA ST</v>
          </cell>
          <cell r="J344" t="str">
            <v>DYNA ST</v>
          </cell>
          <cell r="K344" t="str">
            <v>DYNA</v>
          </cell>
          <cell r="L344" t="str">
            <v>WU30ST2S</v>
          </cell>
          <cell r="M344" t="str">
            <v>DYNA</v>
          </cell>
          <cell r="N344" t="str">
            <v>DYNA</v>
          </cell>
          <cell r="O344" t="str">
            <v>WU302R-TKMLHD3-01</v>
          </cell>
          <cell r="P344" t="e">
            <v>#N/A</v>
          </cell>
          <cell r="Q344" t="e">
            <v>#N/A</v>
          </cell>
          <cell r="R344" t="str">
            <v>WU302R-TKMLHD3-01</v>
          </cell>
          <cell r="S344" t="str">
            <v>DYNA</v>
          </cell>
          <cell r="T344" t="e">
            <v>#N/A</v>
          </cell>
          <cell r="U344" t="str">
            <v>DYNA ST</v>
          </cell>
        </row>
        <row r="345">
          <cell r="D345" t="str">
            <v>WU342R-TKMRJD3-00</v>
          </cell>
          <cell r="E345" t="str">
            <v>DYNA</v>
          </cell>
          <cell r="F345" t="str">
            <v>DYNA</v>
          </cell>
          <cell r="G345" t="str">
            <v>DYNA</v>
          </cell>
          <cell r="H345" t="str">
            <v>DYNA XT</v>
          </cell>
          <cell r="I345" t="str">
            <v>DYNA XT</v>
          </cell>
          <cell r="J345" t="str">
            <v>DYNA XT</v>
          </cell>
          <cell r="K345" t="str">
            <v>DYNA</v>
          </cell>
          <cell r="L345" t="str">
            <v>WU42XT1S</v>
          </cell>
          <cell r="M345" t="str">
            <v>DYNA</v>
          </cell>
          <cell r="N345" t="str">
            <v>DYNA</v>
          </cell>
          <cell r="O345" t="str">
            <v>WU342R-TKMRJD3-00</v>
          </cell>
          <cell r="P345" t="e">
            <v>#N/A</v>
          </cell>
          <cell r="Q345" t="e">
            <v>#N/A</v>
          </cell>
          <cell r="R345" t="str">
            <v>WU342R-TKMRJD3-00</v>
          </cell>
          <cell r="S345" t="str">
            <v>DYNA</v>
          </cell>
          <cell r="T345" t="e">
            <v>#N/A</v>
          </cell>
          <cell r="U345" t="str">
            <v>DYNA XT</v>
          </cell>
        </row>
        <row r="346">
          <cell r="D346" t="str">
            <v>WU342R-TKMRJD3-01</v>
          </cell>
          <cell r="E346" t="str">
            <v>DYNA</v>
          </cell>
          <cell r="F346" t="str">
            <v>DYNA</v>
          </cell>
          <cell r="G346" t="str">
            <v>DYNA</v>
          </cell>
          <cell r="H346" t="str">
            <v>DYNA XT</v>
          </cell>
          <cell r="I346" t="str">
            <v>DYNA XT</v>
          </cell>
          <cell r="J346" t="str">
            <v>DYNA XT</v>
          </cell>
          <cell r="K346" t="str">
            <v>DYNA</v>
          </cell>
          <cell r="L346" t="str">
            <v>WU42XT2S</v>
          </cell>
          <cell r="M346" t="str">
            <v>DYNA</v>
          </cell>
          <cell r="N346" t="str">
            <v>DYNA</v>
          </cell>
          <cell r="O346" t="str">
            <v>WU342R-TKMRJD3-01</v>
          </cell>
          <cell r="P346" t="e">
            <v>#N/A</v>
          </cell>
          <cell r="Q346" t="e">
            <v>#N/A</v>
          </cell>
          <cell r="R346" t="str">
            <v>WU342R-TKMRJD3-01</v>
          </cell>
          <cell r="S346" t="str">
            <v>DYNA</v>
          </cell>
          <cell r="T346" t="e">
            <v>#N/A</v>
          </cell>
          <cell r="U346" t="str">
            <v>DYNA XT</v>
          </cell>
        </row>
        <row r="347">
          <cell r="D347" t="str">
            <v>WU342R-TKMRJD3-0P</v>
          </cell>
          <cell r="E347" t="str">
            <v>DYNA</v>
          </cell>
          <cell r="F347" t="str">
            <v>DYNA</v>
          </cell>
          <cell r="G347" t="str">
            <v>DYNA</v>
          </cell>
          <cell r="H347" t="str">
            <v>DYNA XT</v>
          </cell>
          <cell r="I347" t="str">
            <v>DYNA XT</v>
          </cell>
          <cell r="J347" t="str">
            <v>DYNA XT</v>
          </cell>
          <cell r="K347" t="str">
            <v>DYNA</v>
          </cell>
          <cell r="L347" t="str">
            <v>WU42XTLBS</v>
          </cell>
          <cell r="M347" t="str">
            <v>DYNA</v>
          </cell>
          <cell r="N347" t="str">
            <v>DYNA</v>
          </cell>
          <cell r="O347" t="str">
            <v>WU342R-TKMRJD3-0P</v>
          </cell>
          <cell r="P347" t="e">
            <v>#N/A</v>
          </cell>
          <cell r="Q347" t="e">
            <v>#N/A</v>
          </cell>
          <cell r="R347" t="str">
            <v>WU342R-TKMRJD3-0P</v>
          </cell>
          <cell r="S347" t="str">
            <v>DYNA</v>
          </cell>
          <cell r="T347" t="e">
            <v>#N/A</v>
          </cell>
          <cell r="U347" t="str">
            <v>DYNA XT</v>
          </cell>
        </row>
        <row r="348">
          <cell r="D348" t="str">
            <v>NGK10R-AHMNKD-10</v>
          </cell>
          <cell r="E348" t="str">
            <v>ETIOS</v>
          </cell>
          <cell r="F348" t="str">
            <v>ETIOS</v>
          </cell>
          <cell r="G348" t="str">
            <v>ETIOS</v>
          </cell>
          <cell r="H348" t="str">
            <v>ETIOS E M/T</v>
          </cell>
          <cell r="I348" t="str">
            <v>ETIOS E M/T</v>
          </cell>
          <cell r="J348" t="str">
            <v>ETIOS E M/T</v>
          </cell>
          <cell r="K348" t="str">
            <v>ETIOS</v>
          </cell>
          <cell r="L348" t="str">
            <v>NG10EM/T10M</v>
          </cell>
          <cell r="M348" t="str">
            <v>ETIOS</v>
          </cell>
          <cell r="N348" t="str">
            <v>ETIOS</v>
          </cell>
          <cell r="O348" t="str">
            <v>NGK10R-AHMNKD-10</v>
          </cell>
          <cell r="P348" t="e">
            <v>#N/A</v>
          </cell>
          <cell r="Q348" t="e">
            <v>#N/A</v>
          </cell>
          <cell r="R348" t="str">
            <v>NGK10R-AHMNKD-10</v>
          </cell>
          <cell r="S348" t="str">
            <v>ETIOS</v>
          </cell>
          <cell r="T348" t="e">
            <v>#N/A</v>
          </cell>
          <cell r="U348" t="str">
            <v>ETIOS E M/T</v>
          </cell>
        </row>
        <row r="349">
          <cell r="D349" t="str">
            <v>NGK10R-AHMNKD-11</v>
          </cell>
          <cell r="E349" t="str">
            <v>ETIOS</v>
          </cell>
          <cell r="F349" t="str">
            <v>ETIOS</v>
          </cell>
          <cell r="G349" t="str">
            <v>ETIOS</v>
          </cell>
          <cell r="H349" t="str">
            <v>ETIOS E M/T</v>
          </cell>
          <cell r="I349" t="str">
            <v>ETIOS E M/T</v>
          </cell>
          <cell r="J349" t="str">
            <v>ETIOS E M/T</v>
          </cell>
          <cell r="K349" t="str">
            <v>ETIOS</v>
          </cell>
          <cell r="L349" t="str">
            <v>NG10EM/T11M</v>
          </cell>
          <cell r="M349" t="str">
            <v>ETIOS</v>
          </cell>
          <cell r="N349" t="str">
            <v>ETIOS</v>
          </cell>
          <cell r="O349" t="str">
            <v>NGK10R-AHMNKD-11</v>
          </cell>
          <cell r="P349" t="e">
            <v>#N/A</v>
          </cell>
          <cell r="Q349" t="e">
            <v>#N/A</v>
          </cell>
          <cell r="R349" t="str">
            <v>NGK10R-AHMNKD-11</v>
          </cell>
          <cell r="S349" t="str">
            <v>ETIOS</v>
          </cell>
          <cell r="T349" t="e">
            <v>#N/A</v>
          </cell>
          <cell r="U349" t="str">
            <v>ETIOS E M/T</v>
          </cell>
        </row>
        <row r="350">
          <cell r="D350" t="e">
            <v>#N/A</v>
          </cell>
          <cell r="E350" t="str">
            <v>ETIOS</v>
          </cell>
          <cell r="F350" t="str">
            <v>ETIOS</v>
          </cell>
          <cell r="G350" t="str">
            <v>ETIOS</v>
          </cell>
          <cell r="H350" t="str">
            <v>ETIOS E M/T</v>
          </cell>
          <cell r="I350" t="str">
            <v>ETIOS E M/T</v>
          </cell>
          <cell r="J350" t="str">
            <v>ETIOS E M/T</v>
          </cell>
          <cell r="K350" t="str">
            <v>ETIOS</v>
          </cell>
          <cell r="L350" t="str">
            <v>NG10EM/TM</v>
          </cell>
          <cell r="M350" t="str">
            <v>ETIOS</v>
          </cell>
          <cell r="N350" t="str">
            <v>ETIOS</v>
          </cell>
          <cell r="O350" t="e">
            <v>#N/A</v>
          </cell>
          <cell r="P350" t="e">
            <v>#N/A</v>
          </cell>
          <cell r="Q350" t="e">
            <v>#N/A</v>
          </cell>
          <cell r="R350" t="e">
            <v>#N/A</v>
          </cell>
          <cell r="S350" t="str">
            <v>ETIOS</v>
          </cell>
          <cell r="T350" t="e">
            <v>#N/A</v>
          </cell>
          <cell r="U350" t="str">
            <v>ETIOS E M/T</v>
          </cell>
        </row>
        <row r="351">
          <cell r="D351" t="e">
            <v>#N/A</v>
          </cell>
          <cell r="E351" t="str">
            <v>ETIOS</v>
          </cell>
          <cell r="F351" t="str">
            <v>ETIOS</v>
          </cell>
          <cell r="G351" t="str">
            <v>ETIOS</v>
          </cell>
          <cell r="H351" t="str">
            <v>ETIOS E M/T</v>
          </cell>
          <cell r="I351" t="str">
            <v>ETIOS E M/T</v>
          </cell>
          <cell r="J351" t="str">
            <v>ETIOS E M/T</v>
          </cell>
          <cell r="K351" t="str">
            <v>ETIOS</v>
          </cell>
          <cell r="L351" t="str">
            <v>NG10EM/TMRS</v>
          </cell>
          <cell r="M351" t="str">
            <v>ETIOS</v>
          </cell>
          <cell r="N351" t="str">
            <v>ETIOS</v>
          </cell>
          <cell r="O351" t="e">
            <v>#N/A</v>
          </cell>
          <cell r="P351" t="e">
            <v>#N/A</v>
          </cell>
          <cell r="Q351" t="e">
            <v>#N/A</v>
          </cell>
          <cell r="R351" t="e">
            <v>#N/A</v>
          </cell>
          <cell r="S351" t="str">
            <v>ETIOS</v>
          </cell>
          <cell r="T351" t="e">
            <v>#N/A</v>
          </cell>
          <cell r="U351" t="str">
            <v>ETIOS E M/T</v>
          </cell>
        </row>
        <row r="352">
          <cell r="D352" t="e">
            <v>#N/A</v>
          </cell>
          <cell r="E352" t="str">
            <v>ETIOS</v>
          </cell>
          <cell r="F352" t="str">
            <v>ETIOS</v>
          </cell>
          <cell r="G352" t="str">
            <v>ETIOS</v>
          </cell>
          <cell r="H352" t="str">
            <v>ETIOS E M/T</v>
          </cell>
          <cell r="I352" t="str">
            <v>ETIOS E M/T</v>
          </cell>
          <cell r="J352" t="str">
            <v>ETIOS E M/T</v>
          </cell>
          <cell r="K352" t="str">
            <v>ETIOS</v>
          </cell>
          <cell r="L352" t="str">
            <v>NG10EM/TS</v>
          </cell>
          <cell r="M352" t="str">
            <v>ETIOS</v>
          </cell>
          <cell r="N352" t="str">
            <v>ETIOS</v>
          </cell>
          <cell r="O352" t="e">
            <v>#N/A</v>
          </cell>
          <cell r="P352" t="e">
            <v>#N/A</v>
          </cell>
          <cell r="Q352" t="e">
            <v>#N/A</v>
          </cell>
          <cell r="R352" t="e">
            <v>#N/A</v>
          </cell>
          <cell r="S352" t="str">
            <v>ETIOS</v>
          </cell>
          <cell r="T352" t="e">
            <v>#N/A</v>
          </cell>
          <cell r="U352" t="str">
            <v>ETIOS E M/T</v>
          </cell>
        </row>
        <row r="353">
          <cell r="D353" t="e">
            <v>#N/A</v>
          </cell>
          <cell r="E353" t="str">
            <v>ETIOS</v>
          </cell>
          <cell r="F353" t="str">
            <v>ETIOS</v>
          </cell>
          <cell r="G353" t="str">
            <v>ETIOS</v>
          </cell>
          <cell r="H353" t="str">
            <v>ETIOS E M/T</v>
          </cell>
          <cell r="I353" t="str">
            <v>ETIOS E M/T</v>
          </cell>
          <cell r="J353" t="str">
            <v>ETIOS E M/T</v>
          </cell>
          <cell r="K353" t="str">
            <v>ETIOS</v>
          </cell>
          <cell r="L353" t="str">
            <v>NG10EM/TD1M</v>
          </cell>
          <cell r="M353" t="str">
            <v>ETIOS</v>
          </cell>
          <cell r="N353" t="str">
            <v>ETIOS</v>
          </cell>
          <cell r="O353" t="e">
            <v>#N/A</v>
          </cell>
          <cell r="P353" t="e">
            <v>#N/A</v>
          </cell>
          <cell r="Q353" t="e">
            <v>#N/A</v>
          </cell>
          <cell r="R353" t="e">
            <v>#N/A</v>
          </cell>
          <cell r="S353" t="str">
            <v>ETIOS</v>
          </cell>
          <cell r="T353" t="e">
            <v>#N/A</v>
          </cell>
          <cell r="U353" t="str">
            <v>ETIOS E M/T</v>
          </cell>
        </row>
        <row r="354">
          <cell r="D354" t="str">
            <v>NGK10R-AHMGKD-10</v>
          </cell>
          <cell r="E354" t="str">
            <v>ETIOS</v>
          </cell>
          <cell r="F354" t="str">
            <v>ETIOS</v>
          </cell>
          <cell r="G354" t="str">
            <v>ETIOS</v>
          </cell>
          <cell r="H354" t="str">
            <v>ETIOS G M/T</v>
          </cell>
          <cell r="I354" t="str">
            <v>ETIOS G M/T</v>
          </cell>
          <cell r="J354" t="str">
            <v>ETIOS G M/T</v>
          </cell>
          <cell r="K354" t="str">
            <v>ETIOS</v>
          </cell>
          <cell r="L354" t="str">
            <v>NG10GM/T10M</v>
          </cell>
          <cell r="M354" t="str">
            <v>ETIOS</v>
          </cell>
          <cell r="N354" t="str">
            <v>ETIOS</v>
          </cell>
          <cell r="O354" t="str">
            <v>NGK10R-AHMGKD-10</v>
          </cell>
          <cell r="P354" t="e">
            <v>#N/A</v>
          </cell>
          <cell r="Q354" t="e">
            <v>#N/A</v>
          </cell>
          <cell r="R354" t="str">
            <v>NGK10R-AHMGKD-10</v>
          </cell>
          <cell r="S354" t="str">
            <v>ETIOS</v>
          </cell>
          <cell r="T354" t="e">
            <v>#N/A</v>
          </cell>
          <cell r="U354" t="str">
            <v>ETIOS G M/T</v>
          </cell>
        </row>
        <row r="355">
          <cell r="D355" t="e">
            <v>#N/A</v>
          </cell>
          <cell r="E355" t="str">
            <v>ETIOS</v>
          </cell>
          <cell r="F355" t="str">
            <v>ETIOS</v>
          </cell>
          <cell r="G355" t="str">
            <v>ETIOS</v>
          </cell>
          <cell r="H355" t="str">
            <v>ETIOS G M/T</v>
          </cell>
          <cell r="I355" t="str">
            <v>ETIOS G M/T</v>
          </cell>
          <cell r="J355" t="str">
            <v>ETIOS G M/T</v>
          </cell>
          <cell r="K355" t="str">
            <v>ETIOS</v>
          </cell>
          <cell r="L355" t="str">
            <v>NG10GM/T12M</v>
          </cell>
          <cell r="M355" t="str">
            <v>ETIOS</v>
          </cell>
          <cell r="N355" t="str">
            <v>ETIOS</v>
          </cell>
          <cell r="O355" t="e">
            <v>#N/A</v>
          </cell>
          <cell r="P355" t="e">
            <v>#N/A</v>
          </cell>
          <cell r="Q355" t="e">
            <v>#N/A</v>
          </cell>
          <cell r="R355" t="e">
            <v>#N/A</v>
          </cell>
          <cell r="S355" t="str">
            <v>ETIOS</v>
          </cell>
          <cell r="T355" t="e">
            <v>#N/A</v>
          </cell>
          <cell r="U355" t="str">
            <v>ETIOS G M/T</v>
          </cell>
        </row>
        <row r="356">
          <cell r="D356" t="e">
            <v>#N/A</v>
          </cell>
          <cell r="E356" t="str">
            <v>ETIOS</v>
          </cell>
          <cell r="F356" t="str">
            <v>ETIOS</v>
          </cell>
          <cell r="G356" t="str">
            <v>ETIOS</v>
          </cell>
          <cell r="H356" t="str">
            <v>ETIOS G M/T</v>
          </cell>
          <cell r="I356" t="str">
            <v>ETIOS G M/T</v>
          </cell>
          <cell r="J356" t="str">
            <v>ETIOS G M/T</v>
          </cell>
          <cell r="K356" t="str">
            <v>ETIOS</v>
          </cell>
          <cell r="L356" t="str">
            <v>NG10GM/TM</v>
          </cell>
          <cell r="M356" t="str">
            <v>ETIOS</v>
          </cell>
          <cell r="N356" t="str">
            <v>ETIOS</v>
          </cell>
          <cell r="O356" t="e">
            <v>#N/A</v>
          </cell>
          <cell r="P356" t="e">
            <v>#N/A</v>
          </cell>
          <cell r="Q356" t="e">
            <v>#N/A</v>
          </cell>
          <cell r="R356" t="e">
            <v>#N/A</v>
          </cell>
          <cell r="S356" t="str">
            <v>ETIOS</v>
          </cell>
          <cell r="T356" t="e">
            <v>#N/A</v>
          </cell>
          <cell r="U356" t="str">
            <v>ETIOS G M/T</v>
          </cell>
        </row>
        <row r="357">
          <cell r="D357" t="e">
            <v>#N/A</v>
          </cell>
          <cell r="E357" t="str">
            <v>ETIOS</v>
          </cell>
          <cell r="F357" t="str">
            <v>ETIOS</v>
          </cell>
          <cell r="G357" t="str">
            <v>ETIOS</v>
          </cell>
          <cell r="H357" t="str">
            <v>ETIOS G M/T</v>
          </cell>
          <cell r="I357" t="str">
            <v>ETIOS G M/T</v>
          </cell>
          <cell r="J357" t="str">
            <v>ETIOS G M/T</v>
          </cell>
          <cell r="K357" t="str">
            <v>ETIOS</v>
          </cell>
          <cell r="L357" t="str">
            <v>NG10GM/TMRS</v>
          </cell>
          <cell r="M357" t="str">
            <v>ETIOS</v>
          </cell>
          <cell r="N357" t="str">
            <v>ETIOS</v>
          </cell>
          <cell r="O357" t="e">
            <v>#N/A</v>
          </cell>
          <cell r="P357" t="e">
            <v>#N/A</v>
          </cell>
          <cell r="Q357" t="e">
            <v>#N/A</v>
          </cell>
          <cell r="R357" t="e">
            <v>#N/A</v>
          </cell>
          <cell r="S357" t="str">
            <v>ETIOS</v>
          </cell>
          <cell r="T357" t="e">
            <v>#N/A</v>
          </cell>
          <cell r="U357" t="str">
            <v>ETIOS G M/T</v>
          </cell>
        </row>
        <row r="358">
          <cell r="D358" t="e">
            <v>#N/A</v>
          </cell>
          <cell r="E358" t="str">
            <v>ETIOS</v>
          </cell>
          <cell r="F358" t="str">
            <v>ETIOS</v>
          </cell>
          <cell r="G358" t="str">
            <v>ETIOS</v>
          </cell>
          <cell r="H358" t="str">
            <v>ETIOS G M/T</v>
          </cell>
          <cell r="I358" t="str">
            <v>ETIOS G M/T</v>
          </cell>
          <cell r="J358" t="str">
            <v>ETIOS G M/T</v>
          </cell>
          <cell r="K358" t="str">
            <v>ETIOS</v>
          </cell>
          <cell r="L358" t="str">
            <v>NG10GM/TS</v>
          </cell>
          <cell r="M358" t="str">
            <v>ETIOS</v>
          </cell>
          <cell r="N358" t="str">
            <v>ETIOS</v>
          </cell>
          <cell r="O358" t="e">
            <v>#N/A</v>
          </cell>
          <cell r="P358" t="e">
            <v>#N/A</v>
          </cell>
          <cell r="Q358" t="e">
            <v>#N/A</v>
          </cell>
          <cell r="R358" t="e">
            <v>#N/A</v>
          </cell>
          <cell r="S358" t="str">
            <v>ETIOS</v>
          </cell>
          <cell r="T358" t="e">
            <v>#N/A</v>
          </cell>
          <cell r="U358" t="str">
            <v>ETIOS G M/T</v>
          </cell>
        </row>
        <row r="359">
          <cell r="D359" t="str">
            <v>NGK10R-AHMGKD-D0</v>
          </cell>
          <cell r="E359" t="str">
            <v>ETIOS</v>
          </cell>
          <cell r="F359" t="str">
            <v>ETIOS</v>
          </cell>
          <cell r="G359" t="str">
            <v>ETIOS</v>
          </cell>
          <cell r="H359" t="str">
            <v>ETIOS G M/T</v>
          </cell>
          <cell r="I359" t="str">
            <v>ETIOS G M/T</v>
          </cell>
          <cell r="J359" t="str">
            <v>ETIOS G M/T</v>
          </cell>
          <cell r="K359" t="str">
            <v>ETIOS</v>
          </cell>
          <cell r="L359" t="str">
            <v>NG10GM/TD0M</v>
          </cell>
          <cell r="M359" t="str">
            <v>ETIOS</v>
          </cell>
          <cell r="N359" t="str">
            <v>ETIOS</v>
          </cell>
          <cell r="O359" t="str">
            <v>NGK10R-AHMGKD-D0</v>
          </cell>
          <cell r="P359" t="e">
            <v>#N/A</v>
          </cell>
          <cell r="Q359" t="e">
            <v>#N/A</v>
          </cell>
          <cell r="R359" t="str">
            <v>NGK10R-AHMGKD-D0</v>
          </cell>
          <cell r="S359" t="str">
            <v>ETIOS</v>
          </cell>
          <cell r="T359" t="e">
            <v>#N/A</v>
          </cell>
          <cell r="U359" t="str">
            <v>ETIOS G M/T</v>
          </cell>
        </row>
        <row r="360">
          <cell r="D360" t="e">
            <v>#N/A</v>
          </cell>
          <cell r="E360" t="str">
            <v>ETIOS</v>
          </cell>
          <cell r="F360" t="str">
            <v>ETIOS</v>
          </cell>
          <cell r="G360" t="str">
            <v>ETIOS</v>
          </cell>
          <cell r="H360" t="str">
            <v>ETIOS J M/T</v>
          </cell>
          <cell r="I360" t="str">
            <v>ETIOS J M/T</v>
          </cell>
          <cell r="J360" t="str">
            <v>ETIOS J M/T</v>
          </cell>
          <cell r="K360" t="str">
            <v>ETIOS</v>
          </cell>
          <cell r="L360" t="str">
            <v>NG10JM/TM</v>
          </cell>
          <cell r="M360" t="str">
            <v>ETIOS</v>
          </cell>
          <cell r="N360" t="str">
            <v>ETIOS</v>
          </cell>
          <cell r="O360" t="e">
            <v>#N/A</v>
          </cell>
          <cell r="P360" t="e">
            <v>#N/A</v>
          </cell>
          <cell r="Q360" t="e">
            <v>#N/A</v>
          </cell>
          <cell r="R360" t="e">
            <v>#N/A</v>
          </cell>
          <cell r="S360" t="str">
            <v>ETIOS</v>
          </cell>
          <cell r="T360" t="e">
            <v>#N/A</v>
          </cell>
          <cell r="U360" t="str">
            <v>ETIOS J M/T</v>
          </cell>
        </row>
        <row r="361">
          <cell r="D361" t="str">
            <v>NGK10R-AHMRKD-10</v>
          </cell>
          <cell r="E361" t="str">
            <v>ETIOS</v>
          </cell>
          <cell r="F361" t="str">
            <v>ETIOS</v>
          </cell>
          <cell r="G361" t="str">
            <v>ETIOS</v>
          </cell>
          <cell r="H361" t="str">
            <v>ETIOS J M/T</v>
          </cell>
          <cell r="I361" t="str">
            <v>ETIOS J M/T</v>
          </cell>
          <cell r="J361" t="str">
            <v>ETIOS J M/T</v>
          </cell>
          <cell r="K361" t="str">
            <v>ETIOS</v>
          </cell>
          <cell r="L361" t="str">
            <v>NG10JXM/T10M</v>
          </cell>
          <cell r="M361" t="str">
            <v>ETIOS</v>
          </cell>
          <cell r="N361" t="str">
            <v>ETIOS</v>
          </cell>
          <cell r="O361" t="str">
            <v>NGK10R-AHMRKD-10</v>
          </cell>
          <cell r="P361" t="e">
            <v>#N/A</v>
          </cell>
          <cell r="Q361" t="e">
            <v>#N/A</v>
          </cell>
          <cell r="R361" t="str">
            <v>NGK10R-AHMRKD-10</v>
          </cell>
          <cell r="S361" t="str">
            <v>ETIOS</v>
          </cell>
          <cell r="T361" t="e">
            <v>#N/A</v>
          </cell>
          <cell r="U361" t="str">
            <v>ETIOS J M/T</v>
          </cell>
        </row>
        <row r="362">
          <cell r="D362" t="e">
            <v>#N/A</v>
          </cell>
          <cell r="E362" t="str">
            <v>ETIOS</v>
          </cell>
          <cell r="F362" t="str">
            <v>ETIOS</v>
          </cell>
          <cell r="G362" t="str">
            <v>ETIOS</v>
          </cell>
          <cell r="H362" t="str">
            <v>ETIOS J M/T</v>
          </cell>
          <cell r="I362" t="str">
            <v>ETIOS J M/T</v>
          </cell>
          <cell r="J362" t="str">
            <v>ETIOS J M/T</v>
          </cell>
          <cell r="K362" t="str">
            <v>ETIOS</v>
          </cell>
          <cell r="L362" t="str">
            <v>NG10JXM/TM</v>
          </cell>
          <cell r="M362" t="str">
            <v>ETIOS</v>
          </cell>
          <cell r="N362" t="str">
            <v>ETIOS</v>
          </cell>
          <cell r="O362" t="e">
            <v>#N/A</v>
          </cell>
          <cell r="P362" t="e">
            <v>#N/A</v>
          </cell>
          <cell r="Q362" t="e">
            <v>#N/A</v>
          </cell>
          <cell r="R362" t="e">
            <v>#N/A</v>
          </cell>
          <cell r="S362" t="str">
            <v>ETIOS</v>
          </cell>
          <cell r="T362" t="e">
            <v>#N/A</v>
          </cell>
          <cell r="U362" t="str">
            <v>ETIOS J M/T</v>
          </cell>
        </row>
        <row r="363">
          <cell r="D363" t="e">
            <v>#N/A</v>
          </cell>
          <cell r="E363" t="str">
            <v>ETIOS</v>
          </cell>
          <cell r="F363" t="str">
            <v>ETIOS</v>
          </cell>
          <cell r="G363" t="str">
            <v>ETIOS</v>
          </cell>
          <cell r="H363" t="str">
            <v>ETIOS J M/T</v>
          </cell>
          <cell r="I363" t="str">
            <v>ETIOS J M/T</v>
          </cell>
          <cell r="J363" t="str">
            <v>ETIOS J M/T</v>
          </cell>
          <cell r="K363" t="str">
            <v>ETIOS</v>
          </cell>
          <cell r="L363" t="str">
            <v>NG10JXM/TS</v>
          </cell>
          <cell r="M363" t="str">
            <v>ETIOS</v>
          </cell>
          <cell r="N363" t="str">
            <v>ETIOS</v>
          </cell>
          <cell r="O363" t="e">
            <v>#N/A</v>
          </cell>
          <cell r="P363" t="e">
            <v>#N/A</v>
          </cell>
          <cell r="Q363" t="e">
            <v>#N/A</v>
          </cell>
          <cell r="R363" t="e">
            <v>#N/A</v>
          </cell>
          <cell r="S363" t="str">
            <v>ETIOS</v>
          </cell>
          <cell r="T363" t="e">
            <v>#N/A</v>
          </cell>
          <cell r="U363" t="str">
            <v>ETIOS J M/T</v>
          </cell>
        </row>
        <row r="364">
          <cell r="D364" t="e">
            <v>#N/A</v>
          </cell>
          <cell r="E364" t="str">
            <v>FORTUNER</v>
          </cell>
          <cell r="F364" t="str">
            <v>FORTUNER 4X2</v>
          </cell>
          <cell r="G364" t="str">
            <v>FORTUNER 4X2</v>
          </cell>
          <cell r="H364" t="str">
            <v>FORTUNER 4X2 G A/T DIESEL</v>
          </cell>
          <cell r="I364" t="str">
            <v>FORTUNER 4X2 G A/T DIESEL</v>
          </cell>
          <cell r="J364" t="str">
            <v>FORTUNER 4X2 G A/T DIESEL</v>
          </cell>
          <cell r="K364" t="str">
            <v>FORTUNER 4X2</v>
          </cell>
          <cell r="L364" t="str">
            <v>KU60GA/T22M</v>
          </cell>
          <cell r="M364" t="str">
            <v>FORTUNER</v>
          </cell>
          <cell r="N364" t="str">
            <v>FORTUNER 4X2</v>
          </cell>
          <cell r="O364" t="e">
            <v>#N/A</v>
          </cell>
          <cell r="P364" t="e">
            <v>#N/A</v>
          </cell>
          <cell r="Q364" t="e">
            <v>#N/A</v>
          </cell>
          <cell r="R364" t="e">
            <v>#N/A</v>
          </cell>
          <cell r="S364" t="str">
            <v>FORTUNER</v>
          </cell>
          <cell r="T364" t="e">
            <v>#N/A</v>
          </cell>
          <cell r="U364" t="str">
            <v>FORTUNER 4X2 G A/T DIESEL</v>
          </cell>
        </row>
        <row r="365">
          <cell r="D365" t="e">
            <v>#N/A</v>
          </cell>
          <cell r="E365" t="str">
            <v>FORTUNER</v>
          </cell>
          <cell r="F365" t="str">
            <v>FORTUNER 4X2</v>
          </cell>
          <cell r="G365" t="str">
            <v>FORTUNER 4X2</v>
          </cell>
          <cell r="H365" t="str">
            <v>FORTUNER 4X2 G A/T DIESEL</v>
          </cell>
          <cell r="I365" t="str">
            <v>FORTUNER 4X2 G A/T DIESEL</v>
          </cell>
          <cell r="J365" t="str">
            <v>FORTUNER 4X2 G A/T DIESEL</v>
          </cell>
          <cell r="K365" t="str">
            <v>FORTUNER 4X2</v>
          </cell>
          <cell r="L365" t="str">
            <v>KU60GA/T23TRD</v>
          </cell>
          <cell r="M365" t="str">
            <v>FORTUNER</v>
          </cell>
          <cell r="N365" t="str">
            <v>FORTUNER 4X2</v>
          </cell>
          <cell r="O365" t="e">
            <v>#N/A</v>
          </cell>
          <cell r="P365" t="e">
            <v>#N/A</v>
          </cell>
          <cell r="Q365" t="e">
            <v>#N/A</v>
          </cell>
          <cell r="R365" t="e">
            <v>#N/A</v>
          </cell>
          <cell r="S365" t="str">
            <v>FORTUNER</v>
          </cell>
          <cell r="T365" t="e">
            <v>#N/A</v>
          </cell>
          <cell r="U365" t="str">
            <v>FORTUNER 4X2 G A/T DIESEL</v>
          </cell>
        </row>
        <row r="366">
          <cell r="D366" t="e">
            <v>#N/A</v>
          </cell>
          <cell r="E366" t="str">
            <v>FORTUNER</v>
          </cell>
          <cell r="F366" t="str">
            <v>FORTUNER 4X2</v>
          </cell>
          <cell r="G366" t="str">
            <v>FORTUNER 4X2</v>
          </cell>
          <cell r="H366" t="str">
            <v>FORTUNER 4X2 G A/T DIESEL</v>
          </cell>
          <cell r="I366" t="str">
            <v>FORTUNER 4X2 G A/T DIESEL</v>
          </cell>
          <cell r="J366" t="str">
            <v>FORTUNER 4X2 G A/T DIESEL</v>
          </cell>
          <cell r="K366" t="str">
            <v>FORTUNER 4X2</v>
          </cell>
          <cell r="L366" t="str">
            <v>KU60GA/T23TRDM</v>
          </cell>
          <cell r="M366" t="str">
            <v>FORTUNER</v>
          </cell>
          <cell r="N366" t="str">
            <v>FORTUNER 4X2</v>
          </cell>
          <cell r="O366" t="e">
            <v>#N/A</v>
          </cell>
          <cell r="P366" t="e">
            <v>#N/A</v>
          </cell>
          <cell r="Q366" t="e">
            <v>#N/A</v>
          </cell>
          <cell r="R366" t="e">
            <v>#N/A</v>
          </cell>
          <cell r="S366" t="str">
            <v>FORTUNER</v>
          </cell>
          <cell r="T366" t="e">
            <v>#N/A</v>
          </cell>
          <cell r="U366" t="str">
            <v>FORTUNER 4X2 G A/T DIESEL</v>
          </cell>
        </row>
        <row r="367">
          <cell r="D367" t="e">
            <v>#N/A</v>
          </cell>
          <cell r="E367" t="str">
            <v>FORTUNER</v>
          </cell>
          <cell r="F367" t="str">
            <v>FORTUNER 4X2</v>
          </cell>
          <cell r="G367" t="str">
            <v>FORTUNER 4X2</v>
          </cell>
          <cell r="H367" t="str">
            <v>FORTUNER 4X2 G A/T DIESEL</v>
          </cell>
          <cell r="I367" t="str">
            <v>FORTUNER 4X2 G A/T DIESEL</v>
          </cell>
          <cell r="J367" t="str">
            <v>FORTUNER 4X2 G A/T DIESEL</v>
          </cell>
          <cell r="K367" t="str">
            <v>FORTUNER 4X2</v>
          </cell>
          <cell r="L367" t="str">
            <v>KU60GA/T50M</v>
          </cell>
          <cell r="M367" t="str">
            <v>FORTUNER</v>
          </cell>
          <cell r="N367" t="str">
            <v>FORTUNER 4X2</v>
          </cell>
          <cell r="O367" t="e">
            <v>#N/A</v>
          </cell>
          <cell r="P367" t="e">
            <v>#N/A</v>
          </cell>
          <cell r="Q367" t="e">
            <v>#N/A</v>
          </cell>
          <cell r="R367" t="e">
            <v>#N/A</v>
          </cell>
          <cell r="S367" t="str">
            <v>FORTUNER</v>
          </cell>
          <cell r="T367" t="e">
            <v>#N/A</v>
          </cell>
          <cell r="U367" t="str">
            <v>FORTUNER 4X2 G A/T DIESEL</v>
          </cell>
        </row>
        <row r="368">
          <cell r="D368" t="e">
            <v>#N/A</v>
          </cell>
          <cell r="E368" t="str">
            <v>FORTUNER</v>
          </cell>
          <cell r="F368" t="str">
            <v>FORTUNER 4X2</v>
          </cell>
          <cell r="G368" t="str">
            <v>FORTUNER 4X2</v>
          </cell>
          <cell r="H368" t="str">
            <v>FORTUNER 4X2 G A/T DIESEL</v>
          </cell>
          <cell r="I368" t="str">
            <v>FORTUNER 4X2 G A/T DIESEL</v>
          </cell>
          <cell r="J368" t="str">
            <v>FORTUNER 4X2 G A/T DIESEL</v>
          </cell>
          <cell r="K368" t="str">
            <v>FORTUNER 4X2</v>
          </cell>
          <cell r="L368" t="str">
            <v>KU60GA/T51TRDM</v>
          </cell>
          <cell r="M368" t="str">
            <v>FORTUNER</v>
          </cell>
          <cell r="N368" t="str">
            <v>FORTUNER 4X2</v>
          </cell>
          <cell r="O368" t="e">
            <v>#N/A</v>
          </cell>
          <cell r="P368" t="e">
            <v>#N/A</v>
          </cell>
          <cell r="Q368" t="e">
            <v>#N/A</v>
          </cell>
          <cell r="R368" t="e">
            <v>#N/A</v>
          </cell>
          <cell r="S368" t="str">
            <v>FORTUNER</v>
          </cell>
          <cell r="T368" t="e">
            <v>#N/A</v>
          </cell>
          <cell r="U368" t="str">
            <v>FORTUNER 4X2 G A/T DIESEL</v>
          </cell>
        </row>
        <row r="369">
          <cell r="D369" t="e">
            <v>#N/A</v>
          </cell>
          <cell r="E369" t="str">
            <v>FORTUNER</v>
          </cell>
          <cell r="F369" t="str">
            <v>FORTUNER 4X2</v>
          </cell>
          <cell r="G369" t="str">
            <v>FORTUNER 4X2</v>
          </cell>
          <cell r="H369" t="str">
            <v>FORTUNER 4X2 G A/T DIESEL</v>
          </cell>
          <cell r="I369" t="str">
            <v>FORTUNER 4X2 G A/T DIESEL</v>
          </cell>
          <cell r="J369" t="str">
            <v>FORTUNER 4X2 G A/T DIESEL</v>
          </cell>
          <cell r="K369" t="str">
            <v>FORTUNER 4X2</v>
          </cell>
          <cell r="L369" t="str">
            <v>KU60GA/T51TRDM</v>
          </cell>
          <cell r="M369" t="str">
            <v>FORTUNER</v>
          </cell>
          <cell r="N369" t="str">
            <v>FORTUNER 4X2</v>
          </cell>
          <cell r="O369" t="e">
            <v>#N/A</v>
          </cell>
          <cell r="P369" t="e">
            <v>#N/A</v>
          </cell>
          <cell r="Q369" t="e">
            <v>#N/A</v>
          </cell>
          <cell r="R369" t="e">
            <v>#N/A</v>
          </cell>
          <cell r="S369" t="str">
            <v>FORTUNER</v>
          </cell>
          <cell r="T369" t="e">
            <v>#N/A</v>
          </cell>
          <cell r="U369" t="str">
            <v>FORTUNER 4X2 G A/T DIESEL</v>
          </cell>
        </row>
        <row r="370">
          <cell r="D370" t="e">
            <v>#N/A</v>
          </cell>
          <cell r="E370" t="str">
            <v>FORTUNER</v>
          </cell>
          <cell r="F370" t="str">
            <v>FORTUNER 4X2</v>
          </cell>
          <cell r="G370" t="str">
            <v>FORTUNER 4X2</v>
          </cell>
          <cell r="H370" t="str">
            <v>FORTUNER 4X2 G A/T DIESEL</v>
          </cell>
          <cell r="I370" t="str">
            <v>FORTUNER 4X2 G A/T DIESEL</v>
          </cell>
          <cell r="J370" t="str">
            <v>FORTUNER 4X2 G A/T DIESEL</v>
          </cell>
          <cell r="K370" t="str">
            <v>FORTUNER 4X2</v>
          </cell>
          <cell r="L370" t="str">
            <v>KU60GA/T60M</v>
          </cell>
          <cell r="M370" t="str">
            <v>FORTUNER</v>
          </cell>
          <cell r="N370" t="str">
            <v>FORTUNER 4X2</v>
          </cell>
          <cell r="O370" t="e">
            <v>#N/A</v>
          </cell>
          <cell r="P370" t="e">
            <v>#N/A</v>
          </cell>
          <cell r="Q370" t="e">
            <v>#N/A</v>
          </cell>
          <cell r="R370" t="e">
            <v>#N/A</v>
          </cell>
          <cell r="S370" t="str">
            <v>FORTUNER</v>
          </cell>
          <cell r="T370" t="e">
            <v>#N/A</v>
          </cell>
          <cell r="U370" t="str">
            <v>FORTUNER 4X2 G A/T DIESEL</v>
          </cell>
        </row>
        <row r="371">
          <cell r="D371" t="e">
            <v>#N/A</v>
          </cell>
          <cell r="E371" t="str">
            <v>FORTUNER</v>
          </cell>
          <cell r="F371" t="str">
            <v>FORTUNER 4X2</v>
          </cell>
          <cell r="G371" t="str">
            <v>FORTUNER 4X2</v>
          </cell>
          <cell r="H371" t="str">
            <v>FORTUNER 4X2 G A/T DIESEL</v>
          </cell>
          <cell r="I371" t="str">
            <v>FORTUNER 4X2 G A/T DIESEL</v>
          </cell>
          <cell r="J371" t="str">
            <v>FORTUNER 4X2 G A/T DIESEL</v>
          </cell>
          <cell r="K371" t="str">
            <v>FORTUNER 4X2</v>
          </cell>
          <cell r="L371" t="str">
            <v>KU60GA/T61TRDL</v>
          </cell>
          <cell r="M371" t="str">
            <v>FORTUNER</v>
          </cell>
          <cell r="N371" t="str">
            <v>FORTUNER 4X2</v>
          </cell>
          <cell r="O371" t="e">
            <v>#N/A</v>
          </cell>
          <cell r="P371" t="e">
            <v>#N/A</v>
          </cell>
          <cell r="Q371" t="e">
            <v>#N/A</v>
          </cell>
          <cell r="R371" t="e">
            <v>#N/A</v>
          </cell>
          <cell r="S371" t="str">
            <v>FORTUNER</v>
          </cell>
          <cell r="T371" t="e">
            <v>#N/A</v>
          </cell>
          <cell r="U371" t="str">
            <v>FORTUNER 4X2 G A/T DIESEL</v>
          </cell>
        </row>
        <row r="372">
          <cell r="D372" t="e">
            <v>#N/A</v>
          </cell>
          <cell r="E372" t="str">
            <v>FORTUNER</v>
          </cell>
          <cell r="F372" t="str">
            <v>FORTUNER 4X2</v>
          </cell>
          <cell r="G372" t="str">
            <v>FORTUNER 4X2</v>
          </cell>
          <cell r="H372" t="str">
            <v>FORTUNER 4X2 G A/T DIESEL</v>
          </cell>
          <cell r="I372" t="str">
            <v>FORTUNER 4X2 G A/T DIESEL</v>
          </cell>
          <cell r="J372" t="str">
            <v>FORTUNER 4X2 G A/T DIESEL</v>
          </cell>
          <cell r="K372" t="str">
            <v>FORTUNER 4X2</v>
          </cell>
          <cell r="L372" t="str">
            <v>KU60GA/T61TRDM</v>
          </cell>
          <cell r="M372" t="str">
            <v>FORTUNER</v>
          </cell>
          <cell r="N372" t="str">
            <v>FORTUNER 4X2</v>
          </cell>
          <cell r="O372" t="e">
            <v>#N/A</v>
          </cell>
          <cell r="P372" t="e">
            <v>#N/A</v>
          </cell>
          <cell r="Q372" t="e">
            <v>#N/A</v>
          </cell>
          <cell r="R372" t="e">
            <v>#N/A</v>
          </cell>
          <cell r="S372" t="str">
            <v>FORTUNER</v>
          </cell>
          <cell r="T372" t="e">
            <v>#N/A</v>
          </cell>
          <cell r="U372" t="str">
            <v>FORTUNER 4X2 G A/T DIESEL</v>
          </cell>
        </row>
        <row r="373">
          <cell r="D373" t="e">
            <v>#N/A</v>
          </cell>
          <cell r="E373" t="str">
            <v>FORTUNER</v>
          </cell>
          <cell r="F373" t="str">
            <v>FORTUNER 4X2</v>
          </cell>
          <cell r="G373" t="str">
            <v>FORTUNER 4X2</v>
          </cell>
          <cell r="H373" t="str">
            <v>FORTUNER 4X2 G A/T DIESEL</v>
          </cell>
          <cell r="I373" t="str">
            <v>FORTUNER 4X2 G A/T DIESEL</v>
          </cell>
          <cell r="J373" t="str">
            <v>FORTUNER 4X2 G A/T DIESEL</v>
          </cell>
          <cell r="K373" t="str">
            <v>FORTUNER 4X2</v>
          </cell>
          <cell r="L373" t="str">
            <v>KU61GA/T10TRD</v>
          </cell>
          <cell r="M373" t="str">
            <v>FORTUNER</v>
          </cell>
          <cell r="N373" t="str">
            <v>FORTUNER 4X2</v>
          </cell>
          <cell r="O373" t="e">
            <v>#N/A</v>
          </cell>
          <cell r="P373" t="e">
            <v>#N/A</v>
          </cell>
          <cell r="Q373" t="e">
            <v>#N/A</v>
          </cell>
          <cell r="R373" t="e">
            <v>#N/A</v>
          </cell>
          <cell r="S373" t="str">
            <v>FORTUNER</v>
          </cell>
          <cell r="T373" t="e">
            <v>#N/A</v>
          </cell>
          <cell r="U373" t="str">
            <v>FORTUNER 4X2 G A/T DIESEL</v>
          </cell>
        </row>
        <row r="374">
          <cell r="D374" t="e">
            <v>#N/A</v>
          </cell>
          <cell r="E374" t="str">
            <v>FORTUNER</v>
          </cell>
          <cell r="F374" t="str">
            <v>FORTUNER 4X2</v>
          </cell>
          <cell r="G374" t="str">
            <v>FORTUNER 4X2</v>
          </cell>
          <cell r="H374" t="str">
            <v>FORTUNER 4X2 G A/T DIESEL</v>
          </cell>
          <cell r="I374" t="str">
            <v>FORTUNER 4X2 G A/T DIESEL</v>
          </cell>
          <cell r="J374" t="str">
            <v>FORTUNER 4X2 G A/T DIESEL</v>
          </cell>
          <cell r="K374" t="str">
            <v>FORTUNER 4X2</v>
          </cell>
          <cell r="L374" t="str">
            <v>KU61GA/T10TRDS</v>
          </cell>
          <cell r="M374" t="str">
            <v>FORTUNER</v>
          </cell>
          <cell r="N374" t="str">
            <v>FORTUNER 4X2</v>
          </cell>
          <cell r="O374" t="e">
            <v>#N/A</v>
          </cell>
          <cell r="P374" t="e">
            <v>#N/A</v>
          </cell>
          <cell r="Q374" t="e">
            <v>#N/A</v>
          </cell>
          <cell r="R374" t="e">
            <v>#N/A</v>
          </cell>
          <cell r="S374" t="str">
            <v>FORTUNER</v>
          </cell>
          <cell r="T374" t="e">
            <v>#N/A</v>
          </cell>
          <cell r="U374" t="str">
            <v>FORTUNER 4X2 G A/T DIESEL</v>
          </cell>
        </row>
        <row r="375">
          <cell r="D375" t="e">
            <v>#N/A</v>
          </cell>
          <cell r="E375" t="str">
            <v>FORTUNER</v>
          </cell>
          <cell r="F375" t="str">
            <v>FORTUNER 4X2</v>
          </cell>
          <cell r="G375" t="str">
            <v>FORTUNER 4X2</v>
          </cell>
          <cell r="H375" t="str">
            <v>FORTUNER 4X2 G A/T DIESEL</v>
          </cell>
          <cell r="I375" t="str">
            <v>FORTUNER 4X2 G A/T DIESEL</v>
          </cell>
          <cell r="J375" t="str">
            <v>FORTUNER 4X2 G A/T DIESEL</v>
          </cell>
          <cell r="K375" t="str">
            <v>FORTUNER 4X2</v>
          </cell>
          <cell r="L375" t="str">
            <v>KU61GA/T20</v>
          </cell>
          <cell r="M375" t="str">
            <v>FORTUNER</v>
          </cell>
          <cell r="N375" t="str">
            <v>FORTUNER 4X2</v>
          </cell>
          <cell r="O375" t="e">
            <v>#N/A</v>
          </cell>
          <cell r="P375" t="e">
            <v>#N/A</v>
          </cell>
          <cell r="Q375" t="e">
            <v>#N/A</v>
          </cell>
          <cell r="R375" t="e">
            <v>#N/A</v>
          </cell>
          <cell r="S375" t="str">
            <v>FORTUNER</v>
          </cell>
          <cell r="T375" t="e">
            <v>#N/A</v>
          </cell>
          <cell r="U375" t="str">
            <v>FORTUNER 4X2 G A/T DIESEL</v>
          </cell>
        </row>
        <row r="376">
          <cell r="D376" t="e">
            <v>#N/A</v>
          </cell>
          <cell r="E376" t="str">
            <v>FORTUNER</v>
          </cell>
          <cell r="F376" t="str">
            <v>FORTUNER 4X2</v>
          </cell>
          <cell r="G376" t="str">
            <v>FORTUNER 4X2</v>
          </cell>
          <cell r="H376" t="str">
            <v>FORTUNER 4X2 G A/T DIESEL</v>
          </cell>
          <cell r="I376" t="str">
            <v>FORTUNER 4X2 G A/T DIESEL</v>
          </cell>
          <cell r="J376" t="str">
            <v>FORTUNER 4X2 G A/T DIESEL</v>
          </cell>
          <cell r="K376" t="str">
            <v>FORTUNER 4X2</v>
          </cell>
          <cell r="L376" t="str">
            <v>KU61GA/T20M</v>
          </cell>
          <cell r="M376" t="str">
            <v>FORTUNER</v>
          </cell>
          <cell r="N376" t="str">
            <v>FORTUNER 4X2</v>
          </cell>
          <cell r="O376" t="e">
            <v>#N/A</v>
          </cell>
          <cell r="P376" t="e">
            <v>#N/A</v>
          </cell>
          <cell r="Q376" t="e">
            <v>#N/A</v>
          </cell>
          <cell r="R376" t="e">
            <v>#N/A</v>
          </cell>
          <cell r="S376" t="str">
            <v>FORTUNER</v>
          </cell>
          <cell r="T376" t="e">
            <v>#N/A</v>
          </cell>
          <cell r="U376" t="str">
            <v>FORTUNER 4X2 G A/T DIESEL</v>
          </cell>
        </row>
        <row r="377">
          <cell r="D377" t="e">
            <v>#N/A</v>
          </cell>
          <cell r="E377" t="str">
            <v>FORTUNER</v>
          </cell>
          <cell r="F377" t="str">
            <v>FORTUNER 4X2</v>
          </cell>
          <cell r="G377" t="str">
            <v>FORTUNER 4X2</v>
          </cell>
          <cell r="H377" t="str">
            <v>FORTUNER 4X2 G A/T DIESEL</v>
          </cell>
          <cell r="I377" t="str">
            <v>FORTUNER 4X2 G A/T DIESEL</v>
          </cell>
          <cell r="J377" t="str">
            <v>FORTUNER 4X2 G A/T DIESEL</v>
          </cell>
          <cell r="K377" t="str">
            <v>FORTUNER 4X2</v>
          </cell>
          <cell r="L377" t="str">
            <v>KU61GA/T21TRD</v>
          </cell>
          <cell r="M377" t="str">
            <v>FORTUNER</v>
          </cell>
          <cell r="N377" t="str">
            <v>FORTUNER 4X2</v>
          </cell>
          <cell r="O377" t="e">
            <v>#N/A</v>
          </cell>
          <cell r="P377" t="e">
            <v>#N/A</v>
          </cell>
          <cell r="Q377" t="e">
            <v>#N/A</v>
          </cell>
          <cell r="R377" t="e">
            <v>#N/A</v>
          </cell>
          <cell r="S377" t="str">
            <v>FORTUNER</v>
          </cell>
          <cell r="T377" t="e">
            <v>#N/A</v>
          </cell>
          <cell r="U377" t="str">
            <v>FORTUNER 4X2 G A/T DIESEL</v>
          </cell>
        </row>
        <row r="378">
          <cell r="D378" t="e">
            <v>#N/A</v>
          </cell>
          <cell r="E378" t="str">
            <v>FORTUNER</v>
          </cell>
          <cell r="F378" t="str">
            <v>FORTUNER 4X2</v>
          </cell>
          <cell r="G378" t="str">
            <v>FORTUNER 4X2</v>
          </cell>
          <cell r="H378" t="str">
            <v>FORTUNER 4X2 G A/T DIESEL</v>
          </cell>
          <cell r="I378" t="str">
            <v>FORTUNER 4X2 G A/T DIESEL</v>
          </cell>
          <cell r="J378" t="str">
            <v>FORTUNER 4X2 G A/T DIESEL</v>
          </cell>
          <cell r="K378" t="str">
            <v>FORTUNER 4X2</v>
          </cell>
          <cell r="L378" t="str">
            <v>KU61GA/T21TRDM</v>
          </cell>
          <cell r="M378" t="str">
            <v>FORTUNER</v>
          </cell>
          <cell r="N378" t="str">
            <v>FORTUNER 4X2</v>
          </cell>
          <cell r="O378" t="e">
            <v>#N/A</v>
          </cell>
          <cell r="P378" t="e">
            <v>#N/A</v>
          </cell>
          <cell r="Q378" t="e">
            <v>#N/A</v>
          </cell>
          <cell r="R378" t="e">
            <v>#N/A</v>
          </cell>
          <cell r="S378" t="str">
            <v>FORTUNER</v>
          </cell>
          <cell r="T378" t="e">
            <v>#N/A</v>
          </cell>
          <cell r="U378" t="str">
            <v>FORTUNER 4X2 G A/T DIESEL</v>
          </cell>
        </row>
        <row r="379">
          <cell r="D379" t="e">
            <v>#N/A</v>
          </cell>
          <cell r="E379" t="str">
            <v>FORTUNER</v>
          </cell>
          <cell r="F379" t="str">
            <v>FORTUNER 4X2</v>
          </cell>
          <cell r="G379" t="str">
            <v>FORTUNER 4X2</v>
          </cell>
          <cell r="H379" t="str">
            <v>FORTUNER 4X2 G A/T DIESEL</v>
          </cell>
          <cell r="I379" t="str">
            <v>FORTUNER 4X2 G A/T DIESEL</v>
          </cell>
          <cell r="J379" t="str">
            <v>FORTUNER 4X2 G A/T DIESEL</v>
          </cell>
          <cell r="K379" t="str">
            <v>FORTUNER 4X2</v>
          </cell>
          <cell r="L379" t="str">
            <v>KU61GA/TM</v>
          </cell>
          <cell r="M379" t="str">
            <v>FORTUNER</v>
          </cell>
          <cell r="N379" t="str">
            <v>FORTUNER 4X2</v>
          </cell>
          <cell r="O379" t="e">
            <v>#N/A</v>
          </cell>
          <cell r="P379" t="e">
            <v>#N/A</v>
          </cell>
          <cell r="Q379" t="e">
            <v>#N/A</v>
          </cell>
          <cell r="R379" t="e">
            <v>#N/A</v>
          </cell>
          <cell r="S379" t="str">
            <v>FORTUNER</v>
          </cell>
          <cell r="T379" t="e">
            <v>#N/A</v>
          </cell>
          <cell r="U379" t="str">
            <v>FORTUNER 4X2 G A/T DIESEL</v>
          </cell>
        </row>
        <row r="380">
          <cell r="D380" t="e">
            <v>#N/A</v>
          </cell>
          <cell r="E380" t="str">
            <v>FORTUNER</v>
          </cell>
          <cell r="F380" t="str">
            <v>FORTUNER 4X2</v>
          </cell>
          <cell r="G380" t="str">
            <v>FORTUNER 4X2</v>
          </cell>
          <cell r="H380" t="str">
            <v>FORTUNER 4X2 G A/T DIESEL</v>
          </cell>
          <cell r="I380" t="str">
            <v>FORTUNER 4X2 G A/T DIESEL</v>
          </cell>
          <cell r="J380" t="str">
            <v>FORTUNER 4X2 G A/T DIESEL</v>
          </cell>
          <cell r="K380" t="str">
            <v>FORTUNER 4X2</v>
          </cell>
          <cell r="L380" t="str">
            <v>KU61GA/TS</v>
          </cell>
          <cell r="M380" t="str">
            <v>FORTUNER</v>
          </cell>
          <cell r="N380" t="str">
            <v>FORTUNER 4X2</v>
          </cell>
          <cell r="O380" t="e">
            <v>#N/A</v>
          </cell>
          <cell r="P380" t="e">
            <v>#N/A</v>
          </cell>
          <cell r="Q380" t="e">
            <v>#N/A</v>
          </cell>
          <cell r="R380" t="e">
            <v>#N/A</v>
          </cell>
          <cell r="S380" t="str">
            <v>FORTUNER</v>
          </cell>
          <cell r="T380" t="e">
            <v>#N/A</v>
          </cell>
          <cell r="U380" t="str">
            <v>FORTUNER 4X2 G A/T DIESEL</v>
          </cell>
        </row>
        <row r="381">
          <cell r="D381" t="str">
            <v>GUN165R-SDTSXD-00</v>
          </cell>
          <cell r="E381" t="str">
            <v>FORTUNER</v>
          </cell>
          <cell r="F381" t="str">
            <v>FORTUNER 4X2</v>
          </cell>
          <cell r="G381" t="str">
            <v>FORTUNER 4X2</v>
          </cell>
          <cell r="H381" t="str">
            <v>FORTUNER 4X2 G A/T DIESEL</v>
          </cell>
          <cell r="I381" t="str">
            <v xml:space="preserve">FORTUNER 4X2 G A/T DIESEL </v>
          </cell>
          <cell r="J381" t="str">
            <v xml:space="preserve">FORTUNER 4X2 G A/T DIESEL </v>
          </cell>
          <cell r="K381" t="str">
            <v>FORTUNER 4X2</v>
          </cell>
          <cell r="L381" t="str">
            <v>GUN65GXA/T00M</v>
          </cell>
          <cell r="M381" t="str">
            <v>FORTUNER</v>
          </cell>
          <cell r="N381" t="str">
            <v>FORTUNER 4X2</v>
          </cell>
          <cell r="O381" t="str">
            <v>GUN165R-SDTSXD-00</v>
          </cell>
          <cell r="P381" t="e">
            <v>#N/A</v>
          </cell>
          <cell r="Q381" t="e">
            <v>#N/A</v>
          </cell>
          <cell r="R381" t="str">
            <v>GUN165R-SDTSXD-00</v>
          </cell>
          <cell r="S381" t="str">
            <v>FORTUNER</v>
          </cell>
          <cell r="T381" t="e">
            <v>#N/A</v>
          </cell>
          <cell r="U381" t="str">
            <v>FORTUNER 4X2 G A/T DIESEL</v>
          </cell>
        </row>
        <row r="382">
          <cell r="D382" t="str">
            <v>GUN165R-SDTSXD-30</v>
          </cell>
          <cell r="E382" t="str">
            <v>FORTUNER</v>
          </cell>
          <cell r="F382" t="str">
            <v>FORTUNER 4X2</v>
          </cell>
          <cell r="G382" t="str">
            <v>FORTUNER 4X2</v>
          </cell>
          <cell r="H382" t="str">
            <v>FORTUNER 4X2 G A/T DIESEL</v>
          </cell>
          <cell r="I382" t="str">
            <v xml:space="preserve">FORTUNER 4X2 G A/T DIESEL </v>
          </cell>
          <cell r="J382" t="str">
            <v xml:space="preserve">FORTUNER 4X2 G A/T DIESEL </v>
          </cell>
          <cell r="K382" t="str">
            <v>FORTUNER 4X2</v>
          </cell>
          <cell r="M382" t="str">
            <v>FORTUNER</v>
          </cell>
          <cell r="N382" t="str">
            <v>FORTUNER 4X2</v>
          </cell>
          <cell r="O382" t="str">
            <v>GUN165R-SDTSXD-30</v>
          </cell>
          <cell r="P382" t="str">
            <v>FORTUNER 4X2</v>
          </cell>
          <cell r="Q382" t="e">
            <v>#N/A</v>
          </cell>
          <cell r="R382" t="str">
            <v>GUN165R-SDTSXD-30</v>
          </cell>
          <cell r="S382" t="str">
            <v>FORTUNER</v>
          </cell>
          <cell r="T382" t="str">
            <v>FORTUNER</v>
          </cell>
          <cell r="U382" t="str">
            <v>FORTUNER 4X2 G A/T DIESEL</v>
          </cell>
        </row>
        <row r="383">
          <cell r="D383" t="str">
            <v>GUN165R-SDTSXD-10</v>
          </cell>
          <cell r="E383" t="str">
            <v>FORTUNER</v>
          </cell>
          <cell r="F383" t="str">
            <v>FORTUNER 4X2</v>
          </cell>
          <cell r="G383" t="str">
            <v>FORTUNER 4X2</v>
          </cell>
          <cell r="H383" t="str">
            <v>FORTUNER 4X2 G A/T DIESEL</v>
          </cell>
          <cell r="I383" t="str">
            <v xml:space="preserve">FORTUNER 4X2 G A/T DIESEL </v>
          </cell>
          <cell r="J383" t="str">
            <v xml:space="preserve">FORTUNER 4X2 G A/T DIESEL </v>
          </cell>
          <cell r="K383" t="str">
            <v>FORTUNER 4X2</v>
          </cell>
          <cell r="L383" t="str">
            <v>GUN65GXA/T10M</v>
          </cell>
          <cell r="M383" t="str">
            <v>FORTUNER</v>
          </cell>
          <cell r="N383" t="str">
            <v>FORTUNER 4X2</v>
          </cell>
          <cell r="O383" t="str">
            <v>GUN165R-SDTSXD-10</v>
          </cell>
          <cell r="P383" t="e">
            <v>#N/A</v>
          </cell>
          <cell r="Q383" t="e">
            <v>#N/A</v>
          </cell>
          <cell r="R383" t="str">
            <v>GUN165R-SDTSXD-10</v>
          </cell>
          <cell r="S383" t="str">
            <v>FORTUNER</v>
          </cell>
          <cell r="T383" t="e">
            <v>#N/A</v>
          </cell>
          <cell r="U383" t="str">
            <v>FORTUNER 4X2 G A/T DIESEL</v>
          </cell>
        </row>
        <row r="384">
          <cell r="D384" t="str">
            <v>GUN165R-SDFSHD-10</v>
          </cell>
          <cell r="E384" t="str">
            <v>FORTUNER</v>
          </cell>
          <cell r="F384" t="str">
            <v>FORTUNER 4X2</v>
          </cell>
          <cell r="G384" t="str">
            <v>FORTUNER 4X2</v>
          </cell>
          <cell r="H384" t="str">
            <v>FORTUNER 4X2 G M/T DIESEL</v>
          </cell>
          <cell r="I384" t="str">
            <v>FORTUNER 4X2 G M/T DIESEL</v>
          </cell>
          <cell r="J384" t="str">
            <v>FORTUNER 4X2 G M/T DIESEL</v>
          </cell>
          <cell r="K384" t="str">
            <v>FORTUNER 4X2</v>
          </cell>
          <cell r="L384" t="str">
            <v>GUN65GM/T10M</v>
          </cell>
          <cell r="M384" t="str">
            <v>FORTUNER</v>
          </cell>
          <cell r="N384" t="str">
            <v>FORTUNER 4X2</v>
          </cell>
          <cell r="O384" t="str">
            <v>GUN165R-SDFSHD-10</v>
          </cell>
          <cell r="P384" t="e">
            <v>#N/A</v>
          </cell>
          <cell r="Q384" t="e">
            <v>#N/A</v>
          </cell>
          <cell r="R384" t="str">
            <v>GUN165R-SDFSHD-10</v>
          </cell>
          <cell r="S384" t="str">
            <v>FORTUNER</v>
          </cell>
          <cell r="T384" t="e">
            <v>#N/A</v>
          </cell>
          <cell r="U384" t="str">
            <v>FORTUNER 4X2 G M/T DIESEL</v>
          </cell>
        </row>
        <row r="385">
          <cell r="D385" t="str">
            <v>GUN165R-SDFSHD-20</v>
          </cell>
          <cell r="E385" t="str">
            <v>FORTUNER</v>
          </cell>
          <cell r="F385" t="str">
            <v>FORTUNER 4X2</v>
          </cell>
          <cell r="G385" t="str">
            <v>FORTUNER 4X2</v>
          </cell>
          <cell r="H385" t="str">
            <v>FORTUNER 4X2 G M/T DIESEL</v>
          </cell>
          <cell r="I385" t="str">
            <v>FORTUNER 4X2 G M/T DIESEL</v>
          </cell>
          <cell r="J385" t="str">
            <v>FORTUNER 4X2 G M/T DIESEL</v>
          </cell>
          <cell r="K385" t="str">
            <v>FORTUNER 4X2</v>
          </cell>
          <cell r="L385" t="str">
            <v>GUN65GM/T20M</v>
          </cell>
          <cell r="M385" t="str">
            <v>FORTUNER</v>
          </cell>
          <cell r="N385" t="str">
            <v>FORTUNER 4X2</v>
          </cell>
          <cell r="O385" t="str">
            <v>GUN165R-SDFSHD-20</v>
          </cell>
          <cell r="P385" t="e">
            <v>#N/A</v>
          </cell>
          <cell r="Q385" t="e">
            <v>#N/A</v>
          </cell>
          <cell r="R385" t="str">
            <v>GUN165R-SDFSHD-20</v>
          </cell>
          <cell r="S385" t="str">
            <v>FORTUNER</v>
          </cell>
          <cell r="T385" t="e">
            <v>#N/A</v>
          </cell>
          <cell r="U385" t="str">
            <v>FORTUNER 4X2 G M/T DIESEL</v>
          </cell>
        </row>
        <row r="386">
          <cell r="D386" t="str">
            <v>GUN165R-SDFSHD-E0</v>
          </cell>
          <cell r="E386" t="str">
            <v>FORTUNER</v>
          </cell>
          <cell r="F386" t="str">
            <v>FORTUNER 4x2</v>
          </cell>
          <cell r="G386" t="str">
            <v>FORTUNER 4x2</v>
          </cell>
          <cell r="H386" t="str">
            <v>FORTUNER 4X2 G M/T DIESEL</v>
          </cell>
          <cell r="I386" t="str">
            <v>FORTUNER 4X2 G M/T DIESEL</v>
          </cell>
          <cell r="J386" t="str">
            <v>FORTUNER 4X2 G M/T DIESEL</v>
          </cell>
          <cell r="K386" t="str">
            <v>FORTUNER 4x2</v>
          </cell>
          <cell r="L386" t="str">
            <v>GUN65GM/TE0M</v>
          </cell>
          <cell r="M386" t="str">
            <v>FORTUNER</v>
          </cell>
          <cell r="N386" t="str">
            <v>FORTUNER 4x2</v>
          </cell>
          <cell r="O386" t="str">
            <v>GUN165R-SDFSHD-E0</v>
          </cell>
          <cell r="P386" t="e">
            <v>#N/A</v>
          </cell>
          <cell r="Q386" t="e">
            <v>#N/A</v>
          </cell>
          <cell r="R386" t="str">
            <v>GUN165R-SDFSHD-E0</v>
          </cell>
          <cell r="S386" t="str">
            <v>FORTUNER</v>
          </cell>
          <cell r="T386" t="e">
            <v>#N/A</v>
          </cell>
          <cell r="U386" t="str">
            <v>FORTUNER 4X2 G M/T DIESEL</v>
          </cell>
        </row>
        <row r="387">
          <cell r="D387" t="str">
            <v>GUN165R-SDFSHD-D0</v>
          </cell>
          <cell r="E387" t="str">
            <v>FORTUNER</v>
          </cell>
          <cell r="F387" t="str">
            <v>FORTUNER 4X2</v>
          </cell>
          <cell r="G387" t="str">
            <v>FORTUNER 4X2</v>
          </cell>
          <cell r="H387" t="str">
            <v>FORTUNER 4X2 G M/T DIESEL</v>
          </cell>
          <cell r="I387" t="str">
            <v>FORTUNER 4X2 G M/T DIESEL</v>
          </cell>
          <cell r="J387" t="str">
            <v>FORTUNER 4X2 G M/T DIESEL</v>
          </cell>
          <cell r="K387" t="str">
            <v>FORTUNER 4X2</v>
          </cell>
          <cell r="L387" t="str">
            <v>GUN65GM/TD0M</v>
          </cell>
          <cell r="M387" t="str">
            <v>FORTUNER</v>
          </cell>
          <cell r="N387" t="str">
            <v>FORTUNER 4X2</v>
          </cell>
          <cell r="O387" t="str">
            <v>GUN165R-SDFSHD-D0</v>
          </cell>
          <cell r="P387" t="e">
            <v>#N/A</v>
          </cell>
          <cell r="Q387" t="e">
            <v>#N/A</v>
          </cell>
          <cell r="R387" t="str">
            <v>GUN165R-SDFSHD-D0</v>
          </cell>
          <cell r="S387" t="str">
            <v>FORTUNER</v>
          </cell>
          <cell r="T387" t="e">
            <v>#N/A</v>
          </cell>
          <cell r="U387" t="str">
            <v>FORTUNER 4X2 G M/T DIESEL</v>
          </cell>
        </row>
        <row r="388">
          <cell r="D388" t="str">
            <v>GUN165R-SDFSXD-00</v>
          </cell>
          <cell r="E388" t="str">
            <v>FORTUNER</v>
          </cell>
          <cell r="F388" t="str">
            <v>FORTUNER 4X2</v>
          </cell>
          <cell r="G388" t="str">
            <v>FORTUNER 4X2</v>
          </cell>
          <cell r="H388" t="str">
            <v>FORTUNER 4X2 G M/T DIESEL</v>
          </cell>
          <cell r="I388" t="str">
            <v>FORTUNER 4X2 G M/T DIESEL</v>
          </cell>
          <cell r="J388" t="str">
            <v>FORTUNER 4X2 G M/T DIESEL</v>
          </cell>
          <cell r="K388" t="str">
            <v>FORTUNER 4X2</v>
          </cell>
          <cell r="L388" t="str">
            <v>GUN65GXM/T00M</v>
          </cell>
          <cell r="M388" t="str">
            <v>FORTUNER</v>
          </cell>
          <cell r="N388" t="str">
            <v>FORTUNER 4X2</v>
          </cell>
          <cell r="O388" t="str">
            <v>GUN165R-SDFSXD-00</v>
          </cell>
          <cell r="P388" t="e">
            <v>#N/A</v>
          </cell>
          <cell r="Q388" t="e">
            <v>#N/A</v>
          </cell>
          <cell r="R388" t="str">
            <v>GUN165R-SDFSXD-00</v>
          </cell>
          <cell r="S388" t="str">
            <v>FORTUNER</v>
          </cell>
          <cell r="T388" t="e">
            <v>#N/A</v>
          </cell>
          <cell r="U388" t="str">
            <v>FORTUNER 4X2 G M/T DIESEL</v>
          </cell>
        </row>
        <row r="389">
          <cell r="D389" t="str">
            <v>GUN165R-SDFSXD-20</v>
          </cell>
          <cell r="E389" t="str">
            <v>FORTUNER</v>
          </cell>
          <cell r="F389" t="str">
            <v>FORTUNER 4X2</v>
          </cell>
          <cell r="G389" t="str">
            <v>FORTUNER 4X2</v>
          </cell>
          <cell r="H389" t="str">
            <v>FORTUNER 4X2 G M/T DIESEL</v>
          </cell>
          <cell r="I389" t="str">
            <v>FORTUNER 4X2 G M/T DIESEL</v>
          </cell>
          <cell r="J389" t="str">
            <v>FORTUNER 4X2 G M/T DIESEL</v>
          </cell>
          <cell r="K389" t="str">
            <v>FORTUNER 4X2</v>
          </cell>
          <cell r="M389" t="str">
            <v>FORTUNER</v>
          </cell>
          <cell r="N389" t="str">
            <v>FORTUNER 4X2</v>
          </cell>
          <cell r="O389" t="str">
            <v>GUN165R-SDFSXD-20</v>
          </cell>
          <cell r="P389" t="str">
            <v>FORTUNER 4X2</v>
          </cell>
          <cell r="Q389" t="e">
            <v>#N/A</v>
          </cell>
          <cell r="R389" t="str">
            <v>GUN165R-SDFSXD-20</v>
          </cell>
          <cell r="S389" t="str">
            <v>FORTUNER</v>
          </cell>
          <cell r="T389" t="e">
            <v>#N/A</v>
          </cell>
          <cell r="U389" t="str">
            <v>FORTUNER 4X2 G M/T DIESEL</v>
          </cell>
        </row>
        <row r="390">
          <cell r="D390" t="str">
            <v>GUN165R-SDFSXD-30</v>
          </cell>
          <cell r="E390" t="str">
            <v>FORTUNER</v>
          </cell>
          <cell r="F390" t="str">
            <v>FORTUNER 4X2</v>
          </cell>
          <cell r="G390" t="str">
            <v>FORTUNER 4X2</v>
          </cell>
          <cell r="H390" t="str">
            <v>FORTUNER 4X2 G M/T DIESEL</v>
          </cell>
          <cell r="I390" t="str">
            <v>FORTUNER 4X2 G M/T DIESEL</v>
          </cell>
          <cell r="J390" t="str">
            <v>FORTUNER 4X2 G M/T DIESEL</v>
          </cell>
          <cell r="K390" t="str">
            <v>FORTUNER 4X2</v>
          </cell>
          <cell r="M390" t="str">
            <v>FORTUNER</v>
          </cell>
          <cell r="N390" t="str">
            <v>FORTUNER 4X2</v>
          </cell>
          <cell r="O390" t="str">
            <v>GUN165R-SDFSXD-30</v>
          </cell>
          <cell r="P390" t="str">
            <v>FORTUNER 4X2</v>
          </cell>
          <cell r="Q390" t="e">
            <v>#N/A</v>
          </cell>
          <cell r="R390" t="str">
            <v>GUN165R-SDFSXD-30</v>
          </cell>
          <cell r="S390" t="str">
            <v>FORTUNER</v>
          </cell>
          <cell r="T390" t="str">
            <v>FORTUNER</v>
          </cell>
          <cell r="U390" t="str">
            <v>FORTUNER 4X2 G M/T DIESEL</v>
          </cell>
        </row>
        <row r="391">
          <cell r="D391" t="str">
            <v>GUN165R-SDFSHD-00</v>
          </cell>
          <cell r="E391" t="str">
            <v>FORTUNER</v>
          </cell>
          <cell r="F391" t="str">
            <v>FORTUNER 4X2</v>
          </cell>
          <cell r="G391" t="str">
            <v>FORTUNER 4X2</v>
          </cell>
          <cell r="H391" t="str">
            <v>FORTUNER 4X2 G M/T DIESEL</v>
          </cell>
          <cell r="I391" t="str">
            <v>FORTUNER 4X2 G M/T DIESEL</v>
          </cell>
          <cell r="J391" t="str">
            <v>FORTUNER 4X2 G M/T DIESEL</v>
          </cell>
          <cell r="K391" t="str">
            <v>FORTUNER 4X2</v>
          </cell>
          <cell r="L391" t="str">
            <v>GUN65GM/T</v>
          </cell>
          <cell r="M391" t="str">
            <v>FORTUNER</v>
          </cell>
          <cell r="N391" t="str">
            <v>FORTUNER 4X2</v>
          </cell>
          <cell r="O391" t="str">
            <v>GUN165R-SDFSHD-00</v>
          </cell>
          <cell r="P391" t="e">
            <v>#N/A</v>
          </cell>
          <cell r="Q391" t="e">
            <v>#N/A</v>
          </cell>
          <cell r="R391" t="str">
            <v>GUN165R-SDFSHD-00</v>
          </cell>
          <cell r="S391" t="str">
            <v>FORTUNER</v>
          </cell>
          <cell r="T391" t="e">
            <v>#N/A</v>
          </cell>
          <cell r="U391" t="str">
            <v>FORTUNER 4X2 G M/T DIESEL</v>
          </cell>
        </row>
        <row r="392">
          <cell r="D392" t="str">
            <v>GUN165R-SDFSHD-01</v>
          </cell>
          <cell r="E392" t="str">
            <v>FORTUNER</v>
          </cell>
          <cell r="F392" t="str">
            <v>FORTUNER 4X2</v>
          </cell>
          <cell r="G392" t="str">
            <v>FORTUNER 4X2</v>
          </cell>
          <cell r="H392" t="str">
            <v>FORTUNER 4X2 G M/T DIESEL</v>
          </cell>
          <cell r="I392" t="str">
            <v>FORTUNER 4X2 G M/T DIESEL</v>
          </cell>
          <cell r="J392" t="str">
            <v>FORTUNER 4X2 G M/T DIESEL</v>
          </cell>
          <cell r="K392" t="str">
            <v>FORTUNER 4X2</v>
          </cell>
          <cell r="L392" t="str">
            <v>GUN65GM/T01M</v>
          </cell>
          <cell r="M392" t="str">
            <v>FORTUNER</v>
          </cell>
          <cell r="N392" t="str">
            <v>FORTUNER 4X2</v>
          </cell>
          <cell r="O392" t="str">
            <v>GUN165R-SDFSHD-01</v>
          </cell>
          <cell r="P392" t="e">
            <v>#N/A</v>
          </cell>
          <cell r="Q392" t="e">
            <v>#N/A</v>
          </cell>
          <cell r="R392" t="str">
            <v>GUN165R-SDFSHD-01</v>
          </cell>
          <cell r="S392" t="str">
            <v>FORTUNER</v>
          </cell>
          <cell r="T392" t="e">
            <v>#N/A</v>
          </cell>
          <cell r="U392" t="str">
            <v>FORTUNER 4X2 G M/T DIESEL</v>
          </cell>
        </row>
        <row r="393">
          <cell r="D393" t="e">
            <v>#N/A</v>
          </cell>
          <cell r="E393" t="str">
            <v>FORTUNER</v>
          </cell>
          <cell r="F393" t="str">
            <v>FORTUNER 4X2</v>
          </cell>
          <cell r="G393" t="str">
            <v>FORTUNER 4X2</v>
          </cell>
          <cell r="H393" t="str">
            <v>FORTUNER 4X2 G M/T DIESEL</v>
          </cell>
          <cell r="I393" t="str">
            <v>FORTUNER 4X2 G M/T DIESEL</v>
          </cell>
          <cell r="J393" t="str">
            <v>FORTUNER 4X2 G M/T DIESEL</v>
          </cell>
          <cell r="K393" t="str">
            <v>FORTUNER 4X2</v>
          </cell>
          <cell r="L393" t="str">
            <v>KU60GM/T32</v>
          </cell>
          <cell r="M393" t="str">
            <v>FORTUNER</v>
          </cell>
          <cell r="N393" t="str">
            <v>FORTUNER 4X2</v>
          </cell>
          <cell r="O393" t="e">
            <v>#N/A</v>
          </cell>
          <cell r="P393" t="e">
            <v>#N/A</v>
          </cell>
          <cell r="Q393" t="e">
            <v>#N/A</v>
          </cell>
          <cell r="R393" t="e">
            <v>#N/A</v>
          </cell>
          <cell r="S393" t="str">
            <v>FORTUNER</v>
          </cell>
          <cell r="T393" t="e">
            <v>#N/A</v>
          </cell>
          <cell r="U393" t="str">
            <v>FORTUNER 4X2 G M/T DIESEL</v>
          </cell>
        </row>
        <row r="394">
          <cell r="D394" t="e">
            <v>#N/A</v>
          </cell>
          <cell r="E394" t="str">
            <v>FORTUNER</v>
          </cell>
          <cell r="F394" t="str">
            <v>FORTUNER 4X2</v>
          </cell>
          <cell r="G394" t="str">
            <v>FORTUNER 4X2</v>
          </cell>
          <cell r="H394" t="str">
            <v>FORTUNER 4X2 G M/T DIESEL</v>
          </cell>
          <cell r="I394" t="str">
            <v>FORTUNER 4X2 G M/T DIESEL</v>
          </cell>
          <cell r="J394" t="str">
            <v>FORTUNER 4X2 G M/T DIESEL</v>
          </cell>
          <cell r="K394" t="str">
            <v>FORTUNER 4X2</v>
          </cell>
          <cell r="L394" t="str">
            <v>KU60GM/T32M</v>
          </cell>
          <cell r="M394" t="str">
            <v>FORTUNER</v>
          </cell>
          <cell r="N394" t="str">
            <v>FORTUNER 4X2</v>
          </cell>
          <cell r="O394" t="e">
            <v>#N/A</v>
          </cell>
          <cell r="P394" t="e">
            <v>#N/A</v>
          </cell>
          <cell r="Q394" t="e">
            <v>#N/A</v>
          </cell>
          <cell r="R394" t="e">
            <v>#N/A</v>
          </cell>
          <cell r="S394" t="str">
            <v>FORTUNER</v>
          </cell>
          <cell r="T394" t="e">
            <v>#N/A</v>
          </cell>
          <cell r="U394" t="str">
            <v>FORTUNER 4X2 G M/T DIESEL</v>
          </cell>
        </row>
        <row r="395">
          <cell r="D395" t="e">
            <v>#N/A</v>
          </cell>
          <cell r="E395" t="str">
            <v>FORTUNER</v>
          </cell>
          <cell r="F395" t="str">
            <v>FORTUNER 4X2</v>
          </cell>
          <cell r="G395" t="str">
            <v>FORTUNER 4X2</v>
          </cell>
          <cell r="H395" t="str">
            <v>FORTUNER 4X2 G M/T DIESEL</v>
          </cell>
          <cell r="I395" t="str">
            <v>FORTUNER 4X2 G M/T DIESEL</v>
          </cell>
          <cell r="J395" t="str">
            <v>FORTUNER 4X2 G M/T DIESEL</v>
          </cell>
          <cell r="K395" t="str">
            <v>FORTUNER 4X2</v>
          </cell>
          <cell r="L395" t="str">
            <v>KU60GM/T33TRD</v>
          </cell>
          <cell r="M395" t="str">
            <v>FORTUNER</v>
          </cell>
          <cell r="N395" t="str">
            <v>FORTUNER 4X2</v>
          </cell>
          <cell r="O395" t="e">
            <v>#N/A</v>
          </cell>
          <cell r="P395" t="e">
            <v>#N/A</v>
          </cell>
          <cell r="Q395" t="e">
            <v>#N/A</v>
          </cell>
          <cell r="R395" t="e">
            <v>#N/A</v>
          </cell>
          <cell r="S395" t="str">
            <v>FORTUNER</v>
          </cell>
          <cell r="T395" t="e">
            <v>#N/A</v>
          </cell>
          <cell r="U395" t="str">
            <v>FORTUNER 4X2 G M/T DIESEL</v>
          </cell>
        </row>
        <row r="396">
          <cell r="D396" t="e">
            <v>#N/A</v>
          </cell>
          <cell r="E396" t="str">
            <v>FORTUNER</v>
          </cell>
          <cell r="F396" t="str">
            <v>FORTUNER 4X2</v>
          </cell>
          <cell r="G396" t="str">
            <v>FORTUNER 4X2</v>
          </cell>
          <cell r="H396" t="str">
            <v>FORTUNER 4X2 G M/T DIESEL</v>
          </cell>
          <cell r="I396" t="str">
            <v>FORTUNER 4X2 G M/T DIESEL</v>
          </cell>
          <cell r="J396" t="str">
            <v>FORTUNER 4X2 G M/T DIESEL</v>
          </cell>
          <cell r="K396" t="str">
            <v>FORTUNER 4X2</v>
          </cell>
          <cell r="L396" t="str">
            <v>KU60GM/T33TRDM</v>
          </cell>
          <cell r="M396" t="str">
            <v>FORTUNER</v>
          </cell>
          <cell r="N396" t="str">
            <v>FORTUNER 4X2</v>
          </cell>
          <cell r="O396" t="e">
            <v>#N/A</v>
          </cell>
          <cell r="P396" t="e">
            <v>#N/A</v>
          </cell>
          <cell r="Q396" t="e">
            <v>#N/A</v>
          </cell>
          <cell r="R396" t="e">
            <v>#N/A</v>
          </cell>
          <cell r="S396" t="str">
            <v>FORTUNER</v>
          </cell>
          <cell r="T396" t="e">
            <v>#N/A</v>
          </cell>
          <cell r="U396" t="str">
            <v>FORTUNER 4X2 G M/T DIESEL</v>
          </cell>
        </row>
        <row r="397">
          <cell r="D397" t="e">
            <v>#N/A</v>
          </cell>
          <cell r="E397" t="str">
            <v>FORTUNER</v>
          </cell>
          <cell r="F397" t="str">
            <v>FORTUNER 4X2</v>
          </cell>
          <cell r="G397" t="str">
            <v>FORTUNER 4X2</v>
          </cell>
          <cell r="H397" t="str">
            <v>FORTUNER 4X2 G M/T DIESEL</v>
          </cell>
          <cell r="I397" t="str">
            <v>FORTUNER 4X2 G M/T DIESEL</v>
          </cell>
          <cell r="J397" t="str">
            <v>FORTUNER 4X2 G M/T DIESEL</v>
          </cell>
          <cell r="K397" t="str">
            <v>FORTUNER 4X2</v>
          </cell>
          <cell r="L397" t="str">
            <v>KU60GM/T50M</v>
          </cell>
          <cell r="M397" t="str">
            <v>FORTUNER</v>
          </cell>
          <cell r="N397" t="str">
            <v>FORTUNER 4X2</v>
          </cell>
          <cell r="O397" t="e">
            <v>#N/A</v>
          </cell>
          <cell r="P397" t="e">
            <v>#N/A</v>
          </cell>
          <cell r="Q397" t="e">
            <v>#N/A</v>
          </cell>
          <cell r="R397" t="e">
            <v>#N/A</v>
          </cell>
          <cell r="S397" t="str">
            <v>FORTUNER</v>
          </cell>
          <cell r="T397" t="e">
            <v>#N/A</v>
          </cell>
          <cell r="U397" t="str">
            <v>FORTUNER 4X2 G M/T DIESEL</v>
          </cell>
        </row>
        <row r="398">
          <cell r="D398" t="e">
            <v>#N/A</v>
          </cell>
          <cell r="E398" t="str">
            <v>FORTUNER</v>
          </cell>
          <cell r="F398" t="str">
            <v>FORTUNER 4X2</v>
          </cell>
          <cell r="G398" t="str">
            <v>FORTUNER 4X2</v>
          </cell>
          <cell r="H398" t="str">
            <v>FORTUNER 4X2 G M/T DIESEL</v>
          </cell>
          <cell r="I398" t="str">
            <v>FORTUNER 4X2 G M/T DIESEL</v>
          </cell>
          <cell r="J398" t="str">
            <v>FORTUNER 4X2 G M/T DIESEL</v>
          </cell>
          <cell r="K398" t="str">
            <v>FORTUNER 4X2</v>
          </cell>
          <cell r="L398" t="str">
            <v>KU60GM/T51TRDM</v>
          </cell>
          <cell r="M398" t="str">
            <v>FORTUNER</v>
          </cell>
          <cell r="N398" t="str">
            <v>FORTUNER 4X2</v>
          </cell>
          <cell r="O398" t="e">
            <v>#N/A</v>
          </cell>
          <cell r="P398" t="e">
            <v>#N/A</v>
          </cell>
          <cell r="Q398" t="e">
            <v>#N/A</v>
          </cell>
          <cell r="R398" t="e">
            <v>#N/A</v>
          </cell>
          <cell r="S398" t="str">
            <v>FORTUNER</v>
          </cell>
          <cell r="T398" t="e">
            <v>#N/A</v>
          </cell>
          <cell r="U398" t="str">
            <v>FORTUNER 4X2 G M/T DIESEL</v>
          </cell>
        </row>
        <row r="399">
          <cell r="D399" t="e">
            <v>#N/A</v>
          </cell>
          <cell r="E399" t="str">
            <v>FORTUNER</v>
          </cell>
          <cell r="F399" t="str">
            <v>FORTUNER 4X2</v>
          </cell>
          <cell r="G399" t="str">
            <v>FORTUNER 4X2</v>
          </cell>
          <cell r="H399" t="str">
            <v>FORTUNER 4X2 G M/T DIESEL</v>
          </cell>
          <cell r="I399" t="str">
            <v>FORTUNER 4X2 G M/T DIESEL</v>
          </cell>
          <cell r="J399" t="str">
            <v>FORTUNER 4X2 G M/T DIESEL</v>
          </cell>
          <cell r="K399" t="str">
            <v>FORTUNER 4X2</v>
          </cell>
          <cell r="L399" t="str">
            <v>KU60GM/T60M</v>
          </cell>
          <cell r="M399" t="str">
            <v>FORTUNER</v>
          </cell>
          <cell r="N399" t="str">
            <v>FORTUNER 4X2</v>
          </cell>
          <cell r="O399" t="e">
            <v>#N/A</v>
          </cell>
          <cell r="P399" t="e">
            <v>#N/A</v>
          </cell>
          <cell r="Q399" t="e">
            <v>#N/A</v>
          </cell>
          <cell r="R399" t="e">
            <v>#N/A</v>
          </cell>
          <cell r="S399" t="str">
            <v>FORTUNER</v>
          </cell>
          <cell r="T399" t="e">
            <v>#N/A</v>
          </cell>
          <cell r="U399" t="str">
            <v>FORTUNER 4X2 G M/T DIESEL</v>
          </cell>
        </row>
        <row r="400">
          <cell r="D400" t="e">
            <v>#N/A</v>
          </cell>
          <cell r="E400" t="str">
            <v>FORTUNER</v>
          </cell>
          <cell r="F400" t="str">
            <v>FORTUNER 4X2</v>
          </cell>
          <cell r="G400" t="str">
            <v>FORTUNER 4X2</v>
          </cell>
          <cell r="H400" t="str">
            <v>FORTUNER 4X2 G M/T DIESEL</v>
          </cell>
          <cell r="I400" t="str">
            <v>FORTUNER 4X2 G M/T DIESEL</v>
          </cell>
          <cell r="J400" t="str">
            <v>FORTUNER 4X2 G M/T DIESEL</v>
          </cell>
          <cell r="K400" t="str">
            <v>FORTUNER 4X2</v>
          </cell>
          <cell r="L400" t="str">
            <v>KU60GM/T61TRDM</v>
          </cell>
          <cell r="M400" t="str">
            <v>FORTUNER</v>
          </cell>
          <cell r="N400" t="str">
            <v>FORTUNER 4X2</v>
          </cell>
          <cell r="O400" t="e">
            <v>#N/A</v>
          </cell>
          <cell r="P400" t="e">
            <v>#N/A</v>
          </cell>
          <cell r="Q400" t="e">
            <v>#N/A</v>
          </cell>
          <cell r="R400" t="e">
            <v>#N/A</v>
          </cell>
          <cell r="S400" t="str">
            <v>FORTUNER</v>
          </cell>
          <cell r="T400" t="e">
            <v>#N/A</v>
          </cell>
          <cell r="U400" t="str">
            <v>FORTUNER 4X2 G M/T DIESEL</v>
          </cell>
        </row>
        <row r="401">
          <cell r="D401" t="e">
            <v>#N/A</v>
          </cell>
          <cell r="E401" t="str">
            <v>FORTUNER</v>
          </cell>
          <cell r="F401" t="str">
            <v>FORTUNER 4X2</v>
          </cell>
          <cell r="G401" t="str">
            <v>FORTUNER 4X2</v>
          </cell>
          <cell r="H401" t="str">
            <v>FORTUNER 4X2 G M/T DIESEL</v>
          </cell>
          <cell r="I401" t="str">
            <v>FORTUNER 4X2 G M/T DIESEL</v>
          </cell>
          <cell r="J401" t="str">
            <v>FORTUNER 4X2 G M/T DIESEL</v>
          </cell>
          <cell r="K401" t="str">
            <v>FORTUNER 4X2</v>
          </cell>
          <cell r="L401" t="str">
            <v>KU61GM/T</v>
          </cell>
          <cell r="M401" t="str">
            <v>FORTUNER</v>
          </cell>
          <cell r="N401" t="str">
            <v>FORTUNER 4X2</v>
          </cell>
          <cell r="O401" t="e">
            <v>#N/A</v>
          </cell>
          <cell r="P401" t="e">
            <v>#N/A</v>
          </cell>
          <cell r="Q401" t="e">
            <v>#N/A</v>
          </cell>
          <cell r="R401" t="e">
            <v>#N/A</v>
          </cell>
          <cell r="S401" t="str">
            <v>FORTUNER</v>
          </cell>
          <cell r="T401" t="e">
            <v>#N/A</v>
          </cell>
          <cell r="U401" t="str">
            <v>FORTUNER 4X2 G M/T DIESEL</v>
          </cell>
        </row>
        <row r="402">
          <cell r="D402" t="e">
            <v>#N/A</v>
          </cell>
          <cell r="E402" t="str">
            <v>FORTUNER</v>
          </cell>
          <cell r="F402" t="str">
            <v>FORTUNER 4X2</v>
          </cell>
          <cell r="G402" t="str">
            <v>FORTUNER 4X2</v>
          </cell>
          <cell r="H402" t="str">
            <v>FORTUNER 4X2 G M/T DIESEL</v>
          </cell>
          <cell r="I402" t="str">
            <v>FORTUNER 4X2 G M/T DIESEL</v>
          </cell>
          <cell r="J402" t="str">
            <v>FORTUNER 4X2 G M/T DIESEL</v>
          </cell>
          <cell r="K402" t="str">
            <v>FORTUNER 4X2</v>
          </cell>
          <cell r="L402" t="str">
            <v>KU61GM/T10</v>
          </cell>
          <cell r="M402" t="str">
            <v>FORTUNER</v>
          </cell>
          <cell r="N402" t="str">
            <v>FORTUNER 4X2</v>
          </cell>
          <cell r="O402" t="e">
            <v>#N/A</v>
          </cell>
          <cell r="P402" t="e">
            <v>#N/A</v>
          </cell>
          <cell r="Q402" t="e">
            <v>#N/A</v>
          </cell>
          <cell r="R402" t="e">
            <v>#N/A</v>
          </cell>
          <cell r="S402" t="str">
            <v>FORTUNER</v>
          </cell>
          <cell r="T402" t="e">
            <v>#N/A</v>
          </cell>
          <cell r="U402" t="str">
            <v>FORTUNER 4X2 G M/T DIESEL</v>
          </cell>
        </row>
        <row r="403">
          <cell r="D403" t="e">
            <v>#N/A</v>
          </cell>
          <cell r="E403" t="str">
            <v>FORTUNER</v>
          </cell>
          <cell r="F403" t="str">
            <v>FORTUNER 4X2</v>
          </cell>
          <cell r="G403" t="str">
            <v>FORTUNER 4X2</v>
          </cell>
          <cell r="H403" t="str">
            <v>FORTUNER 4X2 G M/T DIESEL</v>
          </cell>
          <cell r="I403" t="str">
            <v>FORTUNER 4X2 G M/T DIESEL</v>
          </cell>
          <cell r="J403" t="str">
            <v>FORTUNER 4X2 G M/T DIESEL</v>
          </cell>
          <cell r="K403" t="str">
            <v>FORTUNER 4X2</v>
          </cell>
          <cell r="L403" t="str">
            <v>KU61GM/T10TRD</v>
          </cell>
          <cell r="M403" t="str">
            <v>FORTUNER</v>
          </cell>
          <cell r="N403" t="str">
            <v>FORTUNER 4X2</v>
          </cell>
          <cell r="O403" t="e">
            <v>#N/A</v>
          </cell>
          <cell r="P403" t="e">
            <v>#N/A</v>
          </cell>
          <cell r="Q403" t="e">
            <v>#N/A</v>
          </cell>
          <cell r="R403" t="e">
            <v>#N/A</v>
          </cell>
          <cell r="S403" t="str">
            <v>FORTUNER</v>
          </cell>
          <cell r="T403" t="e">
            <v>#N/A</v>
          </cell>
          <cell r="U403" t="str">
            <v>FORTUNER 4X2 G M/T DIESEL</v>
          </cell>
        </row>
        <row r="404">
          <cell r="D404" t="e">
            <v>#N/A</v>
          </cell>
          <cell r="E404" t="str">
            <v>FORTUNER</v>
          </cell>
          <cell r="F404" t="str">
            <v>FORTUNER 4X2</v>
          </cell>
          <cell r="G404" t="str">
            <v>FORTUNER 4X2</v>
          </cell>
          <cell r="H404" t="str">
            <v>FORTUNER 4X2 G M/T DIESEL</v>
          </cell>
          <cell r="I404" t="str">
            <v>FORTUNER 4X2 G M/T DIESEL</v>
          </cell>
          <cell r="J404" t="str">
            <v>FORTUNER 4X2 G M/T DIESEL</v>
          </cell>
          <cell r="K404" t="str">
            <v>FORTUNER 4X2</v>
          </cell>
          <cell r="L404" t="str">
            <v>KU61GM/T10M</v>
          </cell>
          <cell r="M404" t="str">
            <v>FORTUNER</v>
          </cell>
          <cell r="N404" t="str">
            <v>FORTUNER 4X2</v>
          </cell>
          <cell r="O404" t="e">
            <v>#N/A</v>
          </cell>
          <cell r="P404" t="e">
            <v>#N/A</v>
          </cell>
          <cell r="Q404" t="e">
            <v>#N/A</v>
          </cell>
          <cell r="R404" t="e">
            <v>#N/A</v>
          </cell>
          <cell r="S404" t="str">
            <v>FORTUNER</v>
          </cell>
          <cell r="T404" t="e">
            <v>#N/A</v>
          </cell>
          <cell r="U404" t="str">
            <v>FORTUNER 4X2 G M/T DIESEL</v>
          </cell>
        </row>
        <row r="405">
          <cell r="D405" t="e">
            <v>#N/A</v>
          </cell>
          <cell r="E405" t="str">
            <v>FORTUNER</v>
          </cell>
          <cell r="F405" t="str">
            <v>FORTUNER 4X2</v>
          </cell>
          <cell r="G405" t="str">
            <v>FORTUNER 4X2</v>
          </cell>
          <cell r="H405" t="str">
            <v>FORTUNER 4X2 G M/T DIESEL</v>
          </cell>
          <cell r="I405" t="str">
            <v>FORTUNER 4X2 G M/T DIESEL</v>
          </cell>
          <cell r="J405" t="str">
            <v>FORTUNER 4X2 G M/T DIESEL</v>
          </cell>
          <cell r="K405" t="str">
            <v>FORTUNER 4X2</v>
          </cell>
          <cell r="L405" t="str">
            <v>KU61GM/T10TRDM</v>
          </cell>
          <cell r="M405" t="str">
            <v>FORTUNER</v>
          </cell>
          <cell r="N405" t="str">
            <v>FORTUNER 4X2</v>
          </cell>
          <cell r="O405" t="e">
            <v>#N/A</v>
          </cell>
          <cell r="P405" t="e">
            <v>#N/A</v>
          </cell>
          <cell r="Q405" t="e">
            <v>#N/A</v>
          </cell>
          <cell r="R405" t="e">
            <v>#N/A</v>
          </cell>
          <cell r="S405" t="str">
            <v>FORTUNER</v>
          </cell>
          <cell r="T405" t="e">
            <v>#N/A</v>
          </cell>
          <cell r="U405" t="str">
            <v>FORTUNER 4X2 G M/T DIESEL</v>
          </cell>
        </row>
        <row r="406">
          <cell r="D406" t="e">
            <v>#N/A</v>
          </cell>
          <cell r="E406" t="str">
            <v>FORTUNER</v>
          </cell>
          <cell r="F406" t="str">
            <v>FORTUNER 4X2</v>
          </cell>
          <cell r="G406" t="str">
            <v>FORTUNER 4X2</v>
          </cell>
          <cell r="H406" t="str">
            <v>FORTUNER 4X2 G M/T DIESEL</v>
          </cell>
          <cell r="I406" t="str">
            <v>FORTUNER 4X2 G M/T DIESEL</v>
          </cell>
          <cell r="J406" t="str">
            <v>FORTUNER 4X2 G M/T DIESEL</v>
          </cell>
          <cell r="K406" t="str">
            <v>FORTUNER 4X2</v>
          </cell>
          <cell r="L406" t="str">
            <v>KU61GM/T30</v>
          </cell>
          <cell r="M406" t="str">
            <v>FORTUNER</v>
          </cell>
          <cell r="N406" t="str">
            <v>FORTUNER 4X2</v>
          </cell>
          <cell r="O406" t="e">
            <v>#N/A</v>
          </cell>
          <cell r="P406" t="e">
            <v>#N/A</v>
          </cell>
          <cell r="Q406" t="e">
            <v>#N/A</v>
          </cell>
          <cell r="R406" t="e">
            <v>#N/A</v>
          </cell>
          <cell r="S406" t="str">
            <v>FORTUNER</v>
          </cell>
          <cell r="T406" t="e">
            <v>#N/A</v>
          </cell>
          <cell r="U406" t="str">
            <v>FORTUNER 4X2 G M/T DIESEL</v>
          </cell>
        </row>
        <row r="407">
          <cell r="D407" t="e">
            <v>#N/A</v>
          </cell>
          <cell r="E407" t="str">
            <v>FORTUNER</v>
          </cell>
          <cell r="F407" t="str">
            <v>FORTUNER 4X2</v>
          </cell>
          <cell r="G407" t="str">
            <v>FORTUNER 4X2</v>
          </cell>
          <cell r="H407" t="str">
            <v>FORTUNER 4X2 G M/T DIESEL</v>
          </cell>
          <cell r="I407" t="str">
            <v>FORTUNER 4X2 G M/T DIESEL</v>
          </cell>
          <cell r="J407" t="str">
            <v>FORTUNER 4X2 G M/T DIESEL</v>
          </cell>
          <cell r="K407" t="str">
            <v>FORTUNER 4X2</v>
          </cell>
          <cell r="L407" t="str">
            <v>KU61GM/T30M</v>
          </cell>
          <cell r="M407" t="str">
            <v>FORTUNER</v>
          </cell>
          <cell r="N407" t="str">
            <v>FORTUNER 4X2</v>
          </cell>
          <cell r="O407" t="e">
            <v>#N/A</v>
          </cell>
          <cell r="P407" t="e">
            <v>#N/A</v>
          </cell>
          <cell r="Q407" t="e">
            <v>#N/A</v>
          </cell>
          <cell r="R407" t="e">
            <v>#N/A</v>
          </cell>
          <cell r="S407" t="str">
            <v>FORTUNER</v>
          </cell>
          <cell r="T407" t="e">
            <v>#N/A</v>
          </cell>
          <cell r="U407" t="str">
            <v>FORTUNER 4X2 G M/T DIESEL</v>
          </cell>
        </row>
        <row r="408">
          <cell r="D408" t="e">
            <v>#N/A</v>
          </cell>
          <cell r="E408" t="str">
            <v>FORTUNER</v>
          </cell>
          <cell r="F408" t="str">
            <v>FORTUNER 4X2</v>
          </cell>
          <cell r="G408" t="str">
            <v>FORTUNER 4X2</v>
          </cell>
          <cell r="H408" t="str">
            <v>FORTUNER 4X2 G M/T DIESEL</v>
          </cell>
          <cell r="I408" t="str">
            <v>FORTUNER 4X2 G M/T DIESEL</v>
          </cell>
          <cell r="J408" t="str">
            <v>FORTUNER 4X2 G M/T DIESEL</v>
          </cell>
          <cell r="K408" t="str">
            <v>FORTUNER 4X2</v>
          </cell>
          <cell r="L408" t="str">
            <v>KU61GM/T31TRD</v>
          </cell>
          <cell r="M408" t="str">
            <v>FORTUNER</v>
          </cell>
          <cell r="N408" t="str">
            <v>FORTUNER 4X2</v>
          </cell>
          <cell r="O408" t="e">
            <v>#N/A</v>
          </cell>
          <cell r="P408" t="e">
            <v>#N/A</v>
          </cell>
          <cell r="Q408" t="e">
            <v>#N/A</v>
          </cell>
          <cell r="R408" t="e">
            <v>#N/A</v>
          </cell>
          <cell r="S408" t="str">
            <v>FORTUNER</v>
          </cell>
          <cell r="T408" t="e">
            <v>#N/A</v>
          </cell>
          <cell r="U408" t="str">
            <v>FORTUNER 4X2 G M/T DIESEL</v>
          </cell>
        </row>
        <row r="409">
          <cell r="D409" t="e">
            <v>#N/A</v>
          </cell>
          <cell r="E409" t="str">
            <v>FORTUNER</v>
          </cell>
          <cell r="F409" t="str">
            <v>FORTUNER 4X2</v>
          </cell>
          <cell r="G409" t="str">
            <v>FORTUNER 4X2</v>
          </cell>
          <cell r="H409" t="str">
            <v>FORTUNER 4X2 G M/T DIESEL</v>
          </cell>
          <cell r="I409" t="str">
            <v>FORTUNER 4X2 G M/T DIESEL</v>
          </cell>
          <cell r="J409" t="str">
            <v>FORTUNER 4X2 G M/T DIESEL</v>
          </cell>
          <cell r="K409" t="str">
            <v>FORTUNER 4X2</v>
          </cell>
          <cell r="L409" t="str">
            <v>KU61GM/T31TRDM</v>
          </cell>
          <cell r="M409" t="str">
            <v>FORTUNER</v>
          </cell>
          <cell r="N409" t="str">
            <v>FORTUNER 4X2</v>
          </cell>
          <cell r="O409" t="e">
            <v>#N/A</v>
          </cell>
          <cell r="P409" t="e">
            <v>#N/A</v>
          </cell>
          <cell r="Q409" t="e">
            <v>#N/A</v>
          </cell>
          <cell r="R409" t="e">
            <v>#N/A</v>
          </cell>
          <cell r="S409" t="str">
            <v>FORTUNER</v>
          </cell>
          <cell r="T409" t="e">
            <v>#N/A</v>
          </cell>
          <cell r="U409" t="str">
            <v>FORTUNER 4X2 G M/T DIESEL</v>
          </cell>
        </row>
        <row r="410">
          <cell r="D410" t="e">
            <v>#N/A</v>
          </cell>
          <cell r="E410" t="str">
            <v>FORTUNER</v>
          </cell>
          <cell r="F410" t="str">
            <v>FORTUNER 4X2</v>
          </cell>
          <cell r="G410" t="str">
            <v>FORTUNER 4X2</v>
          </cell>
          <cell r="H410" t="str">
            <v>FORTUNER 4X2 G M/T DIESEL</v>
          </cell>
          <cell r="I410" t="str">
            <v>FORTUNER 4X2 G M/T DIESEL</v>
          </cell>
          <cell r="J410" t="str">
            <v>FORTUNER 4X2 G M/T DIESEL</v>
          </cell>
          <cell r="K410" t="str">
            <v>FORTUNER 4X2</v>
          </cell>
          <cell r="L410" t="str">
            <v>KU61GM/Tm</v>
          </cell>
          <cell r="M410" t="str">
            <v>FORTUNER</v>
          </cell>
          <cell r="N410" t="str">
            <v>FORTUNER 4X2</v>
          </cell>
          <cell r="O410" t="e">
            <v>#N/A</v>
          </cell>
          <cell r="P410" t="e">
            <v>#N/A</v>
          </cell>
          <cell r="Q410" t="e">
            <v>#N/A</v>
          </cell>
          <cell r="R410" t="e">
            <v>#N/A</v>
          </cell>
          <cell r="S410" t="str">
            <v>FORTUNER</v>
          </cell>
          <cell r="T410" t="e">
            <v>#N/A</v>
          </cell>
          <cell r="U410" t="str">
            <v>FORTUNER 4X2 G M/T DIESEL</v>
          </cell>
        </row>
        <row r="411">
          <cell r="D411" t="e">
            <v>#N/A</v>
          </cell>
          <cell r="E411" t="str">
            <v>FORTUNER</v>
          </cell>
          <cell r="F411" t="str">
            <v>FORTUNER 4X2</v>
          </cell>
          <cell r="G411" t="str">
            <v>FORTUNER 4X2</v>
          </cell>
          <cell r="H411" t="str">
            <v>FORTUNER 4X2 G M/T DIESEL</v>
          </cell>
          <cell r="I411" t="str">
            <v>FORTUNER 4X2 G M/T DIESEL</v>
          </cell>
          <cell r="J411" t="str">
            <v>FORTUNER 4X2 G M/T DIESEL</v>
          </cell>
          <cell r="K411" t="str">
            <v>FORTUNER 4X2</v>
          </cell>
          <cell r="L411" t="str">
            <v>KU61GM/TS</v>
          </cell>
          <cell r="M411" t="str">
            <v>FORTUNER</v>
          </cell>
          <cell r="N411" t="str">
            <v>FORTUNER 4X2</v>
          </cell>
          <cell r="O411" t="e">
            <v>#N/A</v>
          </cell>
          <cell r="P411" t="e">
            <v>#N/A</v>
          </cell>
          <cell r="Q411" t="e">
            <v>#N/A</v>
          </cell>
          <cell r="R411" t="e">
            <v>#N/A</v>
          </cell>
          <cell r="S411" t="str">
            <v>FORTUNER</v>
          </cell>
          <cell r="T411" t="e">
            <v>#N/A</v>
          </cell>
          <cell r="U411" t="str">
            <v>FORTUNER 4X2 G M/T DIESEL</v>
          </cell>
        </row>
        <row r="412">
          <cell r="D412" t="str">
            <v>GUN165R-SDFSHD-H0</v>
          </cell>
          <cell r="E412" t="str">
            <v>FORTUNER</v>
          </cell>
          <cell r="F412" t="str">
            <v>FORTUNER 4X2</v>
          </cell>
          <cell r="G412" t="str">
            <v>FORTUNER 4X2</v>
          </cell>
          <cell r="H412" t="str">
            <v>FORTUNER 4X2 G M/T DIESEL</v>
          </cell>
          <cell r="I412" t="str">
            <v>FORTUNER 4X2 G M/T DIESEL</v>
          </cell>
          <cell r="J412" t="str">
            <v>FORTUNER 4X2 G M/T DIESEL</v>
          </cell>
          <cell r="K412" t="str">
            <v>FORTUNER 4X2</v>
          </cell>
          <cell r="L412" t="str">
            <v>GUN65GM/TH0M</v>
          </cell>
          <cell r="M412" t="str">
            <v>FORTUNER</v>
          </cell>
          <cell r="N412" t="str">
            <v>FORTUNER 4X2</v>
          </cell>
          <cell r="O412" t="str">
            <v>GUN165R-SDFSHD-H0</v>
          </cell>
          <cell r="P412" t="e">
            <v>#N/A</v>
          </cell>
          <cell r="Q412" t="e">
            <v>#N/A</v>
          </cell>
          <cell r="R412" t="str">
            <v>GUN165R-SDFSHD-H0</v>
          </cell>
          <cell r="S412" t="str">
            <v>FORTUNER</v>
          </cell>
          <cell r="T412" t="e">
            <v>#N/A</v>
          </cell>
          <cell r="U412" t="str">
            <v>FORTUNER 4X2 G M/T DIESEL</v>
          </cell>
        </row>
        <row r="413">
          <cell r="D413" t="str">
            <v>GUN165R-SDFSHD-H0</v>
          </cell>
          <cell r="E413" t="str">
            <v>FORTUNER</v>
          </cell>
          <cell r="F413" t="str">
            <v>FORTUNER 4X2</v>
          </cell>
          <cell r="G413" t="str">
            <v>FORTUNER 4X2</v>
          </cell>
          <cell r="H413" t="str">
            <v>FORTUNER 4X2 G M/T DIESEL</v>
          </cell>
          <cell r="I413" t="str">
            <v>FORTUNER 4X2 G M/T DIESEL</v>
          </cell>
          <cell r="J413" t="str">
            <v>FORTUNER 4X2 G M/T DIESEL</v>
          </cell>
          <cell r="K413" t="str">
            <v>FORTUNER 4X2</v>
          </cell>
          <cell r="L413" t="str">
            <v>GUN65GM/TH0M</v>
          </cell>
          <cell r="M413" t="str">
            <v>FORTUNER</v>
          </cell>
          <cell r="N413" t="str">
            <v>FORTUNER 4X2</v>
          </cell>
          <cell r="O413" t="str">
            <v>GUN165R-SDFSHD-H0</v>
          </cell>
          <cell r="P413" t="e">
            <v>#N/A</v>
          </cell>
          <cell r="Q413" t="e">
            <v>#N/A</v>
          </cell>
          <cell r="R413" t="str">
            <v>GUN165R-SDFSHD-H0</v>
          </cell>
          <cell r="S413" t="str">
            <v>FORTUNER</v>
          </cell>
          <cell r="T413" t="e">
            <v>#N/A</v>
          </cell>
          <cell r="U413" t="str">
            <v>FORTUNER 4X2 G M/T DIESEL</v>
          </cell>
        </row>
        <row r="414">
          <cell r="D414" t="str">
            <v>GUN165R-SDFSXD-10</v>
          </cell>
          <cell r="E414" t="str">
            <v>FORTUNER</v>
          </cell>
          <cell r="F414" t="str">
            <v>FORTUNER 4X2</v>
          </cell>
          <cell r="G414" t="str">
            <v>FORTUNER 4X2</v>
          </cell>
          <cell r="H414" t="str">
            <v>FORTUNER 4X2 G M/T DIESEL</v>
          </cell>
          <cell r="I414" t="str">
            <v>FORTUNER 4X2 G M/T DIESEL</v>
          </cell>
          <cell r="J414" t="str">
            <v>FORTUNER 4X2 G M/T DIESEL</v>
          </cell>
          <cell r="K414" t="str">
            <v>FORTUNER 4X2</v>
          </cell>
          <cell r="L414" t="str">
            <v>GUN65GXM/T10M</v>
          </cell>
          <cell r="M414" t="str">
            <v>FORTUNER</v>
          </cell>
          <cell r="N414" t="str">
            <v>FORTUNER 4X2</v>
          </cell>
          <cell r="O414" t="str">
            <v>GUN165R-SDFSXD-10</v>
          </cell>
          <cell r="P414" t="e">
            <v>#N/A</v>
          </cell>
          <cell r="Q414" t="e">
            <v>#N/A</v>
          </cell>
          <cell r="R414" t="str">
            <v>GUN165R-SDFSXD-10</v>
          </cell>
          <cell r="S414" t="str">
            <v>FORTUNER</v>
          </cell>
          <cell r="T414" t="e">
            <v>#N/A</v>
          </cell>
          <cell r="U414" t="str">
            <v>FORTUNER 4X2 G M/T DIESEL</v>
          </cell>
        </row>
        <row r="415">
          <cell r="D415" t="str">
            <v>TGN166R-SDTMKD-00</v>
          </cell>
          <cell r="E415" t="str">
            <v>FORTUNER</v>
          </cell>
          <cell r="F415" t="str">
            <v>FORTUNER 4X2</v>
          </cell>
          <cell r="G415" t="str">
            <v>FORTUNER 4X2</v>
          </cell>
          <cell r="H415" t="str">
            <v>FORTUNER 4X2 SRZ AT BENSIN</v>
          </cell>
          <cell r="I415" t="str">
            <v>FORTUNER 4X2 SRZ AT BENSIN</v>
          </cell>
          <cell r="J415" t="str">
            <v>FORTUNER 4X2 SRZ BENSIN</v>
          </cell>
          <cell r="K415" t="str">
            <v>FORTUNER 4X2</v>
          </cell>
          <cell r="L415" t="str">
            <v>TGN66SRZA/T</v>
          </cell>
          <cell r="M415" t="str">
            <v>FORTUNER</v>
          </cell>
          <cell r="N415" t="str">
            <v>FORTUNER 4X2</v>
          </cell>
          <cell r="O415" t="str">
            <v>TGN166R-SDTMKD-00</v>
          </cell>
          <cell r="P415" t="e">
            <v>#N/A</v>
          </cell>
          <cell r="Q415" t="e">
            <v>#N/A</v>
          </cell>
          <cell r="R415" t="str">
            <v>TGN166R-SDTMKD-00</v>
          </cell>
          <cell r="S415" t="str">
            <v>FORTUNER</v>
          </cell>
          <cell r="T415" t="e">
            <v>#N/A</v>
          </cell>
          <cell r="U415" t="str">
            <v>FORTUNER 4X2 SRZ</v>
          </cell>
        </row>
        <row r="416">
          <cell r="D416" t="str">
            <v>TGN166R-SDTMKD-30</v>
          </cell>
          <cell r="E416" t="str">
            <v>FORTUNER</v>
          </cell>
          <cell r="F416" t="str">
            <v>FORTUNER 4X2</v>
          </cell>
          <cell r="G416" t="str">
            <v>FORTUNER 4X2</v>
          </cell>
          <cell r="H416" t="str">
            <v>FORTUNER 4X2 SRZ AT BENSIN</v>
          </cell>
          <cell r="I416" t="str">
            <v>FORTUNER 4X2 SRZ AT BENSIN</v>
          </cell>
          <cell r="J416" t="str">
            <v>FORTUNER 4X2 SRZ BENSIN</v>
          </cell>
          <cell r="K416" t="str">
            <v>FORTUNER 4X2</v>
          </cell>
          <cell r="L416" t="str">
            <v>TGN66SRZA/T30M</v>
          </cell>
          <cell r="M416" t="str">
            <v>FORTUNER</v>
          </cell>
          <cell r="N416" t="str">
            <v>FORTUNER 4X2</v>
          </cell>
          <cell r="O416" t="str">
            <v>TGN166R-SDTMKD-30</v>
          </cell>
          <cell r="P416" t="e">
            <v>#N/A</v>
          </cell>
          <cell r="Q416" t="e">
            <v>#N/A</v>
          </cell>
          <cell r="R416" t="str">
            <v>TGN166R-SDTMKD-30</v>
          </cell>
          <cell r="S416" t="str">
            <v>FORTUNER</v>
          </cell>
          <cell r="T416" t="e">
            <v>#N/A</v>
          </cell>
          <cell r="U416" t="str">
            <v>FORTUNER 4X2 SRZ</v>
          </cell>
        </row>
        <row r="417">
          <cell r="D417" t="str">
            <v>TGN166R-SDTMKD-10</v>
          </cell>
          <cell r="E417" t="str">
            <v>FORTUNER</v>
          </cell>
          <cell r="F417" t="str">
            <v>FORTUNER 4X2</v>
          </cell>
          <cell r="G417" t="str">
            <v>FORTUNER 4X2</v>
          </cell>
          <cell r="H417" t="str">
            <v>FORTUNER 4X2 SRZ AT BENSIN</v>
          </cell>
          <cell r="I417" t="str">
            <v>FORTUNER 4X2 SRZ AT BENSIN</v>
          </cell>
          <cell r="J417" t="str">
            <v>FORTUNER 4X2 SRZ BENSIN</v>
          </cell>
          <cell r="K417" t="str">
            <v>FORTUNER 4X2</v>
          </cell>
          <cell r="L417" t="str">
            <v>TGN66SRZA/T10M</v>
          </cell>
          <cell r="M417" t="str">
            <v>FORTUNER</v>
          </cell>
          <cell r="N417" t="str">
            <v>FORTUNER 4X2</v>
          </cell>
          <cell r="O417" t="str">
            <v>TGN166R-SDTMKD-10</v>
          </cell>
          <cell r="P417" t="e">
            <v>#N/A</v>
          </cell>
          <cell r="Q417" t="e">
            <v>#N/A</v>
          </cell>
          <cell r="R417" t="str">
            <v>TGN166R-SDTMKD-10</v>
          </cell>
          <cell r="S417" t="str">
            <v>FORTUNER</v>
          </cell>
          <cell r="T417" t="e">
            <v>#N/A</v>
          </cell>
          <cell r="U417" t="str">
            <v>FORTUNER 4X2 SRZ</v>
          </cell>
        </row>
        <row r="418">
          <cell r="D418" t="str">
            <v>TGN166R-SDTMKD-E0</v>
          </cell>
          <cell r="E418" t="str">
            <v>FORTUNER</v>
          </cell>
          <cell r="F418" t="str">
            <v>FORTUNER 4x2</v>
          </cell>
          <cell r="G418" t="str">
            <v>FORTUNER 4x2</v>
          </cell>
          <cell r="H418" t="str">
            <v>FORTUNER 4X2 SRZ AT BENSIN</v>
          </cell>
          <cell r="I418" t="str">
            <v>FORTUNER 4X2 SRZ AT BENSIN</v>
          </cell>
          <cell r="J418" t="str">
            <v>FORTUNER 4X2 SRZ BENSIN</v>
          </cell>
          <cell r="K418" t="str">
            <v>FORTUNER 4x2</v>
          </cell>
          <cell r="L418" t="str">
            <v>TGN66SRZA/TE0M</v>
          </cell>
          <cell r="M418" t="str">
            <v>FORTUNER</v>
          </cell>
          <cell r="N418" t="str">
            <v>FORTUNER 4x2</v>
          </cell>
          <cell r="O418" t="str">
            <v>TGN166R-SDTMKD-E0</v>
          </cell>
          <cell r="P418" t="e">
            <v>#N/A</v>
          </cell>
          <cell r="Q418" t="e">
            <v>#N/A</v>
          </cell>
          <cell r="R418" t="str">
            <v>TGN166R-SDTMKD-E0</v>
          </cell>
          <cell r="S418" t="str">
            <v>FORTUNER</v>
          </cell>
          <cell r="T418" t="e">
            <v>#N/A</v>
          </cell>
          <cell r="U418" t="str">
            <v>FORTUNER 4X2 SRZ</v>
          </cell>
        </row>
        <row r="419">
          <cell r="D419" t="str">
            <v>TGN166R-SDTMKD-D0</v>
          </cell>
          <cell r="E419" t="str">
            <v>FORTUNER</v>
          </cell>
          <cell r="F419" t="str">
            <v>FORTUNER 4X2</v>
          </cell>
          <cell r="G419" t="str">
            <v>FORTUNER 4X2</v>
          </cell>
          <cell r="H419" t="str">
            <v>FORTUNER 4X2 SRZ AT BENSIN</v>
          </cell>
          <cell r="I419" t="str">
            <v>FORTUNER 4X2 SRZ AT BENSIN</v>
          </cell>
          <cell r="J419" t="str">
            <v>FORTUNER 4X2 SRZ BENSIN</v>
          </cell>
          <cell r="K419" t="str">
            <v>FORTUNER 4X2</v>
          </cell>
          <cell r="L419" t="str">
            <v>TGN66SA/TD0M</v>
          </cell>
          <cell r="M419" t="str">
            <v>FORTUNER</v>
          </cell>
          <cell r="N419" t="str">
            <v>FORTUNER 4X2</v>
          </cell>
          <cell r="O419" t="str">
            <v>TGN166R-SDTMKD-D0</v>
          </cell>
          <cell r="P419" t="e">
            <v>#N/A</v>
          </cell>
          <cell r="Q419" t="e">
            <v>#N/A</v>
          </cell>
          <cell r="R419" t="str">
            <v>TGN166R-SDTMKD-D0</v>
          </cell>
          <cell r="S419" t="str">
            <v>FORTUNER</v>
          </cell>
          <cell r="T419" t="e">
            <v>#N/A</v>
          </cell>
          <cell r="U419" t="str">
            <v>FORTUNER 4X2 SRZ</v>
          </cell>
        </row>
        <row r="420">
          <cell r="D420" t="str">
            <v>TGN166R-SDTMKD-E1</v>
          </cell>
          <cell r="E420" t="str">
            <v>FORTUNER</v>
          </cell>
          <cell r="F420" t="str">
            <v>FORTUNER 4x2</v>
          </cell>
          <cell r="G420" t="str">
            <v>FORTUNER 4x2</v>
          </cell>
          <cell r="H420" t="str">
            <v>FORTUNER 4X2 SRZ AT BENSIN</v>
          </cell>
          <cell r="I420" t="str">
            <v>FORTUNER 4X2 SRZ AT BENSIN</v>
          </cell>
          <cell r="J420" t="str">
            <v>FORTUNER 4X2 SRZ BENSIN</v>
          </cell>
          <cell r="K420" t="str">
            <v>FORTUNER 4x2</v>
          </cell>
          <cell r="L420" t="str">
            <v>TGN66SRZA/TE1M</v>
          </cell>
          <cell r="M420" t="str">
            <v>FORTUNER</v>
          </cell>
          <cell r="N420" t="str">
            <v>FORTUNER 4x2</v>
          </cell>
          <cell r="O420" t="str">
            <v>TGN166R-SDTMKD-E1</v>
          </cell>
          <cell r="P420" t="e">
            <v>#N/A</v>
          </cell>
          <cell r="Q420" t="e">
            <v>#N/A</v>
          </cell>
          <cell r="R420" t="str">
            <v>TGN166R-SDTMKD-E1</v>
          </cell>
          <cell r="S420" t="str">
            <v>FORTUNER</v>
          </cell>
          <cell r="T420" t="e">
            <v>#N/A</v>
          </cell>
          <cell r="U420" t="str">
            <v>FORTUNER 4X2 SRZ</v>
          </cell>
        </row>
        <row r="421">
          <cell r="D421" t="str">
            <v>TGN166R-SDTMKD-11</v>
          </cell>
          <cell r="E421" t="str">
            <v>FORTUNER</v>
          </cell>
          <cell r="F421" t="str">
            <v>FORTUNER 4X2</v>
          </cell>
          <cell r="G421" t="str">
            <v>FORTUNER 4X2</v>
          </cell>
          <cell r="H421" t="str">
            <v>FORTUNER 4X2 SRZ AT BENSIN</v>
          </cell>
          <cell r="I421" t="str">
            <v>FORTUNER 4X2 SRZ AT BENSIN</v>
          </cell>
          <cell r="J421" t="str">
            <v>FORTUNER 4X2 SRZ BENSIN</v>
          </cell>
          <cell r="K421" t="str">
            <v>FORTUNER 4X2</v>
          </cell>
          <cell r="L421" t="str">
            <v>TGN66SRZA/T11M</v>
          </cell>
          <cell r="M421" t="str">
            <v>FORTUNER</v>
          </cell>
          <cell r="N421" t="str">
            <v>FORTUNER 4X2</v>
          </cell>
          <cell r="O421" t="str">
            <v>TGN166R-SDTMKD-11</v>
          </cell>
          <cell r="P421" t="e">
            <v>#N/A</v>
          </cell>
          <cell r="Q421" t="e">
            <v>#N/A</v>
          </cell>
          <cell r="R421" t="str">
            <v>TGN166R-SDTMKD-11</v>
          </cell>
          <cell r="S421" t="str">
            <v>FORTUNER</v>
          </cell>
          <cell r="T421" t="e">
            <v>#N/A</v>
          </cell>
          <cell r="U421" t="str">
            <v xml:space="preserve">FORTUNER 4X2 SRZ TRD </v>
          </cell>
        </row>
        <row r="422">
          <cell r="D422" t="str">
            <v>TGN166R-SDTMKD-20</v>
          </cell>
          <cell r="E422" t="str">
            <v>FORTUNER</v>
          </cell>
          <cell r="F422" t="str">
            <v>FORTUNER 4X2</v>
          </cell>
          <cell r="G422" t="str">
            <v>FORTUNER 4X2</v>
          </cell>
          <cell r="H422" t="str">
            <v>FORTUNER 4X2 SRZ AT BENSIN</v>
          </cell>
          <cell r="I422" t="str">
            <v>FORTUNER 4X2 SRZ AT BENSIN</v>
          </cell>
          <cell r="J422" t="str">
            <v>FORTUNER 4X2 SRZ BENSIN</v>
          </cell>
          <cell r="K422" t="str">
            <v>FORTUNER 4X2</v>
          </cell>
          <cell r="L422" t="str">
            <v>TGN66SRZA/T20M</v>
          </cell>
          <cell r="M422" t="str">
            <v>FORTUNER</v>
          </cell>
          <cell r="N422" t="str">
            <v>FORTUNER 4X2</v>
          </cell>
          <cell r="O422" t="str">
            <v>TGN166R-SDTMKD-20</v>
          </cell>
          <cell r="P422" t="e">
            <v>#N/A</v>
          </cell>
          <cell r="Q422" t="e">
            <v>#N/A</v>
          </cell>
          <cell r="R422" t="str">
            <v>TGN166R-SDTMKD-20</v>
          </cell>
          <cell r="S422" t="str">
            <v>FORTUNER</v>
          </cell>
          <cell r="T422" t="e">
            <v>#N/A</v>
          </cell>
          <cell r="U422" t="str">
            <v>FORTUNER 4X2 SRZ</v>
          </cell>
        </row>
        <row r="423">
          <cell r="D423" t="str">
            <v>TGN166R-SDTMKD-21</v>
          </cell>
          <cell r="E423" t="str">
            <v>FORTUNER</v>
          </cell>
          <cell r="F423" t="str">
            <v>FORTUNER 4X2</v>
          </cell>
          <cell r="G423" t="str">
            <v>FORTUNER 4X2</v>
          </cell>
          <cell r="H423" t="str">
            <v>FORTUNER 4X2 SRZ AT BENSIN</v>
          </cell>
          <cell r="I423" t="str">
            <v>FORTUNER 4X2 SRZ AT BENSIN</v>
          </cell>
          <cell r="J423" t="str">
            <v>FORTUNER 4X2 SRZ BENSIN</v>
          </cell>
          <cell r="K423" t="str">
            <v>FORTUNER 4X2</v>
          </cell>
          <cell r="L423" t="str">
            <v>TGN66SRZA/T21M</v>
          </cell>
          <cell r="M423" t="str">
            <v>FORTUNER</v>
          </cell>
          <cell r="N423" t="str">
            <v>FORTUNER 4X2</v>
          </cell>
          <cell r="O423" t="str">
            <v>TGN166R-SDTMKD-21</v>
          </cell>
          <cell r="P423" t="e">
            <v>#N/A</v>
          </cell>
          <cell r="Q423" t="e">
            <v>#N/A</v>
          </cell>
          <cell r="R423" t="str">
            <v>TGN166R-SDTMKD-21</v>
          </cell>
          <cell r="S423" t="str">
            <v>FORTUNER</v>
          </cell>
          <cell r="T423" t="e">
            <v>#N/A</v>
          </cell>
          <cell r="U423" t="str">
            <v>FORTUNER 4X2 SRZ</v>
          </cell>
        </row>
        <row r="424">
          <cell r="D424" t="str">
            <v>TGN166R-SDTMKD-F0</v>
          </cell>
          <cell r="E424" t="str">
            <v>FORTUNER</v>
          </cell>
          <cell r="F424" t="str">
            <v>FORTUNER 4X2</v>
          </cell>
          <cell r="G424" t="str">
            <v>FORTUNER 4X2</v>
          </cell>
          <cell r="H424" t="str">
            <v>FORTUNER 4X2 SRZ AT BENSIN</v>
          </cell>
          <cell r="I424" t="str">
            <v>FORTUNER 4X2 SRZ AT BENSIN</v>
          </cell>
          <cell r="J424" t="str">
            <v>FORTUNER 4X2 SRZ BENSIN</v>
          </cell>
          <cell r="K424" t="str">
            <v>FORTUNER 4X2</v>
          </cell>
          <cell r="L424" t="str">
            <v>TGN66SRZA/TF0M</v>
          </cell>
          <cell r="M424" t="str">
            <v>FORTUNER</v>
          </cell>
          <cell r="N424" t="str">
            <v>FORTUNER 4X2</v>
          </cell>
          <cell r="O424" t="str">
            <v>TGN166R-SDTMKD-F0</v>
          </cell>
          <cell r="P424" t="e">
            <v>#N/A</v>
          </cell>
          <cell r="Q424" t="e">
            <v>#N/A</v>
          </cell>
          <cell r="R424" t="str">
            <v>TGN166R-SDTMKD-F0</v>
          </cell>
          <cell r="S424" t="str">
            <v>FORTUNER</v>
          </cell>
          <cell r="T424" t="e">
            <v>#N/A</v>
          </cell>
          <cell r="U424" t="str">
            <v>FORTUNER 4X2 SRZ</v>
          </cell>
        </row>
        <row r="425">
          <cell r="D425" t="str">
            <v>TGN166R-SDTHKD-44</v>
          </cell>
          <cell r="E425" t="str">
            <v>FORTUNER</v>
          </cell>
          <cell r="F425" t="str">
            <v>FORTUNER 4X2</v>
          </cell>
          <cell r="G425" t="str">
            <v>FORTUNER 4X2</v>
          </cell>
          <cell r="H425" t="str">
            <v>FORTUNER 4X2 SRZ AT BENSIN</v>
          </cell>
          <cell r="I425" t="str">
            <v>FORTUNER 4X2 SRZ AT BENSIN</v>
          </cell>
          <cell r="J425" t="str">
            <v>FORTUNER 4X2 SRZ AT</v>
          </cell>
          <cell r="K425" t="str">
            <v>FORTUNER 4X2</v>
          </cell>
          <cell r="M425" t="str">
            <v>FORTUNER</v>
          </cell>
          <cell r="N425" t="str">
            <v>FORTUNER 4X2</v>
          </cell>
          <cell r="O425" t="str">
            <v>TGN166R-SDTHKD-44</v>
          </cell>
          <cell r="P425" t="str">
            <v>FORTUNER 4X2</v>
          </cell>
          <cell r="Q425" t="e">
            <v>#N/A</v>
          </cell>
          <cell r="R425" t="str">
            <v>TGN166R-SDTHKD-44</v>
          </cell>
          <cell r="S425" t="str">
            <v>FORTUNER</v>
          </cell>
          <cell r="T425" t="str">
            <v>FORTUNER</v>
          </cell>
          <cell r="U425" t="str">
            <v>FORTUNER 4X2 SRZ</v>
          </cell>
        </row>
        <row r="426">
          <cell r="D426" t="str">
            <v>TGN166R-SDTHKD-00</v>
          </cell>
          <cell r="E426" t="str">
            <v>FORTUNER</v>
          </cell>
          <cell r="F426" t="str">
            <v>FORTUNER 4X2</v>
          </cell>
          <cell r="G426" t="str">
            <v>FORTUNER 4X2</v>
          </cell>
          <cell r="H426" t="str">
            <v>FORTUNER 4X2 SRZ AT BENSIN</v>
          </cell>
          <cell r="I426" t="str">
            <v xml:space="preserve">FORTUNER 4X2 SRZ AT BENSIN </v>
          </cell>
          <cell r="J426" t="str">
            <v xml:space="preserve">FORTUNER 4X2 SRZ BENSIN </v>
          </cell>
          <cell r="K426" t="str">
            <v>FORTUNER 4X2</v>
          </cell>
          <cell r="L426" t="str">
            <v>TGN66SRXA/T00M</v>
          </cell>
          <cell r="M426" t="str">
            <v>FORTUNER</v>
          </cell>
          <cell r="N426" t="str">
            <v>FORTUNER 4X2</v>
          </cell>
          <cell r="O426" t="str">
            <v>TGN166R-SDTHKD-00</v>
          </cell>
          <cell r="P426" t="e">
            <v>#N/A</v>
          </cell>
          <cell r="Q426" t="e">
            <v>#N/A</v>
          </cell>
          <cell r="R426" t="str">
            <v>TGN166R-SDTHKD-00</v>
          </cell>
          <cell r="S426" t="str">
            <v>FORTUNER</v>
          </cell>
          <cell r="T426" t="e">
            <v>#N/A</v>
          </cell>
          <cell r="U426" t="str">
            <v>FORTUNER 4X2 SRZ AT GR</v>
          </cell>
        </row>
        <row r="427">
          <cell r="D427" t="str">
            <v>TGN166R-SDTHKD-11</v>
          </cell>
          <cell r="E427" t="str">
            <v>FORTUNER</v>
          </cell>
          <cell r="F427" t="str">
            <v>FORTUNER 4X2</v>
          </cell>
          <cell r="G427" t="str">
            <v>FORTUNER 4X2</v>
          </cell>
          <cell r="H427" t="str">
            <v>FORTUNER 4X2 SRZ AT BENSIN</v>
          </cell>
          <cell r="I427" t="str">
            <v xml:space="preserve">FORTUNER 4X2 SRZ AT BENSIN </v>
          </cell>
          <cell r="J427" t="str">
            <v xml:space="preserve">FORTUNER 4X2 SRZ BENSIN </v>
          </cell>
          <cell r="K427" t="str">
            <v>FORTUNER 4X2</v>
          </cell>
          <cell r="L427" t="str">
            <v>TGN66SRXA/T11M</v>
          </cell>
          <cell r="M427" t="str">
            <v>FORTUNER</v>
          </cell>
          <cell r="N427" t="str">
            <v>FORTUNER 4X2</v>
          </cell>
          <cell r="O427" t="str">
            <v>TGN166R-SDTHKD-11</v>
          </cell>
          <cell r="P427" t="e">
            <v>#N/A</v>
          </cell>
          <cell r="Q427" t="e">
            <v>#N/A</v>
          </cell>
          <cell r="R427" t="str">
            <v>TGN166R-SDTHKD-11</v>
          </cell>
          <cell r="S427" t="str">
            <v>FORTUNER</v>
          </cell>
          <cell r="T427" t="e">
            <v>#N/A</v>
          </cell>
          <cell r="U427" t="str">
            <v>FORTUNER 4X2 SRZ AT GR</v>
          </cell>
        </row>
        <row r="428">
          <cell r="D428" t="str">
            <v>TGN166R-SDTHKD-21</v>
          </cell>
          <cell r="E428" t="str">
            <v>FORTUNER</v>
          </cell>
          <cell r="F428" t="str">
            <v>FORTUNER 4X2</v>
          </cell>
          <cell r="G428" t="str">
            <v>FORTUNER 4X2</v>
          </cell>
          <cell r="H428" t="str">
            <v>FORTUNER 4X2 SRZ AT BENSIN</v>
          </cell>
          <cell r="I428" t="str">
            <v>FORTUNER 4X2 SRZ AT GR BENSIN</v>
          </cell>
          <cell r="J428" t="str">
            <v>FORTUNER 4X2 SRZ AT GR BENSIN</v>
          </cell>
          <cell r="K428" t="str">
            <v>FORTUNER 4X2</v>
          </cell>
          <cell r="L428" t="str">
            <v>TGN66SRXA/T21M</v>
          </cell>
          <cell r="M428" t="str">
            <v>FORTUNER</v>
          </cell>
          <cell r="N428" t="str">
            <v>FORTUNER 4X2</v>
          </cell>
          <cell r="O428" t="str">
            <v>TGN166R-SDTHKD-21</v>
          </cell>
          <cell r="P428" t="e">
            <v>#N/A</v>
          </cell>
          <cell r="Q428" t="e">
            <v>#N/A</v>
          </cell>
          <cell r="R428" t="str">
            <v>TGN166R-SDTHKD-21</v>
          </cell>
          <cell r="S428" t="str">
            <v>FORTUNER</v>
          </cell>
          <cell r="T428" t="e">
            <v>#N/A</v>
          </cell>
          <cell r="U428" t="str">
            <v>FORTUNER 4X2 SRZ AT GR</v>
          </cell>
        </row>
        <row r="429">
          <cell r="D429" t="str">
            <v>TGN166R-SDTHXD-21</v>
          </cell>
          <cell r="E429" t="str">
            <v>FORTUNER</v>
          </cell>
          <cell r="F429" t="str">
            <v>FORTUNER 4X2</v>
          </cell>
          <cell r="G429" t="str">
            <v>FORTUNER 4X2</v>
          </cell>
          <cell r="H429" t="str">
            <v>FORTUNER 4X2 SRZ AT BENSIN</v>
          </cell>
          <cell r="I429" t="str">
            <v>FORTUNER 4X2 SRZ AT GR BENSIN</v>
          </cell>
          <cell r="J429" t="str">
            <v>FORTUNER 4X2 SRZ AT GR BENSIN</v>
          </cell>
          <cell r="K429" t="str">
            <v>FORTUNER 4X2</v>
          </cell>
          <cell r="L429" t="str">
            <v>TGN66SRXA/T21M</v>
          </cell>
          <cell r="M429" t="str">
            <v>FORTUNER</v>
          </cell>
          <cell r="N429" t="str">
            <v>FORTUNER 4X2</v>
          </cell>
          <cell r="O429" t="str">
            <v>TGN166R-SDTHXD-21</v>
          </cell>
          <cell r="P429" t="e">
            <v>#N/A</v>
          </cell>
          <cell r="Q429" t="e">
            <v>#N/A</v>
          </cell>
          <cell r="R429" t="str">
            <v>TGN166R-SDTHXD-21</v>
          </cell>
          <cell r="S429" t="str">
            <v>FORTUNER</v>
          </cell>
          <cell r="T429" t="e">
            <v>#N/A</v>
          </cell>
          <cell r="U429" t="str">
            <v>FORTUNER 4X2 SRZ AT GR</v>
          </cell>
        </row>
        <row r="430">
          <cell r="D430" t="str">
            <v>TGN166R-SDTHKD-31</v>
          </cell>
          <cell r="E430" t="str">
            <v>FORTUNER</v>
          </cell>
          <cell r="F430" t="str">
            <v>FORTUNER 4X2</v>
          </cell>
          <cell r="G430" t="str">
            <v>FORTUNER 4X2</v>
          </cell>
          <cell r="H430" t="str">
            <v>FORTUNER 4X2 SRZ AT BENSIN</v>
          </cell>
          <cell r="I430" t="str">
            <v>FORTUNER 4X2 SRZ AT GR BENSIN</v>
          </cell>
          <cell r="J430" t="str">
            <v>FORTUNER 4X2 SRZ AT GR BENSIN</v>
          </cell>
          <cell r="K430" t="str">
            <v>FORTUNER 4X2</v>
          </cell>
          <cell r="M430" t="str">
            <v>FORTUNER</v>
          </cell>
          <cell r="N430" t="str">
            <v>FORTUNER 4X2</v>
          </cell>
          <cell r="O430" t="str">
            <v>TGN166R-SDTHKD-31</v>
          </cell>
          <cell r="P430" t="str">
            <v>FORTUNER 4X2</v>
          </cell>
          <cell r="Q430" t="e">
            <v>#N/A</v>
          </cell>
          <cell r="R430" t="str">
            <v>TGN166R-SDTHKD-31</v>
          </cell>
          <cell r="S430" t="str">
            <v>FORTUNER</v>
          </cell>
          <cell r="T430" t="e">
            <v>#N/A</v>
          </cell>
          <cell r="U430" t="str">
            <v>FORTUNER 4X2 SRZ AT GR</v>
          </cell>
        </row>
        <row r="431">
          <cell r="D431" t="str">
            <v>TGN166R-SDTHKD-41</v>
          </cell>
          <cell r="E431" t="str">
            <v>FORTUNER</v>
          </cell>
          <cell r="F431" t="str">
            <v>FORTUNER 4X2</v>
          </cell>
          <cell r="G431" t="str">
            <v>FORTUNER 4X2</v>
          </cell>
          <cell r="H431" t="str">
            <v>FORTUNER 4X2 SRZ AT BENSIN</v>
          </cell>
          <cell r="I431" t="str">
            <v>FORTUNER 4X2 SRZ AT GR BENSIN</v>
          </cell>
          <cell r="J431" t="str">
            <v>FORTUNER 4X2 SRZ AT GR BENSIN</v>
          </cell>
          <cell r="K431" t="str">
            <v>FORTUNER 4X2</v>
          </cell>
          <cell r="M431" t="str">
            <v>FORTUNER</v>
          </cell>
          <cell r="N431" t="str">
            <v>FORTUNER 4X2</v>
          </cell>
          <cell r="O431" t="str">
            <v>TGN166R-SDTHKD-41</v>
          </cell>
          <cell r="P431" t="str">
            <v>FORTUNER 4X2</v>
          </cell>
          <cell r="Q431" t="e">
            <v>#N/A</v>
          </cell>
          <cell r="R431" t="str">
            <v>TGN166R-SDTHKD-41</v>
          </cell>
          <cell r="S431" t="str">
            <v>FORTUNER</v>
          </cell>
          <cell r="T431" t="str">
            <v>FORTUNER</v>
          </cell>
          <cell r="U431" t="str">
            <v>FORTUNER 4X2 SRZ AT GR</v>
          </cell>
        </row>
        <row r="432">
          <cell r="D432" t="str">
            <v>TGN166R-SDTHKD-45</v>
          </cell>
          <cell r="E432" t="str">
            <v>FORTUNER</v>
          </cell>
          <cell r="F432" t="str">
            <v>FORTUNER 4X2</v>
          </cell>
          <cell r="G432" t="str">
            <v>FORTUNER 4X2</v>
          </cell>
          <cell r="H432" t="str">
            <v>FORTUNER 4X2 SRZ AT BENSIN</v>
          </cell>
          <cell r="I432" t="str">
            <v>FORTUNER 4X2 SRZ AT GR BENSIN</v>
          </cell>
          <cell r="J432" t="str">
            <v>FORTUNER 4X2 SRZ AT GR BENSIN</v>
          </cell>
          <cell r="K432" t="str">
            <v>FORTUNER 4X2</v>
          </cell>
          <cell r="M432" t="str">
            <v>FORTUNER</v>
          </cell>
          <cell r="N432" t="str">
            <v>FORTUNER 4X2</v>
          </cell>
          <cell r="O432" t="str">
            <v>TGN166R-SDTHKD-45</v>
          </cell>
          <cell r="P432" t="str">
            <v>FORTUNER 4X2</v>
          </cell>
          <cell r="Q432" t="e">
            <v>#N/A</v>
          </cell>
          <cell r="R432" t="str">
            <v>TGN166R-SDTHKD-45</v>
          </cell>
          <cell r="S432" t="str">
            <v>FORTUNER</v>
          </cell>
          <cell r="T432" t="str">
            <v>FORTUNER</v>
          </cell>
          <cell r="U432" t="str">
            <v>FORTUNER 4X2 SRZ AT GR</v>
          </cell>
        </row>
        <row r="433">
          <cell r="D433" t="str">
            <v>TGN166R-SDTHKD-42</v>
          </cell>
          <cell r="E433" t="str">
            <v>FORTUNER</v>
          </cell>
          <cell r="F433" t="str">
            <v>FORTUNER 4X2</v>
          </cell>
          <cell r="G433" t="str">
            <v>FORTUNER 4X2</v>
          </cell>
          <cell r="H433" t="str">
            <v>FORTUNER 4X2 SRZ AT BENSIN</v>
          </cell>
          <cell r="I433" t="str">
            <v>FORTUNER 4X2 SRZ AT GR BENSIN</v>
          </cell>
          <cell r="J433" t="str">
            <v>FORTUNER 4X2 SRZ AT GR BENSIN</v>
          </cell>
          <cell r="K433" t="str">
            <v>FORTUNER 4X2</v>
          </cell>
          <cell r="M433" t="str">
            <v>FORTUNER</v>
          </cell>
          <cell r="N433" t="str">
            <v>FORTUNER 4X2</v>
          </cell>
          <cell r="O433" t="str">
            <v>TGN166R-SDTHKD-42</v>
          </cell>
          <cell r="P433" t="str">
            <v>FORTUNER 4X2</v>
          </cell>
          <cell r="Q433" t="e">
            <v>#N/A</v>
          </cell>
          <cell r="R433" t="str">
            <v>TGN166R-SDTHKD-42</v>
          </cell>
          <cell r="S433" t="str">
            <v>FORTUNER</v>
          </cell>
          <cell r="T433" t="str">
            <v>FORTUNER</v>
          </cell>
          <cell r="U433" t="str">
            <v>FORTUNER 4X2 SRZ AT GR</v>
          </cell>
        </row>
        <row r="434">
          <cell r="D434" t="str">
            <v>TGN166R-SDTMKD-F1</v>
          </cell>
          <cell r="E434" t="str">
            <v>FORTUNER</v>
          </cell>
          <cell r="F434" t="str">
            <v>FORTUNER 4X2</v>
          </cell>
          <cell r="G434" t="str">
            <v>FORTUNER 4X2</v>
          </cell>
          <cell r="H434" t="str">
            <v>FORTUNER 4X2 SRZ AT BENSIN</v>
          </cell>
          <cell r="I434" t="str">
            <v>FORTUNER 4X2 SRZ AT TRD BENSIN</v>
          </cell>
          <cell r="J434" t="str">
            <v>FORTUNER 4X2 SRZ AT TRD BENSIN</v>
          </cell>
          <cell r="K434" t="str">
            <v>FORTUNER 4X2</v>
          </cell>
          <cell r="L434" t="str">
            <v>TGN66SRZA/TF1M</v>
          </cell>
          <cell r="M434" t="str">
            <v>FORTUNER</v>
          </cell>
          <cell r="N434" t="str">
            <v>FORTUNER 4X2</v>
          </cell>
          <cell r="O434" t="str">
            <v>TGN166R-SDTMKD-F1</v>
          </cell>
          <cell r="P434" t="e">
            <v>#N/A</v>
          </cell>
          <cell r="Q434" t="e">
            <v>#N/A</v>
          </cell>
          <cell r="R434" t="str">
            <v>TGN166R-SDTMKD-F1</v>
          </cell>
          <cell r="S434" t="str">
            <v>FORTUNER</v>
          </cell>
          <cell r="T434" t="e">
            <v>#N/A</v>
          </cell>
          <cell r="U434" t="str">
            <v>FORTUNER 4X2 SRZ</v>
          </cell>
        </row>
        <row r="435">
          <cell r="D435" t="str">
            <v>TGN166R-SDTMKD-31</v>
          </cell>
          <cell r="E435" t="str">
            <v>FORTUNER</v>
          </cell>
          <cell r="F435" t="str">
            <v>FORTUNER 4X2</v>
          </cell>
          <cell r="G435" t="str">
            <v>FORTUNER 4X2</v>
          </cell>
          <cell r="H435" t="str">
            <v xml:space="preserve">FORTUNER 4X2 SRZ AT BENSIN TRD </v>
          </cell>
          <cell r="I435" t="str">
            <v>FORTUNER 4X2 SRZ AT TRD BENSIN</v>
          </cell>
          <cell r="J435" t="str">
            <v>FORTUNER 4X2 SRZ AT TRD BENSIN</v>
          </cell>
          <cell r="K435" t="str">
            <v>FORTUNER 4X2</v>
          </cell>
          <cell r="L435" t="str">
            <v>TGN66SRZA/T31M</v>
          </cell>
          <cell r="M435" t="str">
            <v>FORTUNER</v>
          </cell>
          <cell r="N435" t="str">
            <v>FORTUNER 4X2</v>
          </cell>
          <cell r="O435" t="str">
            <v>TGN166R-SDTMKD-31</v>
          </cell>
          <cell r="P435" t="e">
            <v>#N/A</v>
          </cell>
          <cell r="Q435" t="e">
            <v>#N/A</v>
          </cell>
          <cell r="R435" t="str">
            <v>TGN166R-SDTMKD-31</v>
          </cell>
          <cell r="S435" t="str">
            <v>FORTUNER</v>
          </cell>
          <cell r="T435" t="e">
            <v>#N/A</v>
          </cell>
          <cell r="U435" t="str">
            <v xml:space="preserve">FORTUNER 4X2 SRZ TRD </v>
          </cell>
        </row>
        <row r="436">
          <cell r="D436" t="str">
            <v>TGN166R-SDTMKD-32</v>
          </cell>
          <cell r="E436" t="str">
            <v>FORTUNER</v>
          </cell>
          <cell r="F436" t="str">
            <v>FORTUNER 4X2</v>
          </cell>
          <cell r="G436" t="str">
            <v>FORTUNER 4X2</v>
          </cell>
          <cell r="H436" t="str">
            <v xml:space="preserve">FORTUNER 4X2 SRZ AT BENSIN TRD </v>
          </cell>
          <cell r="I436" t="str">
            <v>FORTUNER 4X2 SRZ AT TRD BENSIN</v>
          </cell>
          <cell r="J436" t="str">
            <v>FORTUNER 4X2 SRZ AT TRD BENSIN</v>
          </cell>
          <cell r="K436" t="str">
            <v>FORTUNER 4X2</v>
          </cell>
          <cell r="L436" t="str">
            <v>TGN66SRZA/T32M</v>
          </cell>
          <cell r="M436" t="str">
            <v>FORTUNER</v>
          </cell>
          <cell r="N436" t="str">
            <v>FORTUNER 4X2</v>
          </cell>
          <cell r="O436" t="str">
            <v>TGN166R-SDTMKD-32</v>
          </cell>
          <cell r="P436" t="e">
            <v>#N/A</v>
          </cell>
          <cell r="Q436" t="e">
            <v>#N/A</v>
          </cell>
          <cell r="R436" t="str">
            <v>TGN166R-SDTMKD-32</v>
          </cell>
          <cell r="S436" t="str">
            <v>FORTUNER</v>
          </cell>
          <cell r="T436" t="e">
            <v>#N/A</v>
          </cell>
          <cell r="U436" t="str">
            <v xml:space="preserve">FORTUNER 4X2 SRZ TRD </v>
          </cell>
        </row>
        <row r="437">
          <cell r="D437" t="str">
            <v>TGN166R-SDTMKD-H2</v>
          </cell>
          <cell r="E437" t="str">
            <v>FORTUNER</v>
          </cell>
          <cell r="F437" t="str">
            <v>FORTUNER 4X2</v>
          </cell>
          <cell r="G437" t="str">
            <v>FORTUNER 4X2</v>
          </cell>
          <cell r="H437" t="str">
            <v xml:space="preserve">FORTUNER 4X2 SRZ AT BENSIN TRD </v>
          </cell>
          <cell r="I437" t="str">
            <v>FORTUNER 4X2 SRZ AT TRD BENSIN</v>
          </cell>
          <cell r="J437" t="str">
            <v>FORTUNER 4X2 SRZ AT TRD BENSIN</v>
          </cell>
          <cell r="K437" t="str">
            <v>FORTUNER 4X2</v>
          </cell>
          <cell r="L437" t="str">
            <v>TGN66SRZA/TH2M</v>
          </cell>
          <cell r="M437" t="str">
            <v>FORTUNER</v>
          </cell>
          <cell r="N437" t="str">
            <v>FORTUNER 4X2</v>
          </cell>
          <cell r="O437" t="str">
            <v>TGN166R-SDTMKD-H2</v>
          </cell>
          <cell r="P437" t="e">
            <v>#N/A</v>
          </cell>
          <cell r="Q437" t="e">
            <v>#N/A</v>
          </cell>
          <cell r="R437" t="str">
            <v>TGN166R-SDTMKD-H2</v>
          </cell>
          <cell r="S437" t="str">
            <v>FORTUNER</v>
          </cell>
          <cell r="T437" t="e">
            <v>#N/A</v>
          </cell>
          <cell r="U437" t="str">
            <v xml:space="preserve">FORTUNER 4X2 SRZ TRD </v>
          </cell>
        </row>
        <row r="438">
          <cell r="D438" t="str">
            <v>TGN166R-SDTHKD-01</v>
          </cell>
          <cell r="E438" t="str">
            <v>FORTUNER</v>
          </cell>
          <cell r="F438" t="str">
            <v>FORTUNER 4X2</v>
          </cell>
          <cell r="G438" t="str">
            <v>FORTUNER 4X2</v>
          </cell>
          <cell r="H438" t="str">
            <v xml:space="preserve">FORTUNER 4X2 SRZ AT BENSIN TRD </v>
          </cell>
          <cell r="I438" t="str">
            <v>FORTUNER 4X2 SRZ AT TRD BENSIN</v>
          </cell>
          <cell r="J438" t="str">
            <v>FORTUNER 4X2 SRZ AT TRD BENSIN</v>
          </cell>
          <cell r="K438" t="str">
            <v>FORTUNER 4X2</v>
          </cell>
          <cell r="L438" t="str">
            <v>TGN66SRXA/T01M</v>
          </cell>
          <cell r="M438" t="str">
            <v>FORTUNER</v>
          </cell>
          <cell r="N438" t="str">
            <v>FORTUNER 4X2</v>
          </cell>
          <cell r="O438" t="str">
            <v>TGN166R-SDTHKD-01</v>
          </cell>
          <cell r="P438" t="e">
            <v>#N/A</v>
          </cell>
          <cell r="Q438" t="e">
            <v>#N/A</v>
          </cell>
          <cell r="R438" t="str">
            <v>TGN166R-SDTHKD-01</v>
          </cell>
          <cell r="S438" t="str">
            <v>FORTUNER</v>
          </cell>
          <cell r="T438" t="e">
            <v>#N/A</v>
          </cell>
          <cell r="U438" t="str">
            <v xml:space="preserve">FORTUNER 4X2 SRZ TRD </v>
          </cell>
        </row>
        <row r="439">
          <cell r="D439" t="str">
            <v>GUN165R-SDTMHD-00</v>
          </cell>
          <cell r="E439" t="str">
            <v>FORTUNER</v>
          </cell>
          <cell r="F439" t="str">
            <v>FORTUNER 4X2</v>
          </cell>
          <cell r="G439" t="str">
            <v>FORTUNER 4X2</v>
          </cell>
          <cell r="H439" t="str">
            <v>FORTUNER 4X2 VRZ A/T DIESEL</v>
          </cell>
          <cell r="I439" t="str">
            <v>FORTUNER 4X2 VRZ A/T DIESEL</v>
          </cell>
          <cell r="J439" t="str">
            <v>FORTUNER 4X2 VRZ A/T DIESEL</v>
          </cell>
          <cell r="K439" t="str">
            <v>FORTUNER 4X2</v>
          </cell>
          <cell r="L439" t="str">
            <v>GUN65VRZA/T</v>
          </cell>
          <cell r="M439" t="str">
            <v>FORTUNER</v>
          </cell>
          <cell r="N439" t="str">
            <v>FORTUNER 4X2</v>
          </cell>
          <cell r="O439" t="str">
            <v>GUN165R-SDTMHD-00</v>
          </cell>
          <cell r="P439" t="e">
            <v>#N/A</v>
          </cell>
          <cell r="Q439" t="e">
            <v>#N/A</v>
          </cell>
          <cell r="R439" t="str">
            <v>GUN165R-SDTMHD-00</v>
          </cell>
          <cell r="S439" t="str">
            <v>FORTUNER</v>
          </cell>
          <cell r="T439" t="e">
            <v>#N/A</v>
          </cell>
          <cell r="U439" t="str">
            <v>FORTUNER 4X2 VRZ A/T DIESEL</v>
          </cell>
        </row>
        <row r="440">
          <cell r="D440" t="str">
            <v>GUN165R-SDTMHD-10</v>
          </cell>
          <cell r="E440" t="str">
            <v>FORTUNER</v>
          </cell>
          <cell r="F440" t="str">
            <v>FORTUNER 4X2</v>
          </cell>
          <cell r="G440" t="str">
            <v>FORTUNER 4X2</v>
          </cell>
          <cell r="H440" t="str">
            <v>FORTUNER 4X2 VRZ A/T DIESEL</v>
          </cell>
          <cell r="I440" t="str">
            <v>FORTUNER 4X2 VRZ A/T DIESEL</v>
          </cell>
          <cell r="J440" t="str">
            <v>FORTUNER 4X2 VRZ A/T DIESEL</v>
          </cell>
          <cell r="K440" t="str">
            <v>FORTUNER 4X2</v>
          </cell>
          <cell r="L440" t="str">
            <v>GUN65VRZA/T10M</v>
          </cell>
          <cell r="M440" t="str">
            <v>FORTUNER</v>
          </cell>
          <cell r="N440" t="str">
            <v>FORTUNER 4X2</v>
          </cell>
          <cell r="O440" t="str">
            <v>GUN165R-SDTMHD-10</v>
          </cell>
          <cell r="P440" t="e">
            <v>#N/A</v>
          </cell>
          <cell r="Q440" t="e">
            <v>#N/A</v>
          </cell>
          <cell r="R440" t="str">
            <v>GUN165R-SDTMHD-10</v>
          </cell>
          <cell r="S440" t="str">
            <v>FORTUNER</v>
          </cell>
          <cell r="T440" t="e">
            <v>#N/A</v>
          </cell>
          <cell r="U440" t="str">
            <v>FORTUNER 4X2 VRZ A/T DIESEL</v>
          </cell>
        </row>
        <row r="441">
          <cell r="D441" t="str">
            <v>GUN165R-SDTMHD-11</v>
          </cell>
          <cell r="E441" t="str">
            <v>FORTUNER</v>
          </cell>
          <cell r="F441" t="str">
            <v>FORTUNER 4X2</v>
          </cell>
          <cell r="G441" t="str">
            <v>FORTUNER 4X2</v>
          </cell>
          <cell r="H441" t="str">
            <v>FORTUNER 4X2 VRZ A/T DIESEL</v>
          </cell>
          <cell r="I441" t="str">
            <v>FORTUNER 4X2 VRZ A/T DIESEL</v>
          </cell>
          <cell r="J441" t="str">
            <v>FORTUNER 4X2 VRZ A/T DIESEL</v>
          </cell>
          <cell r="K441" t="str">
            <v>FORTUNER 4X2</v>
          </cell>
          <cell r="L441" t="str">
            <v>GUN65VRZA/T11M</v>
          </cell>
          <cell r="M441" t="str">
            <v>FORTUNER</v>
          </cell>
          <cell r="N441" t="str">
            <v>FORTUNER 4X2</v>
          </cell>
          <cell r="O441" t="str">
            <v>GUN165R-SDTMHD-11</v>
          </cell>
          <cell r="P441" t="e">
            <v>#N/A</v>
          </cell>
          <cell r="Q441" t="e">
            <v>#N/A</v>
          </cell>
          <cell r="R441" t="str">
            <v>GUN165R-SDTMHD-11</v>
          </cell>
          <cell r="S441" t="str">
            <v>FORTUNER</v>
          </cell>
          <cell r="T441" t="e">
            <v>#N/A</v>
          </cell>
          <cell r="U441" t="str">
            <v>FORTUNER 4X2 VRZ TRD DIESEL</v>
          </cell>
        </row>
        <row r="442">
          <cell r="D442" t="str">
            <v>GUN165R-SDTMHD-01</v>
          </cell>
          <cell r="E442" t="str">
            <v>FORTUNER</v>
          </cell>
          <cell r="F442" t="str">
            <v>FORTUNER 4X2</v>
          </cell>
          <cell r="G442" t="str">
            <v>FORTUNER 4X2</v>
          </cell>
          <cell r="H442" t="str">
            <v>FORTUNER 4X2 VRZ A/T DIESEL</v>
          </cell>
          <cell r="I442" t="str">
            <v>FORTUNER 4X2 VRZ A/T DIESEL</v>
          </cell>
          <cell r="J442" t="str">
            <v>FORTUNER 4X2 VRZ A/T DIESEL</v>
          </cell>
          <cell r="K442" t="str">
            <v>FORTUNER 4X2</v>
          </cell>
          <cell r="L442" t="str">
            <v>GUN65VRZA/T01M</v>
          </cell>
          <cell r="M442" t="str">
            <v>FORTUNER</v>
          </cell>
          <cell r="N442" t="str">
            <v>FORTUNER 4X2</v>
          </cell>
          <cell r="O442" t="str">
            <v>GUN165R-SDTMHD-01</v>
          </cell>
          <cell r="P442" t="e">
            <v>#N/A</v>
          </cell>
          <cell r="Q442" t="e">
            <v>#N/A</v>
          </cell>
          <cell r="R442" t="str">
            <v>GUN165R-SDTMHD-01</v>
          </cell>
          <cell r="S442" t="str">
            <v>FORTUNER</v>
          </cell>
          <cell r="T442" t="e">
            <v>#N/A</v>
          </cell>
          <cell r="U442" t="str">
            <v>FORTUNER 4X2 VRZ A/T DIESEL</v>
          </cell>
        </row>
        <row r="443">
          <cell r="D443" t="e">
            <v>#N/A</v>
          </cell>
          <cell r="E443" t="str">
            <v>FT86</v>
          </cell>
          <cell r="F443" t="str">
            <v>FT86</v>
          </cell>
          <cell r="G443" t="str">
            <v>FT86</v>
          </cell>
          <cell r="H443" t="str">
            <v>FT 86</v>
          </cell>
          <cell r="I443" t="str">
            <v>FT 86</v>
          </cell>
          <cell r="J443" t="str">
            <v>FT 86</v>
          </cell>
          <cell r="K443" t="str">
            <v>FT86</v>
          </cell>
          <cell r="L443" t="str">
            <v>FT86A/T00CM</v>
          </cell>
          <cell r="M443" t="str">
            <v>FT86</v>
          </cell>
          <cell r="N443" t="str">
            <v>FT86</v>
          </cell>
          <cell r="O443" t="e">
            <v>#N/A</v>
          </cell>
          <cell r="P443" t="e">
            <v>#N/A</v>
          </cell>
          <cell r="Q443" t="e">
            <v>#N/A</v>
          </cell>
          <cell r="R443" t="e">
            <v>#N/A</v>
          </cell>
          <cell r="S443" t="str">
            <v>FT86</v>
          </cell>
          <cell r="T443" t="e">
            <v>#N/A</v>
          </cell>
          <cell r="U443" t="str">
            <v>FT 86</v>
          </cell>
        </row>
        <row r="444">
          <cell r="D444" t="e">
            <v>#N/A</v>
          </cell>
          <cell r="E444" t="str">
            <v>FT86</v>
          </cell>
          <cell r="F444" t="str">
            <v>FT86</v>
          </cell>
          <cell r="G444" t="str">
            <v>FT86</v>
          </cell>
          <cell r="H444" t="str">
            <v>FT 86</v>
          </cell>
          <cell r="I444" t="str">
            <v>FT 86</v>
          </cell>
          <cell r="J444" t="str">
            <v>FT 86</v>
          </cell>
          <cell r="K444" t="str">
            <v>FT86</v>
          </cell>
          <cell r="L444" t="str">
            <v>FT86A/T00M</v>
          </cell>
          <cell r="M444" t="str">
            <v>FT86</v>
          </cell>
          <cell r="N444" t="str">
            <v>FT86</v>
          </cell>
          <cell r="O444" t="e">
            <v>#N/A</v>
          </cell>
          <cell r="P444" t="e">
            <v>#N/A</v>
          </cell>
          <cell r="Q444" t="e">
            <v>#N/A</v>
          </cell>
          <cell r="R444" t="e">
            <v>#N/A</v>
          </cell>
          <cell r="S444" t="str">
            <v>FT86</v>
          </cell>
          <cell r="T444" t="e">
            <v>#N/A</v>
          </cell>
          <cell r="U444" t="str">
            <v>FT 86</v>
          </cell>
        </row>
        <row r="445">
          <cell r="D445" t="e">
            <v>#N/A</v>
          </cell>
          <cell r="E445" t="str">
            <v>FT86</v>
          </cell>
          <cell r="F445" t="str">
            <v>FT86</v>
          </cell>
          <cell r="G445" t="str">
            <v>FT86</v>
          </cell>
          <cell r="H445" t="str">
            <v>FT 86</v>
          </cell>
          <cell r="I445" t="str">
            <v>FT 86</v>
          </cell>
          <cell r="J445" t="str">
            <v>FT 86</v>
          </cell>
          <cell r="K445" t="str">
            <v>FT86</v>
          </cell>
          <cell r="L445" t="str">
            <v>FT86A/T01M</v>
          </cell>
          <cell r="M445" t="str">
            <v>FT86</v>
          </cell>
          <cell r="N445" t="str">
            <v>FT86</v>
          </cell>
          <cell r="O445" t="e">
            <v>#N/A</v>
          </cell>
          <cell r="P445" t="e">
            <v>#N/A</v>
          </cell>
          <cell r="Q445" t="e">
            <v>#N/A</v>
          </cell>
          <cell r="R445" t="e">
            <v>#N/A</v>
          </cell>
          <cell r="S445" t="str">
            <v>FT86</v>
          </cell>
          <cell r="T445" t="e">
            <v>#N/A</v>
          </cell>
          <cell r="U445" t="str">
            <v>FT 86</v>
          </cell>
        </row>
        <row r="446">
          <cell r="D446" t="e">
            <v>#N/A</v>
          </cell>
          <cell r="E446" t="str">
            <v>FT86</v>
          </cell>
          <cell r="F446" t="str">
            <v>FT86</v>
          </cell>
          <cell r="G446" t="str">
            <v>FT86</v>
          </cell>
          <cell r="H446" t="str">
            <v>FT 86</v>
          </cell>
          <cell r="I446" t="str">
            <v>FT 86</v>
          </cell>
          <cell r="J446" t="str">
            <v>FT 86</v>
          </cell>
          <cell r="K446" t="str">
            <v>FT86</v>
          </cell>
          <cell r="L446" t="str">
            <v>FT86A/TTRD</v>
          </cell>
          <cell r="M446" t="str">
            <v>FT86</v>
          </cell>
          <cell r="N446" t="str">
            <v>FT86</v>
          </cell>
          <cell r="O446" t="e">
            <v>#N/A</v>
          </cell>
          <cell r="P446" t="e">
            <v>#N/A</v>
          </cell>
          <cell r="Q446" t="e">
            <v>#N/A</v>
          </cell>
          <cell r="R446" t="e">
            <v>#N/A</v>
          </cell>
          <cell r="S446" t="str">
            <v>FT86</v>
          </cell>
          <cell r="T446" t="e">
            <v>#N/A</v>
          </cell>
          <cell r="U446" t="str">
            <v>FT 86</v>
          </cell>
        </row>
        <row r="447">
          <cell r="D447" t="e">
            <v>#N/A</v>
          </cell>
          <cell r="E447" t="str">
            <v>FT86</v>
          </cell>
          <cell r="F447" t="str">
            <v>FT86</v>
          </cell>
          <cell r="G447" t="str">
            <v>FT86</v>
          </cell>
          <cell r="H447" t="str">
            <v>FT 86</v>
          </cell>
          <cell r="I447" t="str">
            <v>FT 86</v>
          </cell>
          <cell r="J447" t="str">
            <v>FT 86</v>
          </cell>
          <cell r="K447" t="str">
            <v>FT86</v>
          </cell>
          <cell r="L447" t="str">
            <v>FT86A/TTRD02M</v>
          </cell>
          <cell r="M447" t="str">
            <v>FT86</v>
          </cell>
          <cell r="N447" t="str">
            <v>FT86</v>
          </cell>
          <cell r="O447" t="e">
            <v>#N/A</v>
          </cell>
          <cell r="P447" t="e">
            <v>#N/A</v>
          </cell>
          <cell r="Q447" t="e">
            <v>#N/A</v>
          </cell>
          <cell r="R447" t="e">
            <v>#N/A</v>
          </cell>
          <cell r="S447" t="str">
            <v>FT86</v>
          </cell>
          <cell r="T447" t="e">
            <v>#N/A</v>
          </cell>
          <cell r="U447" t="str">
            <v>FT 86</v>
          </cell>
        </row>
        <row r="448">
          <cell r="D448" t="e">
            <v>#N/A</v>
          </cell>
          <cell r="E448" t="str">
            <v>FT86</v>
          </cell>
          <cell r="F448" t="str">
            <v>FT86</v>
          </cell>
          <cell r="G448" t="str">
            <v>FT86</v>
          </cell>
          <cell r="H448" t="str">
            <v>FT 86</v>
          </cell>
          <cell r="I448" t="str">
            <v>FT 86</v>
          </cell>
          <cell r="J448" t="str">
            <v>FT 86</v>
          </cell>
          <cell r="K448" t="str">
            <v>FT86</v>
          </cell>
          <cell r="L448" t="str">
            <v>FT86A/TTRD04M</v>
          </cell>
          <cell r="M448" t="str">
            <v>FT86</v>
          </cell>
          <cell r="N448" t="str">
            <v>FT86</v>
          </cell>
          <cell r="O448" t="e">
            <v>#N/A</v>
          </cell>
          <cell r="P448" t="e">
            <v>#N/A</v>
          </cell>
          <cell r="Q448" t="e">
            <v>#N/A</v>
          </cell>
          <cell r="R448" t="e">
            <v>#N/A</v>
          </cell>
          <cell r="S448" t="str">
            <v>FT86</v>
          </cell>
          <cell r="T448" t="e">
            <v>#N/A</v>
          </cell>
          <cell r="U448" t="str">
            <v>FT 86</v>
          </cell>
        </row>
        <row r="449">
          <cell r="D449" t="e">
            <v>#N/A</v>
          </cell>
          <cell r="E449" t="str">
            <v>FT86</v>
          </cell>
          <cell r="F449" t="str">
            <v>FT86</v>
          </cell>
          <cell r="G449" t="str">
            <v>FT86</v>
          </cell>
          <cell r="H449" t="str">
            <v>FT 86</v>
          </cell>
          <cell r="I449" t="str">
            <v>FT 86</v>
          </cell>
          <cell r="J449" t="str">
            <v>FT 86</v>
          </cell>
          <cell r="K449" t="str">
            <v>FT86</v>
          </cell>
          <cell r="L449" t="str">
            <v>FT86M/T01CM</v>
          </cell>
          <cell r="M449" t="str">
            <v>FT86</v>
          </cell>
          <cell r="N449" t="str">
            <v>FT86</v>
          </cell>
          <cell r="O449" t="e">
            <v>#N/A</v>
          </cell>
          <cell r="P449" t="e">
            <v>#N/A</v>
          </cell>
          <cell r="Q449" t="e">
            <v>#N/A</v>
          </cell>
          <cell r="R449" t="e">
            <v>#N/A</v>
          </cell>
          <cell r="S449" t="str">
            <v>FT86</v>
          </cell>
          <cell r="T449" t="e">
            <v>#N/A</v>
          </cell>
          <cell r="U449" t="str">
            <v>FT 86</v>
          </cell>
        </row>
        <row r="450">
          <cell r="D450" t="e">
            <v>#N/A</v>
          </cell>
          <cell r="E450" t="str">
            <v>FT86</v>
          </cell>
          <cell r="F450" t="str">
            <v>FT86</v>
          </cell>
          <cell r="G450" t="str">
            <v>FT86</v>
          </cell>
          <cell r="H450" t="str">
            <v>FT 86</v>
          </cell>
          <cell r="I450" t="str">
            <v>FT 86</v>
          </cell>
          <cell r="J450" t="str">
            <v>FT 86</v>
          </cell>
          <cell r="K450" t="str">
            <v>FT86</v>
          </cell>
          <cell r="L450" t="str">
            <v>FT86M/T01M</v>
          </cell>
          <cell r="M450" t="str">
            <v>FT86</v>
          </cell>
          <cell r="N450" t="str">
            <v>FT86</v>
          </cell>
          <cell r="O450" t="e">
            <v>#N/A</v>
          </cell>
          <cell r="P450" t="e">
            <v>#N/A</v>
          </cell>
          <cell r="Q450" t="e">
            <v>#N/A</v>
          </cell>
          <cell r="R450" t="e">
            <v>#N/A</v>
          </cell>
          <cell r="S450" t="str">
            <v>FT86</v>
          </cell>
          <cell r="T450" t="e">
            <v>#N/A</v>
          </cell>
          <cell r="U450" t="str">
            <v>FT 86</v>
          </cell>
        </row>
        <row r="451">
          <cell r="D451" t="e">
            <v>#N/A</v>
          </cell>
          <cell r="E451" t="str">
            <v>FT86</v>
          </cell>
          <cell r="F451" t="str">
            <v>FT86</v>
          </cell>
          <cell r="G451" t="str">
            <v>FT86</v>
          </cell>
          <cell r="H451" t="str">
            <v>FT 86</v>
          </cell>
          <cell r="I451" t="str">
            <v>FT 86</v>
          </cell>
          <cell r="J451" t="str">
            <v>FT 86</v>
          </cell>
          <cell r="K451" t="str">
            <v>FT86</v>
          </cell>
          <cell r="L451" t="str">
            <v>FT86A/TTRD02CM</v>
          </cell>
          <cell r="M451" t="str">
            <v>FT86</v>
          </cell>
          <cell r="N451" t="str">
            <v>FT86</v>
          </cell>
          <cell r="O451" t="e">
            <v>#N/A</v>
          </cell>
          <cell r="P451" t="e">
            <v>#N/A</v>
          </cell>
          <cell r="Q451" t="e">
            <v>#N/A</v>
          </cell>
          <cell r="R451" t="e">
            <v>#N/A</v>
          </cell>
          <cell r="S451" t="str">
            <v>FT86</v>
          </cell>
          <cell r="T451" t="e">
            <v>#N/A</v>
          </cell>
          <cell r="U451" t="str">
            <v>FT 86</v>
          </cell>
        </row>
        <row r="452">
          <cell r="D452" t="str">
            <v>ZN6-EKE7-02</v>
          </cell>
          <cell r="E452" t="str">
            <v>FT86</v>
          </cell>
          <cell r="F452" t="str">
            <v>FT86</v>
          </cell>
          <cell r="G452" t="str">
            <v>FT86</v>
          </cell>
          <cell r="H452" t="str">
            <v>FT 86</v>
          </cell>
          <cell r="I452" t="str">
            <v>FT 86</v>
          </cell>
          <cell r="J452" t="str">
            <v>FT 86</v>
          </cell>
          <cell r="K452" t="str">
            <v>FT86</v>
          </cell>
          <cell r="L452" t="str">
            <v>ZN6E7A/T02M</v>
          </cell>
          <cell r="M452" t="str">
            <v>FT86</v>
          </cell>
          <cell r="N452" t="str">
            <v>FT86</v>
          </cell>
          <cell r="O452" t="str">
            <v>ZN6-EKE7-02</v>
          </cell>
          <cell r="P452" t="e">
            <v>#N/A</v>
          </cell>
          <cell r="Q452" t="e">
            <v>#N/A</v>
          </cell>
          <cell r="R452" t="str">
            <v>ZN6-EKE7-02</v>
          </cell>
          <cell r="S452" t="str">
            <v>FT86</v>
          </cell>
          <cell r="T452" t="e">
            <v>#N/A</v>
          </cell>
          <cell r="U452" t="str">
            <v>FT 86</v>
          </cell>
        </row>
        <row r="453">
          <cell r="D453" t="e">
            <v>#N/A</v>
          </cell>
          <cell r="E453" t="str">
            <v>FT86</v>
          </cell>
          <cell r="F453" t="str">
            <v>FT86</v>
          </cell>
          <cell r="G453" t="str">
            <v>FT86</v>
          </cell>
          <cell r="H453" t="str">
            <v>FT 86</v>
          </cell>
          <cell r="I453" t="str">
            <v>FT 86</v>
          </cell>
          <cell r="J453" t="str">
            <v>FT 86</v>
          </cell>
          <cell r="K453" t="str">
            <v>FT86</v>
          </cell>
          <cell r="L453" t="str">
            <v>ZN6E7A/T00M</v>
          </cell>
          <cell r="M453" t="str">
            <v>FT86</v>
          </cell>
          <cell r="N453" t="str">
            <v>FT86</v>
          </cell>
          <cell r="O453" t="e">
            <v>#N/A</v>
          </cell>
          <cell r="P453" t="e">
            <v>#N/A</v>
          </cell>
          <cell r="Q453" t="e">
            <v>#N/A</v>
          </cell>
          <cell r="R453" t="e">
            <v>#N/A</v>
          </cell>
          <cell r="S453" t="str">
            <v>FT86</v>
          </cell>
          <cell r="T453" t="e">
            <v>#N/A</v>
          </cell>
          <cell r="U453" t="str">
            <v>FT 86</v>
          </cell>
        </row>
        <row r="454">
          <cell r="D454" t="e">
            <v>#N/A</v>
          </cell>
          <cell r="E454" t="str">
            <v>HIACE</v>
          </cell>
          <cell r="F454" t="str">
            <v>HIACE</v>
          </cell>
          <cell r="G454" t="str">
            <v>HIACE</v>
          </cell>
          <cell r="H454" t="str">
            <v>HIACE COMM</v>
          </cell>
          <cell r="I454" t="str">
            <v>HIACE COMM</v>
          </cell>
          <cell r="J454" t="str">
            <v>HIACE COMM</v>
          </cell>
          <cell r="K454" t="str">
            <v>HIACE COMM</v>
          </cell>
          <cell r="L454" t="str">
            <v>KD22M/T03COM</v>
          </cell>
          <cell r="M454" t="str">
            <v>HIACE</v>
          </cell>
          <cell r="N454" t="str">
            <v>HIACE COMM</v>
          </cell>
          <cell r="O454" t="e">
            <v>#N/A</v>
          </cell>
          <cell r="P454" t="e">
            <v>#N/A</v>
          </cell>
          <cell r="Q454" t="e">
            <v>#N/A</v>
          </cell>
          <cell r="R454" t="e">
            <v>#N/A</v>
          </cell>
          <cell r="S454" t="str">
            <v>HIACE</v>
          </cell>
          <cell r="T454" t="e">
            <v>#N/A</v>
          </cell>
          <cell r="U454" t="str">
            <v>HIACE COMM</v>
          </cell>
        </row>
        <row r="455">
          <cell r="D455" t="str">
            <v>KDH222R-LEMDY-21</v>
          </cell>
          <cell r="E455" t="str">
            <v>HIACE</v>
          </cell>
          <cell r="F455" t="str">
            <v>HIACE</v>
          </cell>
          <cell r="G455" t="str">
            <v>HIACE</v>
          </cell>
          <cell r="H455" t="str">
            <v>HIACE STD</v>
          </cell>
          <cell r="I455" t="str">
            <v>HIACE STD</v>
          </cell>
          <cell r="J455" t="str">
            <v>HIACE STD</v>
          </cell>
          <cell r="K455" t="str">
            <v>HIACE STD</v>
          </cell>
          <cell r="L455" t="str">
            <v>KD22M/T01STD</v>
          </cell>
          <cell r="M455" t="str">
            <v>HIACE</v>
          </cell>
          <cell r="N455" t="str">
            <v>HIACE STD</v>
          </cell>
          <cell r="O455" t="str">
            <v>KDH222R-LEMDY-21</v>
          </cell>
          <cell r="P455" t="e">
            <v>#N/A</v>
          </cell>
          <cell r="Q455" t="e">
            <v>#N/A</v>
          </cell>
          <cell r="R455" t="str">
            <v>KDH222R-LEMDY-21</v>
          </cell>
          <cell r="S455" t="str">
            <v>HIACE</v>
          </cell>
          <cell r="T455" t="e">
            <v>#N/A</v>
          </cell>
          <cell r="U455" t="str">
            <v>HIACE STD</v>
          </cell>
        </row>
        <row r="456">
          <cell r="D456" t="e">
            <v>#N/A</v>
          </cell>
          <cell r="E456" t="str">
            <v>HIACE</v>
          </cell>
          <cell r="F456" t="str">
            <v>HIACE</v>
          </cell>
          <cell r="G456" t="str">
            <v>HIACE</v>
          </cell>
          <cell r="H456" t="str">
            <v>HIACE STD</v>
          </cell>
          <cell r="I456" t="str">
            <v>HIACE STD</v>
          </cell>
          <cell r="J456" t="str">
            <v>HIACE STD</v>
          </cell>
          <cell r="K456" t="str">
            <v>HIACE STD</v>
          </cell>
          <cell r="L456" t="str">
            <v>KD22M/T01STDM</v>
          </cell>
          <cell r="M456" t="str">
            <v>HIACE</v>
          </cell>
          <cell r="N456" t="str">
            <v>HIACE STD</v>
          </cell>
          <cell r="O456" t="e">
            <v>#N/A</v>
          </cell>
          <cell r="P456" t="e">
            <v>#N/A</v>
          </cell>
          <cell r="Q456" t="e">
            <v>#N/A</v>
          </cell>
          <cell r="R456" t="e">
            <v>#N/A</v>
          </cell>
          <cell r="S456" t="str">
            <v>HIACE</v>
          </cell>
          <cell r="T456" t="e">
            <v>#N/A</v>
          </cell>
          <cell r="U456" t="str">
            <v>HIACE STD</v>
          </cell>
        </row>
        <row r="457">
          <cell r="D457" t="e">
            <v>#N/A</v>
          </cell>
          <cell r="E457" t="str">
            <v>HIACE</v>
          </cell>
          <cell r="F457" t="str">
            <v>HIACE</v>
          </cell>
          <cell r="G457" t="str">
            <v>HIACE</v>
          </cell>
          <cell r="H457" t="str">
            <v>HIACE STD</v>
          </cell>
          <cell r="I457" t="str">
            <v>HIACE STD</v>
          </cell>
          <cell r="J457" t="str">
            <v>HIACE STD</v>
          </cell>
          <cell r="K457" t="str">
            <v>HIACE STD</v>
          </cell>
          <cell r="L457" t="str">
            <v>KD22M/T01STDS</v>
          </cell>
          <cell r="M457" t="str">
            <v>HIACE</v>
          </cell>
          <cell r="N457" t="str">
            <v>HIACE STD</v>
          </cell>
          <cell r="O457" t="e">
            <v>#N/A</v>
          </cell>
          <cell r="P457" t="e">
            <v>#N/A</v>
          </cell>
          <cell r="Q457" t="e">
            <v>#N/A</v>
          </cell>
          <cell r="R457" t="e">
            <v>#N/A</v>
          </cell>
          <cell r="S457" t="str">
            <v>HIACE</v>
          </cell>
          <cell r="T457" t="e">
            <v>#N/A</v>
          </cell>
          <cell r="U457" t="str">
            <v>HIACE STD</v>
          </cell>
        </row>
        <row r="458">
          <cell r="D458" t="e">
            <v>#N/A</v>
          </cell>
          <cell r="E458" t="str">
            <v>HIACE</v>
          </cell>
          <cell r="F458" t="str">
            <v>HIACE</v>
          </cell>
          <cell r="G458" t="str">
            <v>HIACE</v>
          </cell>
          <cell r="H458" t="str">
            <v>HIACE STD</v>
          </cell>
          <cell r="I458" t="str">
            <v>HIACE STD</v>
          </cell>
          <cell r="J458" t="str">
            <v>HIACE STD</v>
          </cell>
          <cell r="K458" t="str">
            <v>HIACE STD</v>
          </cell>
          <cell r="L458" t="str">
            <v>KD22M/T21STDM</v>
          </cell>
          <cell r="M458" t="str">
            <v>HIACE</v>
          </cell>
          <cell r="N458" t="str">
            <v>HIACE STD</v>
          </cell>
          <cell r="O458" t="e">
            <v>#N/A</v>
          </cell>
          <cell r="P458" t="e">
            <v>#N/A</v>
          </cell>
          <cell r="Q458" t="e">
            <v>#N/A</v>
          </cell>
          <cell r="R458" t="e">
            <v>#N/A</v>
          </cell>
          <cell r="S458" t="str">
            <v>HIACE</v>
          </cell>
          <cell r="T458" t="e">
            <v>#N/A</v>
          </cell>
          <cell r="U458" t="str">
            <v>HIACE STD</v>
          </cell>
        </row>
        <row r="459">
          <cell r="D459" t="e">
            <v>#N/A</v>
          </cell>
          <cell r="E459" t="str">
            <v>HILUX</v>
          </cell>
          <cell r="F459" t="str">
            <v>HILUX DC</v>
          </cell>
          <cell r="G459" t="str">
            <v>HILUX DC</v>
          </cell>
          <cell r="H459" t="str">
            <v>HILUX DC E DIESEL</v>
          </cell>
          <cell r="I459" t="str">
            <v>HILUX DC E DIESEL</v>
          </cell>
          <cell r="J459" t="str">
            <v>HILUX DC E DIESEL</v>
          </cell>
          <cell r="K459" t="str">
            <v>HILUX DC</v>
          </cell>
          <cell r="L459" t="str">
            <v>KU26DC10</v>
          </cell>
          <cell r="M459" t="str">
            <v>HILUX</v>
          </cell>
          <cell r="N459" t="str">
            <v>HILUX DC</v>
          </cell>
          <cell r="O459" t="e">
            <v>#N/A</v>
          </cell>
          <cell r="P459" t="e">
            <v>#N/A</v>
          </cell>
          <cell r="Q459" t="e">
            <v>#N/A</v>
          </cell>
          <cell r="R459" t="e">
            <v>#N/A</v>
          </cell>
          <cell r="S459" t="str">
            <v>HILUX</v>
          </cell>
          <cell r="T459" t="e">
            <v>#N/A</v>
          </cell>
          <cell r="U459" t="str">
            <v>HILUX DC E DIESEL</v>
          </cell>
        </row>
        <row r="460">
          <cell r="D460" t="e">
            <v>#N/A</v>
          </cell>
          <cell r="E460" t="str">
            <v>HILUX</v>
          </cell>
          <cell r="F460" t="str">
            <v>HILUX DC</v>
          </cell>
          <cell r="G460" t="str">
            <v>HILUX DC</v>
          </cell>
          <cell r="H460" t="str">
            <v>HILUX DC G M/T DIESEL</v>
          </cell>
          <cell r="I460" t="str">
            <v>HILUX DC G M/T DIESEL</v>
          </cell>
          <cell r="J460" t="str">
            <v>HILUX DC G M/T DIESEL</v>
          </cell>
          <cell r="K460" t="str">
            <v>HILUX DC</v>
          </cell>
          <cell r="L460" t="str">
            <v>KU26DCGM/T</v>
          </cell>
          <cell r="M460" t="str">
            <v>HILUX</v>
          </cell>
          <cell r="N460" t="str">
            <v>HILUX DC</v>
          </cell>
          <cell r="O460" t="e">
            <v>#N/A</v>
          </cell>
          <cell r="P460" t="e">
            <v>#N/A</v>
          </cell>
          <cell r="Q460" t="e">
            <v>#N/A</v>
          </cell>
          <cell r="R460" t="e">
            <v>#N/A</v>
          </cell>
          <cell r="S460" t="str">
            <v>HILUX</v>
          </cell>
          <cell r="T460" t="e">
            <v>#N/A</v>
          </cell>
          <cell r="U460" t="str">
            <v>HILUX DC G M/T DIESEL</v>
          </cell>
        </row>
        <row r="461">
          <cell r="D461" t="e">
            <v>#N/A</v>
          </cell>
          <cell r="E461" t="str">
            <v>HILUX</v>
          </cell>
          <cell r="F461" t="str">
            <v>HILUX DC</v>
          </cell>
          <cell r="G461" t="str">
            <v>HILUX DC</v>
          </cell>
          <cell r="H461" t="str">
            <v>HILUX DC G M/T DIESEL</v>
          </cell>
          <cell r="I461" t="str">
            <v>HILUX DC G M/T DIESEL</v>
          </cell>
          <cell r="J461" t="str">
            <v>HILUX DC G M/T DIESEL</v>
          </cell>
          <cell r="K461" t="str">
            <v>HILUX DC</v>
          </cell>
          <cell r="L461" t="str">
            <v>KU26DC10M</v>
          </cell>
          <cell r="M461" t="str">
            <v>HILUX</v>
          </cell>
          <cell r="N461" t="str">
            <v>HILUX DC</v>
          </cell>
          <cell r="O461" t="e">
            <v>#N/A</v>
          </cell>
          <cell r="P461" t="e">
            <v>#N/A</v>
          </cell>
          <cell r="Q461" t="e">
            <v>#N/A</v>
          </cell>
          <cell r="R461" t="e">
            <v>#N/A</v>
          </cell>
          <cell r="S461" t="str">
            <v>HILUX</v>
          </cell>
          <cell r="T461" t="e">
            <v>#N/A</v>
          </cell>
          <cell r="U461" t="str">
            <v>HILUX DC G M/T DIESEL</v>
          </cell>
        </row>
        <row r="462">
          <cell r="D462" t="str">
            <v>KUN125R-DTFLHD-00</v>
          </cell>
          <cell r="E462" t="str">
            <v>HILUX</v>
          </cell>
          <cell r="F462" t="str">
            <v>HILUX DC</v>
          </cell>
          <cell r="G462" t="str">
            <v>HILUX DC</v>
          </cell>
          <cell r="H462" t="str">
            <v>HILUX DC E M/T DIESEL</v>
          </cell>
          <cell r="I462" t="str">
            <v>HILUX DC E M/T DIESEL</v>
          </cell>
          <cell r="J462" t="str">
            <v>HILUX DC E M/T DIESEL</v>
          </cell>
          <cell r="K462" t="str">
            <v>HILUX DC</v>
          </cell>
          <cell r="L462" t="str">
            <v>KU12DCEM/T</v>
          </cell>
          <cell r="M462" t="str">
            <v>HILUX</v>
          </cell>
          <cell r="N462" t="str">
            <v>HILUX DC</v>
          </cell>
          <cell r="O462" t="str">
            <v>KUN125R-DTFLHD-00</v>
          </cell>
          <cell r="P462" t="e">
            <v>#N/A</v>
          </cell>
          <cell r="Q462" t="e">
            <v>#N/A</v>
          </cell>
          <cell r="R462" t="str">
            <v>KUN125R-DTFLHD-00</v>
          </cell>
          <cell r="S462" t="str">
            <v>HILUX</v>
          </cell>
          <cell r="T462" t="e">
            <v>#N/A</v>
          </cell>
          <cell r="U462" t="str">
            <v>HILUX DC E M/T DIESEL</v>
          </cell>
        </row>
        <row r="463">
          <cell r="D463" t="e">
            <v>#N/A</v>
          </cell>
          <cell r="E463" t="str">
            <v>HILUX</v>
          </cell>
          <cell r="F463" t="str">
            <v>HILUX DC</v>
          </cell>
          <cell r="G463" t="str">
            <v>HILUX DC</v>
          </cell>
          <cell r="H463" t="str">
            <v>HILUX DC E M/T DIESEL</v>
          </cell>
          <cell r="I463" t="str">
            <v>HILUX DC E M/T DIESEL</v>
          </cell>
          <cell r="J463" t="str">
            <v>HILUX DC E M/T DIESEL</v>
          </cell>
          <cell r="K463" t="str">
            <v>HILUX DC</v>
          </cell>
          <cell r="L463" t="str">
            <v>KU25DCEM/T</v>
          </cell>
          <cell r="M463" t="str">
            <v>HILUX</v>
          </cell>
          <cell r="N463" t="str">
            <v>HILUX DC</v>
          </cell>
          <cell r="O463" t="e">
            <v>#N/A</v>
          </cell>
          <cell r="P463" t="e">
            <v>#N/A</v>
          </cell>
          <cell r="Q463" t="e">
            <v>#N/A</v>
          </cell>
          <cell r="R463" t="e">
            <v>#N/A</v>
          </cell>
          <cell r="S463" t="str">
            <v>HILUX</v>
          </cell>
          <cell r="T463" t="e">
            <v>#N/A</v>
          </cell>
          <cell r="U463" t="str">
            <v>HILUX DC E M/T DIESEL</v>
          </cell>
        </row>
        <row r="464">
          <cell r="D464" t="e">
            <v>#N/A</v>
          </cell>
          <cell r="E464" t="str">
            <v>HILUX</v>
          </cell>
          <cell r="F464" t="str">
            <v>HILUX DC</v>
          </cell>
          <cell r="G464" t="str">
            <v>HILUX DC</v>
          </cell>
          <cell r="H464" t="str">
            <v>HILUX DC E M/T DIESEL</v>
          </cell>
          <cell r="I464" t="str">
            <v>HILUX DC E M/T DIESEL</v>
          </cell>
          <cell r="J464" t="str">
            <v>HILUX DC E M/T DIESEL</v>
          </cell>
          <cell r="K464" t="str">
            <v>HILUX DC</v>
          </cell>
          <cell r="L464" t="str">
            <v>KU25DCEM/T10M</v>
          </cell>
          <cell r="M464" t="str">
            <v>HILUX</v>
          </cell>
          <cell r="N464" t="str">
            <v>HILUX DC</v>
          </cell>
          <cell r="O464" t="e">
            <v>#N/A</v>
          </cell>
          <cell r="P464" t="e">
            <v>#N/A</v>
          </cell>
          <cell r="Q464" t="e">
            <v>#N/A</v>
          </cell>
          <cell r="R464" t="e">
            <v>#N/A</v>
          </cell>
          <cell r="S464" t="str">
            <v>HILUX</v>
          </cell>
          <cell r="T464" t="e">
            <v>#N/A</v>
          </cell>
          <cell r="U464" t="str">
            <v>HILUX DC E M/T DIESEL</v>
          </cell>
        </row>
        <row r="465">
          <cell r="D465" t="e">
            <v>#N/A</v>
          </cell>
          <cell r="E465" t="str">
            <v>HILUX</v>
          </cell>
          <cell r="F465" t="str">
            <v>HILUX DC</v>
          </cell>
          <cell r="G465" t="str">
            <v>HILUX DC</v>
          </cell>
          <cell r="H465" t="str">
            <v>HILUX DC E M/T DIESEL</v>
          </cell>
          <cell r="I465" t="str">
            <v>HILUX DC E M/T DIESEL</v>
          </cell>
          <cell r="J465" t="str">
            <v>HILUX DC E M/T DIESEL</v>
          </cell>
          <cell r="K465" t="str">
            <v>HILUX DC</v>
          </cell>
          <cell r="L465" t="str">
            <v>KU25DCEM/T20M</v>
          </cell>
          <cell r="M465" t="str">
            <v>HILUX</v>
          </cell>
          <cell r="N465" t="str">
            <v>HILUX DC</v>
          </cell>
          <cell r="O465" t="e">
            <v>#N/A</v>
          </cell>
          <cell r="P465" t="e">
            <v>#N/A</v>
          </cell>
          <cell r="Q465" t="e">
            <v>#N/A</v>
          </cell>
          <cell r="R465" t="e">
            <v>#N/A</v>
          </cell>
          <cell r="S465" t="str">
            <v>HILUX</v>
          </cell>
          <cell r="T465" t="e">
            <v>#N/A</v>
          </cell>
          <cell r="U465" t="str">
            <v>HILUX DC E M/T DIESEL</v>
          </cell>
        </row>
        <row r="466">
          <cell r="D466" t="e">
            <v>#N/A</v>
          </cell>
          <cell r="E466" t="str">
            <v>HILUX</v>
          </cell>
          <cell r="F466" t="str">
            <v>HILUX DC</v>
          </cell>
          <cell r="G466" t="str">
            <v>HILUX DC</v>
          </cell>
          <cell r="H466" t="str">
            <v>HILUX DC E M/T DIESEL</v>
          </cell>
          <cell r="I466" t="str">
            <v>HILUX DC E M/T DIESEL</v>
          </cell>
          <cell r="J466" t="str">
            <v>HILUX DC E M/T DIESEL</v>
          </cell>
          <cell r="K466" t="str">
            <v>HILUX DC</v>
          </cell>
          <cell r="L466" t="str">
            <v>KU25DCEM/TM</v>
          </cell>
          <cell r="M466" t="str">
            <v>HILUX</v>
          </cell>
          <cell r="N466" t="str">
            <v>HILUX DC</v>
          </cell>
          <cell r="O466" t="e">
            <v>#N/A</v>
          </cell>
          <cell r="P466" t="e">
            <v>#N/A</v>
          </cell>
          <cell r="Q466" t="e">
            <v>#N/A</v>
          </cell>
          <cell r="R466" t="e">
            <v>#N/A</v>
          </cell>
          <cell r="S466" t="str">
            <v>HILUX</v>
          </cell>
          <cell r="T466" t="e">
            <v>#N/A</v>
          </cell>
          <cell r="U466" t="str">
            <v>HILUX DC E M/T DIESEL</v>
          </cell>
        </row>
        <row r="467">
          <cell r="D467" t="str">
            <v>GUN125R-DTFLHD-00</v>
          </cell>
          <cell r="E467" t="str">
            <v>HILUX</v>
          </cell>
          <cell r="F467" t="str">
            <v>HILUX DC</v>
          </cell>
          <cell r="G467" t="str">
            <v>HILUX DC</v>
          </cell>
          <cell r="H467" t="str">
            <v>HILUX DC E M/T DIESEL</v>
          </cell>
          <cell r="I467" t="str">
            <v>HILUX DC E M/T DIESEL</v>
          </cell>
          <cell r="J467" t="str">
            <v>HILUX DC E M/T DIESEL</v>
          </cell>
          <cell r="K467" t="str">
            <v>HILUX DC</v>
          </cell>
          <cell r="L467" t="str">
            <v>GUN25DEM/T00M</v>
          </cell>
          <cell r="M467" t="str">
            <v>HILUX</v>
          </cell>
          <cell r="N467" t="str">
            <v>HILUX DC</v>
          </cell>
          <cell r="O467" t="str">
            <v>GUN125R-DTFLHD-00</v>
          </cell>
          <cell r="P467" t="e">
            <v>#N/A</v>
          </cell>
          <cell r="Q467" t="e">
            <v>#N/A</v>
          </cell>
          <cell r="R467" t="str">
            <v>GUN125R-DTFLHD-00</v>
          </cell>
          <cell r="S467" t="str">
            <v>HILUX</v>
          </cell>
          <cell r="T467" t="e">
            <v>#N/A</v>
          </cell>
          <cell r="U467" t="str">
            <v>HILUX DC E M/T DIESEL</v>
          </cell>
        </row>
        <row r="468">
          <cell r="D468" t="str">
            <v>KUN125R-DTFSHD-00</v>
          </cell>
          <cell r="E468" t="str">
            <v>HILUX</v>
          </cell>
          <cell r="F468" t="str">
            <v>HILUX DC</v>
          </cell>
          <cell r="G468" t="str">
            <v>HILUX DC</v>
          </cell>
          <cell r="H468" t="str">
            <v>HILUX DC G M/T DIESEL</v>
          </cell>
          <cell r="I468" t="str">
            <v>HILUX DC G M/T DIESEL</v>
          </cell>
          <cell r="J468" t="str">
            <v>HILUX DC G M/T DIESEL</v>
          </cell>
          <cell r="K468" t="str">
            <v>HILUX DC</v>
          </cell>
          <cell r="L468" t="str">
            <v>KU12DCGM/T</v>
          </cell>
          <cell r="M468" t="str">
            <v>HILUX</v>
          </cell>
          <cell r="N468" t="str">
            <v>HILUX DC</v>
          </cell>
          <cell r="O468" t="str">
            <v>KUN125R-DTFSHD-00</v>
          </cell>
          <cell r="P468" t="e">
            <v>#N/A</v>
          </cell>
          <cell r="Q468" t="e">
            <v>#N/A</v>
          </cell>
          <cell r="R468" t="str">
            <v>KUN125R-DTFSHD-00</v>
          </cell>
          <cell r="S468" t="str">
            <v>HILUX</v>
          </cell>
          <cell r="T468" t="e">
            <v>#N/A</v>
          </cell>
          <cell r="U468" t="str">
            <v>HILUX DC G M/T DIESEL</v>
          </cell>
        </row>
        <row r="469">
          <cell r="D469" t="e">
            <v>#N/A</v>
          </cell>
          <cell r="E469" t="str">
            <v>HILUX</v>
          </cell>
          <cell r="F469" t="str">
            <v>HILUX DC</v>
          </cell>
          <cell r="G469" t="str">
            <v>HILUX DC</v>
          </cell>
          <cell r="H469" t="str">
            <v>HILUX DC G M/T DIESEL</v>
          </cell>
          <cell r="I469" t="str">
            <v>HILUX DC G M/T DIESEL</v>
          </cell>
          <cell r="J469" t="str">
            <v>HILUX DC G M/T DIESEL</v>
          </cell>
          <cell r="K469" t="str">
            <v>HILUX DC</v>
          </cell>
          <cell r="L469" t="str">
            <v>KU25DCGM/T01</v>
          </cell>
          <cell r="M469" t="str">
            <v>HILUX</v>
          </cell>
          <cell r="N469" t="str">
            <v>HILUX DC</v>
          </cell>
          <cell r="O469" t="e">
            <v>#N/A</v>
          </cell>
          <cell r="P469" t="e">
            <v>#N/A</v>
          </cell>
          <cell r="Q469" t="e">
            <v>#N/A</v>
          </cell>
          <cell r="R469" t="e">
            <v>#N/A</v>
          </cell>
          <cell r="S469" t="str">
            <v>HILUX</v>
          </cell>
          <cell r="T469" t="e">
            <v>#N/A</v>
          </cell>
          <cell r="U469" t="str">
            <v>HILUX DC G M/T DIESEL</v>
          </cell>
        </row>
        <row r="470">
          <cell r="D470" t="e">
            <v>#N/A</v>
          </cell>
          <cell r="E470" t="str">
            <v>HILUX</v>
          </cell>
          <cell r="F470" t="str">
            <v>HILUX DC</v>
          </cell>
          <cell r="G470" t="str">
            <v>HILUX DC</v>
          </cell>
          <cell r="H470" t="str">
            <v>HILUX DC G M/T DIESEL</v>
          </cell>
          <cell r="I470" t="str">
            <v>HILUX DC G M/T DIESEL</v>
          </cell>
          <cell r="J470" t="str">
            <v>HILUX DC G M/T DIESEL</v>
          </cell>
          <cell r="K470" t="str">
            <v>HILUX DC</v>
          </cell>
          <cell r="L470" t="str">
            <v>KU25DCGM/T01M</v>
          </cell>
          <cell r="M470" t="str">
            <v>HILUX</v>
          </cell>
          <cell r="N470" t="str">
            <v>HILUX DC</v>
          </cell>
          <cell r="O470" t="e">
            <v>#N/A</v>
          </cell>
          <cell r="P470" t="e">
            <v>#N/A</v>
          </cell>
          <cell r="Q470" t="e">
            <v>#N/A</v>
          </cell>
          <cell r="R470" t="e">
            <v>#N/A</v>
          </cell>
          <cell r="S470" t="str">
            <v>HILUX</v>
          </cell>
          <cell r="T470" t="e">
            <v>#N/A</v>
          </cell>
          <cell r="U470" t="str">
            <v>HILUX DC G M/T DIESEL</v>
          </cell>
        </row>
        <row r="471">
          <cell r="D471" t="e">
            <v>#N/A</v>
          </cell>
          <cell r="E471" t="str">
            <v>HILUX</v>
          </cell>
          <cell r="F471" t="str">
            <v>HILUX DC</v>
          </cell>
          <cell r="G471" t="str">
            <v>HILUX DC</v>
          </cell>
          <cell r="H471" t="str">
            <v>HILUX DC G M/T DIESEL</v>
          </cell>
          <cell r="I471" t="str">
            <v>HILUX DC G M/T DIESEL</v>
          </cell>
          <cell r="J471" t="str">
            <v>HILUX DC G M/T DIESEL</v>
          </cell>
          <cell r="K471" t="str">
            <v>HILUX DC</v>
          </cell>
          <cell r="L471" t="str">
            <v>KU25DCGM/T11M</v>
          </cell>
          <cell r="M471" t="str">
            <v>HILUX</v>
          </cell>
          <cell r="N471" t="str">
            <v>HILUX DC</v>
          </cell>
          <cell r="O471" t="e">
            <v>#N/A</v>
          </cell>
          <cell r="P471" t="e">
            <v>#N/A</v>
          </cell>
          <cell r="Q471" t="e">
            <v>#N/A</v>
          </cell>
          <cell r="R471" t="e">
            <v>#N/A</v>
          </cell>
          <cell r="S471" t="str">
            <v>HILUX</v>
          </cell>
          <cell r="T471" t="e">
            <v>#N/A</v>
          </cell>
          <cell r="U471" t="str">
            <v>HILUX DC G M/T DIESEL</v>
          </cell>
        </row>
        <row r="472">
          <cell r="D472" t="e">
            <v>#N/A</v>
          </cell>
          <cell r="E472" t="str">
            <v>HILUX</v>
          </cell>
          <cell r="F472" t="str">
            <v>HILUX DC</v>
          </cell>
          <cell r="G472" t="str">
            <v>HILUX DC</v>
          </cell>
          <cell r="H472" t="str">
            <v>HILUX DC G M/T DIESEL</v>
          </cell>
          <cell r="I472" t="str">
            <v>HILUX DC G M/T DIESEL</v>
          </cell>
          <cell r="J472" t="str">
            <v>HILUX DC G M/T DIESEL</v>
          </cell>
          <cell r="K472" t="str">
            <v>HILUX DC</v>
          </cell>
          <cell r="L472" t="str">
            <v>KU25DCGM/T21M</v>
          </cell>
          <cell r="M472" t="str">
            <v>HILUX</v>
          </cell>
          <cell r="N472" t="str">
            <v>HILUX DC</v>
          </cell>
          <cell r="O472" t="e">
            <v>#N/A</v>
          </cell>
          <cell r="P472" t="e">
            <v>#N/A</v>
          </cell>
          <cell r="Q472" t="e">
            <v>#N/A</v>
          </cell>
          <cell r="R472" t="e">
            <v>#N/A</v>
          </cell>
          <cell r="S472" t="str">
            <v>HILUX</v>
          </cell>
          <cell r="T472" t="e">
            <v>#N/A</v>
          </cell>
          <cell r="U472" t="str">
            <v>HILUX DC G M/T DIESEL</v>
          </cell>
        </row>
        <row r="473">
          <cell r="D473" t="str">
            <v>GUN125R-DTFSHD-00</v>
          </cell>
          <cell r="E473" t="str">
            <v>HILUX</v>
          </cell>
          <cell r="F473" t="str">
            <v>HILUX DC</v>
          </cell>
          <cell r="G473" t="str">
            <v>HILUX DC</v>
          </cell>
          <cell r="H473" t="str">
            <v>HILUX DC G M/T DIESEL</v>
          </cell>
          <cell r="I473" t="str">
            <v>HILUX DC G M/T DIESEL</v>
          </cell>
          <cell r="J473" t="str">
            <v>HILUX DC G M/T DIESEL</v>
          </cell>
          <cell r="K473" t="str">
            <v>HILUX DC</v>
          </cell>
          <cell r="L473" t="str">
            <v>GUN25DGM/T00M</v>
          </cell>
          <cell r="M473" t="str">
            <v>HILUX</v>
          </cell>
          <cell r="N473" t="str">
            <v>HILUX DC</v>
          </cell>
          <cell r="O473" t="str">
            <v>GUN125R-DTFSHD-00</v>
          </cell>
          <cell r="P473" t="e">
            <v>#N/A</v>
          </cell>
          <cell r="Q473" t="e">
            <v>#N/A</v>
          </cell>
          <cell r="R473" t="str">
            <v>GUN125R-DTFSHD-00</v>
          </cell>
          <cell r="S473" t="str">
            <v>HILUX</v>
          </cell>
          <cell r="T473" t="e">
            <v>#N/A</v>
          </cell>
          <cell r="U473" t="str">
            <v>HILUX DC G M/T DIESEL</v>
          </cell>
        </row>
        <row r="474">
          <cell r="D474" t="str">
            <v>KUN125R-DTAMHD-00</v>
          </cell>
          <cell r="E474" t="str">
            <v>HILUX</v>
          </cell>
          <cell r="F474" t="str">
            <v>HILUX DC</v>
          </cell>
          <cell r="G474" t="str">
            <v>HILUX DC</v>
          </cell>
          <cell r="H474" t="str">
            <v>HILUX DC V A/T DIESEL</v>
          </cell>
          <cell r="I474" t="str">
            <v>HILUX DC V A/T DIESEL</v>
          </cell>
          <cell r="J474" t="str">
            <v>HILUX DC V A/T DIESEL</v>
          </cell>
          <cell r="K474" t="str">
            <v>HILUX DC</v>
          </cell>
          <cell r="L474" t="str">
            <v>KU12DCVA/T</v>
          </cell>
          <cell r="M474" t="str">
            <v>HILUX</v>
          </cell>
          <cell r="N474" t="str">
            <v>HILUX DC</v>
          </cell>
          <cell r="O474" t="str">
            <v>KUN125R-DTAMHD-00</v>
          </cell>
          <cell r="P474" t="e">
            <v>#N/A</v>
          </cell>
          <cell r="Q474" t="e">
            <v>#N/A</v>
          </cell>
          <cell r="R474" t="str">
            <v>KUN125R-DTAMHD-00</v>
          </cell>
          <cell r="S474" t="str">
            <v>HILUX</v>
          </cell>
          <cell r="T474" t="e">
            <v>#N/A</v>
          </cell>
          <cell r="U474" t="str">
            <v>HILUX DC V A/T DIESEL</v>
          </cell>
        </row>
        <row r="475">
          <cell r="D475" t="e">
            <v>#N/A</v>
          </cell>
          <cell r="E475" t="str">
            <v>HILUX</v>
          </cell>
          <cell r="F475" t="str">
            <v>HILUX DC</v>
          </cell>
          <cell r="G475" t="str">
            <v>HILUX DC</v>
          </cell>
          <cell r="H475" t="str">
            <v>HILUX DC V A/T DIESEL</v>
          </cell>
          <cell r="I475" t="str">
            <v>HILUX DC V A/T DIESEL</v>
          </cell>
          <cell r="J475" t="str">
            <v>HILUX DC V A/T DIESEL</v>
          </cell>
          <cell r="K475" t="str">
            <v>HILUX DC</v>
          </cell>
          <cell r="L475" t="str">
            <v>KU25DCVA/T10M</v>
          </cell>
          <cell r="M475" t="str">
            <v>HILUX</v>
          </cell>
          <cell r="N475" t="str">
            <v>HILUX DC</v>
          </cell>
          <cell r="O475" t="e">
            <v>#N/A</v>
          </cell>
          <cell r="P475" t="e">
            <v>#N/A</v>
          </cell>
          <cell r="Q475" t="e">
            <v>#N/A</v>
          </cell>
          <cell r="R475" t="e">
            <v>#N/A</v>
          </cell>
          <cell r="S475" t="str">
            <v>HILUX</v>
          </cell>
          <cell r="T475" t="e">
            <v>#N/A</v>
          </cell>
          <cell r="U475" t="str">
            <v>HILUX DC V A/T DIESEL</v>
          </cell>
        </row>
        <row r="476">
          <cell r="D476" t="e">
            <v>#N/A</v>
          </cell>
          <cell r="E476" t="str">
            <v>HILUX</v>
          </cell>
          <cell r="F476" t="str">
            <v>HILUX DC</v>
          </cell>
          <cell r="G476" t="str">
            <v>HILUX DC</v>
          </cell>
          <cell r="H476" t="str">
            <v>HILUX DC V A/T DIESEL</v>
          </cell>
          <cell r="I476" t="str">
            <v>HILUX DC V A/T DIESEL</v>
          </cell>
          <cell r="J476" t="str">
            <v>HILUX DC V A/T DIESEL</v>
          </cell>
          <cell r="K476" t="str">
            <v>HILUX DC</v>
          </cell>
          <cell r="L476" t="str">
            <v>KU25DCVA/TM</v>
          </cell>
          <cell r="M476" t="str">
            <v>HILUX</v>
          </cell>
          <cell r="N476" t="str">
            <v>HILUX DC</v>
          </cell>
          <cell r="O476" t="e">
            <v>#N/A</v>
          </cell>
          <cell r="P476" t="e">
            <v>#N/A</v>
          </cell>
          <cell r="Q476" t="e">
            <v>#N/A</v>
          </cell>
          <cell r="R476" t="e">
            <v>#N/A</v>
          </cell>
          <cell r="S476" t="str">
            <v>HILUX</v>
          </cell>
          <cell r="T476" t="e">
            <v>#N/A</v>
          </cell>
          <cell r="U476" t="str">
            <v>HILUX DC V A/T DIESEL</v>
          </cell>
        </row>
        <row r="477">
          <cell r="D477" t="str">
            <v>KUN125R-CTFLHD-00</v>
          </cell>
          <cell r="E477" t="str">
            <v>HILUX</v>
          </cell>
          <cell r="F477" t="str">
            <v>HILUX EC</v>
          </cell>
          <cell r="G477" t="str">
            <v>HILUX EC</v>
          </cell>
          <cell r="H477" t="str">
            <v>HILUX EC M/T DIESEL</v>
          </cell>
          <cell r="I477" t="str">
            <v>HILUX EC M/T DIESEL</v>
          </cell>
          <cell r="J477" t="str">
            <v>HILUX EC M/T DIESEL</v>
          </cell>
          <cell r="K477" t="str">
            <v>HILUX EC</v>
          </cell>
          <cell r="L477" t="str">
            <v>KU12CCEM/T</v>
          </cell>
          <cell r="M477" t="str">
            <v>HILUX</v>
          </cell>
          <cell r="N477" t="str">
            <v>HILUX EC</v>
          </cell>
          <cell r="O477" t="str">
            <v>KUN125R-CTFLHD-00</v>
          </cell>
          <cell r="P477" t="e">
            <v>#N/A</v>
          </cell>
          <cell r="Q477" t="e">
            <v>#N/A</v>
          </cell>
          <cell r="R477" t="str">
            <v>KUN125R-CTFLHD-00</v>
          </cell>
          <cell r="S477" t="str">
            <v>HILUX</v>
          </cell>
          <cell r="T477" t="e">
            <v>#N/A</v>
          </cell>
          <cell r="U477" t="str">
            <v>HILUX EC M/T DIESEL</v>
          </cell>
        </row>
        <row r="478">
          <cell r="D478" t="str">
            <v>GUN125R-CTFLHD-00</v>
          </cell>
          <cell r="E478" t="str">
            <v>HILUX</v>
          </cell>
          <cell r="F478" t="str">
            <v>HILUX EC</v>
          </cell>
          <cell r="G478" t="str">
            <v>HILUX EC</v>
          </cell>
          <cell r="H478" t="str">
            <v>HILUX EC M/T DIESEL</v>
          </cell>
          <cell r="I478" t="str">
            <v>HILUX EC M/T DIESEL</v>
          </cell>
          <cell r="J478" t="str">
            <v>HILUX EC M/T DIESEL</v>
          </cell>
          <cell r="K478" t="str">
            <v>HILUX EC</v>
          </cell>
          <cell r="L478" t="str">
            <v>GUN25CEM/T00M</v>
          </cell>
          <cell r="M478" t="str">
            <v>HILUX</v>
          </cell>
          <cell r="N478" t="str">
            <v>HILUX EC</v>
          </cell>
          <cell r="O478" t="str">
            <v>GUN125R-CTFLHD-00</v>
          </cell>
          <cell r="P478" t="e">
            <v>#N/A</v>
          </cell>
          <cell r="Q478" t="e">
            <v>#N/A</v>
          </cell>
          <cell r="R478" t="str">
            <v>GUN125R-CTFLHD-00</v>
          </cell>
          <cell r="S478" t="str">
            <v>HILUX</v>
          </cell>
          <cell r="T478" t="e">
            <v>#N/A</v>
          </cell>
          <cell r="U478" t="str">
            <v>HILUX EC M/T DIESEL</v>
          </cell>
        </row>
        <row r="479">
          <cell r="D479" t="e">
            <v>#N/A</v>
          </cell>
          <cell r="E479" t="str">
            <v>HILUX</v>
          </cell>
          <cell r="F479" t="str">
            <v>HILUX SC</v>
          </cell>
          <cell r="G479" t="str">
            <v>HILUX SC</v>
          </cell>
          <cell r="H479" t="str">
            <v>HILUX PU CHASSIS</v>
          </cell>
          <cell r="I479" t="str">
            <v>HILUX PU CHASSIS</v>
          </cell>
          <cell r="J479" t="str">
            <v>HILUX PU CHASSIS</v>
          </cell>
          <cell r="K479" t="str">
            <v>HILUX SC</v>
          </cell>
          <cell r="L479" t="str">
            <v>TG10PUCCM/TM</v>
          </cell>
          <cell r="M479" t="str">
            <v>HILUX</v>
          </cell>
          <cell r="N479" t="str">
            <v>HILUX SC</v>
          </cell>
          <cell r="O479" t="e">
            <v>#N/A</v>
          </cell>
          <cell r="P479" t="e">
            <v>#N/A</v>
          </cell>
          <cell r="Q479" t="e">
            <v>#N/A</v>
          </cell>
          <cell r="R479" t="e">
            <v>#N/A</v>
          </cell>
          <cell r="S479" t="str">
            <v>HILUX</v>
          </cell>
          <cell r="T479" t="e">
            <v>#N/A</v>
          </cell>
          <cell r="U479" t="str">
            <v>HILUX PU CHASSIS</v>
          </cell>
        </row>
        <row r="480">
          <cell r="D480" t="e">
            <v>#N/A</v>
          </cell>
          <cell r="E480" t="str">
            <v>HILUX</v>
          </cell>
          <cell r="F480" t="str">
            <v>HILUX SC</v>
          </cell>
          <cell r="G480" t="str">
            <v>HILUX SC</v>
          </cell>
          <cell r="H480" t="str">
            <v>HILUX SC PU</v>
          </cell>
          <cell r="I480" t="str">
            <v>HILUX SC PU</v>
          </cell>
          <cell r="J480" t="str">
            <v>HILUX SC PU</v>
          </cell>
          <cell r="K480" t="str">
            <v>HILUX SC</v>
          </cell>
          <cell r="L480" t="str">
            <v>TG10PU01m</v>
          </cell>
          <cell r="M480" t="str">
            <v>HILUX</v>
          </cell>
          <cell r="N480" t="str">
            <v>HILUX SC</v>
          </cell>
          <cell r="O480" t="e">
            <v>#N/A</v>
          </cell>
          <cell r="P480" t="e">
            <v>#N/A</v>
          </cell>
          <cell r="Q480" t="e">
            <v>#N/A</v>
          </cell>
          <cell r="R480" t="e">
            <v>#N/A</v>
          </cell>
          <cell r="S480" t="str">
            <v>HILUX</v>
          </cell>
          <cell r="T480" t="e">
            <v>#N/A</v>
          </cell>
          <cell r="U480" t="str">
            <v>HILUX SC PU</v>
          </cell>
        </row>
        <row r="481">
          <cell r="D481" t="e">
            <v>#N/A</v>
          </cell>
          <cell r="E481" t="str">
            <v>HILUX</v>
          </cell>
          <cell r="F481" t="str">
            <v>HILUX SC</v>
          </cell>
          <cell r="G481" t="str">
            <v>HILUX SC</v>
          </cell>
          <cell r="H481" t="str">
            <v>HILUX SC PU</v>
          </cell>
          <cell r="I481" t="str">
            <v>HILUX SC PU</v>
          </cell>
          <cell r="J481" t="str">
            <v>HILUX SC PU</v>
          </cell>
          <cell r="K481" t="str">
            <v>HILUX SC</v>
          </cell>
          <cell r="L481" t="str">
            <v>TG10PU10</v>
          </cell>
          <cell r="M481" t="str">
            <v>HILUX</v>
          </cell>
          <cell r="N481" t="str">
            <v>HILUX SC</v>
          </cell>
          <cell r="O481" t="e">
            <v>#N/A</v>
          </cell>
          <cell r="P481" t="e">
            <v>#N/A</v>
          </cell>
          <cell r="Q481" t="e">
            <v>#N/A</v>
          </cell>
          <cell r="R481" t="e">
            <v>#N/A</v>
          </cell>
          <cell r="S481" t="str">
            <v>HILUX</v>
          </cell>
          <cell r="T481" t="e">
            <v>#N/A</v>
          </cell>
          <cell r="U481" t="str">
            <v>HILUX SC PU</v>
          </cell>
        </row>
        <row r="482">
          <cell r="D482" t="e">
            <v>#N/A</v>
          </cell>
          <cell r="E482" t="str">
            <v>HILUX</v>
          </cell>
          <cell r="F482" t="str">
            <v>HILUX SC</v>
          </cell>
          <cell r="G482" t="str">
            <v>HILUX SC</v>
          </cell>
          <cell r="H482" t="str">
            <v>HILUX SC PU</v>
          </cell>
          <cell r="I482" t="str">
            <v>HILUX SC PU</v>
          </cell>
          <cell r="J482" t="str">
            <v>HILUX SC PU</v>
          </cell>
          <cell r="K482" t="str">
            <v>HILUX SC</v>
          </cell>
          <cell r="L482" t="str">
            <v>TG10PU10M</v>
          </cell>
          <cell r="M482" t="str">
            <v>HILUX</v>
          </cell>
          <cell r="N482" t="str">
            <v>HILUX SC</v>
          </cell>
          <cell r="O482" t="e">
            <v>#N/A</v>
          </cell>
          <cell r="P482" t="e">
            <v>#N/A</v>
          </cell>
          <cell r="Q482" t="e">
            <v>#N/A</v>
          </cell>
          <cell r="R482" t="e">
            <v>#N/A</v>
          </cell>
          <cell r="S482" t="str">
            <v>HILUX</v>
          </cell>
          <cell r="T482" t="e">
            <v>#N/A</v>
          </cell>
          <cell r="U482" t="str">
            <v>HILUX SC PU</v>
          </cell>
        </row>
        <row r="483">
          <cell r="D483" t="e">
            <v>#N/A</v>
          </cell>
          <cell r="E483" t="str">
            <v>HILUX</v>
          </cell>
          <cell r="F483" t="str">
            <v>HILUX SC</v>
          </cell>
          <cell r="G483" t="str">
            <v>HILUX SC</v>
          </cell>
          <cell r="H483" t="str">
            <v>HILUX SC PU</v>
          </cell>
          <cell r="I483" t="str">
            <v>HILUX SC PU</v>
          </cell>
          <cell r="J483" t="str">
            <v>HILUX SC PU</v>
          </cell>
          <cell r="K483" t="str">
            <v>HILUX SC</v>
          </cell>
          <cell r="L483" t="str">
            <v>TG10PUCCM/T10</v>
          </cell>
          <cell r="M483" t="str">
            <v>HILUX</v>
          </cell>
          <cell r="N483" t="str">
            <v>HILUX SC</v>
          </cell>
          <cell r="O483" t="e">
            <v>#N/A</v>
          </cell>
          <cell r="P483" t="e">
            <v>#N/A</v>
          </cell>
          <cell r="Q483" t="e">
            <v>#N/A</v>
          </cell>
          <cell r="R483" t="e">
            <v>#N/A</v>
          </cell>
          <cell r="S483" t="str">
            <v>HILUX</v>
          </cell>
          <cell r="T483" t="e">
            <v>#N/A</v>
          </cell>
          <cell r="U483" t="str">
            <v>HILUX SC PU</v>
          </cell>
        </row>
        <row r="484">
          <cell r="D484" t="e">
            <v>#N/A</v>
          </cell>
          <cell r="E484" t="str">
            <v>HILUX</v>
          </cell>
          <cell r="F484" t="str">
            <v>HILUX SC</v>
          </cell>
          <cell r="G484" t="str">
            <v>HILUX SC</v>
          </cell>
          <cell r="H484" t="str">
            <v>HILUX SC PU</v>
          </cell>
          <cell r="I484" t="str">
            <v>HILUX SC PU</v>
          </cell>
          <cell r="J484" t="str">
            <v>HILUX SC PU</v>
          </cell>
          <cell r="K484" t="str">
            <v>HILUX SC</v>
          </cell>
          <cell r="L484" t="str">
            <v>TG10PUCCM/T10M</v>
          </cell>
          <cell r="M484" t="str">
            <v>HILUX</v>
          </cell>
          <cell r="N484" t="str">
            <v>HILUX SC</v>
          </cell>
          <cell r="O484" t="e">
            <v>#N/A</v>
          </cell>
          <cell r="P484" t="e">
            <v>#N/A</v>
          </cell>
          <cell r="Q484" t="e">
            <v>#N/A</v>
          </cell>
          <cell r="R484" t="e">
            <v>#N/A</v>
          </cell>
          <cell r="S484" t="str">
            <v>HILUX</v>
          </cell>
          <cell r="T484" t="e">
            <v>#N/A</v>
          </cell>
          <cell r="U484" t="str">
            <v>HILUX SC PU</v>
          </cell>
        </row>
        <row r="485">
          <cell r="D485" t="e">
            <v>#N/A</v>
          </cell>
          <cell r="E485" t="str">
            <v>HILUX</v>
          </cell>
          <cell r="F485" t="str">
            <v>HILUX SC</v>
          </cell>
          <cell r="G485" t="str">
            <v>HILUX SC</v>
          </cell>
          <cell r="H485" t="str">
            <v>HILUX SC PU</v>
          </cell>
          <cell r="I485" t="str">
            <v>HILUX SC PU</v>
          </cell>
          <cell r="J485" t="str">
            <v>HILUX SC PU</v>
          </cell>
          <cell r="K485" t="str">
            <v>HILUX SC</v>
          </cell>
          <cell r="L485" t="str">
            <v>TG10PUCCM/T20M</v>
          </cell>
          <cell r="M485" t="str">
            <v>HILUX</v>
          </cell>
          <cell r="N485" t="str">
            <v>HILUX SC</v>
          </cell>
          <cell r="O485" t="e">
            <v>#N/A</v>
          </cell>
          <cell r="P485" t="e">
            <v>#N/A</v>
          </cell>
          <cell r="Q485" t="e">
            <v>#N/A</v>
          </cell>
          <cell r="R485" t="e">
            <v>#N/A</v>
          </cell>
          <cell r="S485" t="str">
            <v>HILUX</v>
          </cell>
          <cell r="T485" t="e">
            <v>#N/A</v>
          </cell>
          <cell r="U485" t="str">
            <v>HILUX SC PU</v>
          </cell>
        </row>
        <row r="486">
          <cell r="D486" t="e">
            <v>#N/A</v>
          </cell>
          <cell r="E486" t="str">
            <v>HILUX</v>
          </cell>
          <cell r="F486" t="str">
            <v>HILUX SC</v>
          </cell>
          <cell r="G486" t="str">
            <v>HILUX SC</v>
          </cell>
          <cell r="H486" t="str">
            <v>HILUX SC PU</v>
          </cell>
          <cell r="I486" t="str">
            <v>HILUX SC PU</v>
          </cell>
          <cell r="J486" t="str">
            <v>HILUX SC PU</v>
          </cell>
          <cell r="K486" t="str">
            <v>HILUX SC</v>
          </cell>
          <cell r="L486" t="str">
            <v>TG10PUm</v>
          </cell>
          <cell r="M486" t="str">
            <v>HILUX</v>
          </cell>
          <cell r="N486" t="str">
            <v>HILUX SC</v>
          </cell>
          <cell r="O486" t="e">
            <v>#N/A</v>
          </cell>
          <cell r="P486" t="e">
            <v>#N/A</v>
          </cell>
          <cell r="Q486" t="e">
            <v>#N/A</v>
          </cell>
          <cell r="R486" t="e">
            <v>#N/A</v>
          </cell>
          <cell r="S486" t="str">
            <v>HILUX</v>
          </cell>
          <cell r="T486" t="e">
            <v>#N/A</v>
          </cell>
          <cell r="U486" t="str">
            <v>HILUX SC PU</v>
          </cell>
        </row>
        <row r="487">
          <cell r="D487" t="e">
            <v>#N/A</v>
          </cell>
          <cell r="E487" t="str">
            <v>HILUX</v>
          </cell>
          <cell r="F487" t="str">
            <v>HILUX SC</v>
          </cell>
          <cell r="G487" t="str">
            <v>HILUX SC</v>
          </cell>
          <cell r="H487" t="str">
            <v>HILUX SC PU</v>
          </cell>
          <cell r="I487" t="str">
            <v>HILUX SC PU</v>
          </cell>
          <cell r="J487" t="str">
            <v>HILUX SC PU</v>
          </cell>
          <cell r="K487" t="str">
            <v>HILUX SC</v>
          </cell>
          <cell r="L487" t="str">
            <v>TG10PUM/T20m</v>
          </cell>
          <cell r="M487" t="str">
            <v>HILUX</v>
          </cell>
          <cell r="N487" t="str">
            <v>HILUX SC</v>
          </cell>
          <cell r="O487" t="e">
            <v>#N/A</v>
          </cell>
          <cell r="P487" t="e">
            <v>#N/A</v>
          </cell>
          <cell r="Q487" t="e">
            <v>#N/A</v>
          </cell>
          <cell r="R487" t="e">
            <v>#N/A</v>
          </cell>
          <cell r="S487" t="str">
            <v>HILUX</v>
          </cell>
          <cell r="T487" t="e">
            <v>#N/A</v>
          </cell>
          <cell r="U487" t="str">
            <v>HILUX SC PU</v>
          </cell>
        </row>
        <row r="488">
          <cell r="D488" t="e">
            <v>#N/A</v>
          </cell>
          <cell r="E488" t="str">
            <v>HILUX</v>
          </cell>
          <cell r="F488" t="str">
            <v>HILUX SC</v>
          </cell>
          <cell r="G488" t="str">
            <v>HILUX SC</v>
          </cell>
          <cell r="H488" t="str">
            <v>HILUX SC PU</v>
          </cell>
          <cell r="I488" t="str">
            <v>HILUX SC PU</v>
          </cell>
          <cell r="J488" t="str">
            <v>HILUX SC PU</v>
          </cell>
          <cell r="K488" t="str">
            <v>HILUX SC</v>
          </cell>
          <cell r="L488" t="str">
            <v>TG10PUM/T30M</v>
          </cell>
          <cell r="M488" t="str">
            <v>HILUX</v>
          </cell>
          <cell r="N488" t="str">
            <v>HILUX SC</v>
          </cell>
          <cell r="O488" t="e">
            <v>#N/A</v>
          </cell>
          <cell r="P488" t="e">
            <v>#N/A</v>
          </cell>
          <cell r="Q488" t="e">
            <v>#N/A</v>
          </cell>
          <cell r="R488" t="e">
            <v>#N/A</v>
          </cell>
          <cell r="S488" t="str">
            <v>HILUX</v>
          </cell>
          <cell r="T488" t="e">
            <v>#N/A</v>
          </cell>
          <cell r="U488" t="str">
            <v>HILUX SC PU</v>
          </cell>
        </row>
        <row r="489">
          <cell r="D489" t="e">
            <v>#N/A</v>
          </cell>
          <cell r="E489" t="str">
            <v>HILUX</v>
          </cell>
          <cell r="F489" t="str">
            <v>HILUX SC</v>
          </cell>
          <cell r="G489" t="str">
            <v>HILUX SC</v>
          </cell>
          <cell r="H489" t="str">
            <v>HILUX SC PU</v>
          </cell>
          <cell r="I489" t="str">
            <v>HILUX SC PU</v>
          </cell>
          <cell r="J489" t="str">
            <v>HILUX SC PU</v>
          </cell>
          <cell r="K489" t="str">
            <v>HILUX SC</v>
          </cell>
          <cell r="L489" t="str">
            <v>TG10PUS</v>
          </cell>
          <cell r="M489" t="str">
            <v>HILUX</v>
          </cell>
          <cell r="N489" t="str">
            <v>HILUX SC</v>
          </cell>
          <cell r="O489" t="e">
            <v>#N/A</v>
          </cell>
          <cell r="P489" t="e">
            <v>#N/A</v>
          </cell>
          <cell r="Q489" t="e">
            <v>#N/A</v>
          </cell>
          <cell r="R489" t="e">
            <v>#N/A</v>
          </cell>
          <cell r="S489" t="str">
            <v>HILUX</v>
          </cell>
          <cell r="T489" t="e">
            <v>#N/A</v>
          </cell>
          <cell r="U489" t="str">
            <v>HILUX SC PU</v>
          </cell>
        </row>
        <row r="490">
          <cell r="D490" t="e">
            <v>#N/A</v>
          </cell>
          <cell r="E490" t="str">
            <v>HILUX</v>
          </cell>
          <cell r="F490" t="str">
            <v>HILUX SC</v>
          </cell>
          <cell r="G490" t="str">
            <v>HILUX SC</v>
          </cell>
          <cell r="H490" t="str">
            <v>HILUX SC M/T DIESEL</v>
          </cell>
          <cell r="I490" t="str">
            <v>HILUX SC M/T DIESEL</v>
          </cell>
          <cell r="J490" t="str">
            <v>HILUX SC M/T DIESEL</v>
          </cell>
          <cell r="K490" t="str">
            <v>HILUX SC</v>
          </cell>
          <cell r="L490" t="str">
            <v>KU10PUM/T10M</v>
          </cell>
          <cell r="M490" t="str">
            <v>HILUX</v>
          </cell>
          <cell r="N490" t="str">
            <v>HILUX SC</v>
          </cell>
          <cell r="O490" t="e">
            <v>#N/A</v>
          </cell>
          <cell r="P490" t="e">
            <v>#N/A</v>
          </cell>
          <cell r="Q490" t="e">
            <v>#N/A</v>
          </cell>
          <cell r="R490" t="e">
            <v>#N/A</v>
          </cell>
          <cell r="S490" t="str">
            <v>HILUX</v>
          </cell>
          <cell r="T490" t="e">
            <v>#N/A</v>
          </cell>
          <cell r="U490" t="str">
            <v>HILUX SC M/T DIESEL</v>
          </cell>
        </row>
        <row r="491">
          <cell r="D491" t="e">
            <v>#N/A</v>
          </cell>
          <cell r="E491" t="str">
            <v>HILUX</v>
          </cell>
          <cell r="F491" t="str">
            <v>HILUX SC</v>
          </cell>
          <cell r="G491" t="str">
            <v>HILUX SC</v>
          </cell>
          <cell r="H491" t="str">
            <v>HILUX SC M/T DIESEL</v>
          </cell>
          <cell r="I491" t="str">
            <v>HILUX SC M/T DIESEL</v>
          </cell>
          <cell r="J491" t="str">
            <v>HILUX SC M/T DIESEL</v>
          </cell>
          <cell r="K491" t="str">
            <v>HILUX SC</v>
          </cell>
          <cell r="L491" t="str">
            <v>KU10PUM/T20M</v>
          </cell>
          <cell r="M491" t="str">
            <v>HILUX</v>
          </cell>
          <cell r="N491" t="str">
            <v>HILUX SC</v>
          </cell>
          <cell r="O491" t="e">
            <v>#N/A</v>
          </cell>
          <cell r="P491" t="e">
            <v>#N/A</v>
          </cell>
          <cell r="Q491" t="e">
            <v>#N/A</v>
          </cell>
          <cell r="R491" t="e">
            <v>#N/A</v>
          </cell>
          <cell r="S491" t="str">
            <v>HILUX</v>
          </cell>
          <cell r="T491" t="e">
            <v>#N/A</v>
          </cell>
          <cell r="U491" t="str">
            <v>HILUX SC M/T DIESEL</v>
          </cell>
        </row>
        <row r="492">
          <cell r="D492" t="e">
            <v>#N/A</v>
          </cell>
          <cell r="E492" t="str">
            <v>HILUX</v>
          </cell>
          <cell r="F492" t="str">
            <v>HILUX SC</v>
          </cell>
          <cell r="G492" t="str">
            <v>HILUX SC</v>
          </cell>
          <cell r="H492" t="str">
            <v>HILUX SC M/T DIESEL</v>
          </cell>
          <cell r="I492" t="str">
            <v>HILUX SC M/T DIESEL</v>
          </cell>
          <cell r="J492" t="str">
            <v>HILUX SC M/T DIESEL</v>
          </cell>
          <cell r="K492" t="str">
            <v>HILUX SC</v>
          </cell>
          <cell r="L492" t="str">
            <v>KU10PUM/Tm</v>
          </cell>
          <cell r="M492" t="str">
            <v>HILUX</v>
          </cell>
          <cell r="N492" t="str">
            <v>HILUX SC</v>
          </cell>
          <cell r="O492" t="e">
            <v>#N/A</v>
          </cell>
          <cell r="P492" t="e">
            <v>#N/A</v>
          </cell>
          <cell r="Q492" t="e">
            <v>#N/A</v>
          </cell>
          <cell r="R492" t="e">
            <v>#N/A</v>
          </cell>
          <cell r="S492" t="str">
            <v>HILUX</v>
          </cell>
          <cell r="T492" t="e">
            <v>#N/A</v>
          </cell>
          <cell r="U492" t="str">
            <v>HILUX SC M/T DIESEL</v>
          </cell>
        </row>
        <row r="493">
          <cell r="D493" t="str">
            <v>TGN140R-MDTHKD-02</v>
          </cell>
          <cell r="E493" t="str">
            <v>INNOVA</v>
          </cell>
          <cell r="F493" t="str">
            <v>INNOVA</v>
          </cell>
          <cell r="G493" t="str">
            <v>INNOVA</v>
          </cell>
          <cell r="H493" t="str">
            <v>VENTURER A/T</v>
          </cell>
          <cell r="I493" t="str">
            <v>VENTURER A/T</v>
          </cell>
          <cell r="J493" t="str">
            <v>VENTURER A/T</v>
          </cell>
          <cell r="K493" t="str">
            <v>INNOVA REBORN</v>
          </cell>
          <cell r="L493" t="str">
            <v>TGN40QA/T02M</v>
          </cell>
          <cell r="M493" t="str">
            <v>INNOVA</v>
          </cell>
          <cell r="N493" t="str">
            <v>INNOVA REBORN</v>
          </cell>
          <cell r="O493" t="str">
            <v>TGN140R-MDTHKD-02</v>
          </cell>
          <cell r="P493" t="e">
            <v>#N/A</v>
          </cell>
          <cell r="Q493" t="e">
            <v>#N/A</v>
          </cell>
          <cell r="R493" t="str">
            <v>TGN140R-MDTHKD-02</v>
          </cell>
          <cell r="S493" t="str">
            <v>INNOVA</v>
          </cell>
          <cell r="T493" t="e">
            <v>#N/A</v>
          </cell>
          <cell r="U493" t="str">
            <v>VENTURER A/T</v>
          </cell>
        </row>
        <row r="494">
          <cell r="D494" t="e">
            <v>#N/A</v>
          </cell>
          <cell r="E494" t="str">
            <v>INNOVA</v>
          </cell>
          <cell r="F494" t="str">
            <v>INNOVA</v>
          </cell>
          <cell r="G494" t="str">
            <v>INNOVA</v>
          </cell>
          <cell r="H494" t="str">
            <v>INNOVA G A/T</v>
          </cell>
          <cell r="I494" t="str">
            <v>INNOVA G A/T</v>
          </cell>
          <cell r="J494" t="str">
            <v>INNOVA G A/T</v>
          </cell>
          <cell r="K494" t="str">
            <v>INNOVA REBORN</v>
          </cell>
          <cell r="L494" t="str">
            <v>TG40GA/T43M</v>
          </cell>
          <cell r="M494" t="str">
            <v>INNOVA</v>
          </cell>
          <cell r="N494" t="str">
            <v>INNOVA REBORN</v>
          </cell>
          <cell r="O494" t="e">
            <v>#N/A</v>
          </cell>
          <cell r="P494" t="e">
            <v>#N/A</v>
          </cell>
          <cell r="Q494" t="e">
            <v>#N/A</v>
          </cell>
          <cell r="R494" t="e">
            <v>#N/A</v>
          </cell>
          <cell r="S494" t="str">
            <v>INNOVA</v>
          </cell>
          <cell r="T494" t="str">
            <v>INV REBORN</v>
          </cell>
          <cell r="U494" t="str">
            <v>INNOVA G A/T</v>
          </cell>
        </row>
        <row r="495">
          <cell r="D495" t="e">
            <v>#N/A</v>
          </cell>
          <cell r="E495" t="str">
            <v>INNOVA</v>
          </cell>
          <cell r="F495" t="str">
            <v>INNOVA</v>
          </cell>
          <cell r="G495" t="str">
            <v>INNOVA</v>
          </cell>
          <cell r="H495" t="str">
            <v>INNOVA G A/T</v>
          </cell>
          <cell r="I495" t="str">
            <v>INNOVA G A/T</v>
          </cell>
          <cell r="J495" t="str">
            <v>INNOVA G A/T</v>
          </cell>
          <cell r="K495" t="str">
            <v>INNOVA REBORN</v>
          </cell>
          <cell r="L495" t="str">
            <v>TG40GA/T51M</v>
          </cell>
          <cell r="M495" t="str">
            <v>INNOVA</v>
          </cell>
          <cell r="N495" t="str">
            <v>INNOVA REBORN</v>
          </cell>
          <cell r="O495" t="e">
            <v>#N/A</v>
          </cell>
          <cell r="P495" t="e">
            <v>#N/A</v>
          </cell>
          <cell r="Q495" t="e">
            <v>#N/A</v>
          </cell>
          <cell r="R495" t="e">
            <v>#N/A</v>
          </cell>
          <cell r="S495" t="str">
            <v>INNOVA</v>
          </cell>
          <cell r="T495" t="str">
            <v>INV REBORN</v>
          </cell>
          <cell r="U495" t="str">
            <v>INNOVA G A/T</v>
          </cell>
        </row>
        <row r="496">
          <cell r="D496" t="e">
            <v>#N/A</v>
          </cell>
          <cell r="E496" t="str">
            <v>INNOVA</v>
          </cell>
          <cell r="F496" t="str">
            <v>INNOVA</v>
          </cell>
          <cell r="G496" t="str">
            <v>INNOVA</v>
          </cell>
          <cell r="H496" t="str">
            <v>INNOVA G A/T</v>
          </cell>
          <cell r="I496" t="str">
            <v>INNOVA G A/T</v>
          </cell>
          <cell r="J496" t="str">
            <v>INNOVA G A/T</v>
          </cell>
          <cell r="K496" t="str">
            <v>INNOVA REBORN</v>
          </cell>
          <cell r="L496" t="str">
            <v>TG40GA/T53M</v>
          </cell>
          <cell r="M496" t="str">
            <v>INNOVA</v>
          </cell>
          <cell r="N496" t="str">
            <v>INNOVA REBORN</v>
          </cell>
          <cell r="O496" t="e">
            <v>#N/A</v>
          </cell>
          <cell r="P496" t="e">
            <v>#N/A</v>
          </cell>
          <cell r="Q496" t="e">
            <v>#N/A</v>
          </cell>
          <cell r="R496" t="e">
            <v>#N/A</v>
          </cell>
          <cell r="S496" t="str">
            <v>INNOVA</v>
          </cell>
          <cell r="T496" t="str">
            <v>INV REBORN</v>
          </cell>
          <cell r="U496" t="str">
            <v>INNOVA G A/T</v>
          </cell>
        </row>
        <row r="497">
          <cell r="D497" t="e">
            <v>#N/A</v>
          </cell>
          <cell r="E497" t="str">
            <v>INNOVA</v>
          </cell>
          <cell r="F497" t="str">
            <v>INNOVA</v>
          </cell>
          <cell r="G497" t="str">
            <v>INNOVA</v>
          </cell>
          <cell r="H497" t="str">
            <v>INNOVA G A/T</v>
          </cell>
          <cell r="I497" t="str">
            <v>INNOVA G A/T</v>
          </cell>
          <cell r="J497" t="str">
            <v>INNOVA G A/T</v>
          </cell>
          <cell r="K497" t="str">
            <v>INNOVA REBORN</v>
          </cell>
          <cell r="L497" t="str">
            <v>TGN40GA/T01M</v>
          </cell>
          <cell r="M497" t="str">
            <v>INNOVA</v>
          </cell>
          <cell r="N497" t="str">
            <v>INNOVA REBORN</v>
          </cell>
          <cell r="O497" t="e">
            <v>#N/A</v>
          </cell>
          <cell r="P497" t="e">
            <v>#N/A</v>
          </cell>
          <cell r="Q497" t="e">
            <v>#N/A</v>
          </cell>
          <cell r="R497" t="e">
            <v>#N/A</v>
          </cell>
          <cell r="S497" t="str">
            <v>INNOVA</v>
          </cell>
          <cell r="T497" t="str">
            <v>INV REBORN</v>
          </cell>
          <cell r="U497" t="str">
            <v>INNOVA G A/T</v>
          </cell>
        </row>
        <row r="498">
          <cell r="D498" t="e">
            <v>#N/A</v>
          </cell>
          <cell r="E498" t="str">
            <v>INNOVA</v>
          </cell>
          <cell r="F498" t="str">
            <v>INNOVA</v>
          </cell>
          <cell r="G498" t="str">
            <v>INNOVA</v>
          </cell>
          <cell r="H498" t="str">
            <v>INNOVA G A/T</v>
          </cell>
          <cell r="I498" t="str">
            <v>INNOVA G A/T</v>
          </cell>
          <cell r="J498" t="str">
            <v>INNOVA G A/T</v>
          </cell>
          <cell r="K498" t="str">
            <v>INNOVA REBORN</v>
          </cell>
          <cell r="L498" t="str">
            <v>TGN40GA/TL</v>
          </cell>
          <cell r="M498" t="str">
            <v>INNOVA</v>
          </cell>
          <cell r="N498" t="str">
            <v>INNOVA REBORN</v>
          </cell>
          <cell r="O498" t="e">
            <v>#N/A</v>
          </cell>
          <cell r="P498" t="e">
            <v>#N/A</v>
          </cell>
          <cell r="Q498" t="e">
            <v>#N/A</v>
          </cell>
          <cell r="R498" t="e">
            <v>#N/A</v>
          </cell>
          <cell r="S498" t="str">
            <v>INNOVA</v>
          </cell>
          <cell r="T498" t="str">
            <v>INV REBORN</v>
          </cell>
          <cell r="U498" t="str">
            <v>INNOVA G A/T</v>
          </cell>
        </row>
        <row r="499">
          <cell r="D499" t="e">
            <v>#N/A</v>
          </cell>
          <cell r="E499" t="str">
            <v>INNOVA</v>
          </cell>
          <cell r="F499" t="str">
            <v>INNOVA</v>
          </cell>
          <cell r="G499" t="str">
            <v>INNOVA</v>
          </cell>
          <cell r="H499" t="str">
            <v>INNOVA G A/T</v>
          </cell>
          <cell r="I499" t="str">
            <v>INNOVA G A/T</v>
          </cell>
          <cell r="J499" t="str">
            <v>INNOVA G A/T</v>
          </cell>
          <cell r="K499" t="str">
            <v>INNOVA REBORN</v>
          </cell>
          <cell r="L499" t="str">
            <v>TG40GA/T23M</v>
          </cell>
          <cell r="M499" t="str">
            <v>INNOVA</v>
          </cell>
          <cell r="N499" t="str">
            <v>INNOVA REBORN</v>
          </cell>
          <cell r="O499" t="e">
            <v>#N/A</v>
          </cell>
          <cell r="P499" t="e">
            <v>#N/A</v>
          </cell>
          <cell r="Q499" t="e">
            <v>#N/A</v>
          </cell>
          <cell r="R499" t="e">
            <v>#N/A</v>
          </cell>
          <cell r="S499" t="str">
            <v>INNOVA</v>
          </cell>
          <cell r="T499" t="str">
            <v>INV REBORN</v>
          </cell>
          <cell r="U499" t="str">
            <v>INNOVA G A/T</v>
          </cell>
        </row>
        <row r="500">
          <cell r="D500" t="e">
            <v>#N/A</v>
          </cell>
          <cell r="E500" t="str">
            <v>INNOVA</v>
          </cell>
          <cell r="F500" t="str">
            <v>INNOVA</v>
          </cell>
          <cell r="G500" t="str">
            <v>INNOVA</v>
          </cell>
          <cell r="H500" t="str">
            <v>INNOVA G A/T</v>
          </cell>
          <cell r="I500" t="str">
            <v>INNOVA G A/T</v>
          </cell>
          <cell r="J500" t="str">
            <v>INNOVA G A/T</v>
          </cell>
          <cell r="K500" t="str">
            <v>INNOVA REBORN</v>
          </cell>
          <cell r="L500" t="str">
            <v>TG40GA/T24</v>
          </cell>
          <cell r="M500" t="str">
            <v>INNOVA</v>
          </cell>
          <cell r="N500" t="str">
            <v>INNOVA REBORN</v>
          </cell>
          <cell r="O500" t="e">
            <v>#N/A</v>
          </cell>
          <cell r="P500" t="e">
            <v>#N/A</v>
          </cell>
          <cell r="Q500" t="e">
            <v>#N/A</v>
          </cell>
          <cell r="R500" t="e">
            <v>#N/A</v>
          </cell>
          <cell r="S500" t="str">
            <v>INNOVA</v>
          </cell>
          <cell r="T500" t="str">
            <v>INV REBORN</v>
          </cell>
          <cell r="U500" t="str">
            <v>INNOVA G A/T</v>
          </cell>
        </row>
        <row r="501">
          <cell r="D501" t="str">
            <v>TGN140R-MDTSKD-D0</v>
          </cell>
          <cell r="E501" t="str">
            <v>INNOVA</v>
          </cell>
          <cell r="F501" t="str">
            <v>INNOVA</v>
          </cell>
          <cell r="G501" t="str">
            <v>INNOVA</v>
          </cell>
          <cell r="H501" t="str">
            <v>INNOVA G A/T</v>
          </cell>
          <cell r="I501" t="str">
            <v>INNOVA G A/T</v>
          </cell>
          <cell r="J501" t="str">
            <v>INNOVA G A/T</v>
          </cell>
          <cell r="K501" t="str">
            <v>INNOVA REBORN</v>
          </cell>
          <cell r="L501" t="str">
            <v>TGN40GA/TD0M</v>
          </cell>
          <cell r="M501" t="str">
            <v>INNOVA</v>
          </cell>
          <cell r="N501" t="str">
            <v>INNOVA REBORN</v>
          </cell>
          <cell r="O501" t="str">
            <v>TGN140R-MDTSKD-D0</v>
          </cell>
          <cell r="P501" t="e">
            <v>#N/A</v>
          </cell>
          <cell r="Q501" t="e">
            <v>#N/A</v>
          </cell>
          <cell r="R501" t="str">
            <v>TGN140R-MDTSKD-D0</v>
          </cell>
          <cell r="S501" t="str">
            <v>INNOVA</v>
          </cell>
          <cell r="T501" t="str">
            <v>INV REBORN</v>
          </cell>
          <cell r="U501" t="str">
            <v>INNOVA G A/T</v>
          </cell>
        </row>
        <row r="502">
          <cell r="D502" t="str">
            <v>TGN140R-MDTSKD-11</v>
          </cell>
          <cell r="E502" t="str">
            <v>INNOVA</v>
          </cell>
          <cell r="F502" t="str">
            <v>INNOVA</v>
          </cell>
          <cell r="G502" t="str">
            <v>INNOVA</v>
          </cell>
          <cell r="H502" t="str">
            <v>INNOVA G A/T</v>
          </cell>
          <cell r="I502" t="str">
            <v>INNOVA G A/T</v>
          </cell>
          <cell r="J502" t="str">
            <v>INNOVA G A/T</v>
          </cell>
          <cell r="K502" t="str">
            <v>INNOVA REBORN</v>
          </cell>
          <cell r="L502" t="str">
            <v>TGN40GA/T11M</v>
          </cell>
          <cell r="M502" t="str">
            <v>INNOVA</v>
          </cell>
          <cell r="N502" t="str">
            <v>INNOVA REBORN</v>
          </cell>
          <cell r="O502" t="str">
            <v>TGN140R-MDTSKD-11</v>
          </cell>
          <cell r="P502" t="e">
            <v>#N/A</v>
          </cell>
          <cell r="Q502" t="e">
            <v>#N/A</v>
          </cell>
          <cell r="R502" t="str">
            <v>TGN140R-MDTSKD-11</v>
          </cell>
          <cell r="S502" t="str">
            <v>INNOVA</v>
          </cell>
          <cell r="T502" t="str">
            <v>INV REBORN</v>
          </cell>
          <cell r="U502" t="str">
            <v>INNOVA G A/T</v>
          </cell>
        </row>
        <row r="503">
          <cell r="D503" t="str">
            <v>TGN140R-MDTSKD-11</v>
          </cell>
          <cell r="E503" t="str">
            <v>INNOVA</v>
          </cell>
          <cell r="F503" t="str">
            <v>INNOVA</v>
          </cell>
          <cell r="G503" t="str">
            <v>INNOVA</v>
          </cell>
          <cell r="H503" t="str">
            <v>INNOVA G A/T</v>
          </cell>
          <cell r="I503" t="str">
            <v>INNOVA G A/T</v>
          </cell>
          <cell r="J503" t="str">
            <v>INNOVA G A/T</v>
          </cell>
          <cell r="K503" t="str">
            <v>INNOVA REBORN</v>
          </cell>
          <cell r="L503" t="str">
            <v>TGN40GA/T11M</v>
          </cell>
          <cell r="M503" t="str">
            <v>INNOVA</v>
          </cell>
          <cell r="N503" t="str">
            <v>INNOVA REBORN</v>
          </cell>
          <cell r="O503" t="str">
            <v>TGN140R-MDTSKD-11</v>
          </cell>
          <cell r="P503" t="e">
            <v>#N/A</v>
          </cell>
          <cell r="Q503" t="e">
            <v>#N/A</v>
          </cell>
          <cell r="R503" t="str">
            <v>TGN140R-MDTSKD-11</v>
          </cell>
          <cell r="S503" t="str">
            <v>INNOVA</v>
          </cell>
          <cell r="T503" t="str">
            <v>INV REBORN</v>
          </cell>
          <cell r="U503" t="str">
            <v>INNOVA G A/T</v>
          </cell>
        </row>
        <row r="504">
          <cell r="D504" t="e">
            <v>#N/A</v>
          </cell>
          <cell r="E504" t="str">
            <v>INNOVA</v>
          </cell>
          <cell r="F504" t="str">
            <v>INNOVA</v>
          </cell>
          <cell r="G504" t="str">
            <v>INNOVA</v>
          </cell>
          <cell r="H504" t="str">
            <v>INNOVA G A/T</v>
          </cell>
          <cell r="I504" t="str">
            <v>INNOVA G A/T</v>
          </cell>
          <cell r="J504" t="str">
            <v>INNOVA G A/T</v>
          </cell>
          <cell r="K504" t="str">
            <v>INNOVA REBORN</v>
          </cell>
          <cell r="L504" t="str">
            <v>TG40GA/T21M</v>
          </cell>
          <cell r="M504" t="str">
            <v>INNOVA</v>
          </cell>
          <cell r="N504" t="str">
            <v>INNOVA REBORN</v>
          </cell>
          <cell r="O504" t="e">
            <v>#N/A</v>
          </cell>
          <cell r="P504" t="e">
            <v>#N/A</v>
          </cell>
          <cell r="Q504" t="e">
            <v>#N/A</v>
          </cell>
          <cell r="R504" t="e">
            <v>#N/A</v>
          </cell>
          <cell r="S504" t="str">
            <v>INNOVA</v>
          </cell>
          <cell r="T504" t="str">
            <v>INV REBORN</v>
          </cell>
          <cell r="U504" t="str">
            <v>INNOVA G A/T</v>
          </cell>
        </row>
        <row r="505">
          <cell r="D505" t="e">
            <v>#N/A</v>
          </cell>
          <cell r="E505" t="str">
            <v>INNOVA</v>
          </cell>
          <cell r="F505" t="str">
            <v>INNOVA</v>
          </cell>
          <cell r="G505" t="str">
            <v>INNOVA</v>
          </cell>
          <cell r="H505" t="str">
            <v>INNOVA G A/T</v>
          </cell>
          <cell r="I505" t="str">
            <v>INNOVA G A/T</v>
          </cell>
          <cell r="J505" t="str">
            <v>INNOVA G A/T</v>
          </cell>
          <cell r="K505" t="str">
            <v>INNOVA REBORN</v>
          </cell>
          <cell r="L505" t="str">
            <v>TG40GA/T12M</v>
          </cell>
          <cell r="M505" t="str">
            <v>INNOVA</v>
          </cell>
          <cell r="N505" t="str">
            <v>INNOVA REBORN</v>
          </cell>
          <cell r="O505" t="e">
            <v>#N/A</v>
          </cell>
          <cell r="P505" t="e">
            <v>#N/A</v>
          </cell>
          <cell r="Q505" t="e">
            <v>#N/A</v>
          </cell>
          <cell r="R505" t="e">
            <v>#N/A</v>
          </cell>
          <cell r="S505" t="str">
            <v>INNOVA</v>
          </cell>
          <cell r="T505" t="str">
            <v>INV REBORN</v>
          </cell>
          <cell r="U505" t="str">
            <v>INNOVA G A/T</v>
          </cell>
        </row>
        <row r="506">
          <cell r="D506" t="e">
            <v>#N/A</v>
          </cell>
          <cell r="E506" t="str">
            <v>INNOVA</v>
          </cell>
          <cell r="F506" t="str">
            <v>INNOVA</v>
          </cell>
          <cell r="G506" t="str">
            <v>INNOVA</v>
          </cell>
          <cell r="H506" t="str">
            <v>INNOVA G A/T</v>
          </cell>
          <cell r="I506" t="str">
            <v>INNOVA G A/T</v>
          </cell>
          <cell r="J506" t="str">
            <v>INNOVA G A/T</v>
          </cell>
          <cell r="K506" t="str">
            <v>INNOVA REBORN</v>
          </cell>
          <cell r="L506" t="str">
            <v>TG40GA/T22M</v>
          </cell>
          <cell r="M506" t="str">
            <v>INNOVA</v>
          </cell>
          <cell r="N506" t="str">
            <v>INNOVA REBORN</v>
          </cell>
          <cell r="O506" t="e">
            <v>#N/A</v>
          </cell>
          <cell r="P506" t="e">
            <v>#N/A</v>
          </cell>
          <cell r="Q506" t="e">
            <v>#N/A</v>
          </cell>
          <cell r="R506" t="e">
            <v>#N/A</v>
          </cell>
          <cell r="S506" t="str">
            <v>INNOVA</v>
          </cell>
          <cell r="T506" t="str">
            <v>INV REBORN</v>
          </cell>
          <cell r="U506" t="str">
            <v>INNOVA G A/T</v>
          </cell>
        </row>
        <row r="507">
          <cell r="D507" t="str">
            <v>TGN140R-MDTSKD-H0</v>
          </cell>
          <cell r="E507" t="str">
            <v>INNOVA</v>
          </cell>
          <cell r="F507" t="str">
            <v>INNOVA</v>
          </cell>
          <cell r="G507" t="str">
            <v>INNOVA</v>
          </cell>
          <cell r="H507" t="str">
            <v>INNOVA G A/T</v>
          </cell>
          <cell r="I507" t="str">
            <v>INNOVA G A/T</v>
          </cell>
          <cell r="J507" t="str">
            <v>INNOVA G A/T</v>
          </cell>
          <cell r="K507" t="str">
            <v>INNOVA REBORN</v>
          </cell>
          <cell r="L507" t="str">
            <v>TGN40GA/TH0M</v>
          </cell>
          <cell r="M507" t="str">
            <v>INNOVA</v>
          </cell>
          <cell r="N507" t="str">
            <v>INNOVA REBORN</v>
          </cell>
          <cell r="O507" t="str">
            <v>TGN140R-MDTSKD-H0</v>
          </cell>
          <cell r="P507" t="e">
            <v>#N/A</v>
          </cell>
          <cell r="Q507" t="e">
            <v>#N/A</v>
          </cell>
          <cell r="R507" t="str">
            <v>TGN140R-MDTSKD-H0</v>
          </cell>
          <cell r="S507" t="str">
            <v>INNOVA</v>
          </cell>
          <cell r="T507" t="str">
            <v>INV REBORN</v>
          </cell>
          <cell r="U507" t="str">
            <v>INNOVA G A/T</v>
          </cell>
        </row>
        <row r="508">
          <cell r="D508" t="str">
            <v>TGN140R-MDTSKD-30</v>
          </cell>
          <cell r="E508" t="str">
            <v>INNOVA</v>
          </cell>
          <cell r="F508" t="str">
            <v>INNOVA</v>
          </cell>
          <cell r="G508" t="str">
            <v>INNOVA</v>
          </cell>
          <cell r="H508" t="str">
            <v>INNOVA G A/T</v>
          </cell>
          <cell r="I508" t="str">
            <v>INNOVA G A/T</v>
          </cell>
          <cell r="J508" t="str">
            <v xml:space="preserve">INNOVA G A/T </v>
          </cell>
          <cell r="K508" t="str">
            <v>INNOVA REBORN</v>
          </cell>
          <cell r="L508" t="str">
            <v>TGN40GA/T30M</v>
          </cell>
          <cell r="M508" t="str">
            <v>INNOVA</v>
          </cell>
          <cell r="N508" t="str">
            <v>INNOVA REBORN</v>
          </cell>
          <cell r="O508" t="str">
            <v>TGN140R-MDTSKD-30</v>
          </cell>
          <cell r="P508" t="e">
            <v>#N/A</v>
          </cell>
          <cell r="Q508" t="e">
            <v>#N/A</v>
          </cell>
          <cell r="R508" t="str">
            <v>TGN140R-MDTSKD-30</v>
          </cell>
          <cell r="S508" t="str">
            <v>INNOVA</v>
          </cell>
          <cell r="T508" t="str">
            <v>INV REBORN</v>
          </cell>
          <cell r="U508" t="str">
            <v>INNOVA G A/T</v>
          </cell>
        </row>
        <row r="509">
          <cell r="D509" t="str">
            <v>TGN140R-MDTSKD-40</v>
          </cell>
          <cell r="E509" t="str">
            <v>INNOVA</v>
          </cell>
          <cell r="F509" t="str">
            <v>INNOVA</v>
          </cell>
          <cell r="G509" t="str">
            <v>INNOVA</v>
          </cell>
          <cell r="H509" t="str">
            <v>INNOVA G A/T</v>
          </cell>
          <cell r="I509" t="str">
            <v>INNOVA G A/T</v>
          </cell>
          <cell r="J509" t="str">
            <v xml:space="preserve">INNOVA G A/T </v>
          </cell>
          <cell r="K509" t="str">
            <v>INNOVA REBORN</v>
          </cell>
          <cell r="L509" t="str">
            <v>TGN40GA/T40M</v>
          </cell>
          <cell r="M509" t="str">
            <v>INNOVA</v>
          </cell>
          <cell r="N509" t="str">
            <v>INNOVA REBORN</v>
          </cell>
          <cell r="O509" t="str">
            <v>TGN140R-MDTSKD-40</v>
          </cell>
          <cell r="P509" t="e">
            <v>#N/A</v>
          </cell>
          <cell r="Q509" t="e">
            <v>#N/A</v>
          </cell>
          <cell r="R509" t="str">
            <v>TGN140R-MDTSKD-40</v>
          </cell>
          <cell r="S509" t="str">
            <v>INNOVA</v>
          </cell>
          <cell r="T509" t="str">
            <v>INV REBORN</v>
          </cell>
          <cell r="U509" t="str">
            <v>INNOVA G A/T</v>
          </cell>
        </row>
        <row r="510">
          <cell r="D510" t="str">
            <v>GUN142R-MDTSYD-10</v>
          </cell>
          <cell r="E510" t="str">
            <v>INNOVA</v>
          </cell>
          <cell r="F510" t="str">
            <v>INNOVA</v>
          </cell>
          <cell r="G510" t="str">
            <v>INNOVA</v>
          </cell>
          <cell r="H510" t="str">
            <v>INNOVA G A/T DIESEL</v>
          </cell>
          <cell r="I510" t="str">
            <v>INNOVA G A/T DIESEL</v>
          </cell>
          <cell r="J510" t="str">
            <v>INNOVA G A/T DIESEL</v>
          </cell>
          <cell r="K510" t="str">
            <v>INNOVA REBORN</v>
          </cell>
          <cell r="L510" t="str">
            <v>GUN42GA/T10M</v>
          </cell>
          <cell r="M510" t="str">
            <v>INNOVA</v>
          </cell>
          <cell r="N510" t="str">
            <v>INNOVA REBORN</v>
          </cell>
          <cell r="O510" t="str">
            <v>GUN142R-MDTSYD-10</v>
          </cell>
          <cell r="P510" t="e">
            <v>#N/A</v>
          </cell>
          <cell r="Q510" t="e">
            <v>#N/A</v>
          </cell>
          <cell r="R510" t="str">
            <v>GUN142R-MDTSYD-10</v>
          </cell>
          <cell r="S510" t="str">
            <v>INNOVA</v>
          </cell>
          <cell r="T510" t="str">
            <v>INV REBORN</v>
          </cell>
          <cell r="U510" t="str">
            <v>INNOVA G A/T DIESEL</v>
          </cell>
        </row>
        <row r="511">
          <cell r="D511" t="str">
            <v>GUN142R-MDTSYD-20</v>
          </cell>
          <cell r="E511" t="str">
            <v>INNOVA</v>
          </cell>
          <cell r="F511" t="str">
            <v>INNOVA</v>
          </cell>
          <cell r="G511" t="str">
            <v>INNOVA</v>
          </cell>
          <cell r="H511" t="str">
            <v>INNOVA G A/T DIESEL</v>
          </cell>
          <cell r="I511" t="str">
            <v>INNOVA G A/T DIESEL</v>
          </cell>
          <cell r="J511" t="str">
            <v>INNOVA G A/T DIESEL</v>
          </cell>
          <cell r="K511" t="str">
            <v>INNOVA REBORN</v>
          </cell>
          <cell r="L511" t="str">
            <v>GUN42GA/T20M</v>
          </cell>
          <cell r="M511" t="str">
            <v>INNOVA</v>
          </cell>
          <cell r="N511" t="str">
            <v>INNOVA REBORN</v>
          </cell>
          <cell r="O511" t="str">
            <v>GUN142R-MDTSYD-20</v>
          </cell>
          <cell r="P511" t="e">
            <v>#N/A</v>
          </cell>
          <cell r="Q511" t="e">
            <v>#N/A</v>
          </cell>
          <cell r="R511" t="str">
            <v>GUN142R-MDTSYD-20</v>
          </cell>
          <cell r="S511" t="str">
            <v>INNOVA</v>
          </cell>
          <cell r="T511" t="str">
            <v>INV REBORN</v>
          </cell>
          <cell r="U511" t="str">
            <v>INNOVA G A/T DIESEL</v>
          </cell>
        </row>
        <row r="512">
          <cell r="D512" t="str">
            <v>GUN142R-MDTSYD-F0</v>
          </cell>
          <cell r="E512" t="str">
            <v>INNOVA</v>
          </cell>
          <cell r="F512" t="str">
            <v>INNOVA</v>
          </cell>
          <cell r="G512" t="str">
            <v>INNOVA</v>
          </cell>
          <cell r="H512" t="str">
            <v>INNOVA G A/T DIESEL</v>
          </cell>
          <cell r="I512" t="str">
            <v>INNOVA G A/T DIESEL</v>
          </cell>
          <cell r="J512" t="str">
            <v>INNOVA G A/T DIESEL</v>
          </cell>
          <cell r="K512" t="str">
            <v>INNOVA REBORN</v>
          </cell>
          <cell r="L512" t="str">
            <v>GUN42GA/TF0M</v>
          </cell>
          <cell r="M512" t="str">
            <v>INNOVA</v>
          </cell>
          <cell r="N512" t="str">
            <v>INNOVA REBORN</v>
          </cell>
          <cell r="O512" t="str">
            <v>GUN142R-MDTSYD-F0</v>
          </cell>
          <cell r="P512" t="e">
            <v>#N/A</v>
          </cell>
          <cell r="Q512" t="e">
            <v>#N/A</v>
          </cell>
          <cell r="R512" t="str">
            <v>GUN142R-MDTSYD-F0</v>
          </cell>
          <cell r="S512" t="str">
            <v>INNOVA</v>
          </cell>
          <cell r="T512" t="str">
            <v>INV REBORN</v>
          </cell>
          <cell r="U512" t="str">
            <v>INNOVA G A/T DIESEL</v>
          </cell>
        </row>
        <row r="513">
          <cell r="D513" t="str">
            <v>GUN142R-MDTSYD-E0</v>
          </cell>
          <cell r="E513" t="str">
            <v>INNOVA</v>
          </cell>
          <cell r="F513" t="str">
            <v>INNOVA</v>
          </cell>
          <cell r="G513" t="str">
            <v>INNOVA</v>
          </cell>
          <cell r="H513" t="str">
            <v>INNOVA G A/T DIESEL</v>
          </cell>
          <cell r="I513" t="str">
            <v>INNOVA G A/T DIESEL</v>
          </cell>
          <cell r="J513" t="str">
            <v>INNOVA G A/T DIESEL</v>
          </cell>
          <cell r="K513" t="str">
            <v>INNOVA REBORN</v>
          </cell>
          <cell r="L513" t="str">
            <v>GUN42GA/TE0M</v>
          </cell>
          <cell r="M513" t="str">
            <v>INNOVA</v>
          </cell>
          <cell r="N513" t="str">
            <v>INNOVA REBORN</v>
          </cell>
          <cell r="O513" t="str">
            <v>GUN142R-MDTSYD-E0</v>
          </cell>
          <cell r="P513" t="e">
            <v>#N/A</v>
          </cell>
          <cell r="Q513" t="e">
            <v>#N/A</v>
          </cell>
          <cell r="R513" t="str">
            <v>GUN142R-MDTSYD-E0</v>
          </cell>
          <cell r="S513" t="str">
            <v>INNOVA</v>
          </cell>
          <cell r="T513" t="str">
            <v>INV REBORN</v>
          </cell>
          <cell r="U513" t="str">
            <v>INNOVA G A/T DIESEL</v>
          </cell>
        </row>
        <row r="514">
          <cell r="D514" t="str">
            <v>GUN142R-MDTSYD-11</v>
          </cell>
          <cell r="E514" t="str">
            <v>INNOVA</v>
          </cell>
          <cell r="F514" t="str">
            <v>INNOVA</v>
          </cell>
          <cell r="G514" t="str">
            <v>INNOVA</v>
          </cell>
          <cell r="H514" t="str">
            <v>INNOVA G A/T DIESEL</v>
          </cell>
          <cell r="I514" t="str">
            <v>INNOVA G A/T DIESEL</v>
          </cell>
          <cell r="J514" t="str">
            <v>INNOVA G A/T DIESEL</v>
          </cell>
          <cell r="K514" t="str">
            <v>INNOVA REBORN</v>
          </cell>
          <cell r="L514" t="str">
            <v>GUN42GA/T11M</v>
          </cell>
          <cell r="M514" t="str">
            <v>INNOVA</v>
          </cell>
          <cell r="N514" t="str">
            <v>INNOVA REBORN</v>
          </cell>
          <cell r="O514" t="str">
            <v>GUN142R-MDTSYD-11</v>
          </cell>
          <cell r="P514" t="e">
            <v>#N/A</v>
          </cell>
          <cell r="Q514" t="e">
            <v>#N/A</v>
          </cell>
          <cell r="R514" t="str">
            <v>GUN142R-MDTSYD-11</v>
          </cell>
          <cell r="S514" t="str">
            <v>INNOVA</v>
          </cell>
          <cell r="T514" t="str">
            <v>INV REBORN</v>
          </cell>
          <cell r="U514" t="str">
            <v>INNOVA G A/T DIESEL</v>
          </cell>
        </row>
        <row r="515">
          <cell r="D515" t="str">
            <v>GUN142R-MDTSYD-11</v>
          </cell>
          <cell r="E515" t="str">
            <v>INNOVA</v>
          </cell>
          <cell r="F515" t="str">
            <v>INNOVA</v>
          </cell>
          <cell r="G515" t="str">
            <v>INNOVA</v>
          </cell>
          <cell r="H515" t="str">
            <v>INNOVA G A/T DIESEL</v>
          </cell>
          <cell r="I515" t="str">
            <v>INNOVA G A/T DIESEL</v>
          </cell>
          <cell r="J515" t="str">
            <v>INNOVA G A/T DIESEL</v>
          </cell>
          <cell r="K515" t="str">
            <v>INNOVA REBORN</v>
          </cell>
          <cell r="L515" t="str">
            <v>GUN42GA/T11M</v>
          </cell>
          <cell r="M515" t="str">
            <v>INNOVA</v>
          </cell>
          <cell r="N515" t="str">
            <v>INNOVA REBORN</v>
          </cell>
          <cell r="O515" t="str">
            <v>GUN142R-MDTSYD-11</v>
          </cell>
          <cell r="P515" t="e">
            <v>#N/A</v>
          </cell>
          <cell r="Q515" t="e">
            <v>#N/A</v>
          </cell>
          <cell r="R515" t="str">
            <v>GUN142R-MDTSYD-11</v>
          </cell>
          <cell r="S515" t="str">
            <v>INNOVA</v>
          </cell>
          <cell r="T515" t="str">
            <v>INV REBORN</v>
          </cell>
          <cell r="U515" t="str">
            <v>INNOVA G A/T DIESEL</v>
          </cell>
        </row>
        <row r="516">
          <cell r="D516" t="str">
            <v>GUN142R-MDTSYD-E1</v>
          </cell>
          <cell r="E516" t="str">
            <v>INNOVA</v>
          </cell>
          <cell r="F516" t="str">
            <v>INNOVA</v>
          </cell>
          <cell r="G516" t="str">
            <v>INNOVA</v>
          </cell>
          <cell r="H516" t="str">
            <v>INNOVA G A/T DIESEL</v>
          </cell>
          <cell r="I516" t="str">
            <v>INNOVA G A/T DIESEL</v>
          </cell>
          <cell r="J516" t="str">
            <v>INNOVA G A/T DIESEL</v>
          </cell>
          <cell r="K516" t="str">
            <v>INNOVA REBORN</v>
          </cell>
          <cell r="L516" t="str">
            <v>GUN42GA/TE1M</v>
          </cell>
          <cell r="M516" t="str">
            <v>INNOVA</v>
          </cell>
          <cell r="N516" t="str">
            <v>INNOVA REBORN</v>
          </cell>
          <cell r="O516" t="str">
            <v>GUN142R-MDTSYD-E1</v>
          </cell>
          <cell r="P516" t="e">
            <v>#N/A</v>
          </cell>
          <cell r="Q516" t="e">
            <v>#N/A</v>
          </cell>
          <cell r="R516" t="str">
            <v>GUN142R-MDTSYD-E1</v>
          </cell>
          <cell r="S516" t="str">
            <v>INNOVA</v>
          </cell>
          <cell r="T516" t="str">
            <v>INV REBORN</v>
          </cell>
          <cell r="U516" t="str">
            <v>INNOVA G A/T DIESEL</v>
          </cell>
        </row>
        <row r="517">
          <cell r="D517" t="e">
            <v>#N/A</v>
          </cell>
          <cell r="E517" t="str">
            <v>INNOVA</v>
          </cell>
          <cell r="F517" t="str">
            <v>INNOVA</v>
          </cell>
          <cell r="G517" t="str">
            <v>INNOVA</v>
          </cell>
          <cell r="H517" t="str">
            <v>INNOVA G A/T DIESEL</v>
          </cell>
          <cell r="I517" t="str">
            <v>INNOVA G A/T DIESEL</v>
          </cell>
          <cell r="J517" t="str">
            <v>INNOVA G A/T DIESEL</v>
          </cell>
          <cell r="K517" t="str">
            <v>INNOVA REBORN</v>
          </cell>
          <cell r="L517" t="str">
            <v>KU40GA/T11M</v>
          </cell>
          <cell r="M517" t="str">
            <v>INNOVA</v>
          </cell>
          <cell r="N517" t="str">
            <v>INNOVA REBORN</v>
          </cell>
          <cell r="O517" t="e">
            <v>#N/A</v>
          </cell>
          <cell r="P517" t="e">
            <v>#N/A</v>
          </cell>
          <cell r="Q517" t="e">
            <v>#N/A</v>
          </cell>
          <cell r="R517" t="e">
            <v>#N/A</v>
          </cell>
          <cell r="S517" t="str">
            <v>INNOVA</v>
          </cell>
          <cell r="T517" t="str">
            <v>INV REBORN</v>
          </cell>
          <cell r="U517" t="str">
            <v>INNOVA G A/T DIESEL</v>
          </cell>
        </row>
        <row r="518">
          <cell r="D518" t="str">
            <v>GUN142R-MDTSYD-00</v>
          </cell>
          <cell r="E518" t="str">
            <v>INNOVA</v>
          </cell>
          <cell r="F518" t="str">
            <v>INNOVA</v>
          </cell>
          <cell r="G518" t="str">
            <v>INNOVA</v>
          </cell>
          <cell r="H518" t="str">
            <v>INNOVA G A/T DIESEL</v>
          </cell>
          <cell r="I518" t="str">
            <v>INNOVA G A/T DIESEL</v>
          </cell>
          <cell r="J518" t="str">
            <v>INNOVA G A/T DIESEL</v>
          </cell>
          <cell r="K518" t="str">
            <v>INNOVA REBORN</v>
          </cell>
          <cell r="L518" t="str">
            <v>GUN42GA/T</v>
          </cell>
          <cell r="M518" t="str">
            <v>INNOVA</v>
          </cell>
          <cell r="N518" t="str">
            <v>INNOVA REBORN</v>
          </cell>
          <cell r="O518" t="str">
            <v>GUN142R-MDTSYD-00</v>
          </cell>
          <cell r="P518" t="e">
            <v>#N/A</v>
          </cell>
          <cell r="Q518" t="e">
            <v>#N/A</v>
          </cell>
          <cell r="R518" t="str">
            <v>GUN142R-MDTSYD-00</v>
          </cell>
          <cell r="S518" t="str">
            <v>INNOVA</v>
          </cell>
          <cell r="T518" t="str">
            <v>INV REBORN</v>
          </cell>
          <cell r="U518" t="str">
            <v>INNOVA G A/T DIESEL</v>
          </cell>
        </row>
        <row r="519">
          <cell r="D519" t="e">
            <v>#N/A</v>
          </cell>
          <cell r="E519" t="str">
            <v>INNOVA</v>
          </cell>
          <cell r="F519" t="str">
            <v>INNOVA</v>
          </cell>
          <cell r="G519" t="str">
            <v>INNOVA</v>
          </cell>
          <cell r="H519" t="str">
            <v>INNOVA G A/T DIESEL</v>
          </cell>
          <cell r="I519" t="str">
            <v>INNOVA G A/T DIESEL</v>
          </cell>
          <cell r="J519" t="str">
            <v>INNOVA G A/T DIESEL</v>
          </cell>
          <cell r="K519" t="str">
            <v>INNOVA REBORN</v>
          </cell>
          <cell r="L519" t="str">
            <v>GUN42GA/T01M</v>
          </cell>
          <cell r="M519" t="str">
            <v>INNOVA</v>
          </cell>
          <cell r="N519" t="str">
            <v>INNOVA REBORN</v>
          </cell>
          <cell r="O519" t="e">
            <v>#N/A</v>
          </cell>
          <cell r="P519" t="e">
            <v>#N/A</v>
          </cell>
          <cell r="Q519" t="e">
            <v>#N/A</v>
          </cell>
          <cell r="R519" t="e">
            <v>#N/A</v>
          </cell>
          <cell r="S519" t="str">
            <v>INNOVA</v>
          </cell>
          <cell r="T519" t="str">
            <v>INV REBORN</v>
          </cell>
          <cell r="U519" t="str">
            <v>INNOVA G A/T DIESEL</v>
          </cell>
        </row>
        <row r="520">
          <cell r="D520" t="e">
            <v>#N/A</v>
          </cell>
          <cell r="E520" t="str">
            <v>INNOVA</v>
          </cell>
          <cell r="F520" t="str">
            <v>INNOVA</v>
          </cell>
          <cell r="G520" t="str">
            <v>INNOVA</v>
          </cell>
          <cell r="H520" t="str">
            <v>INNOVA G A/T DIESEL</v>
          </cell>
          <cell r="I520" t="str">
            <v>INNOVA G A/T DIESEL</v>
          </cell>
          <cell r="J520" t="str">
            <v>INNOVA G A/T DIESEL</v>
          </cell>
          <cell r="K520" t="str">
            <v>INNOVA REBORN</v>
          </cell>
          <cell r="L520" t="str">
            <v>GUN42GA/TL</v>
          </cell>
          <cell r="M520" t="str">
            <v>INNOVA</v>
          </cell>
          <cell r="N520" t="str">
            <v>INNOVA REBORN</v>
          </cell>
          <cell r="O520" t="e">
            <v>#N/A</v>
          </cell>
          <cell r="P520" t="e">
            <v>#N/A</v>
          </cell>
          <cell r="Q520" t="e">
            <v>#N/A</v>
          </cell>
          <cell r="R520" t="e">
            <v>#N/A</v>
          </cell>
          <cell r="S520" t="str">
            <v>INNOVA</v>
          </cell>
          <cell r="T520" t="str">
            <v>INV REBORN</v>
          </cell>
          <cell r="U520" t="str">
            <v>INNOVA G A/T DIESEL</v>
          </cell>
        </row>
        <row r="521">
          <cell r="D521" t="e">
            <v>#N/A</v>
          </cell>
          <cell r="E521" t="str">
            <v>INNOVA</v>
          </cell>
          <cell r="F521" t="str">
            <v>INNOVA</v>
          </cell>
          <cell r="G521" t="str">
            <v>INNOVA</v>
          </cell>
          <cell r="H521" t="str">
            <v>INNOVA G A/T DIESEL</v>
          </cell>
          <cell r="I521" t="str">
            <v>INNOVA G A/T DIESEL</v>
          </cell>
          <cell r="J521" t="str">
            <v>INNOVA G A/T DIESEL</v>
          </cell>
          <cell r="K521" t="str">
            <v>INNOVA REBORN</v>
          </cell>
          <cell r="L521" t="str">
            <v>KU40GA/T42</v>
          </cell>
          <cell r="M521" t="str">
            <v>INNOVA</v>
          </cell>
          <cell r="N521" t="str">
            <v>INNOVA REBORN</v>
          </cell>
          <cell r="O521" t="e">
            <v>#N/A</v>
          </cell>
          <cell r="P521" t="e">
            <v>#N/A</v>
          </cell>
          <cell r="Q521" t="e">
            <v>#N/A</v>
          </cell>
          <cell r="R521" t="e">
            <v>#N/A</v>
          </cell>
          <cell r="S521" t="str">
            <v>INNOVA</v>
          </cell>
          <cell r="T521" t="str">
            <v>INV REBORN</v>
          </cell>
          <cell r="U521" t="str">
            <v>INNOVA G A/T DIESEL</v>
          </cell>
        </row>
        <row r="522">
          <cell r="D522" t="e">
            <v>#N/A</v>
          </cell>
          <cell r="E522" t="str">
            <v>INNOVA</v>
          </cell>
          <cell r="F522" t="str">
            <v>INNOVA</v>
          </cell>
          <cell r="G522" t="str">
            <v>INNOVA</v>
          </cell>
          <cell r="H522" t="str">
            <v>INNOVA G A/T DIESEL</v>
          </cell>
          <cell r="I522" t="str">
            <v>INNOVA G A/T DIESEL</v>
          </cell>
          <cell r="J522" t="str">
            <v>INNOVA G A/T DIESEL</v>
          </cell>
          <cell r="K522" t="str">
            <v>INNOVA REBORN</v>
          </cell>
          <cell r="L522" t="str">
            <v>KU40GA/T42M</v>
          </cell>
          <cell r="M522" t="str">
            <v>INNOVA</v>
          </cell>
          <cell r="N522" t="str">
            <v>INNOVA REBORN</v>
          </cell>
          <cell r="O522" t="e">
            <v>#N/A</v>
          </cell>
          <cell r="P522" t="e">
            <v>#N/A</v>
          </cell>
          <cell r="Q522" t="e">
            <v>#N/A</v>
          </cell>
          <cell r="R522" t="e">
            <v>#N/A</v>
          </cell>
          <cell r="S522" t="str">
            <v>INNOVA</v>
          </cell>
          <cell r="T522" t="str">
            <v>INV REBORN</v>
          </cell>
          <cell r="U522" t="str">
            <v>INNOVA G A/T DIESEL</v>
          </cell>
        </row>
        <row r="523">
          <cell r="D523" t="e">
            <v>#N/A</v>
          </cell>
          <cell r="E523" t="str">
            <v>INNOVA</v>
          </cell>
          <cell r="F523" t="str">
            <v>INNOVA</v>
          </cell>
          <cell r="G523" t="str">
            <v>INNOVA</v>
          </cell>
          <cell r="H523" t="str">
            <v>INNOVA G A/T DIESEL</v>
          </cell>
          <cell r="I523" t="str">
            <v>INNOVA G A/T DIESEL</v>
          </cell>
          <cell r="J523" t="str">
            <v>INNOVA G A/T DIESEL</v>
          </cell>
          <cell r="K523" t="str">
            <v>INNOVA REBORN</v>
          </cell>
          <cell r="L523" t="str">
            <v>KU40GA/T51M</v>
          </cell>
          <cell r="M523" t="str">
            <v>INNOVA</v>
          </cell>
          <cell r="N523" t="str">
            <v>INNOVA REBORN</v>
          </cell>
          <cell r="O523" t="e">
            <v>#N/A</v>
          </cell>
          <cell r="P523" t="e">
            <v>#N/A</v>
          </cell>
          <cell r="Q523" t="e">
            <v>#N/A</v>
          </cell>
          <cell r="R523" t="e">
            <v>#N/A</v>
          </cell>
          <cell r="S523" t="str">
            <v>INNOVA</v>
          </cell>
          <cell r="T523" t="str">
            <v>INV REBORN</v>
          </cell>
          <cell r="U523" t="str">
            <v>INNOVA G A/T DIESEL</v>
          </cell>
        </row>
        <row r="524">
          <cell r="D524" t="e">
            <v>#N/A</v>
          </cell>
          <cell r="E524" t="str">
            <v>INNOVA</v>
          </cell>
          <cell r="F524" t="str">
            <v>INNOVA</v>
          </cell>
          <cell r="G524" t="str">
            <v>INNOVA</v>
          </cell>
          <cell r="H524" t="str">
            <v>INNOVA G A/T DIESEL</v>
          </cell>
          <cell r="I524" t="str">
            <v>INNOVA G A/T DIESEL</v>
          </cell>
          <cell r="J524" t="str">
            <v>INNOVA G A/T DIESEL</v>
          </cell>
          <cell r="K524" t="str">
            <v>INNOVA REBORN</v>
          </cell>
          <cell r="L524" t="str">
            <v>KU40GA/T61M</v>
          </cell>
          <cell r="M524" t="str">
            <v>INNOVA</v>
          </cell>
          <cell r="N524" t="str">
            <v>INNOVA REBORN</v>
          </cell>
          <cell r="O524" t="e">
            <v>#N/A</v>
          </cell>
          <cell r="P524" t="e">
            <v>#N/A</v>
          </cell>
          <cell r="Q524" t="e">
            <v>#N/A</v>
          </cell>
          <cell r="R524" t="e">
            <v>#N/A</v>
          </cell>
          <cell r="S524" t="str">
            <v>INNOVA</v>
          </cell>
          <cell r="T524" t="str">
            <v>INV REBORN</v>
          </cell>
          <cell r="U524" t="str">
            <v>INNOVA G A/T DIESEL</v>
          </cell>
        </row>
        <row r="525">
          <cell r="D525" t="e">
            <v>#N/A</v>
          </cell>
          <cell r="E525" t="str">
            <v>INNOVA</v>
          </cell>
          <cell r="F525" t="str">
            <v>INNOVA</v>
          </cell>
          <cell r="G525" t="str">
            <v>INNOVA</v>
          </cell>
          <cell r="H525" t="str">
            <v>INNOVA G A/T DIESEL</v>
          </cell>
          <cell r="I525" t="str">
            <v>INNOVA G A/T DIESEL</v>
          </cell>
          <cell r="J525" t="str">
            <v>INNOVA G A/T DIESEL</v>
          </cell>
          <cell r="K525" t="str">
            <v>INNOVA REBORN</v>
          </cell>
          <cell r="L525" t="str">
            <v>KU40GA/T21M</v>
          </cell>
          <cell r="M525" t="str">
            <v>INNOVA</v>
          </cell>
          <cell r="N525" t="str">
            <v>INNOVA REBORN</v>
          </cell>
          <cell r="O525" t="e">
            <v>#N/A</v>
          </cell>
          <cell r="P525" t="e">
            <v>#N/A</v>
          </cell>
          <cell r="Q525" t="e">
            <v>#N/A</v>
          </cell>
          <cell r="R525" t="e">
            <v>#N/A</v>
          </cell>
          <cell r="S525" t="str">
            <v>INNOVA</v>
          </cell>
          <cell r="T525" t="str">
            <v>INV REBORN</v>
          </cell>
          <cell r="U525" t="str">
            <v>INNOVA G A/T DIESEL</v>
          </cell>
        </row>
        <row r="526">
          <cell r="D526" t="str">
            <v>GUN142R-MDTSYD-D0</v>
          </cell>
          <cell r="E526" t="str">
            <v>INNOVA</v>
          </cell>
          <cell r="F526" t="str">
            <v>INNOVA</v>
          </cell>
          <cell r="G526" t="str">
            <v>INNOVA</v>
          </cell>
          <cell r="H526" t="str">
            <v>INNOVA G A/T DIESEL</v>
          </cell>
          <cell r="I526" t="str">
            <v>INNOVA G A/T DIESEL</v>
          </cell>
          <cell r="J526" t="str">
            <v>INNOVA G A/T DIESEL</v>
          </cell>
          <cell r="K526" t="str">
            <v>INNOVA REBORN</v>
          </cell>
          <cell r="L526" t="str">
            <v>GUN42GA/TD0M</v>
          </cell>
          <cell r="M526" t="str">
            <v>INNOVA</v>
          </cell>
          <cell r="N526" t="str">
            <v>INNOVA REBORN</v>
          </cell>
          <cell r="O526" t="str">
            <v>GUN142R-MDTSYD-D0</v>
          </cell>
          <cell r="P526" t="e">
            <v>#N/A</v>
          </cell>
          <cell r="Q526" t="e">
            <v>#N/A</v>
          </cell>
          <cell r="R526" t="str">
            <v>GUN142R-MDTSYD-D0</v>
          </cell>
          <cell r="S526" t="str">
            <v>INNOVA</v>
          </cell>
          <cell r="T526" t="str">
            <v>INV REBORN</v>
          </cell>
          <cell r="U526" t="str">
            <v>INNOVA G A/T DIESEL</v>
          </cell>
        </row>
        <row r="527">
          <cell r="D527" t="str">
            <v>GUN142R-MDTSYD-21</v>
          </cell>
          <cell r="E527" t="str">
            <v>INNOVA</v>
          </cell>
          <cell r="F527" t="str">
            <v>INNOVA</v>
          </cell>
          <cell r="G527" t="str">
            <v>INNOVA</v>
          </cell>
          <cell r="H527" t="str">
            <v>INNOVA G A/T DIESEL</v>
          </cell>
          <cell r="I527" t="str">
            <v>INNOVA G A/T DIESEL</v>
          </cell>
          <cell r="J527" t="str">
            <v>INNOVA G A/T DIESEL</v>
          </cell>
          <cell r="K527" t="str">
            <v>INNOVA REBORN</v>
          </cell>
          <cell r="L527" t="str">
            <v>GUN42GA/T21M</v>
          </cell>
          <cell r="M527" t="str">
            <v>INNOVA</v>
          </cell>
          <cell r="N527" t="str">
            <v>INNOVA REBORN</v>
          </cell>
          <cell r="O527" t="str">
            <v>GUN142R-MDTSYD-21</v>
          </cell>
          <cell r="P527" t="e">
            <v>#N/A</v>
          </cell>
          <cell r="Q527" t="e">
            <v>#N/A</v>
          </cell>
          <cell r="R527" t="str">
            <v>GUN142R-MDTSYD-21</v>
          </cell>
          <cell r="S527" t="str">
            <v>INNOVA</v>
          </cell>
          <cell r="T527" t="str">
            <v>INV REBORN</v>
          </cell>
          <cell r="U527" t="str">
            <v>INNOVA G A/T DIESEL</v>
          </cell>
        </row>
        <row r="528">
          <cell r="D528" t="str">
            <v>GUN142R-MDTSYD-H0</v>
          </cell>
          <cell r="E528" t="str">
            <v>INNOVA</v>
          </cell>
          <cell r="F528" t="str">
            <v>INNOVA</v>
          </cell>
          <cell r="G528" t="str">
            <v>INNOVA</v>
          </cell>
          <cell r="H528" t="str">
            <v>INNOVA G A/T DIESEL</v>
          </cell>
          <cell r="I528" t="str">
            <v>INNOVA G A/T DIESEL</v>
          </cell>
          <cell r="J528" t="str">
            <v>INNOVA G A/T DIESEL</v>
          </cell>
          <cell r="K528" t="str">
            <v>INNOVA REBORN</v>
          </cell>
          <cell r="L528" t="str">
            <v>GUN42GA/TH0M</v>
          </cell>
          <cell r="M528" t="str">
            <v>INNOVA</v>
          </cell>
          <cell r="N528" t="str">
            <v>INNOVA REBORN</v>
          </cell>
          <cell r="O528" t="str">
            <v>GUN142R-MDTSYD-H0</v>
          </cell>
          <cell r="P528" t="e">
            <v>#N/A</v>
          </cell>
          <cell r="Q528" t="e">
            <v>#N/A</v>
          </cell>
          <cell r="R528" t="str">
            <v>GUN142R-MDTSYD-H0</v>
          </cell>
          <cell r="S528" t="str">
            <v>INNOVA</v>
          </cell>
          <cell r="T528" t="str">
            <v>INV REBORN</v>
          </cell>
          <cell r="U528" t="str">
            <v>INNOVA G A/T DIESEL</v>
          </cell>
        </row>
        <row r="529">
          <cell r="D529" t="str">
            <v>GUN142R-MDTSXD-00</v>
          </cell>
          <cell r="E529" t="str">
            <v>INNOVA</v>
          </cell>
          <cell r="F529" t="str">
            <v>INNOVA</v>
          </cell>
          <cell r="G529" t="str">
            <v>INNOVA</v>
          </cell>
          <cell r="H529" t="str">
            <v>INNOVA G A/T DIESEL</v>
          </cell>
          <cell r="I529" t="str">
            <v>INNOVA G A/T DIESEL</v>
          </cell>
          <cell r="J529" t="str">
            <v>INNOVA G A/T DIESEL</v>
          </cell>
          <cell r="K529" t="str">
            <v>INNOVA REBORN</v>
          </cell>
          <cell r="L529" t="str">
            <v>GUNX42GA/T00M</v>
          </cell>
          <cell r="M529" t="str">
            <v>INNOVA</v>
          </cell>
          <cell r="N529" t="str">
            <v>INNOVA REBORN</v>
          </cell>
          <cell r="O529" t="str">
            <v>GUN142R-MDTSXD-00</v>
          </cell>
          <cell r="P529" t="e">
            <v>#N/A</v>
          </cell>
          <cell r="Q529" t="e">
            <v>#N/A</v>
          </cell>
          <cell r="R529" t="str">
            <v>GUN142R-MDTSXD-00</v>
          </cell>
          <cell r="S529" t="str">
            <v>INNOVA</v>
          </cell>
          <cell r="T529" t="str">
            <v>INV REBORN</v>
          </cell>
          <cell r="U529" t="str">
            <v>INNOVA G A/T DIESEL</v>
          </cell>
        </row>
        <row r="530">
          <cell r="D530" t="str">
            <v>GUN142R-MDTSXD-10</v>
          </cell>
          <cell r="E530" t="str">
            <v>INNOVA</v>
          </cell>
          <cell r="F530" t="str">
            <v>INNOVA</v>
          </cell>
          <cell r="G530" t="str">
            <v>INNOVA</v>
          </cell>
          <cell r="H530" t="str">
            <v>INNOVA G A/T DIESEL</v>
          </cell>
          <cell r="I530" t="str">
            <v>INNOVA G A/T DIESEL</v>
          </cell>
          <cell r="J530" t="str">
            <v>INNOVA G A/T DIESEL</v>
          </cell>
          <cell r="K530" t="str">
            <v>INNOVA REBORN</v>
          </cell>
          <cell r="L530" t="str">
            <v>GUNX42GA/T10M</v>
          </cell>
          <cell r="M530" t="str">
            <v>INNOVA</v>
          </cell>
          <cell r="N530" t="str">
            <v>INNOVA REBORN</v>
          </cell>
          <cell r="O530" t="str">
            <v>GUN142R-MDTSXD-10</v>
          </cell>
          <cell r="P530" t="e">
            <v>#N/A</v>
          </cell>
          <cell r="Q530" t="e">
            <v>#N/A</v>
          </cell>
          <cell r="R530" t="str">
            <v>GUN142R-MDTSXD-10</v>
          </cell>
          <cell r="S530" t="str">
            <v>INNOVA</v>
          </cell>
          <cell r="T530" t="str">
            <v>INV REBORN</v>
          </cell>
          <cell r="U530" t="str">
            <v>INNOVA G A/T DIESEL</v>
          </cell>
        </row>
        <row r="531">
          <cell r="D531" t="str">
            <v>GUN142R-MDTSXD-20</v>
          </cell>
          <cell r="E531" t="str">
            <v>INNOVA</v>
          </cell>
          <cell r="F531" t="str">
            <v>INNOVA</v>
          </cell>
          <cell r="G531" t="str">
            <v>INNOVA</v>
          </cell>
          <cell r="H531" t="str">
            <v>INNOVA G A/T DIESEL</v>
          </cell>
          <cell r="I531" t="str">
            <v>INNOVA G A/T DIESEL</v>
          </cell>
          <cell r="J531" t="str">
            <v>INNOVA G A/T DIESEL</v>
          </cell>
          <cell r="K531" t="str">
            <v>INNOVA REBORN</v>
          </cell>
          <cell r="L531" t="str">
            <v>GUNX42GA/T20M</v>
          </cell>
          <cell r="M531" t="str">
            <v>INNOVA</v>
          </cell>
          <cell r="N531" t="str">
            <v>INNOVA REBORN</v>
          </cell>
          <cell r="O531" t="str">
            <v>GUN142R-MDTSXD-20</v>
          </cell>
          <cell r="P531" t="str">
            <v>INNOVA</v>
          </cell>
          <cell r="Q531" t="str">
            <v>INNOVA OLD</v>
          </cell>
          <cell r="R531" t="str">
            <v>GUN142R-MDTSXD-20</v>
          </cell>
          <cell r="S531" t="str">
            <v>INNOVA</v>
          </cell>
          <cell r="T531" t="str">
            <v>INV REBORN</v>
          </cell>
          <cell r="U531" t="str">
            <v>INNOVA G A/T DIESEL</v>
          </cell>
        </row>
        <row r="532">
          <cell r="D532" t="str">
            <v>GUN142R-MDTSYD-22</v>
          </cell>
          <cell r="E532" t="str">
            <v>INNOVA</v>
          </cell>
          <cell r="F532" t="str">
            <v>INNOVA</v>
          </cell>
          <cell r="G532" t="str">
            <v>INNOVA</v>
          </cell>
          <cell r="H532" t="str">
            <v>INNOVA G A/T DIESEL</v>
          </cell>
          <cell r="I532" t="str">
            <v>INNOVA G A/T DIESEL TRD</v>
          </cell>
          <cell r="J532" t="str">
            <v>INNOVA G A/T DIESEL TRD</v>
          </cell>
          <cell r="K532" t="str">
            <v>INNOVA REBORN</v>
          </cell>
          <cell r="L532" t="str">
            <v>GUN42GA/T22M</v>
          </cell>
          <cell r="M532" t="str">
            <v>INNOVA</v>
          </cell>
          <cell r="N532" t="str">
            <v>INNOVA REBORN</v>
          </cell>
          <cell r="O532" t="str">
            <v>GUN142R-MDTSYD-22</v>
          </cell>
          <cell r="P532" t="e">
            <v>#N/A</v>
          </cell>
          <cell r="Q532" t="e">
            <v>#N/A</v>
          </cell>
          <cell r="R532" t="str">
            <v>GUN142R-MDTSYD-22</v>
          </cell>
          <cell r="S532" t="str">
            <v>INNOVA</v>
          </cell>
          <cell r="T532" t="str">
            <v>INV REBORN</v>
          </cell>
          <cell r="U532" t="str">
            <v>INNOVA G A/T DIESEL</v>
          </cell>
        </row>
        <row r="533">
          <cell r="D533" t="str">
            <v>TGN140R-MDTSKD-31</v>
          </cell>
          <cell r="E533" t="str">
            <v>INNOVA</v>
          </cell>
          <cell r="F533" t="str">
            <v>INNOVA</v>
          </cell>
          <cell r="G533" t="str">
            <v>INNOVA</v>
          </cell>
          <cell r="H533" t="str">
            <v>INNOVA G A/T</v>
          </cell>
          <cell r="I533" t="str">
            <v>INNOVA G A/T LUX</v>
          </cell>
          <cell r="J533" t="str">
            <v>INNOVA G A/T LUX</v>
          </cell>
          <cell r="K533" t="str">
            <v>INNOVA REBORN</v>
          </cell>
          <cell r="L533" t="str">
            <v>TGN40GA/T31M</v>
          </cell>
          <cell r="M533" t="str">
            <v>INNOVA</v>
          </cell>
          <cell r="N533" t="str">
            <v>INNOVA REBORN</v>
          </cell>
          <cell r="O533" t="str">
            <v>TGN140R-MDTSKD-31</v>
          </cell>
          <cell r="P533" t="e">
            <v>#N/A</v>
          </cell>
          <cell r="Q533" t="e">
            <v>#N/A</v>
          </cell>
          <cell r="R533" t="str">
            <v>TGN140R-MDTSKD-31</v>
          </cell>
          <cell r="S533" t="str">
            <v>INNOVA</v>
          </cell>
          <cell r="T533" t="str">
            <v>INV REBORN</v>
          </cell>
          <cell r="U533" t="str">
            <v>INNOVA G A/T</v>
          </cell>
        </row>
        <row r="534">
          <cell r="D534" t="str">
            <v>TGN140R-MDTSKD-41</v>
          </cell>
          <cell r="E534" t="str">
            <v>INNOVA</v>
          </cell>
          <cell r="F534" t="str">
            <v>INNOVA</v>
          </cell>
          <cell r="G534" t="str">
            <v>INNOVA</v>
          </cell>
          <cell r="H534" t="str">
            <v>INNOVA G A/T</v>
          </cell>
          <cell r="I534" t="str">
            <v>INNOVA G A/T LUX</v>
          </cell>
          <cell r="J534" t="str">
            <v>INNOVA G A/T LUX</v>
          </cell>
          <cell r="K534" t="str">
            <v>INNOVA REBORN</v>
          </cell>
          <cell r="L534" t="str">
            <v>TGN40GA/T41M</v>
          </cell>
          <cell r="M534" t="str">
            <v>INNOVA</v>
          </cell>
          <cell r="N534" t="str">
            <v>INNOVA REBORN</v>
          </cell>
          <cell r="O534" t="str">
            <v>TGN140R-MDTSKD-41</v>
          </cell>
          <cell r="P534" t="e">
            <v>#N/A</v>
          </cell>
          <cell r="Q534" t="e">
            <v>#N/A</v>
          </cell>
          <cell r="R534" t="str">
            <v>TGN140R-MDTSKD-41</v>
          </cell>
          <cell r="S534" t="str">
            <v>INNOVA</v>
          </cell>
          <cell r="T534" t="str">
            <v>INV REBORN</v>
          </cell>
          <cell r="U534" t="str">
            <v>INNOVA G A/T</v>
          </cell>
        </row>
        <row r="535">
          <cell r="D535" t="str">
            <v>TGN140R-MDMSKD-20</v>
          </cell>
          <cell r="E535" t="str">
            <v>INNOVA</v>
          </cell>
          <cell r="F535" t="str">
            <v>INNOVA</v>
          </cell>
          <cell r="G535" t="str">
            <v>INNOVA</v>
          </cell>
          <cell r="H535" t="str">
            <v>INNOVA G M/T</v>
          </cell>
          <cell r="I535" t="str">
            <v>INNOVA G M/T</v>
          </cell>
          <cell r="J535" t="str">
            <v>INNOVA G M/T</v>
          </cell>
          <cell r="K535" t="str">
            <v>INNOVA REBORN</v>
          </cell>
          <cell r="L535" t="str">
            <v>TGN40GM/T20M</v>
          </cell>
          <cell r="M535" t="str">
            <v>INNOVA</v>
          </cell>
          <cell r="N535" t="str">
            <v>INNOVA REBORN</v>
          </cell>
          <cell r="O535" t="str">
            <v>TGN140R-MDMSKD-20</v>
          </cell>
          <cell r="P535" t="e">
            <v>#N/A</v>
          </cell>
          <cell r="Q535" t="e">
            <v>#N/A</v>
          </cell>
          <cell r="R535" t="str">
            <v>TGN140R-MDMSKD-20</v>
          </cell>
          <cell r="S535" t="str">
            <v>INNOVA</v>
          </cell>
          <cell r="T535" t="str">
            <v>INV REBORN</v>
          </cell>
          <cell r="U535" t="str">
            <v>INNOVA G M/T</v>
          </cell>
        </row>
        <row r="536">
          <cell r="D536" t="str">
            <v>TGN140R-MDMSKD-F0</v>
          </cell>
          <cell r="E536" t="str">
            <v>INNOVA</v>
          </cell>
          <cell r="F536" t="str">
            <v>INNOVA</v>
          </cell>
          <cell r="G536" t="str">
            <v>INNOVA</v>
          </cell>
          <cell r="H536" t="str">
            <v>INNOVA G M/T</v>
          </cell>
          <cell r="I536" t="str">
            <v>INNOVA G M/T</v>
          </cell>
          <cell r="J536" t="str">
            <v>INNOVA G M/T</v>
          </cell>
          <cell r="K536" t="str">
            <v>INNOVA REBORN</v>
          </cell>
          <cell r="L536" t="str">
            <v>TGN40GM/TF0M</v>
          </cell>
          <cell r="M536" t="str">
            <v>INNOVA</v>
          </cell>
          <cell r="N536" t="str">
            <v>INNOVA REBORN</v>
          </cell>
          <cell r="O536" t="str">
            <v>TGN140R-MDMSKD-F0</v>
          </cell>
          <cell r="P536" t="e">
            <v>#N/A</v>
          </cell>
          <cell r="Q536" t="e">
            <v>#N/A</v>
          </cell>
          <cell r="R536" t="str">
            <v>TGN140R-MDMSKD-F0</v>
          </cell>
          <cell r="S536" t="str">
            <v>INNOVA</v>
          </cell>
          <cell r="T536" t="str">
            <v>INV REBORN</v>
          </cell>
          <cell r="U536" t="str">
            <v>INNOVA G M/T</v>
          </cell>
        </row>
        <row r="537">
          <cell r="D537" t="str">
            <v>TGN140R-MDMSKD-10</v>
          </cell>
          <cell r="E537" t="str">
            <v>INNOVA</v>
          </cell>
          <cell r="F537" t="str">
            <v>INNOVA</v>
          </cell>
          <cell r="G537" t="str">
            <v>INNOVA</v>
          </cell>
          <cell r="H537" t="str">
            <v>INNOVA G M/T</v>
          </cell>
          <cell r="I537" t="str">
            <v>INNOVA G M/T</v>
          </cell>
          <cell r="J537" t="str">
            <v>INNOVA G M/T</v>
          </cell>
          <cell r="K537" t="str">
            <v>INNOVA REBORN</v>
          </cell>
          <cell r="L537" t="str">
            <v>TGN40GM/T10M</v>
          </cell>
          <cell r="M537" t="str">
            <v>INNOVA</v>
          </cell>
          <cell r="N537" t="str">
            <v>INNOVA REBORN</v>
          </cell>
          <cell r="O537" t="str">
            <v>TGN140R-MDMSKD-10</v>
          </cell>
          <cell r="P537" t="e">
            <v>#N/A</v>
          </cell>
          <cell r="Q537" t="e">
            <v>#N/A</v>
          </cell>
          <cell r="R537" t="str">
            <v>TGN140R-MDMSKD-10</v>
          </cell>
          <cell r="S537" t="str">
            <v>INNOVA</v>
          </cell>
          <cell r="T537" t="str">
            <v>INV REBORN</v>
          </cell>
          <cell r="U537" t="str">
            <v>INNOVA G M/T</v>
          </cell>
        </row>
        <row r="538">
          <cell r="D538" t="str">
            <v>TGN140R-MDMSKD-E0</v>
          </cell>
          <cell r="E538" t="str">
            <v>INNOVA</v>
          </cell>
          <cell r="F538" t="str">
            <v>INNOVA</v>
          </cell>
          <cell r="G538" t="str">
            <v>INNOVA</v>
          </cell>
          <cell r="H538" t="str">
            <v>INNOVA G M/T</v>
          </cell>
          <cell r="I538" t="str">
            <v>INNOVA G M/T</v>
          </cell>
          <cell r="J538" t="str">
            <v>INNOVA G M/T</v>
          </cell>
          <cell r="K538" t="str">
            <v>INNOVA REBORN</v>
          </cell>
          <cell r="L538" t="str">
            <v>TGN40GM/TE0M</v>
          </cell>
          <cell r="M538" t="str">
            <v>INNOVA</v>
          </cell>
          <cell r="N538" t="str">
            <v>INNOVA REBORN</v>
          </cell>
          <cell r="O538" t="str">
            <v>TGN140R-MDMSKD-E0</v>
          </cell>
          <cell r="P538" t="e">
            <v>#N/A</v>
          </cell>
          <cell r="Q538" t="e">
            <v>#N/A</v>
          </cell>
          <cell r="R538" t="str">
            <v>TGN140R-MDMSKD-E0</v>
          </cell>
          <cell r="S538" t="str">
            <v>INNOVA</v>
          </cell>
          <cell r="T538" t="str">
            <v>INV REBORN</v>
          </cell>
          <cell r="U538" t="str">
            <v>INNOVA G M/T</v>
          </cell>
        </row>
        <row r="539">
          <cell r="D539" t="e">
            <v>#N/A</v>
          </cell>
          <cell r="E539" t="str">
            <v>INNOVA</v>
          </cell>
          <cell r="F539" t="str">
            <v>INNOVA</v>
          </cell>
          <cell r="G539" t="str">
            <v>INNOVA</v>
          </cell>
          <cell r="H539" t="str">
            <v>INNOVA G M/T</v>
          </cell>
          <cell r="I539" t="str">
            <v>INNOVA G M/T</v>
          </cell>
          <cell r="J539" t="str">
            <v>INNOVA G M/T</v>
          </cell>
          <cell r="K539" t="str">
            <v>INNOVA REBORN</v>
          </cell>
          <cell r="L539" t="str">
            <v>TG40GM/T11M</v>
          </cell>
          <cell r="M539" t="str">
            <v>INNOVA</v>
          </cell>
          <cell r="N539" t="str">
            <v>INNOVA REBORN</v>
          </cell>
          <cell r="O539" t="e">
            <v>#N/A</v>
          </cell>
          <cell r="P539" t="e">
            <v>#N/A</v>
          </cell>
          <cell r="Q539" t="e">
            <v>#N/A</v>
          </cell>
          <cell r="R539" t="e">
            <v>#N/A</v>
          </cell>
          <cell r="S539" t="str">
            <v>INNOVA</v>
          </cell>
          <cell r="T539" t="str">
            <v>INV REBORN</v>
          </cell>
          <cell r="U539" t="str">
            <v>INNOVA G M/T</v>
          </cell>
        </row>
        <row r="540">
          <cell r="D540" t="e">
            <v>#N/A</v>
          </cell>
          <cell r="E540" t="str">
            <v>INNOVA</v>
          </cell>
          <cell r="F540" t="str">
            <v>INNOVA</v>
          </cell>
          <cell r="G540" t="str">
            <v>INNOVA</v>
          </cell>
          <cell r="H540" t="str">
            <v>INNOVA G M/T</v>
          </cell>
          <cell r="I540" t="str">
            <v>INNOVA G M/T</v>
          </cell>
          <cell r="J540" t="str">
            <v>INNOVA G M/T</v>
          </cell>
          <cell r="K540" t="str">
            <v>INNOVA REBORN</v>
          </cell>
          <cell r="L540" t="str">
            <v>TG40GM/T12M</v>
          </cell>
          <cell r="M540" t="str">
            <v>INNOVA</v>
          </cell>
          <cell r="N540" t="str">
            <v>INNOVA REBORN</v>
          </cell>
          <cell r="O540" t="e">
            <v>#N/A</v>
          </cell>
          <cell r="P540" t="e">
            <v>#N/A</v>
          </cell>
          <cell r="Q540" t="e">
            <v>#N/A</v>
          </cell>
          <cell r="R540" t="e">
            <v>#N/A</v>
          </cell>
          <cell r="S540" t="str">
            <v>INNOVA</v>
          </cell>
          <cell r="T540" t="str">
            <v>INV REBORN</v>
          </cell>
          <cell r="U540" t="str">
            <v>INNOVA G M/T</v>
          </cell>
        </row>
        <row r="541">
          <cell r="D541" t="e">
            <v>#N/A</v>
          </cell>
          <cell r="E541" t="str">
            <v>INNOVA</v>
          </cell>
          <cell r="F541" t="str">
            <v>INNOVA</v>
          </cell>
          <cell r="G541" t="str">
            <v>INNOVA</v>
          </cell>
          <cell r="H541" t="str">
            <v>INNOVA G M/T</v>
          </cell>
          <cell r="I541" t="str">
            <v>INNOVA G M/T</v>
          </cell>
          <cell r="J541" t="str">
            <v>INNOVA G M/T</v>
          </cell>
          <cell r="K541" t="str">
            <v>INNOVA REBORN</v>
          </cell>
          <cell r="L541" t="str">
            <v>TG40GM/T12M</v>
          </cell>
          <cell r="M541" t="str">
            <v>INNOVA</v>
          </cell>
          <cell r="N541" t="str">
            <v>INNOVA REBORN</v>
          </cell>
          <cell r="O541" t="e">
            <v>#N/A</v>
          </cell>
          <cell r="P541" t="e">
            <v>#N/A</v>
          </cell>
          <cell r="Q541" t="e">
            <v>#N/A</v>
          </cell>
          <cell r="R541" t="e">
            <v>#N/A</v>
          </cell>
          <cell r="S541" t="str">
            <v>INNOVA</v>
          </cell>
          <cell r="T541" t="str">
            <v>INV REBORN</v>
          </cell>
          <cell r="U541" t="str">
            <v>INNOVA G M/T</v>
          </cell>
        </row>
        <row r="542">
          <cell r="D542" t="e">
            <v>#N/A</v>
          </cell>
          <cell r="E542" t="str">
            <v>INNOVA</v>
          </cell>
          <cell r="F542" t="str">
            <v>INNOVA</v>
          </cell>
          <cell r="G542" t="str">
            <v>INNOVA</v>
          </cell>
          <cell r="H542" t="str">
            <v>INNOVA G M/T</v>
          </cell>
          <cell r="I542" t="str">
            <v>INNOVA G M/T</v>
          </cell>
          <cell r="J542" t="str">
            <v>INNOVA G M/T</v>
          </cell>
          <cell r="K542" t="str">
            <v>INNOVA REBORN</v>
          </cell>
          <cell r="L542" t="str">
            <v>TG40GM/T32</v>
          </cell>
          <cell r="M542" t="str">
            <v>INNOVA</v>
          </cell>
          <cell r="N542" t="str">
            <v>INNOVA REBORN</v>
          </cell>
          <cell r="O542" t="e">
            <v>#N/A</v>
          </cell>
          <cell r="P542" t="e">
            <v>#N/A</v>
          </cell>
          <cell r="Q542" t="e">
            <v>#N/A</v>
          </cell>
          <cell r="R542" t="e">
            <v>#N/A</v>
          </cell>
          <cell r="S542" t="str">
            <v>INNOVA</v>
          </cell>
          <cell r="T542" t="str">
            <v>INV REBORN</v>
          </cell>
          <cell r="U542" t="str">
            <v>INNOVA G M/T</v>
          </cell>
        </row>
        <row r="543">
          <cell r="D543" t="e">
            <v>#N/A</v>
          </cell>
          <cell r="E543" t="str">
            <v>INNOVA</v>
          </cell>
          <cell r="F543" t="str">
            <v>INNOVA</v>
          </cell>
          <cell r="G543" t="str">
            <v>INNOVA</v>
          </cell>
          <cell r="H543" t="str">
            <v>INNOVA G M/T</v>
          </cell>
          <cell r="I543" t="str">
            <v>INNOVA G M/T</v>
          </cell>
          <cell r="J543" t="str">
            <v>INNOVA G M/T</v>
          </cell>
          <cell r="K543" t="str">
            <v>INNOVA REBORN</v>
          </cell>
          <cell r="L543" t="str">
            <v>TG40GM/T32M</v>
          </cell>
          <cell r="M543" t="str">
            <v>INNOVA</v>
          </cell>
          <cell r="N543" t="str">
            <v>INNOVA REBORN</v>
          </cell>
          <cell r="O543" t="e">
            <v>#N/A</v>
          </cell>
          <cell r="P543" t="e">
            <v>#N/A</v>
          </cell>
          <cell r="Q543" t="e">
            <v>#N/A</v>
          </cell>
          <cell r="R543" t="e">
            <v>#N/A</v>
          </cell>
          <cell r="S543" t="str">
            <v>INNOVA</v>
          </cell>
          <cell r="T543" t="str">
            <v>INV REBORN</v>
          </cell>
          <cell r="U543" t="str">
            <v>INNOVA G M/T</v>
          </cell>
        </row>
        <row r="544">
          <cell r="D544" t="e">
            <v>#N/A</v>
          </cell>
          <cell r="E544" t="str">
            <v>INNOVA</v>
          </cell>
          <cell r="F544" t="str">
            <v>INNOVA</v>
          </cell>
          <cell r="G544" t="str">
            <v>INNOVA</v>
          </cell>
          <cell r="H544" t="str">
            <v>INNOVA G M/T</v>
          </cell>
          <cell r="I544" t="str">
            <v>INNOVA G M/T</v>
          </cell>
          <cell r="J544" t="str">
            <v>INNOVA G M/T</v>
          </cell>
          <cell r="K544" t="str">
            <v>INNOVA REBORN</v>
          </cell>
          <cell r="L544" t="str">
            <v>TG40GM/T33</v>
          </cell>
          <cell r="M544" t="str">
            <v>INNOVA</v>
          </cell>
          <cell r="N544" t="str">
            <v>INNOVA REBORN</v>
          </cell>
          <cell r="O544" t="e">
            <v>#N/A</v>
          </cell>
          <cell r="P544" t="e">
            <v>#N/A</v>
          </cell>
          <cell r="Q544" t="e">
            <v>#N/A</v>
          </cell>
          <cell r="R544" t="e">
            <v>#N/A</v>
          </cell>
          <cell r="S544" t="str">
            <v>INNOVA</v>
          </cell>
          <cell r="T544" t="str">
            <v>INV REBORN</v>
          </cell>
          <cell r="U544" t="str">
            <v>INNOVA G M/T</v>
          </cell>
        </row>
        <row r="545">
          <cell r="D545" t="e">
            <v>#N/A</v>
          </cell>
          <cell r="E545" t="str">
            <v>INNOVA</v>
          </cell>
          <cell r="F545" t="str">
            <v>INNOVA</v>
          </cell>
          <cell r="G545" t="str">
            <v>INNOVA</v>
          </cell>
          <cell r="H545" t="str">
            <v>INNOVA G M/T</v>
          </cell>
          <cell r="I545" t="str">
            <v>INNOVA G M/T</v>
          </cell>
          <cell r="J545" t="str">
            <v>INNOVA G M/T</v>
          </cell>
          <cell r="K545" t="str">
            <v>INNOVA REBORN</v>
          </cell>
          <cell r="L545" t="str">
            <v>TG40GM/T33M</v>
          </cell>
          <cell r="M545" t="str">
            <v>INNOVA</v>
          </cell>
          <cell r="N545" t="str">
            <v>INNOVA REBORN</v>
          </cell>
          <cell r="O545" t="e">
            <v>#N/A</v>
          </cell>
          <cell r="P545" t="e">
            <v>#N/A</v>
          </cell>
          <cell r="Q545" t="e">
            <v>#N/A</v>
          </cell>
          <cell r="R545" t="e">
            <v>#N/A</v>
          </cell>
          <cell r="S545" t="str">
            <v>INNOVA</v>
          </cell>
          <cell r="T545" t="str">
            <v>INV REBORN</v>
          </cell>
          <cell r="U545" t="str">
            <v>INNOVA G M/T</v>
          </cell>
        </row>
        <row r="546">
          <cell r="D546" t="e">
            <v>#N/A</v>
          </cell>
          <cell r="E546" t="str">
            <v>INNOVA</v>
          </cell>
          <cell r="F546" t="str">
            <v>INNOVA</v>
          </cell>
          <cell r="G546" t="str">
            <v>INNOVA</v>
          </cell>
          <cell r="H546" t="str">
            <v>INNOVA G M/T</v>
          </cell>
          <cell r="I546" t="str">
            <v>INNOVA G M/T</v>
          </cell>
          <cell r="J546" t="str">
            <v>INNOVA G M/T</v>
          </cell>
          <cell r="K546" t="str">
            <v>INNOVA REBORN</v>
          </cell>
          <cell r="L546" t="str">
            <v>TG40GM/T41M</v>
          </cell>
          <cell r="M546" t="str">
            <v>INNOVA</v>
          </cell>
          <cell r="N546" t="str">
            <v>INNOVA REBORN</v>
          </cell>
          <cell r="O546" t="e">
            <v>#N/A</v>
          </cell>
          <cell r="P546" t="e">
            <v>#N/A</v>
          </cell>
          <cell r="Q546" t="e">
            <v>#N/A</v>
          </cell>
          <cell r="R546" t="e">
            <v>#N/A</v>
          </cell>
          <cell r="S546" t="str">
            <v>INNOVA</v>
          </cell>
          <cell r="T546" t="str">
            <v>INV REBORN</v>
          </cell>
          <cell r="U546" t="str">
            <v>INNOVA G M/T</v>
          </cell>
        </row>
        <row r="547">
          <cell r="D547" t="e">
            <v>#N/A</v>
          </cell>
          <cell r="E547" t="str">
            <v>INNOVA</v>
          </cell>
          <cell r="F547" t="str">
            <v>INNOVA</v>
          </cell>
          <cell r="G547" t="str">
            <v>INNOVA</v>
          </cell>
          <cell r="H547" t="str">
            <v>INNOVA G M/T</v>
          </cell>
          <cell r="I547" t="str">
            <v>INNOVA G M/T</v>
          </cell>
          <cell r="J547" t="str">
            <v>INNOVA G M/T</v>
          </cell>
          <cell r="K547" t="str">
            <v>INNOVA REBORN</v>
          </cell>
          <cell r="L547" t="str">
            <v>TG40GM/T43M</v>
          </cell>
          <cell r="M547" t="str">
            <v>INNOVA</v>
          </cell>
          <cell r="N547" t="str">
            <v>INNOVA REBORN</v>
          </cell>
          <cell r="O547" t="e">
            <v>#N/A</v>
          </cell>
          <cell r="P547" t="e">
            <v>#N/A</v>
          </cell>
          <cell r="Q547" t="e">
            <v>#N/A</v>
          </cell>
          <cell r="R547" t="e">
            <v>#N/A</v>
          </cell>
          <cell r="S547" t="str">
            <v>INNOVA</v>
          </cell>
          <cell r="T547" t="str">
            <v>INV REBORN</v>
          </cell>
          <cell r="U547" t="str">
            <v>INNOVA G M/T</v>
          </cell>
        </row>
        <row r="548">
          <cell r="D548" t="e">
            <v>#N/A</v>
          </cell>
          <cell r="E548" t="str">
            <v>INNOVA</v>
          </cell>
          <cell r="F548" t="str">
            <v>INNOVA</v>
          </cell>
          <cell r="G548" t="str">
            <v>INNOVA</v>
          </cell>
          <cell r="H548" t="str">
            <v>INNOVA G M/T</v>
          </cell>
          <cell r="I548" t="str">
            <v>INNOVA G M/T</v>
          </cell>
          <cell r="J548" t="str">
            <v>INNOVA G M/T</v>
          </cell>
          <cell r="K548" t="str">
            <v>INNOVA REBORN</v>
          </cell>
          <cell r="L548" t="str">
            <v>TG40GM/T51M</v>
          </cell>
          <cell r="M548" t="str">
            <v>INNOVA</v>
          </cell>
          <cell r="N548" t="str">
            <v>INNOVA REBORN</v>
          </cell>
          <cell r="O548" t="e">
            <v>#N/A</v>
          </cell>
          <cell r="P548" t="e">
            <v>#N/A</v>
          </cell>
          <cell r="Q548" t="e">
            <v>#N/A</v>
          </cell>
          <cell r="R548" t="e">
            <v>#N/A</v>
          </cell>
          <cell r="S548" t="str">
            <v>INNOVA</v>
          </cell>
          <cell r="T548" t="str">
            <v>INV REBORN</v>
          </cell>
          <cell r="U548" t="str">
            <v>INNOVA G M/T</v>
          </cell>
        </row>
        <row r="549">
          <cell r="D549" t="e">
            <v>#N/A</v>
          </cell>
          <cell r="E549" t="str">
            <v>INNOVA</v>
          </cell>
          <cell r="F549" t="str">
            <v>INNOVA</v>
          </cell>
          <cell r="G549" t="str">
            <v>INNOVA</v>
          </cell>
          <cell r="H549" t="str">
            <v>INNOVA G M/T</v>
          </cell>
          <cell r="I549" t="str">
            <v>INNOVA G M/T</v>
          </cell>
          <cell r="J549" t="str">
            <v>INNOVA G M/T</v>
          </cell>
          <cell r="K549" t="str">
            <v>INNOVA REBORN</v>
          </cell>
          <cell r="L549" t="str">
            <v>TG40GM/T53M</v>
          </cell>
          <cell r="M549" t="str">
            <v>INNOVA</v>
          </cell>
          <cell r="N549" t="str">
            <v>INNOVA REBORN</v>
          </cell>
          <cell r="O549" t="e">
            <v>#N/A</v>
          </cell>
          <cell r="P549" t="e">
            <v>#N/A</v>
          </cell>
          <cell r="Q549" t="e">
            <v>#N/A</v>
          </cell>
          <cell r="R549" t="e">
            <v>#N/A</v>
          </cell>
          <cell r="S549" t="str">
            <v>INNOVA</v>
          </cell>
          <cell r="T549" t="str">
            <v>INV REBORN</v>
          </cell>
          <cell r="U549" t="str">
            <v>INNOVA G M/T</v>
          </cell>
        </row>
        <row r="550">
          <cell r="D550" t="str">
            <v>TGN140R-MDMSKD-00</v>
          </cell>
          <cell r="E550" t="str">
            <v>INNOVA</v>
          </cell>
          <cell r="F550" t="str">
            <v>INNOVA</v>
          </cell>
          <cell r="G550" t="str">
            <v>INNOVA</v>
          </cell>
          <cell r="H550" t="str">
            <v>INNOVA G M/T</v>
          </cell>
          <cell r="I550" t="str">
            <v>INNOVA G M/T</v>
          </cell>
          <cell r="J550" t="str">
            <v>INNOVA G M/T</v>
          </cell>
          <cell r="K550" t="str">
            <v>INNOVA REBORN</v>
          </cell>
          <cell r="L550" t="str">
            <v>TGN40GM/T</v>
          </cell>
          <cell r="M550" t="str">
            <v>INNOVA</v>
          </cell>
          <cell r="N550" t="str">
            <v>INNOVA REBORN</v>
          </cell>
          <cell r="O550" t="str">
            <v>TGN140R-MDMSKD-00</v>
          </cell>
          <cell r="P550" t="e">
            <v>#N/A</v>
          </cell>
          <cell r="Q550" t="e">
            <v>#N/A</v>
          </cell>
          <cell r="R550" t="str">
            <v>TGN140R-MDMSKD-00</v>
          </cell>
          <cell r="S550" t="str">
            <v>INNOVA</v>
          </cell>
          <cell r="T550" t="str">
            <v>INV REBORN</v>
          </cell>
          <cell r="U550" t="str">
            <v>INNOVA G M/T</v>
          </cell>
        </row>
        <row r="551">
          <cell r="D551" t="e">
            <v>#N/A</v>
          </cell>
          <cell r="E551" t="str">
            <v>INNOVA</v>
          </cell>
          <cell r="F551" t="str">
            <v>INNOVA</v>
          </cell>
          <cell r="G551" t="str">
            <v>INNOVA</v>
          </cell>
          <cell r="H551" t="str">
            <v>INNOVA G M/T</v>
          </cell>
          <cell r="I551" t="str">
            <v>INNOVA G M/T</v>
          </cell>
          <cell r="J551" t="str">
            <v>INNOVA G M/T</v>
          </cell>
          <cell r="K551" t="str">
            <v>INNOVA REBORN</v>
          </cell>
          <cell r="L551" t="str">
            <v>TGN40GM/T01M</v>
          </cell>
          <cell r="M551" t="str">
            <v>INNOVA</v>
          </cell>
          <cell r="N551" t="str">
            <v>INNOVA REBORN</v>
          </cell>
          <cell r="O551" t="e">
            <v>#N/A</v>
          </cell>
          <cell r="P551" t="e">
            <v>#N/A</v>
          </cell>
          <cell r="Q551" t="e">
            <v>#N/A</v>
          </cell>
          <cell r="R551" t="e">
            <v>#N/A</v>
          </cell>
          <cell r="S551" t="str">
            <v>INNOVA</v>
          </cell>
          <cell r="T551" t="str">
            <v>INV REBORN</v>
          </cell>
          <cell r="U551" t="str">
            <v>INNOVA G M/T</v>
          </cell>
        </row>
        <row r="552">
          <cell r="D552" t="e">
            <v>#N/A</v>
          </cell>
          <cell r="E552" t="str">
            <v>INNOVA</v>
          </cell>
          <cell r="F552" t="str">
            <v>INNOVA</v>
          </cell>
          <cell r="G552" t="str">
            <v>INNOVA</v>
          </cell>
          <cell r="H552" t="str">
            <v>INNOVA G M/T</v>
          </cell>
          <cell r="I552" t="str">
            <v>INNOVA G M/T</v>
          </cell>
          <cell r="J552" t="str">
            <v>INNOVA G M/T</v>
          </cell>
          <cell r="K552" t="str">
            <v>INNOVA REBORN</v>
          </cell>
          <cell r="L552" t="str">
            <v>TGN40GM/TL</v>
          </cell>
          <cell r="M552" t="str">
            <v>INNOVA</v>
          </cell>
          <cell r="N552" t="str">
            <v>INNOVA REBORN</v>
          </cell>
          <cell r="O552" t="e">
            <v>#N/A</v>
          </cell>
          <cell r="P552" t="e">
            <v>#N/A</v>
          </cell>
          <cell r="Q552" t="e">
            <v>#N/A</v>
          </cell>
          <cell r="R552" t="e">
            <v>#N/A</v>
          </cell>
          <cell r="S552" t="str">
            <v>INNOVA</v>
          </cell>
          <cell r="T552" t="str">
            <v>INV REBORN</v>
          </cell>
          <cell r="U552" t="str">
            <v>INNOVA G M/T</v>
          </cell>
        </row>
        <row r="553">
          <cell r="D553" t="e">
            <v>#N/A</v>
          </cell>
          <cell r="E553" t="str">
            <v>INNOVA</v>
          </cell>
          <cell r="F553" t="str">
            <v>INNOVA</v>
          </cell>
          <cell r="G553" t="str">
            <v>INNOVA</v>
          </cell>
          <cell r="H553" t="str">
            <v>INNOVA G M/T</v>
          </cell>
          <cell r="I553" t="str">
            <v>INNOVA G M/T</v>
          </cell>
          <cell r="J553" t="str">
            <v>INNOVA G M/T</v>
          </cell>
          <cell r="K553" t="str">
            <v>INNOVA REBORN</v>
          </cell>
          <cell r="L553" t="str">
            <v>TG40GM/T23M</v>
          </cell>
          <cell r="M553" t="str">
            <v>INNOVA</v>
          </cell>
          <cell r="N553" t="str">
            <v>INNOVA REBORN</v>
          </cell>
          <cell r="O553" t="e">
            <v>#N/A</v>
          </cell>
          <cell r="P553" t="e">
            <v>#N/A</v>
          </cell>
          <cell r="Q553" t="e">
            <v>#N/A</v>
          </cell>
          <cell r="R553" t="e">
            <v>#N/A</v>
          </cell>
          <cell r="S553" t="str">
            <v>INNOVA</v>
          </cell>
          <cell r="T553" t="str">
            <v>INV REBORN</v>
          </cell>
          <cell r="U553" t="str">
            <v>INNOVA G M/T</v>
          </cell>
        </row>
        <row r="554">
          <cell r="D554" t="e">
            <v>#N/A</v>
          </cell>
          <cell r="E554" t="str">
            <v>INNOVA</v>
          </cell>
          <cell r="F554" t="str">
            <v>INNOVA</v>
          </cell>
          <cell r="G554" t="str">
            <v>INNOVA</v>
          </cell>
          <cell r="H554" t="str">
            <v>INNOVA G M/T</v>
          </cell>
          <cell r="I554" t="str">
            <v>INNOVA G M/T</v>
          </cell>
          <cell r="J554" t="str">
            <v>INNOVA G M/T</v>
          </cell>
          <cell r="K554" t="str">
            <v>INNOVA REBORN</v>
          </cell>
          <cell r="L554" t="str">
            <v>TG40GM/T24</v>
          </cell>
          <cell r="M554" t="str">
            <v>INNOVA</v>
          </cell>
          <cell r="N554" t="str">
            <v>INNOVA REBORN</v>
          </cell>
          <cell r="O554" t="e">
            <v>#N/A</v>
          </cell>
          <cell r="P554" t="e">
            <v>#N/A</v>
          </cell>
          <cell r="Q554" t="e">
            <v>#N/A</v>
          </cell>
          <cell r="R554" t="e">
            <v>#N/A</v>
          </cell>
          <cell r="S554" t="str">
            <v>INNOVA</v>
          </cell>
          <cell r="T554" t="str">
            <v>INV REBORN</v>
          </cell>
          <cell r="U554" t="str">
            <v>INNOVA G M/T</v>
          </cell>
        </row>
        <row r="555">
          <cell r="D555" t="str">
            <v>TGN140R-MDMSKD-D0</v>
          </cell>
          <cell r="E555" t="str">
            <v>INNOVA</v>
          </cell>
          <cell r="F555" t="str">
            <v>INNOVA</v>
          </cell>
          <cell r="G555" t="str">
            <v>INNOVA</v>
          </cell>
          <cell r="H555" t="str">
            <v>INNOVA G M/T</v>
          </cell>
          <cell r="I555" t="str">
            <v>INNOVA G M/T</v>
          </cell>
          <cell r="J555" t="str">
            <v>INNOVA G M/T</v>
          </cell>
          <cell r="K555" t="str">
            <v>INNOVA REBORN</v>
          </cell>
          <cell r="L555" t="str">
            <v>TGN40GM/TD0M</v>
          </cell>
          <cell r="M555" t="str">
            <v>INNOVA</v>
          </cell>
          <cell r="N555" t="str">
            <v>INNOVA REBORN</v>
          </cell>
          <cell r="O555" t="str">
            <v>TGN140R-MDMSKD-D0</v>
          </cell>
          <cell r="P555" t="e">
            <v>#N/A</v>
          </cell>
          <cell r="Q555" t="e">
            <v>#N/A</v>
          </cell>
          <cell r="R555" t="str">
            <v>TGN140R-MDMSKD-D0</v>
          </cell>
          <cell r="S555" t="str">
            <v>INNOVA</v>
          </cell>
          <cell r="T555" t="str">
            <v>INV REBORN</v>
          </cell>
          <cell r="U555" t="str">
            <v>INNOVA G M/T</v>
          </cell>
        </row>
        <row r="556">
          <cell r="D556" t="str">
            <v>TGN140R-MDMSKD-11</v>
          </cell>
          <cell r="E556" t="str">
            <v>INNOVA</v>
          </cell>
          <cell r="F556" t="str">
            <v>INNOVA</v>
          </cell>
          <cell r="G556" t="str">
            <v>INNOVA</v>
          </cell>
          <cell r="H556" t="str">
            <v>INNOVA G M/T</v>
          </cell>
          <cell r="I556" t="str">
            <v>INNOVA G M/T</v>
          </cell>
          <cell r="J556" t="str">
            <v>INNOVA G M/T</v>
          </cell>
          <cell r="K556" t="str">
            <v>INNOVA REBORN</v>
          </cell>
          <cell r="L556" t="str">
            <v>TGN40GM/T11M</v>
          </cell>
          <cell r="M556" t="str">
            <v>INNOVA</v>
          </cell>
          <cell r="N556" t="str">
            <v>INNOVA REBORN</v>
          </cell>
          <cell r="O556" t="str">
            <v>TGN140R-MDMSKD-11</v>
          </cell>
          <cell r="P556" t="e">
            <v>#N/A</v>
          </cell>
          <cell r="Q556" t="e">
            <v>#N/A</v>
          </cell>
          <cell r="R556" t="str">
            <v>TGN140R-MDMSKD-11</v>
          </cell>
          <cell r="S556" t="str">
            <v>INNOVA</v>
          </cell>
          <cell r="T556" t="str">
            <v>INV REBORN</v>
          </cell>
          <cell r="U556" t="str">
            <v>INNOVA G M/T</v>
          </cell>
        </row>
        <row r="557">
          <cell r="D557" t="str">
            <v>TGN140R-MDMSKD-11</v>
          </cell>
          <cell r="E557" t="str">
            <v>INNOVA</v>
          </cell>
          <cell r="F557" t="str">
            <v>INNOVA</v>
          </cell>
          <cell r="G557" t="str">
            <v>INNOVA</v>
          </cell>
          <cell r="H557" t="str">
            <v>INNOVA G M/T</v>
          </cell>
          <cell r="I557" t="str">
            <v>INNOVA G M/T</v>
          </cell>
          <cell r="J557" t="str">
            <v>INNOVA G M/T</v>
          </cell>
          <cell r="K557" t="str">
            <v>INNOVA REBORN</v>
          </cell>
          <cell r="L557" t="str">
            <v>TGN40GM/T11M</v>
          </cell>
          <cell r="M557" t="str">
            <v>INNOVA</v>
          </cell>
          <cell r="N557" t="str">
            <v>INNOVA REBORN</v>
          </cell>
          <cell r="O557" t="str">
            <v>TGN140R-MDMSKD-11</v>
          </cell>
          <cell r="P557" t="e">
            <v>#N/A</v>
          </cell>
          <cell r="Q557" t="e">
            <v>#N/A</v>
          </cell>
          <cell r="R557" t="str">
            <v>TGN140R-MDMSKD-11</v>
          </cell>
          <cell r="S557" t="str">
            <v>INNOVA</v>
          </cell>
          <cell r="T557" t="str">
            <v>INV REBORN</v>
          </cell>
          <cell r="U557" t="str">
            <v>INNOVA G M/T</v>
          </cell>
        </row>
        <row r="558">
          <cell r="D558" t="e">
            <v>#N/A</v>
          </cell>
          <cell r="E558" t="str">
            <v>INNOVA</v>
          </cell>
          <cell r="F558" t="str">
            <v>INNOVA</v>
          </cell>
          <cell r="G558" t="str">
            <v>INNOVA</v>
          </cell>
          <cell r="H558" t="str">
            <v>INNOVA G M/T</v>
          </cell>
          <cell r="I558" t="str">
            <v>INNOVA G M/T</v>
          </cell>
          <cell r="J558" t="str">
            <v>INNOVA G M/T</v>
          </cell>
          <cell r="K558" t="str">
            <v>INNOVA REBORN</v>
          </cell>
          <cell r="L558" t="str">
            <v>TG40GM/T21M</v>
          </cell>
          <cell r="M558" t="str">
            <v>INNOVA</v>
          </cell>
          <cell r="N558" t="str">
            <v>INNOVA REBORN</v>
          </cell>
          <cell r="O558" t="e">
            <v>#N/A</v>
          </cell>
          <cell r="P558" t="e">
            <v>#N/A</v>
          </cell>
          <cell r="Q558" t="e">
            <v>#N/A</v>
          </cell>
          <cell r="R558" t="e">
            <v>#N/A</v>
          </cell>
          <cell r="S558" t="str">
            <v>INNOVA</v>
          </cell>
          <cell r="T558" t="str">
            <v>INV REBORN</v>
          </cell>
          <cell r="U558" t="str">
            <v>INNOVA G M/T</v>
          </cell>
        </row>
        <row r="559">
          <cell r="D559" t="e">
            <v>#N/A</v>
          </cell>
          <cell r="E559" t="str">
            <v>INNOVA</v>
          </cell>
          <cell r="F559" t="str">
            <v>INNOVA</v>
          </cell>
          <cell r="G559" t="str">
            <v>INNOVA</v>
          </cell>
          <cell r="H559" t="str">
            <v>INNOVA G M/T</v>
          </cell>
          <cell r="I559" t="str">
            <v>INNOVA G M/T</v>
          </cell>
          <cell r="J559" t="str">
            <v>INNOVA G M/T</v>
          </cell>
          <cell r="K559" t="str">
            <v>INNOVA REBORN</v>
          </cell>
          <cell r="L559" t="str">
            <v>TG40GM/T22M</v>
          </cell>
          <cell r="M559" t="str">
            <v>INNOVA</v>
          </cell>
          <cell r="N559" t="str">
            <v>INNOVA REBORN</v>
          </cell>
          <cell r="O559" t="e">
            <v>#N/A</v>
          </cell>
          <cell r="P559" t="e">
            <v>#N/A</v>
          </cell>
          <cell r="Q559" t="e">
            <v>#N/A</v>
          </cell>
          <cell r="R559" t="e">
            <v>#N/A</v>
          </cell>
          <cell r="S559" t="str">
            <v>INNOVA</v>
          </cell>
          <cell r="T559" t="str">
            <v>INV REBORN</v>
          </cell>
          <cell r="U559" t="str">
            <v>INNOVA G M/T</v>
          </cell>
        </row>
        <row r="560">
          <cell r="D560" t="e">
            <v>#N/A</v>
          </cell>
          <cell r="E560" t="str">
            <v>INNOVA</v>
          </cell>
          <cell r="F560" t="str">
            <v>INNOVA</v>
          </cell>
          <cell r="G560" t="str">
            <v>INNOVA</v>
          </cell>
          <cell r="H560" t="str">
            <v>INNOVA G M/T</v>
          </cell>
          <cell r="I560" t="str">
            <v>INNOVA G M/T</v>
          </cell>
          <cell r="J560" t="str">
            <v>INNOVA G M/T</v>
          </cell>
          <cell r="K560" t="str">
            <v>INNOVA REBORN</v>
          </cell>
          <cell r="L560" t="str">
            <v>TG40GM/TG2M</v>
          </cell>
          <cell r="M560" t="str">
            <v>INNOVA</v>
          </cell>
          <cell r="N560" t="str">
            <v>INNOVA REBORN</v>
          </cell>
          <cell r="O560" t="e">
            <v>#N/A</v>
          </cell>
          <cell r="P560" t="e">
            <v>#N/A</v>
          </cell>
          <cell r="Q560" t="e">
            <v>#N/A</v>
          </cell>
          <cell r="R560" t="e">
            <v>#N/A</v>
          </cell>
          <cell r="S560" t="str">
            <v>INNOVA</v>
          </cell>
          <cell r="T560" t="str">
            <v>INV REBORN</v>
          </cell>
          <cell r="U560" t="str">
            <v>INNOVA G M/T</v>
          </cell>
        </row>
        <row r="561">
          <cell r="D561" t="str">
            <v>TGN140R-MDMSKD-H0</v>
          </cell>
          <cell r="E561" t="str">
            <v>INNOVA</v>
          </cell>
          <cell r="F561" t="str">
            <v>INNOVA</v>
          </cell>
          <cell r="G561" t="str">
            <v>INNOVA</v>
          </cell>
          <cell r="H561" t="str">
            <v>INNOVA G M/T</v>
          </cell>
          <cell r="I561" t="str">
            <v>INNOVA G M/T</v>
          </cell>
          <cell r="J561" t="str">
            <v>INNOVA G M/T</v>
          </cell>
          <cell r="K561" t="str">
            <v>INNOVA REBORN</v>
          </cell>
          <cell r="L561" t="str">
            <v>TGN40GM/TH0M</v>
          </cell>
          <cell r="M561" t="str">
            <v>INNOVA</v>
          </cell>
          <cell r="N561" t="str">
            <v>INNOVA REBORN</v>
          </cell>
          <cell r="O561" t="str">
            <v>TGN140R-MDMSKD-H0</v>
          </cell>
          <cell r="P561" t="e">
            <v>#N/A</v>
          </cell>
          <cell r="Q561" t="e">
            <v>#N/A</v>
          </cell>
          <cell r="R561" t="str">
            <v>TGN140R-MDMSKD-H0</v>
          </cell>
          <cell r="S561" t="str">
            <v>INNOVA</v>
          </cell>
          <cell r="T561" t="str">
            <v>INV REBORN</v>
          </cell>
          <cell r="U561" t="str">
            <v>INNOVA G M/T</v>
          </cell>
        </row>
        <row r="562">
          <cell r="D562" t="str">
            <v>TGN140R-MDMSKD-30</v>
          </cell>
          <cell r="E562" t="str">
            <v>INNOVA</v>
          </cell>
          <cell r="F562" t="str">
            <v>INNOVA</v>
          </cell>
          <cell r="G562" t="str">
            <v>INNOVA</v>
          </cell>
          <cell r="H562" t="str">
            <v>INNOVA G M/T</v>
          </cell>
          <cell r="I562" t="str">
            <v>INNOVA G M/T</v>
          </cell>
          <cell r="J562" t="str">
            <v xml:space="preserve">INNOVA G M/T </v>
          </cell>
          <cell r="K562" t="str">
            <v>INNOVA REBORN</v>
          </cell>
          <cell r="L562" t="str">
            <v>TGN40GM/T30M</v>
          </cell>
          <cell r="M562" t="str">
            <v>INNOVA</v>
          </cell>
          <cell r="N562" t="str">
            <v>INNOVA REBORN</v>
          </cell>
          <cell r="O562" t="str">
            <v>TGN140R-MDMSKD-30</v>
          </cell>
          <cell r="P562" t="e">
            <v>#N/A</v>
          </cell>
          <cell r="Q562" t="e">
            <v>#N/A</v>
          </cell>
          <cell r="R562" t="str">
            <v>TGN140R-MDMSKD-30</v>
          </cell>
          <cell r="S562" t="str">
            <v>INNOVA</v>
          </cell>
          <cell r="T562" t="str">
            <v>INV REBORN</v>
          </cell>
          <cell r="U562" t="str">
            <v>INNOVA G M/T</v>
          </cell>
        </row>
        <row r="563">
          <cell r="D563" t="str">
            <v>TGN140R-MDMSKD-40</v>
          </cell>
          <cell r="E563" t="str">
            <v>INNOVA</v>
          </cell>
          <cell r="F563" t="str">
            <v>INNOVA</v>
          </cell>
          <cell r="G563" t="str">
            <v>INNOVA</v>
          </cell>
          <cell r="H563" t="str">
            <v>INNOVA G M/T</v>
          </cell>
          <cell r="I563" t="str">
            <v>INNOVA G M/T</v>
          </cell>
          <cell r="J563" t="str">
            <v xml:space="preserve">INNOVA G M/T </v>
          </cell>
          <cell r="K563" t="str">
            <v>INNOVA REBORN</v>
          </cell>
          <cell r="L563" t="str">
            <v>TGN40GM/T40M</v>
          </cell>
          <cell r="M563" t="str">
            <v>INNOVA</v>
          </cell>
          <cell r="N563" t="str">
            <v>INNOVA REBORN</v>
          </cell>
          <cell r="O563" t="str">
            <v>TGN140R-MDMSKD-40</v>
          </cell>
          <cell r="P563" t="str">
            <v>INNOVA</v>
          </cell>
          <cell r="Q563" t="str">
            <v>INNOVA OLD</v>
          </cell>
          <cell r="R563" t="str">
            <v>TGN140R-MDMSKD-40</v>
          </cell>
          <cell r="S563" t="str">
            <v>INNOVA</v>
          </cell>
          <cell r="T563" t="str">
            <v>INV REBORN</v>
          </cell>
          <cell r="U563" t="str">
            <v>INNOVA G M/T</v>
          </cell>
        </row>
        <row r="564">
          <cell r="D564" t="str">
            <v>GUN142R-MDMSYD-20</v>
          </cell>
          <cell r="E564" t="str">
            <v>INNOVA</v>
          </cell>
          <cell r="F564" t="str">
            <v>INNOVA</v>
          </cell>
          <cell r="G564" t="str">
            <v>INNOVA</v>
          </cell>
          <cell r="H564" t="str">
            <v>INNOVA G M/T DIESEL</v>
          </cell>
          <cell r="I564" t="str">
            <v>INNOVA G M/T DIESEL</v>
          </cell>
          <cell r="J564" t="str">
            <v>INNOVA G M/T DIESEL</v>
          </cell>
          <cell r="K564" t="str">
            <v>INNOVA REBORN</v>
          </cell>
          <cell r="L564" t="str">
            <v>GUN42GM/T20M</v>
          </cell>
          <cell r="M564" t="str">
            <v>INNOVA</v>
          </cell>
          <cell r="N564" t="str">
            <v>INNOVA REBORN</v>
          </cell>
          <cell r="O564" t="str">
            <v>GUN142R-MDMSYD-20</v>
          </cell>
          <cell r="P564" t="e">
            <v>#N/A</v>
          </cell>
          <cell r="Q564" t="e">
            <v>#N/A</v>
          </cell>
          <cell r="R564" t="str">
            <v>GUN142R-MDMSYD-20</v>
          </cell>
          <cell r="S564" t="str">
            <v>INNOVA</v>
          </cell>
          <cell r="T564" t="str">
            <v>INV REBORN</v>
          </cell>
          <cell r="U564" t="str">
            <v>INNOVA G M/T DIESEL</v>
          </cell>
        </row>
        <row r="565">
          <cell r="D565" t="str">
            <v>GUN142R-MDMSYD-F0</v>
          </cell>
          <cell r="E565" t="str">
            <v>INNOVA</v>
          </cell>
          <cell r="F565" t="str">
            <v>INNOVA</v>
          </cell>
          <cell r="G565" t="str">
            <v>INNOVA</v>
          </cell>
          <cell r="H565" t="str">
            <v>INNOVA G M/T DIESEL</v>
          </cell>
          <cell r="I565" t="str">
            <v>INNOVA G M/T DIESEL</v>
          </cell>
          <cell r="J565" t="str">
            <v>INNOVA G M/T DIESEL</v>
          </cell>
          <cell r="K565" t="str">
            <v>INNOVA REBORN</v>
          </cell>
          <cell r="L565" t="str">
            <v>GUN42GM/TF0M</v>
          </cell>
          <cell r="M565" t="str">
            <v>INNOVA</v>
          </cell>
          <cell r="N565" t="str">
            <v>INNOVA REBORN</v>
          </cell>
          <cell r="O565" t="str">
            <v>GUN142R-MDMSYD-F0</v>
          </cell>
          <cell r="P565" t="e">
            <v>#N/A</v>
          </cell>
          <cell r="Q565" t="e">
            <v>#N/A</v>
          </cell>
          <cell r="R565" t="str">
            <v>GUN142R-MDMSYD-F0</v>
          </cell>
          <cell r="S565" t="str">
            <v>INNOVA</v>
          </cell>
          <cell r="T565" t="str">
            <v>INV REBORN</v>
          </cell>
          <cell r="U565" t="str">
            <v>INNOVA G M/T DIESEL</v>
          </cell>
        </row>
        <row r="566">
          <cell r="D566" t="str">
            <v>GUN142R-MDMSYD-10</v>
          </cell>
          <cell r="E566" t="str">
            <v>INNOVA</v>
          </cell>
          <cell r="F566" t="str">
            <v>INNOVA</v>
          </cell>
          <cell r="G566" t="str">
            <v>INNOVA</v>
          </cell>
          <cell r="H566" t="str">
            <v>INNOVA G M/T DIESEL</v>
          </cell>
          <cell r="I566" t="str">
            <v>INNOVA G M/T DIESEL</v>
          </cell>
          <cell r="J566" t="str">
            <v>INNOVA G M/T DIESEL</v>
          </cell>
          <cell r="K566" t="str">
            <v>INNOVA REBORN</v>
          </cell>
          <cell r="L566" t="str">
            <v>GUN42GM/T10M</v>
          </cell>
          <cell r="M566" t="str">
            <v>INNOVA</v>
          </cell>
          <cell r="N566" t="str">
            <v>INNOVA REBORN</v>
          </cell>
          <cell r="O566" t="str">
            <v>GUN142R-MDMSYD-10</v>
          </cell>
          <cell r="P566" t="e">
            <v>#N/A</v>
          </cell>
          <cell r="Q566" t="e">
            <v>#N/A</v>
          </cell>
          <cell r="R566" t="str">
            <v>GUN142R-MDMSYD-10</v>
          </cell>
          <cell r="S566" t="str">
            <v>INNOVA</v>
          </cell>
          <cell r="T566" t="str">
            <v>INV REBORN</v>
          </cell>
          <cell r="U566" t="str">
            <v>INNOVA G M/T DIESEL</v>
          </cell>
        </row>
        <row r="567">
          <cell r="D567" t="str">
            <v>GUN142R-MDMSYD-E0</v>
          </cell>
          <cell r="E567" t="str">
            <v>INNOVA</v>
          </cell>
          <cell r="F567" t="str">
            <v>INNOVA</v>
          </cell>
          <cell r="G567" t="str">
            <v>INNOVA</v>
          </cell>
          <cell r="H567" t="str">
            <v>INNOVA G M/T DIESEL</v>
          </cell>
          <cell r="I567" t="str">
            <v>INNOVA G M/T DIESEL</v>
          </cell>
          <cell r="J567" t="str">
            <v>INNOVA G M/T DIESEL</v>
          </cell>
          <cell r="K567" t="str">
            <v>INNOVA REBORN</v>
          </cell>
          <cell r="L567" t="str">
            <v>GUN42GM/TE0M</v>
          </cell>
          <cell r="M567" t="str">
            <v>INNOVA</v>
          </cell>
          <cell r="N567" t="str">
            <v>INNOVA REBORN</v>
          </cell>
          <cell r="O567" t="str">
            <v>GUN142R-MDMSYD-E0</v>
          </cell>
          <cell r="P567" t="e">
            <v>#N/A</v>
          </cell>
          <cell r="Q567" t="e">
            <v>#N/A</v>
          </cell>
          <cell r="R567" t="str">
            <v>GUN142R-MDMSYD-E0</v>
          </cell>
          <cell r="S567" t="str">
            <v>INNOVA</v>
          </cell>
          <cell r="T567" t="str">
            <v>INV REBORN</v>
          </cell>
          <cell r="U567" t="str">
            <v>INNOVA G M/T DIESEL</v>
          </cell>
        </row>
        <row r="568">
          <cell r="D568" t="str">
            <v>GUN142R-MDMSYD-11</v>
          </cell>
          <cell r="E568" t="str">
            <v>INNOVA</v>
          </cell>
          <cell r="F568" t="str">
            <v>INNOVA</v>
          </cell>
          <cell r="G568" t="str">
            <v>INNOVA</v>
          </cell>
          <cell r="H568" t="str">
            <v>INNOVA G M/T DIESEL</v>
          </cell>
          <cell r="I568" t="str">
            <v>INNOVA G M/T DIESEL</v>
          </cell>
          <cell r="J568" t="str">
            <v>INNOVA G M/T DIESEL</v>
          </cell>
          <cell r="K568" t="str">
            <v>INNOVA REBORN</v>
          </cell>
          <cell r="L568" t="str">
            <v>GUN42GM/T11M</v>
          </cell>
          <cell r="M568" t="str">
            <v>INNOVA</v>
          </cell>
          <cell r="N568" t="str">
            <v>INNOVA REBORN</v>
          </cell>
          <cell r="O568" t="str">
            <v>GUN142R-MDMSYD-11</v>
          </cell>
          <cell r="P568" t="e">
            <v>#N/A</v>
          </cell>
          <cell r="Q568" t="e">
            <v>#N/A</v>
          </cell>
          <cell r="R568" t="str">
            <v>GUN142R-MDMSYD-11</v>
          </cell>
          <cell r="S568" t="str">
            <v>INNOVA</v>
          </cell>
          <cell r="T568" t="str">
            <v>INV REBORN</v>
          </cell>
          <cell r="U568" t="str">
            <v>INNOVA G M/T DIESEL</v>
          </cell>
        </row>
        <row r="569">
          <cell r="D569" t="str">
            <v>GUN142R-MDMSYD-11</v>
          </cell>
          <cell r="E569" t="str">
            <v>INNOVA</v>
          </cell>
          <cell r="F569" t="str">
            <v>INNOVA</v>
          </cell>
          <cell r="G569" t="str">
            <v>INNOVA</v>
          </cell>
          <cell r="H569" t="str">
            <v>INNOVA G M/T DIESEL</v>
          </cell>
          <cell r="I569" t="str">
            <v>INNOVA G M/T DIESEL</v>
          </cell>
          <cell r="J569" t="str">
            <v>INNOVA G M/T DIESEL</v>
          </cell>
          <cell r="K569" t="str">
            <v>INNOVA REBORN</v>
          </cell>
          <cell r="L569" t="str">
            <v>GUN42GM/T11M</v>
          </cell>
          <cell r="M569" t="str">
            <v>INNOVA</v>
          </cell>
          <cell r="N569" t="str">
            <v>INNOVA REBORN</v>
          </cell>
          <cell r="O569" t="str">
            <v>GUN142R-MDMSYD-11</v>
          </cell>
          <cell r="P569" t="e">
            <v>#N/A</v>
          </cell>
          <cell r="Q569" t="e">
            <v>#N/A</v>
          </cell>
          <cell r="R569" t="str">
            <v>GUN142R-MDMSYD-11</v>
          </cell>
          <cell r="S569" t="str">
            <v>INNOVA</v>
          </cell>
          <cell r="T569" t="str">
            <v>INV REBORN</v>
          </cell>
          <cell r="U569" t="str">
            <v>INNOVA G M/T DIESEL</v>
          </cell>
        </row>
        <row r="570">
          <cell r="D570" t="e">
            <v>#N/A</v>
          </cell>
          <cell r="E570" t="str">
            <v>INNOVA</v>
          </cell>
          <cell r="F570" t="str">
            <v>INNOVA</v>
          </cell>
          <cell r="G570" t="str">
            <v>INNOVA</v>
          </cell>
          <cell r="H570" t="str">
            <v>INNOVA G M/T DIESEL</v>
          </cell>
          <cell r="I570" t="str">
            <v>INNOVA G M/T DIESEL</v>
          </cell>
          <cell r="J570" t="str">
            <v>INNOVA G M/T DIESEL</v>
          </cell>
          <cell r="K570" t="str">
            <v>INNOVA REBORN</v>
          </cell>
          <cell r="L570" t="str">
            <v>KU40GM/T11M</v>
          </cell>
          <cell r="M570" t="str">
            <v>INNOVA</v>
          </cell>
          <cell r="N570" t="str">
            <v>INNOVA REBORN</v>
          </cell>
          <cell r="O570" t="e">
            <v>#N/A</v>
          </cell>
          <cell r="P570" t="e">
            <v>#N/A</v>
          </cell>
          <cell r="Q570" t="e">
            <v>#N/A</v>
          </cell>
          <cell r="R570" t="e">
            <v>#N/A</v>
          </cell>
          <cell r="S570" t="str">
            <v>INNOVA</v>
          </cell>
          <cell r="T570" t="str">
            <v>INV REBORN</v>
          </cell>
          <cell r="U570" t="str">
            <v>INNOVA G M/T DIESEL</v>
          </cell>
        </row>
        <row r="571">
          <cell r="D571" t="str">
            <v>GUN142R-MDMSYD-00</v>
          </cell>
          <cell r="E571" t="str">
            <v>INNOVA</v>
          </cell>
          <cell r="F571" t="str">
            <v>INNOVA</v>
          </cell>
          <cell r="G571" t="str">
            <v>INNOVA</v>
          </cell>
          <cell r="H571" t="str">
            <v>INNOVA G M/T DIESEL</v>
          </cell>
          <cell r="I571" t="str">
            <v>INNOVA G M/T DIESEL</v>
          </cell>
          <cell r="J571" t="str">
            <v>INNOVA G M/T DIESEL</v>
          </cell>
          <cell r="K571" t="str">
            <v>INNOVA REBORN</v>
          </cell>
          <cell r="L571" t="str">
            <v>GUN42GM/T</v>
          </cell>
          <cell r="M571" t="str">
            <v>INNOVA</v>
          </cell>
          <cell r="N571" t="str">
            <v>INNOVA REBORN</v>
          </cell>
          <cell r="O571" t="str">
            <v>GUN142R-MDMSYD-00</v>
          </cell>
          <cell r="P571" t="e">
            <v>#N/A</v>
          </cell>
          <cell r="Q571" t="e">
            <v>#N/A</v>
          </cell>
          <cell r="R571" t="str">
            <v>GUN142R-MDMSYD-00</v>
          </cell>
          <cell r="S571" t="str">
            <v>INNOVA</v>
          </cell>
          <cell r="T571" t="str">
            <v>INV REBORN</v>
          </cell>
          <cell r="U571" t="str">
            <v>INNOVA G M/T DIESEL</v>
          </cell>
        </row>
        <row r="572">
          <cell r="D572" t="e">
            <v>#N/A</v>
          </cell>
          <cell r="E572" t="str">
            <v>INNOVA</v>
          </cell>
          <cell r="F572" t="str">
            <v>INNOVA</v>
          </cell>
          <cell r="G572" t="str">
            <v>INNOVA</v>
          </cell>
          <cell r="H572" t="str">
            <v>INNOVA G M/T DIESEL</v>
          </cell>
          <cell r="I572" t="str">
            <v>INNOVA G M/T DIESEL</v>
          </cell>
          <cell r="J572" t="str">
            <v>INNOVA G M/T DIESEL</v>
          </cell>
          <cell r="K572" t="str">
            <v>INNOVA REBORN</v>
          </cell>
          <cell r="L572" t="str">
            <v>GUN42GM/T01M</v>
          </cell>
          <cell r="M572" t="str">
            <v>INNOVA</v>
          </cell>
          <cell r="N572" t="str">
            <v>INNOVA REBORN</v>
          </cell>
          <cell r="O572" t="e">
            <v>#N/A</v>
          </cell>
          <cell r="P572" t="e">
            <v>#N/A</v>
          </cell>
          <cell r="Q572" t="e">
            <v>#N/A</v>
          </cell>
          <cell r="R572" t="e">
            <v>#N/A</v>
          </cell>
          <cell r="S572" t="str">
            <v>INNOVA</v>
          </cell>
          <cell r="T572" t="str">
            <v>INV REBORN</v>
          </cell>
          <cell r="U572" t="str">
            <v>INNOVA G M/T DIESEL</v>
          </cell>
        </row>
        <row r="573">
          <cell r="D573" t="e">
            <v>#N/A</v>
          </cell>
          <cell r="E573" t="str">
            <v>INNOVA</v>
          </cell>
          <cell r="F573" t="str">
            <v>INNOVA</v>
          </cell>
          <cell r="G573" t="str">
            <v>INNOVA</v>
          </cell>
          <cell r="H573" t="str">
            <v>INNOVA G M/T DIESEL</v>
          </cell>
          <cell r="I573" t="str">
            <v>INNOVA G M/T DIESEL</v>
          </cell>
          <cell r="J573" t="str">
            <v>INNOVA G M/T DIESEL</v>
          </cell>
          <cell r="K573" t="str">
            <v>INNOVA REBORN</v>
          </cell>
          <cell r="L573" t="str">
            <v>GUN42GM/TL</v>
          </cell>
          <cell r="M573" t="str">
            <v>INNOVA</v>
          </cell>
          <cell r="N573" t="str">
            <v>INNOVA REBORN</v>
          </cell>
          <cell r="O573" t="e">
            <v>#N/A</v>
          </cell>
          <cell r="P573" t="e">
            <v>#N/A</v>
          </cell>
          <cell r="Q573" t="e">
            <v>#N/A</v>
          </cell>
          <cell r="R573" t="e">
            <v>#N/A</v>
          </cell>
          <cell r="S573" t="str">
            <v>INNOVA</v>
          </cell>
          <cell r="T573" t="str">
            <v>INV REBORN</v>
          </cell>
          <cell r="U573" t="str">
            <v>INNOVA G M/T DIESEL</v>
          </cell>
        </row>
        <row r="574">
          <cell r="D574" t="e">
            <v>#N/A</v>
          </cell>
          <cell r="E574" t="str">
            <v>INNOVA</v>
          </cell>
          <cell r="F574" t="str">
            <v>INNOVA</v>
          </cell>
          <cell r="G574" t="str">
            <v>INNOVA</v>
          </cell>
          <cell r="H574" t="str">
            <v>INNOVA G M/T DIESEL</v>
          </cell>
          <cell r="I574" t="str">
            <v>INNOVA G M/T DIESEL</v>
          </cell>
          <cell r="J574" t="str">
            <v>INNOVA G M/T DIESEL</v>
          </cell>
          <cell r="K574" t="str">
            <v>INNOVA REBORN</v>
          </cell>
          <cell r="L574" t="str">
            <v>KU40GM/T32</v>
          </cell>
          <cell r="M574" t="str">
            <v>INNOVA</v>
          </cell>
          <cell r="N574" t="str">
            <v>INNOVA REBORN</v>
          </cell>
          <cell r="O574" t="e">
            <v>#N/A</v>
          </cell>
          <cell r="P574" t="e">
            <v>#N/A</v>
          </cell>
          <cell r="Q574" t="e">
            <v>#N/A</v>
          </cell>
          <cell r="R574" t="e">
            <v>#N/A</v>
          </cell>
          <cell r="S574" t="str">
            <v>INNOVA</v>
          </cell>
          <cell r="T574" t="str">
            <v>INV REBORN</v>
          </cell>
          <cell r="U574" t="str">
            <v>INNOVA G M/T DIESEL</v>
          </cell>
        </row>
        <row r="575">
          <cell r="D575" t="e">
            <v>#N/A</v>
          </cell>
          <cell r="E575" t="str">
            <v>INNOVA</v>
          </cell>
          <cell r="F575" t="str">
            <v>INNOVA</v>
          </cell>
          <cell r="G575" t="str">
            <v>INNOVA</v>
          </cell>
          <cell r="H575" t="str">
            <v>INNOVA G M/T DIESEL</v>
          </cell>
          <cell r="I575" t="str">
            <v>INNOVA G M/T DIESEL</v>
          </cell>
          <cell r="J575" t="str">
            <v>INNOVA G M/T DIESEL</v>
          </cell>
          <cell r="K575" t="str">
            <v>INNOVA REBORN</v>
          </cell>
          <cell r="L575" t="str">
            <v>KU40GM/T32M</v>
          </cell>
          <cell r="M575" t="str">
            <v>INNOVA</v>
          </cell>
          <cell r="N575" t="str">
            <v>INNOVA REBORN</v>
          </cell>
          <cell r="O575" t="e">
            <v>#N/A</v>
          </cell>
          <cell r="P575" t="e">
            <v>#N/A</v>
          </cell>
          <cell r="Q575" t="e">
            <v>#N/A</v>
          </cell>
          <cell r="R575" t="e">
            <v>#N/A</v>
          </cell>
          <cell r="S575" t="str">
            <v>INNOVA</v>
          </cell>
          <cell r="T575" t="str">
            <v>INV REBORN</v>
          </cell>
          <cell r="U575" t="str">
            <v>INNOVA G M/T DIESEL</v>
          </cell>
        </row>
        <row r="576">
          <cell r="D576" t="e">
            <v>#N/A</v>
          </cell>
          <cell r="E576" t="str">
            <v>INNOVA</v>
          </cell>
          <cell r="F576" t="str">
            <v>INNOVA</v>
          </cell>
          <cell r="G576" t="str">
            <v>INNOVA</v>
          </cell>
          <cell r="H576" t="str">
            <v>INNOVA G M/T DIESEL</v>
          </cell>
          <cell r="I576" t="str">
            <v>INNOVA G M/T DIESEL</v>
          </cell>
          <cell r="J576" t="str">
            <v>INNOVA G M/T DIESEL</v>
          </cell>
          <cell r="K576" t="str">
            <v>INNOVA REBORN</v>
          </cell>
          <cell r="L576" t="str">
            <v>KU40GM/T41M</v>
          </cell>
          <cell r="M576" t="str">
            <v>INNOVA</v>
          </cell>
          <cell r="N576" t="str">
            <v>INNOVA REBORN</v>
          </cell>
          <cell r="O576" t="e">
            <v>#N/A</v>
          </cell>
          <cell r="P576" t="e">
            <v>#N/A</v>
          </cell>
          <cell r="Q576" t="e">
            <v>#N/A</v>
          </cell>
          <cell r="R576" t="e">
            <v>#N/A</v>
          </cell>
          <cell r="S576" t="str">
            <v>INNOVA</v>
          </cell>
          <cell r="T576" t="str">
            <v>INV REBORN</v>
          </cell>
          <cell r="U576" t="str">
            <v>INNOVA G M/T DIESEL</v>
          </cell>
        </row>
        <row r="577">
          <cell r="D577" t="e">
            <v>#N/A</v>
          </cell>
          <cell r="E577" t="str">
            <v>INNOVA</v>
          </cell>
          <cell r="F577" t="str">
            <v>INNOVA</v>
          </cell>
          <cell r="G577" t="str">
            <v>INNOVA</v>
          </cell>
          <cell r="H577" t="str">
            <v>INNOVA G M/T DIESEL</v>
          </cell>
          <cell r="I577" t="str">
            <v>INNOVA G M/T DIESEL</v>
          </cell>
          <cell r="J577" t="str">
            <v>INNOVA G M/T DIESEL</v>
          </cell>
          <cell r="K577" t="str">
            <v>INNOVA REBORN</v>
          </cell>
          <cell r="L577" t="str">
            <v>KU40GM/T51M</v>
          </cell>
          <cell r="M577" t="str">
            <v>INNOVA</v>
          </cell>
          <cell r="N577" t="str">
            <v>INNOVA REBORN</v>
          </cell>
          <cell r="O577" t="e">
            <v>#N/A</v>
          </cell>
          <cell r="P577" t="e">
            <v>#N/A</v>
          </cell>
          <cell r="Q577" t="e">
            <v>#N/A</v>
          </cell>
          <cell r="R577" t="e">
            <v>#N/A</v>
          </cell>
          <cell r="S577" t="str">
            <v>INNOVA</v>
          </cell>
          <cell r="T577" t="str">
            <v>INV REBORN</v>
          </cell>
          <cell r="U577" t="str">
            <v>INNOVA G M/T DIESEL</v>
          </cell>
        </row>
        <row r="578">
          <cell r="D578" t="e">
            <v>#N/A</v>
          </cell>
          <cell r="E578" t="str">
            <v>INNOVA</v>
          </cell>
          <cell r="F578" t="str">
            <v>INNOVA</v>
          </cell>
          <cell r="G578" t="str">
            <v>INNOVA</v>
          </cell>
          <cell r="H578" t="str">
            <v>INNOVA G M/T DIESEL</v>
          </cell>
          <cell r="I578" t="str">
            <v>INNOVA G M/T DIESEL</v>
          </cell>
          <cell r="J578" t="str">
            <v>INNOVA G M/T DIESEL</v>
          </cell>
          <cell r="K578" t="str">
            <v>INNOVA REBORN</v>
          </cell>
          <cell r="L578" t="str">
            <v>KU40GM/T21M</v>
          </cell>
          <cell r="M578" t="str">
            <v>INNOVA</v>
          </cell>
          <cell r="N578" t="str">
            <v>INNOVA REBORN</v>
          </cell>
          <cell r="O578" t="e">
            <v>#N/A</v>
          </cell>
          <cell r="P578" t="e">
            <v>#N/A</v>
          </cell>
          <cell r="Q578" t="e">
            <v>#N/A</v>
          </cell>
          <cell r="R578" t="e">
            <v>#N/A</v>
          </cell>
          <cell r="S578" t="str">
            <v>INNOVA</v>
          </cell>
          <cell r="T578" t="str">
            <v>INV REBORN</v>
          </cell>
          <cell r="U578" t="str">
            <v>INNOVA G M/T DIESEL</v>
          </cell>
        </row>
        <row r="579">
          <cell r="D579" t="str">
            <v>GUN142R-MDMSYD-D0</v>
          </cell>
          <cell r="E579" t="str">
            <v>INNOVA</v>
          </cell>
          <cell r="F579" t="str">
            <v>INNOVA</v>
          </cell>
          <cell r="G579" t="str">
            <v>INNOVA</v>
          </cell>
          <cell r="H579" t="str">
            <v>INNOVA G M/T DIESEL</v>
          </cell>
          <cell r="I579" t="str">
            <v>INNOVA G M/T DIESEL</v>
          </cell>
          <cell r="J579" t="str">
            <v>INNOVA G M/T DIESEL</v>
          </cell>
          <cell r="K579" t="str">
            <v>INNOVA REBORN</v>
          </cell>
          <cell r="L579" t="str">
            <v>GUN42GM/TD0M</v>
          </cell>
          <cell r="M579" t="str">
            <v>INNOVA</v>
          </cell>
          <cell r="N579" t="str">
            <v>INNOVA REBORN</v>
          </cell>
          <cell r="O579" t="str">
            <v>GUN142R-MDMSYD-D0</v>
          </cell>
          <cell r="P579" t="e">
            <v>#N/A</v>
          </cell>
          <cell r="Q579" t="e">
            <v>#N/A</v>
          </cell>
          <cell r="R579" t="str">
            <v>GUN142R-MDMSYD-D0</v>
          </cell>
          <cell r="S579" t="str">
            <v>INNOVA</v>
          </cell>
          <cell r="T579" t="str">
            <v>INV REBORN</v>
          </cell>
          <cell r="U579" t="str">
            <v>INNOVA G M/T DIESEL</v>
          </cell>
        </row>
        <row r="580">
          <cell r="D580" t="str">
            <v>GUN142R-MDMSYD-H0</v>
          </cell>
          <cell r="E580" t="str">
            <v>INNOVA</v>
          </cell>
          <cell r="F580" t="str">
            <v>INNOVA</v>
          </cell>
          <cell r="G580" t="str">
            <v>INNOVA</v>
          </cell>
          <cell r="H580" t="str">
            <v>INNOVA G M/T DIESEL</v>
          </cell>
          <cell r="I580" t="str">
            <v>INNOVA G M/T DIESEL</v>
          </cell>
          <cell r="J580" t="str">
            <v>INNOVA G M/T DIESEL</v>
          </cell>
          <cell r="K580" t="str">
            <v>INNOVA REBORN</v>
          </cell>
          <cell r="L580" t="str">
            <v>GUN42GM/TH0M</v>
          </cell>
          <cell r="M580" t="str">
            <v>INNOVA</v>
          </cell>
          <cell r="N580" t="str">
            <v>INNOVA REBORN</v>
          </cell>
          <cell r="O580" t="str">
            <v>GUN142R-MDMSYD-H0</v>
          </cell>
          <cell r="P580" t="e">
            <v>#N/A</v>
          </cell>
          <cell r="Q580" t="e">
            <v>#N/A</v>
          </cell>
          <cell r="R580" t="str">
            <v>GUN142R-MDMSYD-H0</v>
          </cell>
          <cell r="S580" t="str">
            <v>INNOVA</v>
          </cell>
          <cell r="T580" t="str">
            <v>INV REBORN</v>
          </cell>
          <cell r="U580" t="str">
            <v>INNOVA G M/T DIESEL</v>
          </cell>
        </row>
        <row r="581">
          <cell r="D581" t="str">
            <v>GUN142R-MDMSXD-00</v>
          </cell>
          <cell r="E581" t="str">
            <v>INNOVA</v>
          </cell>
          <cell r="F581" t="str">
            <v>INNOVA</v>
          </cell>
          <cell r="G581" t="str">
            <v>INNOVA</v>
          </cell>
          <cell r="H581" t="str">
            <v>INNOVA G M/T DIESEL</v>
          </cell>
          <cell r="I581" t="str">
            <v>INNOVA G M/T DIESEL</v>
          </cell>
          <cell r="J581" t="str">
            <v xml:space="preserve">INNOVA G M/T DIESEL </v>
          </cell>
          <cell r="K581" t="str">
            <v>INNOVA REBORN</v>
          </cell>
          <cell r="L581" t="str">
            <v>GUNX42GM/T00M</v>
          </cell>
          <cell r="M581" t="str">
            <v>INNOVA</v>
          </cell>
          <cell r="N581" t="str">
            <v>INNOVA REBORN</v>
          </cell>
          <cell r="O581" t="str">
            <v>GUN142R-MDMSXD-00</v>
          </cell>
          <cell r="P581" t="e">
            <v>#N/A</v>
          </cell>
          <cell r="Q581" t="e">
            <v>#N/A</v>
          </cell>
          <cell r="R581" t="str">
            <v>GUN142R-MDMSXD-00</v>
          </cell>
          <cell r="S581" t="str">
            <v>INNOVA</v>
          </cell>
          <cell r="T581" t="str">
            <v>INV REBORN</v>
          </cell>
          <cell r="U581" t="str">
            <v>INNOVA G M/T DIESEL</v>
          </cell>
        </row>
        <row r="582">
          <cell r="D582" t="str">
            <v>GUN142R-MDMSXD-10</v>
          </cell>
          <cell r="E582" t="str">
            <v>INNOVA</v>
          </cell>
          <cell r="F582" t="str">
            <v>INNOVA</v>
          </cell>
          <cell r="G582" t="str">
            <v>INNOVA</v>
          </cell>
          <cell r="H582" t="str">
            <v>INNOVA G M/T DIESEL</v>
          </cell>
          <cell r="I582" t="str">
            <v>INNOVA G M/T DIESEL</v>
          </cell>
          <cell r="J582" t="str">
            <v xml:space="preserve">INNOVA G M/T DIESEL </v>
          </cell>
          <cell r="K582" t="str">
            <v>INNOVA REBORN</v>
          </cell>
          <cell r="L582" t="str">
            <v>GUNX42GM/T10M</v>
          </cell>
          <cell r="M582" t="str">
            <v>INNOVA</v>
          </cell>
          <cell r="N582" t="str">
            <v>INNOVA REBORN</v>
          </cell>
          <cell r="O582" t="str">
            <v>GUN142R-MDMSXD-10</v>
          </cell>
          <cell r="P582" t="e">
            <v>#N/A</v>
          </cell>
          <cell r="Q582" t="e">
            <v>#N/A</v>
          </cell>
          <cell r="R582" t="str">
            <v>GUN142R-MDMSXD-10</v>
          </cell>
          <cell r="S582" t="str">
            <v>INNOVA</v>
          </cell>
          <cell r="T582" t="str">
            <v>INV REBORN</v>
          </cell>
          <cell r="U582" t="str">
            <v>INNOVA G M/T DIESEL</v>
          </cell>
        </row>
        <row r="583">
          <cell r="D583" t="str">
            <v>GUN142R-MDMSXD-20</v>
          </cell>
          <cell r="E583" t="str">
            <v>INNOVA</v>
          </cell>
          <cell r="F583" t="str">
            <v>INNOVA</v>
          </cell>
          <cell r="G583" t="str">
            <v>INNOVA</v>
          </cell>
          <cell r="H583" t="str">
            <v>INNOVA G M/T DIESEL</v>
          </cell>
          <cell r="I583" t="str">
            <v>INNOVA G M/T DIESEL</v>
          </cell>
          <cell r="J583" t="str">
            <v xml:space="preserve">INNOVA G M/T DIESEL </v>
          </cell>
          <cell r="K583" t="str">
            <v>INNOVA REBORN</v>
          </cell>
          <cell r="L583" t="str">
            <v>GUNX42GM/T20M</v>
          </cell>
          <cell r="M583" t="str">
            <v>INNOVA</v>
          </cell>
          <cell r="N583" t="str">
            <v>INNOVA REBORN</v>
          </cell>
          <cell r="O583" t="str">
            <v>GUN142R-MDMSXD-20</v>
          </cell>
          <cell r="P583" t="str">
            <v>INNOVA</v>
          </cell>
          <cell r="Q583" t="str">
            <v>INNOVA OLD</v>
          </cell>
          <cell r="R583" t="str">
            <v>GUN142R-MDMSXD-20</v>
          </cell>
          <cell r="S583" t="str">
            <v>INNOVA</v>
          </cell>
          <cell r="T583" t="str">
            <v>INV REBORN</v>
          </cell>
          <cell r="U583" t="str">
            <v>INNOVA G M/T DIESEL</v>
          </cell>
        </row>
        <row r="584">
          <cell r="D584" t="str">
            <v>GUN142R-MDMSYD-22</v>
          </cell>
          <cell r="E584" t="str">
            <v>INNOVA</v>
          </cell>
          <cell r="F584" t="str">
            <v>INNOVA</v>
          </cell>
          <cell r="G584" t="str">
            <v>INNOVA</v>
          </cell>
          <cell r="H584" t="str">
            <v>INNOVA G M/T DIESEL</v>
          </cell>
          <cell r="I584" t="str">
            <v>INNOVA G M/T DIESEL TRD</v>
          </cell>
          <cell r="J584" t="str">
            <v>INNOVA G M/T DIESEL TRD</v>
          </cell>
          <cell r="K584" t="str">
            <v>INNOVA REBORN</v>
          </cell>
          <cell r="L584" t="str">
            <v>GUN42GM/T22M</v>
          </cell>
          <cell r="M584" t="str">
            <v>INNOVA</v>
          </cell>
          <cell r="N584" t="str">
            <v>INNOVA REBORN</v>
          </cell>
          <cell r="O584" t="str">
            <v>GUN142R-MDMSYD-22</v>
          </cell>
          <cell r="P584" t="e">
            <v>#N/A</v>
          </cell>
          <cell r="Q584" t="e">
            <v>#N/A</v>
          </cell>
          <cell r="R584" t="str">
            <v>GUN142R-MDMSYD-22</v>
          </cell>
          <cell r="S584" t="str">
            <v>INNOVA</v>
          </cell>
          <cell r="T584" t="str">
            <v>INV REBORN</v>
          </cell>
          <cell r="U584" t="str">
            <v>INNOVA G M/T DIESEL</v>
          </cell>
        </row>
        <row r="585">
          <cell r="D585" t="str">
            <v>TGN140R-MDMSKD-31</v>
          </cell>
          <cell r="E585" t="str">
            <v>INNOVA</v>
          </cell>
          <cell r="F585" t="str">
            <v>INNOVA</v>
          </cell>
          <cell r="G585" t="str">
            <v>INNOVA</v>
          </cell>
          <cell r="H585" t="str">
            <v>INNOVA G M/T</v>
          </cell>
          <cell r="I585" t="str">
            <v>INNOVA G M/T LUX</v>
          </cell>
          <cell r="J585" t="str">
            <v>INNOVA G M/T LUX</v>
          </cell>
          <cell r="K585" t="str">
            <v>INNOVA REBORN</v>
          </cell>
          <cell r="L585" t="str">
            <v>TGN40GM/T31M</v>
          </cell>
          <cell r="M585" t="str">
            <v>INNOVA</v>
          </cell>
          <cell r="N585" t="str">
            <v>INNOVA REBORN</v>
          </cell>
          <cell r="O585" t="str">
            <v>TGN140R-MDMSKD-31</v>
          </cell>
          <cell r="P585" t="e">
            <v>#N/A</v>
          </cell>
          <cell r="Q585" t="e">
            <v>#N/A</v>
          </cell>
          <cell r="R585" t="str">
            <v>TGN140R-MDMSKD-31</v>
          </cell>
          <cell r="S585" t="str">
            <v>INNOVA</v>
          </cell>
          <cell r="T585" t="str">
            <v>INV REBORN</v>
          </cell>
          <cell r="U585" t="str">
            <v>INNOVA G M/T</v>
          </cell>
        </row>
        <row r="586">
          <cell r="D586" t="str">
            <v>TGN140R-MDMSKD-41</v>
          </cell>
          <cell r="E586" t="str">
            <v>INNOVA</v>
          </cell>
          <cell r="F586" t="str">
            <v>INNOVA</v>
          </cell>
          <cell r="G586" t="str">
            <v>INNOVA</v>
          </cell>
          <cell r="H586" t="str">
            <v>INNOVA G M/T</v>
          </cell>
          <cell r="I586" t="str">
            <v>INNOVA G M/T LUX</v>
          </cell>
          <cell r="J586" t="str">
            <v>INNOVA G M/T LUX</v>
          </cell>
          <cell r="K586" t="str">
            <v>INNOVA REBORN</v>
          </cell>
          <cell r="L586" t="str">
            <v>TGN40GM/T41M</v>
          </cell>
          <cell r="M586" t="str">
            <v>INNOVA</v>
          </cell>
          <cell r="N586" t="str">
            <v>INNOVA REBORN</v>
          </cell>
          <cell r="O586" t="str">
            <v>TGN140R-MDMSKD-41</v>
          </cell>
          <cell r="P586" t="e">
            <v>#N/A</v>
          </cell>
          <cell r="Q586" t="e">
            <v>#N/A</v>
          </cell>
          <cell r="R586" t="str">
            <v>TGN140R-MDMSKD-41</v>
          </cell>
          <cell r="S586" t="str">
            <v>INNOVA</v>
          </cell>
          <cell r="T586" t="str">
            <v>INV REBORN</v>
          </cell>
          <cell r="U586" t="str">
            <v>INNOVA G M/T</v>
          </cell>
        </row>
        <row r="587">
          <cell r="D587" t="e">
            <v>#N/A</v>
          </cell>
          <cell r="E587" t="str">
            <v>INNOVA</v>
          </cell>
          <cell r="F587" t="str">
            <v>INNOVA</v>
          </cell>
          <cell r="G587" t="str">
            <v>INNOVA</v>
          </cell>
          <cell r="H587" t="str">
            <v>INNOVA J M/T</v>
          </cell>
          <cell r="I587" t="str">
            <v>INNOVA J M/T</v>
          </cell>
          <cell r="J587" t="str">
            <v>INNOVA J M/T</v>
          </cell>
          <cell r="K587" t="str">
            <v>INNOVA REBORN</v>
          </cell>
          <cell r="L587" t="str">
            <v>TG40JBIS01M</v>
          </cell>
          <cell r="M587" t="str">
            <v>INNOVA</v>
          </cell>
          <cell r="N587" t="str">
            <v>INNOVA REBORN</v>
          </cell>
          <cell r="O587" t="e">
            <v>#N/A</v>
          </cell>
          <cell r="P587" t="e">
            <v>#N/A</v>
          </cell>
          <cell r="Q587" t="e">
            <v>#N/A</v>
          </cell>
          <cell r="R587" t="e">
            <v>#N/A</v>
          </cell>
          <cell r="S587" t="str">
            <v>INNOVA</v>
          </cell>
          <cell r="T587" t="str">
            <v>INV REBORN</v>
          </cell>
          <cell r="U587" t="str">
            <v>INNOVA J M/T</v>
          </cell>
        </row>
        <row r="588">
          <cell r="D588" t="e">
            <v>#N/A</v>
          </cell>
          <cell r="E588" t="str">
            <v>INNOVA</v>
          </cell>
          <cell r="F588" t="str">
            <v>INNOVA</v>
          </cell>
          <cell r="G588" t="str">
            <v>INNOVA</v>
          </cell>
          <cell r="H588" t="str">
            <v>INNOVA J M/T</v>
          </cell>
          <cell r="I588" t="str">
            <v>INNOVA J M/T</v>
          </cell>
          <cell r="J588" t="str">
            <v>INNOVA J M/T</v>
          </cell>
          <cell r="K588" t="str">
            <v>INNOVA REBORN</v>
          </cell>
          <cell r="L588" t="str">
            <v>TG40JM/TM</v>
          </cell>
          <cell r="M588" t="str">
            <v>INNOVA</v>
          </cell>
          <cell r="N588" t="str">
            <v>INNOVA REBORN</v>
          </cell>
          <cell r="O588" t="e">
            <v>#N/A</v>
          </cell>
          <cell r="P588" t="e">
            <v>#N/A</v>
          </cell>
          <cell r="Q588" t="e">
            <v>#N/A</v>
          </cell>
          <cell r="R588" t="e">
            <v>#N/A</v>
          </cell>
          <cell r="S588" t="str">
            <v>INNOVA</v>
          </cell>
          <cell r="T588" t="str">
            <v>INV REBORN</v>
          </cell>
          <cell r="U588" t="str">
            <v>INNOVA J M/T</v>
          </cell>
        </row>
        <row r="589">
          <cell r="D589" t="e">
            <v>#N/A</v>
          </cell>
          <cell r="E589" t="str">
            <v>INNOVA</v>
          </cell>
          <cell r="F589" t="str">
            <v>INNOVA</v>
          </cell>
          <cell r="G589" t="str">
            <v>INNOVA</v>
          </cell>
          <cell r="H589" t="str">
            <v>INNOVA J M/T</v>
          </cell>
          <cell r="I589" t="str">
            <v>INNOVA J M/T</v>
          </cell>
          <cell r="J589" t="str">
            <v>INNOVA J M/T</v>
          </cell>
          <cell r="K589" t="str">
            <v>INNOVA REBORN</v>
          </cell>
          <cell r="L589" t="str">
            <v>TG40JM/T10</v>
          </cell>
          <cell r="M589" t="str">
            <v>INNOVA</v>
          </cell>
          <cell r="N589" t="str">
            <v>INNOVA REBORN</v>
          </cell>
          <cell r="O589" t="e">
            <v>#N/A</v>
          </cell>
          <cell r="P589" t="e">
            <v>#N/A</v>
          </cell>
          <cell r="Q589" t="e">
            <v>#N/A</v>
          </cell>
          <cell r="R589" t="e">
            <v>#N/A</v>
          </cell>
          <cell r="S589" t="str">
            <v>INNOVA</v>
          </cell>
          <cell r="T589" t="str">
            <v>INV REBORN</v>
          </cell>
          <cell r="U589" t="str">
            <v>INNOVA J M/T</v>
          </cell>
        </row>
        <row r="590">
          <cell r="D590" t="str">
            <v>TGN140R-MDMHKD-02</v>
          </cell>
          <cell r="E590" t="str">
            <v>INNOVA</v>
          </cell>
          <cell r="F590" t="str">
            <v>INNOVA</v>
          </cell>
          <cell r="G590" t="str">
            <v>INNOVA</v>
          </cell>
          <cell r="H590" t="str">
            <v>VENTURER M/T</v>
          </cell>
          <cell r="I590" t="str">
            <v>VENTURER M/T</v>
          </cell>
          <cell r="J590" t="str">
            <v>VENTURER M/T</v>
          </cell>
          <cell r="K590" t="str">
            <v>INNOVA REBORN</v>
          </cell>
          <cell r="L590" t="str">
            <v>TGN40QM/T02M</v>
          </cell>
          <cell r="M590" t="str">
            <v>INNOVA</v>
          </cell>
          <cell r="N590" t="str">
            <v>INNOVA REBORN</v>
          </cell>
          <cell r="O590" t="str">
            <v>TGN140R-MDMHKD-02</v>
          </cell>
          <cell r="P590" t="e">
            <v>#N/A</v>
          </cell>
          <cell r="Q590" t="e">
            <v>#N/A</v>
          </cell>
          <cell r="R590" t="str">
            <v>TGN140R-MDMHKD-02</v>
          </cell>
          <cell r="S590" t="str">
            <v>INNOVA</v>
          </cell>
          <cell r="T590" t="e">
            <v>#N/A</v>
          </cell>
          <cell r="U590" t="str">
            <v>VENTURER M/T</v>
          </cell>
        </row>
        <row r="591">
          <cell r="D591" t="e">
            <v>#N/A</v>
          </cell>
          <cell r="E591" t="str">
            <v>INNOVA</v>
          </cell>
          <cell r="F591" t="str">
            <v>INNOVA</v>
          </cell>
          <cell r="G591" t="str">
            <v>INNOVA</v>
          </cell>
          <cell r="H591" t="str">
            <v>INNOVA J M/T</v>
          </cell>
          <cell r="I591" t="str">
            <v>INNOVA J M/T</v>
          </cell>
          <cell r="J591" t="str">
            <v>INNOVA J M/T</v>
          </cell>
          <cell r="K591" t="str">
            <v>INNOVA REBORN</v>
          </cell>
          <cell r="L591" t="str">
            <v>TG40JM/T10M</v>
          </cell>
          <cell r="M591" t="str">
            <v>INNOVA</v>
          </cell>
          <cell r="N591" t="str">
            <v>INNOVA REBORN</v>
          </cell>
          <cell r="O591" t="e">
            <v>#N/A</v>
          </cell>
          <cell r="P591" t="e">
            <v>#N/A</v>
          </cell>
          <cell r="Q591" t="e">
            <v>#N/A</v>
          </cell>
          <cell r="R591" t="e">
            <v>#N/A</v>
          </cell>
          <cell r="S591" t="str">
            <v>INNOVA</v>
          </cell>
          <cell r="T591" t="str">
            <v>INV REBORN</v>
          </cell>
          <cell r="U591" t="str">
            <v>INNOVA J M/T</v>
          </cell>
        </row>
        <row r="592">
          <cell r="D592" t="e">
            <v>#N/A</v>
          </cell>
          <cell r="E592" t="str">
            <v>INNOVA</v>
          </cell>
          <cell r="F592" t="str">
            <v>INNOVA</v>
          </cell>
          <cell r="G592" t="str">
            <v>INNOVA</v>
          </cell>
          <cell r="H592" t="str">
            <v>INNOVA J M/T</v>
          </cell>
          <cell r="I592" t="str">
            <v>INNOVA J M/T</v>
          </cell>
          <cell r="J592" t="str">
            <v>INNOVA J M/T</v>
          </cell>
          <cell r="K592" t="str">
            <v>INNOVA REBORN</v>
          </cell>
          <cell r="L592" t="str">
            <v>TG40JM/T20M</v>
          </cell>
          <cell r="M592" t="str">
            <v>INNOVA</v>
          </cell>
          <cell r="N592" t="str">
            <v>INNOVA REBORN</v>
          </cell>
          <cell r="O592" t="e">
            <v>#N/A</v>
          </cell>
          <cell r="P592" t="e">
            <v>#N/A</v>
          </cell>
          <cell r="Q592" t="e">
            <v>#N/A</v>
          </cell>
          <cell r="R592" t="e">
            <v>#N/A</v>
          </cell>
          <cell r="S592" t="str">
            <v>INNOVA</v>
          </cell>
          <cell r="T592" t="str">
            <v>INV REBORN</v>
          </cell>
          <cell r="U592" t="str">
            <v>INNOVA J M/T</v>
          </cell>
        </row>
        <row r="593">
          <cell r="D593" t="e">
            <v>#N/A</v>
          </cell>
          <cell r="E593" t="str">
            <v>INNOVA</v>
          </cell>
          <cell r="F593" t="str">
            <v>INNOVA</v>
          </cell>
          <cell r="G593" t="str">
            <v>INNOVA</v>
          </cell>
          <cell r="H593" t="str">
            <v>INNOVA J M/T</v>
          </cell>
          <cell r="I593" t="str">
            <v>INNOVA J M/T</v>
          </cell>
          <cell r="J593" t="str">
            <v>INNOVA J M/T</v>
          </cell>
          <cell r="K593" t="str">
            <v>INNOVA REBORN</v>
          </cell>
          <cell r="L593" t="str">
            <v>TG40JM/T30M</v>
          </cell>
          <cell r="M593" t="str">
            <v>INNOVA</v>
          </cell>
          <cell r="N593" t="str">
            <v>INNOVA REBORN</v>
          </cell>
          <cell r="O593" t="e">
            <v>#N/A</v>
          </cell>
          <cell r="P593" t="e">
            <v>#N/A</v>
          </cell>
          <cell r="Q593" t="e">
            <v>#N/A</v>
          </cell>
          <cell r="R593" t="e">
            <v>#N/A</v>
          </cell>
          <cell r="S593" t="str">
            <v>INNOVA</v>
          </cell>
          <cell r="T593" t="str">
            <v>INV REBORN</v>
          </cell>
          <cell r="U593" t="str">
            <v>INNOVA J M/T</v>
          </cell>
        </row>
        <row r="594">
          <cell r="D594" t="e">
            <v>#N/A</v>
          </cell>
          <cell r="E594" t="str">
            <v>INNOVA</v>
          </cell>
          <cell r="F594" t="str">
            <v>INNOVA</v>
          </cell>
          <cell r="G594" t="str">
            <v>INNOVA</v>
          </cell>
          <cell r="H594" t="str">
            <v>INNOVA J M/T</v>
          </cell>
          <cell r="I594" t="str">
            <v>INNOVA J M/T</v>
          </cell>
          <cell r="J594" t="str">
            <v>INNOVA J M/T</v>
          </cell>
          <cell r="K594" t="str">
            <v>INNOVA REBORN</v>
          </cell>
          <cell r="L594" t="str">
            <v>TG40JM/TDU10M</v>
          </cell>
          <cell r="M594" t="str">
            <v>INNOVA</v>
          </cell>
          <cell r="N594" t="str">
            <v>INNOVA REBORN</v>
          </cell>
          <cell r="O594" t="e">
            <v>#N/A</v>
          </cell>
          <cell r="P594" t="e">
            <v>#N/A</v>
          </cell>
          <cell r="Q594" t="e">
            <v>#N/A</v>
          </cell>
          <cell r="R594" t="e">
            <v>#N/A</v>
          </cell>
          <cell r="S594" t="str">
            <v>INNOVA</v>
          </cell>
          <cell r="T594" t="str">
            <v>INV REBORN</v>
          </cell>
          <cell r="U594" t="str">
            <v>INNOVA J M/T</v>
          </cell>
        </row>
        <row r="595">
          <cell r="D595" t="e">
            <v>#N/A</v>
          </cell>
          <cell r="E595" t="str">
            <v>INNOVA</v>
          </cell>
          <cell r="F595" t="str">
            <v>INNOVA</v>
          </cell>
          <cell r="G595" t="str">
            <v>INNOVA</v>
          </cell>
          <cell r="H595" t="str">
            <v>INNOVA J M/T</v>
          </cell>
          <cell r="I595" t="str">
            <v>INNOVA J M/T</v>
          </cell>
          <cell r="J595" t="str">
            <v>INNOVA J M/T</v>
          </cell>
          <cell r="K595" t="str">
            <v>INNOVA REBORN</v>
          </cell>
          <cell r="L595" t="str">
            <v>TG40JM/TDU20M</v>
          </cell>
          <cell r="M595" t="str">
            <v>INNOVA</v>
          </cell>
          <cell r="N595" t="str">
            <v>INNOVA REBORN</v>
          </cell>
          <cell r="O595" t="e">
            <v>#N/A</v>
          </cell>
          <cell r="P595" t="e">
            <v>#N/A</v>
          </cell>
          <cell r="Q595" t="e">
            <v>#N/A</v>
          </cell>
          <cell r="R595" t="e">
            <v>#N/A</v>
          </cell>
          <cell r="S595" t="str">
            <v>INNOVA</v>
          </cell>
          <cell r="T595" t="str">
            <v>INV REBORN</v>
          </cell>
          <cell r="U595" t="str">
            <v>INNOVA J M/T</v>
          </cell>
        </row>
        <row r="596">
          <cell r="D596" t="e">
            <v>#N/A</v>
          </cell>
          <cell r="E596" t="str">
            <v>INNOVA</v>
          </cell>
          <cell r="F596" t="str">
            <v>INNOVA</v>
          </cell>
          <cell r="G596" t="str">
            <v>INNOVA</v>
          </cell>
          <cell r="H596" t="str">
            <v>INNOVA J M/T</v>
          </cell>
          <cell r="I596" t="str">
            <v>INNOVA J M/T</v>
          </cell>
          <cell r="J596" t="str">
            <v>INNOVA J M/T</v>
          </cell>
          <cell r="K596" t="str">
            <v>INNOVA REBORN</v>
          </cell>
          <cell r="L596" t="str">
            <v>TG40JM/TDU30M</v>
          </cell>
          <cell r="M596" t="str">
            <v>INNOVA</v>
          </cell>
          <cell r="N596" t="str">
            <v>INNOVA REBORN</v>
          </cell>
          <cell r="O596" t="e">
            <v>#N/A</v>
          </cell>
          <cell r="P596" t="e">
            <v>#N/A</v>
          </cell>
          <cell r="Q596" t="e">
            <v>#N/A</v>
          </cell>
          <cell r="R596" t="e">
            <v>#N/A</v>
          </cell>
          <cell r="S596" t="str">
            <v>INNOVA</v>
          </cell>
          <cell r="T596" t="str">
            <v>INV REBORN</v>
          </cell>
          <cell r="U596" t="str">
            <v>INNOVA J M/T</v>
          </cell>
        </row>
        <row r="597">
          <cell r="D597" t="str">
            <v>TGN140R-MDTHKD-00</v>
          </cell>
          <cell r="E597" t="str">
            <v>INNOVA</v>
          </cell>
          <cell r="F597" t="str">
            <v>INNOVA</v>
          </cell>
          <cell r="G597" t="str">
            <v>INNOVA</v>
          </cell>
          <cell r="H597" t="str">
            <v>INNOVA Q A/T</v>
          </cell>
          <cell r="I597" t="str">
            <v>INNOVA Q A/T</v>
          </cell>
          <cell r="J597" t="str">
            <v>INNOVA Q A/T</v>
          </cell>
          <cell r="K597" t="str">
            <v>INNOVA REBORN</v>
          </cell>
          <cell r="L597" t="str">
            <v>TGN40QA/T</v>
          </cell>
          <cell r="M597" t="str">
            <v>INNOVA</v>
          </cell>
          <cell r="N597" t="str">
            <v>INNOVA REBORN</v>
          </cell>
          <cell r="O597" t="str">
            <v>TGN140R-MDTHKD-00</v>
          </cell>
          <cell r="P597" t="e">
            <v>#N/A</v>
          </cell>
          <cell r="Q597" t="e">
            <v>#N/A</v>
          </cell>
          <cell r="R597" t="str">
            <v>TGN140R-MDTHKD-00</v>
          </cell>
          <cell r="S597" t="str">
            <v>INNOVA</v>
          </cell>
          <cell r="T597" t="str">
            <v>INV REBORN</v>
          </cell>
          <cell r="U597" t="str">
            <v>INNOVA Q A/T</v>
          </cell>
        </row>
        <row r="598">
          <cell r="D598" t="e">
            <v>#N/A</v>
          </cell>
          <cell r="E598" t="str">
            <v>INNOVA</v>
          </cell>
          <cell r="F598" t="str">
            <v>INNOVA</v>
          </cell>
          <cell r="G598" t="str">
            <v>INNOVA</v>
          </cell>
          <cell r="H598" t="str">
            <v>INNOVA Q A/T</v>
          </cell>
          <cell r="I598" t="str">
            <v>INNOVA Q A/T</v>
          </cell>
          <cell r="J598" t="str">
            <v>INNOVA Q A/T</v>
          </cell>
          <cell r="K598" t="str">
            <v>INNOVA REBORN</v>
          </cell>
          <cell r="L598" t="str">
            <v>TGN40QA/TL</v>
          </cell>
          <cell r="M598" t="str">
            <v>INNOVA</v>
          </cell>
          <cell r="N598" t="str">
            <v>INNOVA REBORN</v>
          </cell>
          <cell r="O598" t="e">
            <v>#N/A</v>
          </cell>
          <cell r="P598" t="e">
            <v>#N/A</v>
          </cell>
          <cell r="Q598" t="e">
            <v>#N/A</v>
          </cell>
          <cell r="R598" t="e">
            <v>#N/A</v>
          </cell>
          <cell r="S598" t="str">
            <v>INNOVA</v>
          </cell>
          <cell r="T598" t="str">
            <v>INV REBORN</v>
          </cell>
          <cell r="U598" t="str">
            <v>INNOVA Q A/T</v>
          </cell>
        </row>
        <row r="599">
          <cell r="D599" t="str">
            <v>GUN142R-MDTHYD-02</v>
          </cell>
          <cell r="E599" t="str">
            <v>INNOVA</v>
          </cell>
          <cell r="F599" t="str">
            <v>INNOVA</v>
          </cell>
          <cell r="G599" t="str">
            <v>INNOVA</v>
          </cell>
          <cell r="H599" t="str">
            <v>INNOVA Q A/T</v>
          </cell>
          <cell r="I599" t="str">
            <v>INNOVA Q A/T</v>
          </cell>
          <cell r="J599" t="str">
            <v>INNOVA Q A/T</v>
          </cell>
          <cell r="K599" t="str">
            <v>INNOVA REBORN</v>
          </cell>
          <cell r="L599" t="str">
            <v>GUN42QA/T02M</v>
          </cell>
          <cell r="M599" t="str">
            <v>INNOVA</v>
          </cell>
          <cell r="N599" t="str">
            <v>INNOVA REBORN</v>
          </cell>
          <cell r="O599" t="str">
            <v>GUN142R-MDTHYD-02</v>
          </cell>
          <cell r="P599" t="e">
            <v>#N/A</v>
          </cell>
          <cell r="Q599" t="e">
            <v>#N/A</v>
          </cell>
          <cell r="R599" t="str">
            <v>GUN142R-MDTHYD-02</v>
          </cell>
          <cell r="S599" t="str">
            <v>INNOVA</v>
          </cell>
          <cell r="T599" t="str">
            <v>INV REBORN</v>
          </cell>
          <cell r="U599" t="str">
            <v>INNOVA Q A/T</v>
          </cell>
        </row>
        <row r="600">
          <cell r="D600" t="str">
            <v>TGN140R-MDTHKD-D0</v>
          </cell>
          <cell r="E600" t="str">
            <v>INNOVA</v>
          </cell>
          <cell r="F600" t="str">
            <v>INNOVA</v>
          </cell>
          <cell r="G600" t="str">
            <v>INNOVA</v>
          </cell>
          <cell r="H600" t="str">
            <v>INNOVA Q A/T</v>
          </cell>
          <cell r="I600" t="str">
            <v>INNOVA Q A/T</v>
          </cell>
          <cell r="J600" t="str">
            <v>INNOVA Q A/T</v>
          </cell>
          <cell r="K600" t="str">
            <v>INNOVA REBORN</v>
          </cell>
          <cell r="L600" t="str">
            <v>TGN40QA/TD0M</v>
          </cell>
          <cell r="M600" t="str">
            <v>INNOVA</v>
          </cell>
          <cell r="N600" t="str">
            <v>INNOVA REBORN</v>
          </cell>
          <cell r="O600" t="str">
            <v>TGN140R-MDTHKD-D0</v>
          </cell>
          <cell r="P600" t="e">
            <v>#N/A</v>
          </cell>
          <cell r="Q600" t="e">
            <v>#N/A</v>
          </cell>
          <cell r="R600" t="str">
            <v>TGN140R-MDTHKD-D0</v>
          </cell>
          <cell r="S600" t="str">
            <v>INNOVA</v>
          </cell>
          <cell r="T600" t="str">
            <v>INV REBORN</v>
          </cell>
          <cell r="U600" t="str">
            <v>INNOVA Q A/T</v>
          </cell>
        </row>
        <row r="601">
          <cell r="D601" t="str">
            <v>TGN140R-MDTHKD-20</v>
          </cell>
          <cell r="E601" t="str">
            <v>INNOVA</v>
          </cell>
          <cell r="F601" t="str">
            <v>INNOVA</v>
          </cell>
          <cell r="G601" t="str">
            <v>INNOVA</v>
          </cell>
          <cell r="H601" t="str">
            <v>INNOVA Q A/T</v>
          </cell>
          <cell r="I601" t="str">
            <v>INNOVA Q A/T</v>
          </cell>
          <cell r="J601" t="str">
            <v>INNOVA Q A/T</v>
          </cell>
          <cell r="K601" t="str">
            <v>INNOVA REBORN</v>
          </cell>
          <cell r="L601" t="str">
            <v>TGN40QA/T20M</v>
          </cell>
          <cell r="M601" t="str">
            <v>INNOVA</v>
          </cell>
          <cell r="N601" t="str">
            <v>INNOVA REBORN</v>
          </cell>
          <cell r="O601" t="str">
            <v>TGN140R-MDTHKD-20</v>
          </cell>
          <cell r="P601" t="e">
            <v>#N/A</v>
          </cell>
          <cell r="Q601" t="e">
            <v>#N/A</v>
          </cell>
          <cell r="R601" t="str">
            <v>TGN140R-MDTHKD-20</v>
          </cell>
          <cell r="S601" t="str">
            <v>INNOVA</v>
          </cell>
          <cell r="T601" t="str">
            <v>INV REBORN</v>
          </cell>
          <cell r="U601" t="str">
            <v>INNOVA Q A/T</v>
          </cell>
        </row>
        <row r="602">
          <cell r="D602" t="str">
            <v>GUN142R-MDTHYD-00</v>
          </cell>
          <cell r="E602" t="str">
            <v>INNOVA</v>
          </cell>
          <cell r="F602" t="str">
            <v>INNOVA</v>
          </cell>
          <cell r="G602" t="str">
            <v>INNOVA</v>
          </cell>
          <cell r="H602" t="str">
            <v>INNOVA Q A/T DIESEL</v>
          </cell>
          <cell r="I602" t="str">
            <v>INNOVA Q A/T DIESEL</v>
          </cell>
          <cell r="J602" t="str">
            <v>INNOVA Q A/T DIESEL</v>
          </cell>
          <cell r="K602" t="str">
            <v>INNOVA REBORN</v>
          </cell>
          <cell r="L602" t="str">
            <v>GUN42QA/T</v>
          </cell>
          <cell r="M602" t="str">
            <v>INNOVA</v>
          </cell>
          <cell r="N602" t="str">
            <v>INNOVA REBORN</v>
          </cell>
          <cell r="O602" t="str">
            <v>GUN142R-MDTHYD-00</v>
          </cell>
          <cell r="P602" t="e">
            <v>#N/A</v>
          </cell>
          <cell r="Q602" t="e">
            <v>#N/A</v>
          </cell>
          <cell r="R602" t="str">
            <v>GUN142R-MDTHYD-00</v>
          </cell>
          <cell r="S602" t="str">
            <v>INNOVA</v>
          </cell>
          <cell r="T602" t="str">
            <v>INV REBORN</v>
          </cell>
          <cell r="U602" t="str">
            <v>INNOVA Q A/T DIESEL</v>
          </cell>
        </row>
        <row r="603">
          <cell r="D603" t="e">
            <v>#N/A</v>
          </cell>
          <cell r="E603" t="str">
            <v>INNOVA</v>
          </cell>
          <cell r="F603" t="str">
            <v>INNOVA</v>
          </cell>
          <cell r="G603" t="str">
            <v>INNOVA</v>
          </cell>
          <cell r="H603" t="str">
            <v>INNOVA Q A/T DIESEL</v>
          </cell>
          <cell r="I603" t="str">
            <v>INNOVA Q A/T DIESEL</v>
          </cell>
          <cell r="J603" t="str">
            <v>INNOVA Q A/T DIESEL</v>
          </cell>
          <cell r="K603" t="str">
            <v>INNOVA REBORN</v>
          </cell>
          <cell r="L603" t="str">
            <v>GUN42QA/TL</v>
          </cell>
          <cell r="M603" t="str">
            <v>INNOVA</v>
          </cell>
          <cell r="N603" t="str">
            <v>INNOVA REBORN</v>
          </cell>
          <cell r="O603" t="e">
            <v>#N/A</v>
          </cell>
          <cell r="P603" t="e">
            <v>#N/A</v>
          </cell>
          <cell r="Q603" t="e">
            <v>#N/A</v>
          </cell>
          <cell r="R603" t="e">
            <v>#N/A</v>
          </cell>
          <cell r="S603" t="str">
            <v>INNOVA</v>
          </cell>
          <cell r="T603" t="str">
            <v>INV REBORN</v>
          </cell>
          <cell r="U603" t="str">
            <v>INNOVA Q A/T DIESEL</v>
          </cell>
        </row>
        <row r="604">
          <cell r="D604" t="str">
            <v>GUN142R-MDTHYD-D0</v>
          </cell>
          <cell r="E604" t="str">
            <v>INNOVA</v>
          </cell>
          <cell r="F604" t="str">
            <v>INNOVA</v>
          </cell>
          <cell r="G604" t="str">
            <v>INNOVA</v>
          </cell>
          <cell r="H604" t="str">
            <v>INNOVA Q A/T DIESEL</v>
          </cell>
          <cell r="I604" t="str">
            <v>INNOVA Q A/T DIESEL</v>
          </cell>
          <cell r="J604" t="str">
            <v>INNOVA Q A/T DIESEL</v>
          </cell>
          <cell r="K604" t="str">
            <v>INNOVA REBORN</v>
          </cell>
          <cell r="L604" t="str">
            <v>GUN42QA/TD0M</v>
          </cell>
          <cell r="M604" t="str">
            <v>INNOVA</v>
          </cell>
          <cell r="N604" t="str">
            <v>INNOVA REBORN</v>
          </cell>
          <cell r="O604" t="str">
            <v>GUN142R-MDTHYD-D0</v>
          </cell>
          <cell r="P604" t="e">
            <v>#N/A</v>
          </cell>
          <cell r="Q604" t="e">
            <v>#N/A</v>
          </cell>
          <cell r="R604" t="str">
            <v>GUN142R-MDTHYD-D0</v>
          </cell>
          <cell r="S604" t="str">
            <v>INNOVA</v>
          </cell>
          <cell r="T604" t="str">
            <v>INV REBORN</v>
          </cell>
          <cell r="U604" t="str">
            <v>INNOVA Q A/T DIESEL</v>
          </cell>
        </row>
        <row r="605">
          <cell r="D605" t="str">
            <v>TGN140R-MDTHKD-11</v>
          </cell>
          <cell r="E605" t="str">
            <v>INNOVA</v>
          </cell>
          <cell r="F605" t="str">
            <v>INNOVA</v>
          </cell>
          <cell r="G605" t="str">
            <v>INNOVA</v>
          </cell>
          <cell r="H605" t="str">
            <v>INNOVA Q A/T DIESEL</v>
          </cell>
          <cell r="I605" t="str">
            <v>INNOVA Q A/T DIESEL</v>
          </cell>
          <cell r="J605" t="str">
            <v>INNOVA Q A/T DIESEL</v>
          </cell>
          <cell r="K605" t="str">
            <v>INNOVA REBORN</v>
          </cell>
          <cell r="L605" t="str">
            <v>TGN40QA/T10M</v>
          </cell>
          <cell r="M605" t="str">
            <v>INNOVA</v>
          </cell>
          <cell r="N605" t="str">
            <v>INNOVA REBORN</v>
          </cell>
          <cell r="O605" t="str">
            <v>TGN140R-MDTHKD-11</v>
          </cell>
          <cell r="P605" t="e">
            <v>#N/A</v>
          </cell>
          <cell r="Q605" t="e">
            <v>#N/A</v>
          </cell>
          <cell r="R605" t="str">
            <v>TGN140R-MDTHKD-11</v>
          </cell>
          <cell r="S605" t="str">
            <v>INNOVA</v>
          </cell>
          <cell r="T605" t="str">
            <v>INV REBORN</v>
          </cell>
          <cell r="U605" t="str">
            <v>INNOVA Q A/T DIESEL</v>
          </cell>
        </row>
        <row r="606">
          <cell r="D606" t="str">
            <v>TGN140R-MDMHKD-10</v>
          </cell>
          <cell r="E606" t="str">
            <v>INNOVA</v>
          </cell>
          <cell r="F606" t="str">
            <v>INNOVA</v>
          </cell>
          <cell r="G606" t="str">
            <v>INNOVA</v>
          </cell>
          <cell r="H606" t="str">
            <v>INNOVA Q M/T</v>
          </cell>
          <cell r="I606" t="str">
            <v>INNOVA Q M/T</v>
          </cell>
          <cell r="J606" t="str">
            <v>INNOVA Q M/T</v>
          </cell>
          <cell r="K606" t="str">
            <v>INNOVA REBORN</v>
          </cell>
          <cell r="L606" t="str">
            <v>TGN40QM/T10M</v>
          </cell>
          <cell r="M606" t="str">
            <v>INNOVA</v>
          </cell>
          <cell r="N606" t="str">
            <v>INNOVA REBORN</v>
          </cell>
          <cell r="O606" t="str">
            <v>TGN140R-MDMHKD-10</v>
          </cell>
          <cell r="P606" t="e">
            <v>#N/A</v>
          </cell>
          <cell r="Q606" t="e">
            <v>#N/A</v>
          </cell>
          <cell r="R606" t="str">
            <v>TGN140R-MDMHKD-10</v>
          </cell>
          <cell r="S606" t="str">
            <v>INNOVA</v>
          </cell>
          <cell r="T606" t="str">
            <v>INV REBORN</v>
          </cell>
          <cell r="U606" t="str">
            <v>INNOVA Q M/T</v>
          </cell>
        </row>
        <row r="607">
          <cell r="D607" t="str">
            <v>TGN140R-MDMHKD-00</v>
          </cell>
          <cell r="E607" t="str">
            <v>INNOVA</v>
          </cell>
          <cell r="F607" t="str">
            <v>INNOVA</v>
          </cell>
          <cell r="G607" t="str">
            <v>INNOVA</v>
          </cell>
          <cell r="H607" t="str">
            <v>INNOVA Q M/T</v>
          </cell>
          <cell r="I607" t="str">
            <v>INNOVA Q M/T</v>
          </cell>
          <cell r="J607" t="str">
            <v>INNOVA Q M/T</v>
          </cell>
          <cell r="K607" t="str">
            <v>INNOVA REBORN</v>
          </cell>
          <cell r="L607" t="str">
            <v>TGN40QM/T</v>
          </cell>
          <cell r="M607" t="str">
            <v>INNOVA</v>
          </cell>
          <cell r="N607" t="str">
            <v>INNOVA REBORN</v>
          </cell>
          <cell r="O607" t="str">
            <v>TGN140R-MDMHKD-00</v>
          </cell>
          <cell r="P607" t="e">
            <v>#N/A</v>
          </cell>
          <cell r="Q607" t="e">
            <v>#N/A</v>
          </cell>
          <cell r="R607" t="str">
            <v>TGN140R-MDMHKD-00</v>
          </cell>
          <cell r="S607" t="str">
            <v>INNOVA</v>
          </cell>
          <cell r="T607" t="str">
            <v>INV REBORN</v>
          </cell>
          <cell r="U607" t="str">
            <v>INNOVA Q M/T</v>
          </cell>
        </row>
        <row r="608">
          <cell r="D608" t="e">
            <v>#N/A</v>
          </cell>
          <cell r="E608" t="str">
            <v>INNOVA</v>
          </cell>
          <cell r="F608" t="str">
            <v>INNOVA</v>
          </cell>
          <cell r="G608" t="str">
            <v>INNOVA</v>
          </cell>
          <cell r="H608" t="str">
            <v>INNOVA Q M/T</v>
          </cell>
          <cell r="I608" t="str">
            <v>INNOVA Q M/T</v>
          </cell>
          <cell r="J608" t="str">
            <v>INNOVA Q M/T</v>
          </cell>
          <cell r="K608" t="str">
            <v>INNOVA REBORN</v>
          </cell>
          <cell r="L608" t="str">
            <v>TGN40QM/TL</v>
          </cell>
          <cell r="M608" t="str">
            <v>INNOVA</v>
          </cell>
          <cell r="N608" t="str">
            <v>INNOVA REBORN</v>
          </cell>
          <cell r="O608" t="e">
            <v>#N/A</v>
          </cell>
          <cell r="P608" t="e">
            <v>#N/A</v>
          </cell>
          <cell r="Q608" t="e">
            <v>#N/A</v>
          </cell>
          <cell r="R608" t="e">
            <v>#N/A</v>
          </cell>
          <cell r="S608" t="str">
            <v>INNOVA</v>
          </cell>
          <cell r="T608" t="str">
            <v>INV REBORN</v>
          </cell>
          <cell r="U608" t="str">
            <v>INNOVA Q M/T</v>
          </cell>
        </row>
        <row r="609">
          <cell r="D609" t="str">
            <v>TGN140R-MDMHKD-D0</v>
          </cell>
          <cell r="E609" t="str">
            <v>INNOVA</v>
          </cell>
          <cell r="F609" t="str">
            <v>INNOVA</v>
          </cell>
          <cell r="G609" t="str">
            <v>INNOVA</v>
          </cell>
          <cell r="H609" t="str">
            <v>INNOVA Q M/T</v>
          </cell>
          <cell r="I609" t="str">
            <v>INNOVA Q M/T</v>
          </cell>
          <cell r="J609" t="str">
            <v>INNOVA Q M/T</v>
          </cell>
          <cell r="K609" t="str">
            <v>INNOVA REBORN</v>
          </cell>
          <cell r="L609" t="str">
            <v>TGN40QM/TD0M</v>
          </cell>
          <cell r="M609" t="str">
            <v>INNOVA</v>
          </cell>
          <cell r="N609" t="str">
            <v>INNOVA REBORN</v>
          </cell>
          <cell r="O609" t="str">
            <v>TGN140R-MDMHKD-D0</v>
          </cell>
          <cell r="P609" t="e">
            <v>#N/A</v>
          </cell>
          <cell r="Q609" t="e">
            <v>#N/A</v>
          </cell>
          <cell r="R609" t="str">
            <v>TGN140R-MDMHKD-D0</v>
          </cell>
          <cell r="S609" t="str">
            <v>INNOVA</v>
          </cell>
          <cell r="T609" t="str">
            <v>INV REBORN</v>
          </cell>
          <cell r="U609" t="str">
            <v>INNOVA Q M/T</v>
          </cell>
        </row>
        <row r="610">
          <cell r="D610" t="str">
            <v>TGN140R-MDMHKD-20</v>
          </cell>
          <cell r="E610" t="str">
            <v>INNOVA</v>
          </cell>
          <cell r="F610" t="str">
            <v>INNOVA</v>
          </cell>
          <cell r="G610" t="str">
            <v>INNOVA</v>
          </cell>
          <cell r="H610" t="str">
            <v>INNOVA Q M/T</v>
          </cell>
          <cell r="I610" t="str">
            <v>INNOVA Q M/T</v>
          </cell>
          <cell r="J610" t="str">
            <v>INNOVA Q M/T</v>
          </cell>
          <cell r="K610" t="str">
            <v>INNOVA REBORN</v>
          </cell>
          <cell r="L610" t="str">
            <v>TGN40QM/T20M</v>
          </cell>
          <cell r="M610" t="str">
            <v>INNOVA</v>
          </cell>
          <cell r="N610" t="str">
            <v>INNOVA REBORN</v>
          </cell>
          <cell r="O610" t="str">
            <v>TGN140R-MDMHKD-20</v>
          </cell>
          <cell r="P610" t="e">
            <v>#N/A</v>
          </cell>
          <cell r="Q610" t="e">
            <v>#N/A</v>
          </cell>
          <cell r="R610" t="str">
            <v>TGN140R-MDMHKD-20</v>
          </cell>
          <cell r="S610" t="str">
            <v>INNOVA</v>
          </cell>
          <cell r="T610" t="str">
            <v>INV REBORN</v>
          </cell>
          <cell r="U610" t="str">
            <v>INNOVA Q M/T</v>
          </cell>
        </row>
        <row r="611">
          <cell r="D611" t="str">
            <v>TGN140R-MDMHKD-F0</v>
          </cell>
          <cell r="E611" t="str">
            <v>INNOVA</v>
          </cell>
          <cell r="F611" t="str">
            <v>INNOVA</v>
          </cell>
          <cell r="G611" t="str">
            <v>INNOVA</v>
          </cell>
          <cell r="H611" t="str">
            <v>INNOVA Q M/T</v>
          </cell>
          <cell r="I611" t="str">
            <v>INNOVA Q M/T</v>
          </cell>
          <cell r="J611" t="str">
            <v>INNOVA Q M/T</v>
          </cell>
          <cell r="K611" t="str">
            <v>INNOVA REBORN</v>
          </cell>
          <cell r="L611" t="str">
            <v>TGN40QM/TF0M</v>
          </cell>
          <cell r="M611" t="str">
            <v>INNOVA</v>
          </cell>
          <cell r="N611" t="str">
            <v>INNOVA REBORN</v>
          </cell>
          <cell r="O611" t="str">
            <v>TGN140R-MDMHKD-F0</v>
          </cell>
          <cell r="P611" t="e">
            <v>#N/A</v>
          </cell>
          <cell r="Q611" t="e">
            <v>#N/A</v>
          </cell>
          <cell r="R611" t="str">
            <v>TGN140R-MDMHKD-F0</v>
          </cell>
          <cell r="S611" t="str">
            <v>INNOVA</v>
          </cell>
          <cell r="T611" t="str">
            <v>INV REBORN</v>
          </cell>
          <cell r="U611" t="str">
            <v>INNOVA Q M/T</v>
          </cell>
        </row>
        <row r="612">
          <cell r="D612" t="str">
            <v>GUN142R-MDMHYD-00</v>
          </cell>
          <cell r="E612" t="str">
            <v>INNOVA</v>
          </cell>
          <cell r="F612" t="str">
            <v>INNOVA</v>
          </cell>
          <cell r="G612" t="str">
            <v>INNOVA</v>
          </cell>
          <cell r="H612" t="str">
            <v>INNOVA Q M/T DIESEL</v>
          </cell>
          <cell r="I612" t="str">
            <v>INNOVA Q M/T DIESEL</v>
          </cell>
          <cell r="J612" t="str">
            <v>INNOVA Q M/T DIESEL</v>
          </cell>
          <cell r="K612" t="str">
            <v>INNOVA REBORN</v>
          </cell>
          <cell r="L612" t="str">
            <v>GUN42QM/T</v>
          </cell>
          <cell r="M612" t="str">
            <v>INNOVA</v>
          </cell>
          <cell r="N612" t="str">
            <v>INNOVA REBORN</v>
          </cell>
          <cell r="O612" t="str">
            <v>GUN142R-MDMHYD-00</v>
          </cell>
          <cell r="P612" t="e">
            <v>#N/A</v>
          </cell>
          <cell r="Q612" t="e">
            <v>#N/A</v>
          </cell>
          <cell r="R612" t="str">
            <v>GUN142R-MDMHYD-00</v>
          </cell>
          <cell r="S612" t="str">
            <v>INNOVA</v>
          </cell>
          <cell r="T612" t="str">
            <v>INV REBORN</v>
          </cell>
          <cell r="U612" t="str">
            <v>INNOVA Q M/T DIESEL</v>
          </cell>
        </row>
        <row r="613">
          <cell r="D613" t="e">
            <v>#N/A</v>
          </cell>
          <cell r="E613" t="str">
            <v>INNOVA</v>
          </cell>
          <cell r="F613" t="str">
            <v>INNOVA</v>
          </cell>
          <cell r="G613" t="str">
            <v>INNOVA</v>
          </cell>
          <cell r="H613" t="str">
            <v>INNOVA Q M/T DIESEL</v>
          </cell>
          <cell r="I613" t="str">
            <v>INNOVA Q M/T DIESEL</v>
          </cell>
          <cell r="J613" t="str">
            <v>INNOVA Q M/T DIESEL</v>
          </cell>
          <cell r="K613" t="str">
            <v>INNOVA REBORN</v>
          </cell>
          <cell r="L613" t="str">
            <v>GUN42QM/TL</v>
          </cell>
          <cell r="M613" t="str">
            <v>INNOVA</v>
          </cell>
          <cell r="N613" t="str">
            <v>INNOVA REBORN</v>
          </cell>
          <cell r="O613" t="e">
            <v>#N/A</v>
          </cell>
          <cell r="P613" t="e">
            <v>#N/A</v>
          </cell>
          <cell r="Q613" t="e">
            <v>#N/A</v>
          </cell>
          <cell r="R613" t="e">
            <v>#N/A</v>
          </cell>
          <cell r="S613" t="str">
            <v>INNOVA</v>
          </cell>
          <cell r="T613" t="str">
            <v>INV REBORN</v>
          </cell>
          <cell r="U613" t="str">
            <v>INNOVA Q M/T DIESEL</v>
          </cell>
        </row>
        <row r="614">
          <cell r="D614" t="str">
            <v>GUN142R-MDMHYD-D0</v>
          </cell>
          <cell r="E614" t="str">
            <v>INNOVA</v>
          </cell>
          <cell r="F614" t="str">
            <v>INNOVA</v>
          </cell>
          <cell r="G614" t="str">
            <v>INNOVA</v>
          </cell>
          <cell r="H614" t="str">
            <v>INNOVA Q M/T DIESEL</v>
          </cell>
          <cell r="I614" t="str">
            <v>INNOVA Q M/T DIESEL</v>
          </cell>
          <cell r="J614" t="str">
            <v>INNOVA Q M/T DIESEL</v>
          </cell>
          <cell r="K614" t="str">
            <v>INNOVA REBORN</v>
          </cell>
          <cell r="L614" t="str">
            <v>GUN42QM/TD0M</v>
          </cell>
          <cell r="M614" t="str">
            <v>INNOVA</v>
          </cell>
          <cell r="N614" t="str">
            <v>INNOVA REBORN</v>
          </cell>
          <cell r="O614" t="str">
            <v>GUN142R-MDMHYD-D0</v>
          </cell>
          <cell r="P614" t="e">
            <v>#N/A</v>
          </cell>
          <cell r="Q614" t="e">
            <v>#N/A</v>
          </cell>
          <cell r="R614" t="str">
            <v>GUN142R-MDMHYD-D0</v>
          </cell>
          <cell r="S614" t="str">
            <v>INNOVA</v>
          </cell>
          <cell r="T614" t="str">
            <v>INV REBORN</v>
          </cell>
          <cell r="U614" t="str">
            <v>INNOVA Q M/T DIESEL</v>
          </cell>
        </row>
        <row r="615">
          <cell r="D615" t="str">
            <v>TGN140R-MDTMKD-13</v>
          </cell>
          <cell r="E615" t="str">
            <v>INNOVA</v>
          </cell>
          <cell r="F615" t="str">
            <v>INNOVA</v>
          </cell>
          <cell r="G615" t="str">
            <v>INNOVA</v>
          </cell>
          <cell r="H615" t="str">
            <v>INNOVA V A/T</v>
          </cell>
          <cell r="I615" t="str">
            <v>INNOVA V A/T</v>
          </cell>
          <cell r="J615" t="str">
            <v>INNOVA V A/T</v>
          </cell>
          <cell r="K615" t="str">
            <v>INNOVA REBORN</v>
          </cell>
          <cell r="L615" t="str">
            <v>TGN40VA/T13M</v>
          </cell>
          <cell r="M615" t="str">
            <v>INNOVA</v>
          </cell>
          <cell r="N615" t="str">
            <v>INNOVA REBORN</v>
          </cell>
          <cell r="O615" t="str">
            <v>TGN140R-MDTMKD-13</v>
          </cell>
          <cell r="P615" t="e">
            <v>#N/A</v>
          </cell>
          <cell r="Q615" t="e">
            <v>#N/A</v>
          </cell>
          <cell r="R615" t="str">
            <v>TGN140R-MDTMKD-13</v>
          </cell>
          <cell r="S615" t="str">
            <v>INNOVA</v>
          </cell>
          <cell r="T615" t="str">
            <v>INV REBORN</v>
          </cell>
          <cell r="U615" t="str">
            <v>INNOVA V A/T</v>
          </cell>
        </row>
        <row r="616">
          <cell r="D616" t="str">
            <v>TGN140R-MDTMKD-23</v>
          </cell>
          <cell r="E616" t="str">
            <v>INNOVA</v>
          </cell>
          <cell r="F616" t="str">
            <v>INNOVA</v>
          </cell>
          <cell r="G616" t="str">
            <v>INNOVA</v>
          </cell>
          <cell r="H616" t="str">
            <v>INNOVA V A/T</v>
          </cell>
          <cell r="I616" t="str">
            <v>INNOVA V A/T</v>
          </cell>
          <cell r="J616" t="str">
            <v>INNOVA V A/T</v>
          </cell>
          <cell r="K616" t="str">
            <v>INNOVA REBORN</v>
          </cell>
          <cell r="L616" t="str">
            <v>TGN40VA/T23M</v>
          </cell>
          <cell r="M616" t="str">
            <v>INNOVA</v>
          </cell>
          <cell r="N616" t="str">
            <v>INNOVA REBORN</v>
          </cell>
          <cell r="O616" t="str">
            <v>TGN140R-MDTMKD-23</v>
          </cell>
          <cell r="P616" t="e">
            <v>#N/A</v>
          </cell>
          <cell r="Q616" t="e">
            <v>#N/A</v>
          </cell>
          <cell r="R616" t="str">
            <v>TGN140R-MDTMKD-23</v>
          </cell>
          <cell r="S616" t="str">
            <v>INNOVA</v>
          </cell>
          <cell r="T616" t="str">
            <v>INV REBORN</v>
          </cell>
          <cell r="U616" t="str">
            <v>INNOVA V A/T</v>
          </cell>
        </row>
        <row r="617">
          <cell r="D617" t="str">
            <v>TGN140R-MDTMKD-F3</v>
          </cell>
          <cell r="E617" t="str">
            <v>INNOVA</v>
          </cell>
          <cell r="F617" t="str">
            <v>INNOVA</v>
          </cell>
          <cell r="G617" t="str">
            <v>INNOVA</v>
          </cell>
          <cell r="H617" t="str">
            <v>INNOVA V A/T</v>
          </cell>
          <cell r="I617" t="str">
            <v>INNOVA V A/T</v>
          </cell>
          <cell r="J617" t="str">
            <v>INNOVA V A/T</v>
          </cell>
          <cell r="K617" t="str">
            <v>INNOVA REBORN</v>
          </cell>
          <cell r="L617" t="str">
            <v>TGN40VA/TF3M</v>
          </cell>
          <cell r="M617" t="str">
            <v>INNOVA</v>
          </cell>
          <cell r="N617" t="str">
            <v>INNOVA REBORN</v>
          </cell>
          <cell r="O617" t="str">
            <v>TGN140R-MDTMKD-F3</v>
          </cell>
          <cell r="P617" t="e">
            <v>#N/A</v>
          </cell>
          <cell r="Q617" t="e">
            <v>#N/A</v>
          </cell>
          <cell r="R617" t="str">
            <v>TGN140R-MDTMKD-F3</v>
          </cell>
          <cell r="S617" t="str">
            <v>INNOVA</v>
          </cell>
          <cell r="T617" t="str">
            <v>INV REBORN</v>
          </cell>
          <cell r="U617" t="str">
            <v>INNOVA V A/T</v>
          </cell>
        </row>
        <row r="618">
          <cell r="D618" t="e">
            <v>#N/A</v>
          </cell>
          <cell r="E618" t="str">
            <v>INNOVA</v>
          </cell>
          <cell r="F618" t="str">
            <v>INNOVA</v>
          </cell>
          <cell r="G618" t="str">
            <v>INNOVA</v>
          </cell>
          <cell r="H618" t="str">
            <v>INNOVA V A/T</v>
          </cell>
          <cell r="I618" t="str">
            <v>INNOVA V A/T</v>
          </cell>
          <cell r="J618" t="str">
            <v>INNOVA V A/T</v>
          </cell>
          <cell r="K618" t="str">
            <v>INNOVA REBORN</v>
          </cell>
          <cell r="L618" t="str">
            <v>TG40VA/T10M</v>
          </cell>
          <cell r="M618" t="str">
            <v>INNOVA</v>
          </cell>
          <cell r="N618" t="str">
            <v>INNOVA REBORN</v>
          </cell>
          <cell r="O618" t="e">
            <v>#N/A</v>
          </cell>
          <cell r="P618" t="e">
            <v>#N/A</v>
          </cell>
          <cell r="Q618" t="e">
            <v>#N/A</v>
          </cell>
          <cell r="R618" t="e">
            <v>#N/A</v>
          </cell>
          <cell r="S618" t="str">
            <v>INNOVA</v>
          </cell>
          <cell r="T618" t="str">
            <v>INV REBORN</v>
          </cell>
          <cell r="U618" t="str">
            <v>INNOVA V A/T</v>
          </cell>
        </row>
        <row r="619">
          <cell r="D619" t="e">
            <v>#N/A</v>
          </cell>
          <cell r="E619" t="str">
            <v>INNOVA</v>
          </cell>
          <cell r="F619" t="str">
            <v>INNOVA</v>
          </cell>
          <cell r="G619" t="str">
            <v>INNOVA</v>
          </cell>
          <cell r="H619" t="str">
            <v>INNOVA V A/T</v>
          </cell>
          <cell r="I619" t="str">
            <v>INNOVA V A/T</v>
          </cell>
          <cell r="J619" t="str">
            <v>INNOVA V A/T</v>
          </cell>
          <cell r="K619" t="str">
            <v>INNOVA REBORN</v>
          </cell>
          <cell r="L619" t="str">
            <v>TG40VA/T30</v>
          </cell>
          <cell r="M619" t="str">
            <v>INNOVA</v>
          </cell>
          <cell r="N619" t="str">
            <v>INNOVA REBORN</v>
          </cell>
          <cell r="O619" t="e">
            <v>#N/A</v>
          </cell>
          <cell r="P619" t="e">
            <v>#N/A</v>
          </cell>
          <cell r="Q619" t="e">
            <v>#N/A</v>
          </cell>
          <cell r="R619" t="e">
            <v>#N/A</v>
          </cell>
          <cell r="S619" t="str">
            <v>INNOVA</v>
          </cell>
          <cell r="T619" t="str">
            <v>INV REBORN</v>
          </cell>
          <cell r="U619" t="str">
            <v>INNOVA V A/T</v>
          </cell>
        </row>
        <row r="620">
          <cell r="D620" t="e">
            <v>#N/A</v>
          </cell>
          <cell r="E620" t="str">
            <v>INNOVA</v>
          </cell>
          <cell r="F620" t="str">
            <v>INNOVA</v>
          </cell>
          <cell r="G620" t="str">
            <v>INNOVA</v>
          </cell>
          <cell r="H620" t="str">
            <v>INNOVA V A/T</v>
          </cell>
          <cell r="I620" t="str">
            <v>INNOVA V A/T</v>
          </cell>
          <cell r="J620" t="str">
            <v>INNOVA V A/T</v>
          </cell>
          <cell r="K620" t="str">
            <v>INNOVA REBORN</v>
          </cell>
          <cell r="L620" t="str">
            <v>TG40VA/T30m</v>
          </cell>
          <cell r="M620" t="str">
            <v>INNOVA</v>
          </cell>
          <cell r="N620" t="str">
            <v>INNOVA REBORN</v>
          </cell>
          <cell r="O620" t="e">
            <v>#N/A</v>
          </cell>
          <cell r="P620" t="e">
            <v>#N/A</v>
          </cell>
          <cell r="Q620" t="e">
            <v>#N/A</v>
          </cell>
          <cell r="R620" t="e">
            <v>#N/A</v>
          </cell>
          <cell r="S620" t="str">
            <v>INNOVA</v>
          </cell>
          <cell r="T620" t="str">
            <v>INV REBORN</v>
          </cell>
          <cell r="U620" t="str">
            <v>INNOVA V A/T</v>
          </cell>
        </row>
        <row r="621">
          <cell r="D621" t="e">
            <v>#N/A</v>
          </cell>
          <cell r="E621" t="str">
            <v>INNOVA</v>
          </cell>
          <cell r="F621" t="str">
            <v>INNOVA</v>
          </cell>
          <cell r="G621" t="str">
            <v>INNOVA</v>
          </cell>
          <cell r="H621" t="str">
            <v>INNOVA V A/T</v>
          </cell>
          <cell r="I621" t="str">
            <v>INNOVA V A/T</v>
          </cell>
          <cell r="J621" t="str">
            <v>INNOVA V A/T</v>
          </cell>
          <cell r="K621" t="str">
            <v>INNOVA REBORN</v>
          </cell>
          <cell r="L621" t="str">
            <v>TG40VA/T31</v>
          </cell>
          <cell r="M621" t="str">
            <v>INNOVA</v>
          </cell>
          <cell r="N621" t="str">
            <v>INNOVA REBORN</v>
          </cell>
          <cell r="O621" t="e">
            <v>#N/A</v>
          </cell>
          <cell r="P621" t="e">
            <v>#N/A</v>
          </cell>
          <cell r="Q621" t="e">
            <v>#N/A</v>
          </cell>
          <cell r="R621" t="e">
            <v>#N/A</v>
          </cell>
          <cell r="S621" t="str">
            <v>INNOVA</v>
          </cell>
          <cell r="T621" t="str">
            <v>INV REBORN</v>
          </cell>
          <cell r="U621" t="str">
            <v>INNOVA V A/T</v>
          </cell>
        </row>
        <row r="622">
          <cell r="D622" t="e">
            <v>#N/A</v>
          </cell>
          <cell r="E622" t="str">
            <v>INNOVA</v>
          </cell>
          <cell r="F622" t="str">
            <v>INNOVA</v>
          </cell>
          <cell r="G622" t="str">
            <v>INNOVA</v>
          </cell>
          <cell r="H622" t="str">
            <v>INNOVA V A/T</v>
          </cell>
          <cell r="I622" t="str">
            <v>INNOVA V A/T</v>
          </cell>
          <cell r="J622" t="str">
            <v>INNOVA V A/T</v>
          </cell>
          <cell r="K622" t="str">
            <v>INNOVA REBORN</v>
          </cell>
          <cell r="L622" t="str">
            <v>TG40VA/T31m</v>
          </cell>
          <cell r="M622" t="str">
            <v>INNOVA</v>
          </cell>
          <cell r="N622" t="str">
            <v>INNOVA REBORN</v>
          </cell>
          <cell r="O622" t="e">
            <v>#N/A</v>
          </cell>
          <cell r="P622" t="e">
            <v>#N/A</v>
          </cell>
          <cell r="Q622" t="e">
            <v>#N/A</v>
          </cell>
          <cell r="R622" t="e">
            <v>#N/A</v>
          </cell>
          <cell r="S622" t="str">
            <v>INNOVA</v>
          </cell>
          <cell r="T622" t="str">
            <v>INV REBORN</v>
          </cell>
          <cell r="U622" t="str">
            <v>INNOVA V A/T</v>
          </cell>
        </row>
        <row r="623">
          <cell r="D623" t="e">
            <v>#N/A</v>
          </cell>
          <cell r="E623" t="str">
            <v>INNOVA</v>
          </cell>
          <cell r="F623" t="str">
            <v>INNOVA</v>
          </cell>
          <cell r="G623" t="str">
            <v>INNOVA</v>
          </cell>
          <cell r="H623" t="str">
            <v>INNOVA V A/T</v>
          </cell>
          <cell r="I623" t="str">
            <v>INNOVA V A/T</v>
          </cell>
          <cell r="J623" t="str">
            <v>INNOVA V A/T</v>
          </cell>
          <cell r="K623" t="str">
            <v>INNOVA REBORN</v>
          </cell>
          <cell r="L623" t="str">
            <v>TG40VA/T40M</v>
          </cell>
          <cell r="M623" t="str">
            <v>INNOVA</v>
          </cell>
          <cell r="N623" t="str">
            <v>INNOVA REBORN</v>
          </cell>
          <cell r="O623" t="e">
            <v>#N/A</v>
          </cell>
          <cell r="P623" t="e">
            <v>#N/A</v>
          </cell>
          <cell r="Q623" t="e">
            <v>#N/A</v>
          </cell>
          <cell r="R623" t="e">
            <v>#N/A</v>
          </cell>
          <cell r="S623" t="str">
            <v>INNOVA</v>
          </cell>
          <cell r="T623" t="str">
            <v>INV REBORN</v>
          </cell>
          <cell r="U623" t="str">
            <v>INNOVA V A/T</v>
          </cell>
        </row>
        <row r="624">
          <cell r="D624" t="e">
            <v>#N/A</v>
          </cell>
          <cell r="E624" t="str">
            <v>INNOVA</v>
          </cell>
          <cell r="F624" t="str">
            <v>INNOVA</v>
          </cell>
          <cell r="G624" t="str">
            <v>INNOVA</v>
          </cell>
          <cell r="H624" t="str">
            <v>INNOVA V A/T</v>
          </cell>
          <cell r="I624" t="str">
            <v>INNOVA V A/T</v>
          </cell>
          <cell r="J624" t="str">
            <v>INNOVA V A/T</v>
          </cell>
          <cell r="K624" t="str">
            <v>INNOVA REBORN</v>
          </cell>
          <cell r="L624" t="str">
            <v>TG40VA/T41M</v>
          </cell>
          <cell r="M624" t="str">
            <v>INNOVA</v>
          </cell>
          <cell r="N624" t="str">
            <v>INNOVA REBORN</v>
          </cell>
          <cell r="O624" t="e">
            <v>#N/A</v>
          </cell>
          <cell r="P624" t="e">
            <v>#N/A</v>
          </cell>
          <cell r="Q624" t="e">
            <v>#N/A</v>
          </cell>
          <cell r="R624" t="e">
            <v>#N/A</v>
          </cell>
          <cell r="S624" t="str">
            <v>INNOVA</v>
          </cell>
          <cell r="T624" t="str">
            <v>INV REBORN</v>
          </cell>
          <cell r="U624" t="str">
            <v>INNOVA V A/T</v>
          </cell>
        </row>
        <row r="625">
          <cell r="D625" t="e">
            <v>#N/A</v>
          </cell>
          <cell r="E625" t="str">
            <v>INNOVA</v>
          </cell>
          <cell r="F625" t="str">
            <v>INNOVA</v>
          </cell>
          <cell r="G625" t="str">
            <v>INNOVA</v>
          </cell>
          <cell r="H625" t="str">
            <v>INNOVA V A/T</v>
          </cell>
          <cell r="I625" t="str">
            <v>INNOVA V A/T</v>
          </cell>
          <cell r="J625" t="str">
            <v>INNOVA V A/T</v>
          </cell>
          <cell r="K625" t="str">
            <v>INNOVA REBORN</v>
          </cell>
          <cell r="L625" t="str">
            <v>TG40VA/T50M</v>
          </cell>
          <cell r="M625" t="str">
            <v>INNOVA</v>
          </cell>
          <cell r="N625" t="str">
            <v>INNOVA REBORN</v>
          </cell>
          <cell r="O625" t="e">
            <v>#N/A</v>
          </cell>
          <cell r="P625" t="e">
            <v>#N/A</v>
          </cell>
          <cell r="Q625" t="e">
            <v>#N/A</v>
          </cell>
          <cell r="R625" t="e">
            <v>#N/A</v>
          </cell>
          <cell r="S625" t="str">
            <v>INNOVA</v>
          </cell>
          <cell r="T625" t="str">
            <v>INV REBORN</v>
          </cell>
          <cell r="U625" t="str">
            <v>INNOVA V A/T</v>
          </cell>
        </row>
        <row r="626">
          <cell r="D626" t="e">
            <v>#N/A</v>
          </cell>
          <cell r="E626" t="str">
            <v>INNOVA</v>
          </cell>
          <cell r="F626" t="str">
            <v>INNOVA</v>
          </cell>
          <cell r="G626" t="str">
            <v>INNOVA</v>
          </cell>
          <cell r="H626" t="str">
            <v>INNOVA V A/T</v>
          </cell>
          <cell r="I626" t="str">
            <v>INNOVA V A/T</v>
          </cell>
          <cell r="J626" t="str">
            <v>INNOVA V A/T</v>
          </cell>
          <cell r="K626" t="str">
            <v>INNOVA REBORN</v>
          </cell>
          <cell r="L626" t="str">
            <v>TG40VA/T51M</v>
          </cell>
          <cell r="M626" t="str">
            <v>INNOVA</v>
          </cell>
          <cell r="N626" t="str">
            <v>INNOVA REBORN</v>
          </cell>
          <cell r="O626" t="e">
            <v>#N/A</v>
          </cell>
          <cell r="P626" t="e">
            <v>#N/A</v>
          </cell>
          <cell r="Q626" t="e">
            <v>#N/A</v>
          </cell>
          <cell r="R626" t="e">
            <v>#N/A</v>
          </cell>
          <cell r="S626" t="str">
            <v>INNOVA</v>
          </cell>
          <cell r="T626" t="str">
            <v>INV REBORN</v>
          </cell>
          <cell r="U626" t="str">
            <v>INNOVA V A/T</v>
          </cell>
        </row>
        <row r="627">
          <cell r="D627" t="str">
            <v>TGN140R-MDTMKD-00</v>
          </cell>
          <cell r="E627" t="str">
            <v>INNOVA</v>
          </cell>
          <cell r="F627" t="str">
            <v>INNOVA</v>
          </cell>
          <cell r="G627" t="str">
            <v>INNOVA</v>
          </cell>
          <cell r="H627" t="str">
            <v>INNOVA V A/T</v>
          </cell>
          <cell r="I627" t="str">
            <v>INNOVA V A/T</v>
          </cell>
          <cell r="J627" t="str">
            <v>INNOVA V A/T</v>
          </cell>
          <cell r="K627" t="str">
            <v>INNOVA REBORN</v>
          </cell>
          <cell r="L627" t="str">
            <v>TGN40VA/T</v>
          </cell>
          <cell r="M627" t="str">
            <v>INNOVA</v>
          </cell>
          <cell r="N627" t="str">
            <v>INNOVA REBORN</v>
          </cell>
          <cell r="O627" t="str">
            <v>TGN140R-MDTMKD-00</v>
          </cell>
          <cell r="P627" t="e">
            <v>#N/A</v>
          </cell>
          <cell r="Q627" t="e">
            <v>#N/A</v>
          </cell>
          <cell r="R627" t="str">
            <v>TGN140R-MDTMKD-00</v>
          </cell>
          <cell r="S627" t="str">
            <v>INNOVA</v>
          </cell>
          <cell r="T627" t="str">
            <v>INV REBORN</v>
          </cell>
          <cell r="U627" t="str">
            <v>INNOVA V A/T</v>
          </cell>
        </row>
        <row r="628">
          <cell r="D628" t="e">
            <v>#N/A</v>
          </cell>
          <cell r="E628" t="str">
            <v>INNOVA</v>
          </cell>
          <cell r="F628" t="str">
            <v>INNOVA</v>
          </cell>
          <cell r="G628" t="str">
            <v>INNOVA</v>
          </cell>
          <cell r="H628" t="str">
            <v>INNOVA V A/T</v>
          </cell>
          <cell r="I628" t="str">
            <v>INNOVA V A/T</v>
          </cell>
          <cell r="J628" t="str">
            <v>INNOVA V A/T</v>
          </cell>
          <cell r="K628" t="str">
            <v>INNOVA REBORN</v>
          </cell>
          <cell r="L628" t="str">
            <v>TGN40VA/T01M</v>
          </cell>
          <cell r="M628" t="str">
            <v>INNOVA</v>
          </cell>
          <cell r="N628" t="str">
            <v>INNOVA REBORN</v>
          </cell>
          <cell r="O628" t="e">
            <v>#N/A</v>
          </cell>
          <cell r="P628" t="e">
            <v>#N/A</v>
          </cell>
          <cell r="Q628" t="e">
            <v>#N/A</v>
          </cell>
          <cell r="R628" t="e">
            <v>#N/A</v>
          </cell>
          <cell r="S628" t="str">
            <v>INNOVA</v>
          </cell>
          <cell r="T628" t="str">
            <v>INV REBORN</v>
          </cell>
          <cell r="U628" t="str">
            <v>INNOVA V A/T</v>
          </cell>
        </row>
        <row r="629">
          <cell r="D629" t="e">
            <v>#N/A</v>
          </cell>
          <cell r="E629" t="str">
            <v>INNOVA</v>
          </cell>
          <cell r="F629" t="str">
            <v>INNOVA</v>
          </cell>
          <cell r="G629" t="str">
            <v>INNOVA</v>
          </cell>
          <cell r="H629" t="str">
            <v>INNOVA V A/T</v>
          </cell>
          <cell r="I629" t="str">
            <v>INNOVA V A/T</v>
          </cell>
          <cell r="J629" t="str">
            <v>INNOVA V A/T</v>
          </cell>
          <cell r="K629" t="str">
            <v>INNOVA REBORN</v>
          </cell>
          <cell r="L629" t="str">
            <v>TGN40VA/TL</v>
          </cell>
          <cell r="M629" t="str">
            <v>INNOVA</v>
          </cell>
          <cell r="N629" t="str">
            <v>INNOVA REBORN</v>
          </cell>
          <cell r="O629" t="e">
            <v>#N/A</v>
          </cell>
          <cell r="P629" t="e">
            <v>#N/A</v>
          </cell>
          <cell r="Q629" t="e">
            <v>#N/A</v>
          </cell>
          <cell r="R629" t="e">
            <v>#N/A</v>
          </cell>
          <cell r="S629" t="str">
            <v>INNOVA</v>
          </cell>
          <cell r="T629" t="str">
            <v>INV REBORN</v>
          </cell>
          <cell r="U629" t="str">
            <v>INNOVA V A/T</v>
          </cell>
        </row>
        <row r="630">
          <cell r="D630" t="str">
            <v>TGN140R-MDMMKD-D0</v>
          </cell>
          <cell r="E630" t="str">
            <v>INNOVA</v>
          </cell>
          <cell r="F630" t="str">
            <v>INNOVA</v>
          </cell>
          <cell r="G630" t="str">
            <v>INNOVA</v>
          </cell>
          <cell r="H630" t="str">
            <v>INNOVA V A/T</v>
          </cell>
          <cell r="I630" t="str">
            <v>INNOVA V A/T</v>
          </cell>
          <cell r="J630" t="str">
            <v>INNOVA V A/T</v>
          </cell>
          <cell r="K630" t="str">
            <v>INNOVA REBORN</v>
          </cell>
          <cell r="L630" t="str">
            <v>TGN40VA/TD0M</v>
          </cell>
          <cell r="M630" t="str">
            <v>INNOVA</v>
          </cell>
          <cell r="N630" t="str">
            <v>INNOVA REBORN</v>
          </cell>
          <cell r="O630" t="str">
            <v>TGN140R-MDMMKD-D0</v>
          </cell>
          <cell r="P630" t="e">
            <v>#N/A</v>
          </cell>
          <cell r="Q630" t="e">
            <v>#N/A</v>
          </cell>
          <cell r="R630" t="str">
            <v>TGN140R-MDMMKD-D0</v>
          </cell>
          <cell r="S630" t="str">
            <v>INNOVA</v>
          </cell>
          <cell r="T630" t="str">
            <v>INV REBORN</v>
          </cell>
          <cell r="U630" t="str">
            <v>INNOVA V A/T</v>
          </cell>
        </row>
        <row r="631">
          <cell r="D631" t="str">
            <v>TGN140R-MDTMKD-10</v>
          </cell>
          <cell r="E631" t="str">
            <v>INNOVA</v>
          </cell>
          <cell r="F631" t="str">
            <v>INNOVA</v>
          </cell>
          <cell r="G631" t="str">
            <v>INNOVA</v>
          </cell>
          <cell r="H631" t="str">
            <v>INNOVA V A/T</v>
          </cell>
          <cell r="I631" t="str">
            <v>INNOVA V A/T</v>
          </cell>
          <cell r="J631" t="str">
            <v>INNOVA V A/T</v>
          </cell>
          <cell r="K631" t="str">
            <v>INNOVA REBORN</v>
          </cell>
          <cell r="L631" t="str">
            <v>TGN40VA/T10M</v>
          </cell>
          <cell r="M631" t="str">
            <v>INNOVA</v>
          </cell>
          <cell r="N631" t="str">
            <v>INNOVA REBORN</v>
          </cell>
          <cell r="O631" t="str">
            <v>TGN140R-MDTMKD-10</v>
          </cell>
          <cell r="P631" t="e">
            <v>#N/A</v>
          </cell>
          <cell r="Q631" t="e">
            <v>#N/A</v>
          </cell>
          <cell r="R631" t="str">
            <v>TGN140R-MDTMKD-10</v>
          </cell>
          <cell r="S631" t="str">
            <v>INNOVA</v>
          </cell>
          <cell r="T631" t="str">
            <v>INV REBORN</v>
          </cell>
          <cell r="U631" t="str">
            <v>INNOVA V A/T</v>
          </cell>
        </row>
        <row r="632">
          <cell r="D632" t="str">
            <v>TGN140R-MDTMKD-11</v>
          </cell>
          <cell r="E632" t="str">
            <v>INNOVA</v>
          </cell>
          <cell r="F632" t="str">
            <v>INNOVA</v>
          </cell>
          <cell r="G632" t="str">
            <v>INNOVA</v>
          </cell>
          <cell r="H632" t="str">
            <v>INNOVA V A/T</v>
          </cell>
          <cell r="I632" t="str">
            <v>INNOVA V A/T</v>
          </cell>
          <cell r="J632" t="str">
            <v>INNOVA V A/T</v>
          </cell>
          <cell r="K632" t="str">
            <v>INNOVA REBORN</v>
          </cell>
          <cell r="L632" t="str">
            <v>TGN40VA/T11M</v>
          </cell>
          <cell r="M632" t="str">
            <v>INNOVA</v>
          </cell>
          <cell r="N632" t="str">
            <v>INNOVA REBORN</v>
          </cell>
          <cell r="O632" t="str">
            <v>TGN140R-MDTMKD-11</v>
          </cell>
          <cell r="P632" t="e">
            <v>#N/A</v>
          </cell>
          <cell r="Q632" t="e">
            <v>#N/A</v>
          </cell>
          <cell r="R632" t="str">
            <v>TGN140R-MDTMKD-11</v>
          </cell>
          <cell r="S632" t="str">
            <v>INNOVA</v>
          </cell>
          <cell r="T632" t="str">
            <v>INV REBORN</v>
          </cell>
          <cell r="U632" t="str">
            <v>INNOVA V A/T</v>
          </cell>
        </row>
        <row r="633">
          <cell r="D633" t="str">
            <v>TGN140R-MDTMKD-11</v>
          </cell>
          <cell r="E633" t="str">
            <v>INNOVA</v>
          </cell>
          <cell r="F633" t="str">
            <v>INNOVA</v>
          </cell>
          <cell r="G633" t="str">
            <v>INNOVA</v>
          </cell>
          <cell r="H633" t="str">
            <v>INNOVA V A/T</v>
          </cell>
          <cell r="I633" t="str">
            <v>INNOVA V A/T</v>
          </cell>
          <cell r="J633" t="str">
            <v>INNOVA V A/T</v>
          </cell>
          <cell r="K633" t="str">
            <v>INNOVA REBORN</v>
          </cell>
          <cell r="L633" t="str">
            <v>TGN40VA/T11M</v>
          </cell>
          <cell r="M633" t="str">
            <v>INNOVA</v>
          </cell>
          <cell r="N633" t="str">
            <v>INNOVA REBORN</v>
          </cell>
          <cell r="O633" t="str">
            <v>TGN140R-MDTMKD-11</v>
          </cell>
          <cell r="P633" t="e">
            <v>#N/A</v>
          </cell>
          <cell r="Q633" t="e">
            <v>#N/A</v>
          </cell>
          <cell r="R633" t="str">
            <v>TGN140R-MDTMKD-11</v>
          </cell>
          <cell r="S633" t="str">
            <v>INNOVA</v>
          </cell>
          <cell r="T633" t="str">
            <v>INV REBORN</v>
          </cell>
          <cell r="U633" t="str">
            <v>INNOVA V A/T</v>
          </cell>
        </row>
        <row r="634">
          <cell r="D634" t="str">
            <v>TGN140R-MDTMKD-E0</v>
          </cell>
          <cell r="E634" t="str">
            <v>INNOVA</v>
          </cell>
          <cell r="F634" t="str">
            <v>INNOVA</v>
          </cell>
          <cell r="G634" t="str">
            <v>INNOVA</v>
          </cell>
          <cell r="H634" t="str">
            <v>INNOVA V A/T</v>
          </cell>
          <cell r="I634" t="str">
            <v>INNOVA V A/T</v>
          </cell>
          <cell r="J634" t="str">
            <v>INNOVA V A/T</v>
          </cell>
          <cell r="K634" t="str">
            <v>INNOVA REBORN</v>
          </cell>
          <cell r="L634" t="str">
            <v>TGN40VA/TE0M</v>
          </cell>
          <cell r="M634" t="str">
            <v>INNOVA</v>
          </cell>
          <cell r="N634" t="str">
            <v>INNOVA REBORN</v>
          </cell>
          <cell r="O634" t="str">
            <v>TGN140R-MDTMKD-E0</v>
          </cell>
          <cell r="P634" t="e">
            <v>#N/A</v>
          </cell>
          <cell r="Q634" t="e">
            <v>#N/A</v>
          </cell>
          <cell r="R634" t="str">
            <v>TGN140R-MDTMKD-E0</v>
          </cell>
          <cell r="S634" t="str">
            <v>INNOVA</v>
          </cell>
          <cell r="T634" t="str">
            <v>INV REBORN</v>
          </cell>
          <cell r="U634" t="str">
            <v>INNOVA V A/T</v>
          </cell>
        </row>
        <row r="635">
          <cell r="D635" t="e">
            <v>#N/A</v>
          </cell>
          <cell r="E635" t="str">
            <v>INNOVA</v>
          </cell>
          <cell r="F635" t="str">
            <v>INNOVA</v>
          </cell>
          <cell r="G635" t="str">
            <v>INNOVA</v>
          </cell>
          <cell r="H635" t="str">
            <v>INNOVA V A/T</v>
          </cell>
          <cell r="I635" t="str">
            <v>INNOVA V A/T</v>
          </cell>
          <cell r="J635" t="str">
            <v>INNOVA V A/T</v>
          </cell>
          <cell r="K635" t="str">
            <v>INNOVA REBORN</v>
          </cell>
          <cell r="L635" t="str">
            <v>TG40VA/T20M</v>
          </cell>
          <cell r="M635" t="str">
            <v>INNOVA</v>
          </cell>
          <cell r="N635" t="str">
            <v>INNOVA REBORN</v>
          </cell>
          <cell r="O635" t="e">
            <v>#N/A</v>
          </cell>
          <cell r="P635" t="e">
            <v>#N/A</v>
          </cell>
          <cell r="Q635" t="e">
            <v>#N/A</v>
          </cell>
          <cell r="R635" t="e">
            <v>#N/A</v>
          </cell>
          <cell r="S635" t="str">
            <v>INNOVA</v>
          </cell>
          <cell r="T635" t="str">
            <v>INV REBORN</v>
          </cell>
          <cell r="U635" t="str">
            <v>INNOVA V A/T</v>
          </cell>
        </row>
        <row r="636">
          <cell r="D636" t="e">
            <v>#N/A</v>
          </cell>
          <cell r="E636" t="str">
            <v>INNOVA</v>
          </cell>
          <cell r="F636" t="str">
            <v>INNOVA</v>
          </cell>
          <cell r="G636" t="str">
            <v>INNOVA</v>
          </cell>
          <cell r="H636" t="str">
            <v>INNOVA V A/T</v>
          </cell>
          <cell r="I636" t="str">
            <v>INNOVA V A/T</v>
          </cell>
          <cell r="J636" t="str">
            <v>INNOVA V A/T</v>
          </cell>
          <cell r="K636" t="str">
            <v>INNOVA REBORN</v>
          </cell>
          <cell r="L636" t="str">
            <v>TG40VA/T22M</v>
          </cell>
          <cell r="M636" t="str">
            <v>INNOVA</v>
          </cell>
          <cell r="N636" t="str">
            <v>INNOVA REBORN</v>
          </cell>
          <cell r="O636" t="e">
            <v>#N/A</v>
          </cell>
          <cell r="P636" t="e">
            <v>#N/A</v>
          </cell>
          <cell r="Q636" t="e">
            <v>#N/A</v>
          </cell>
          <cell r="R636" t="e">
            <v>#N/A</v>
          </cell>
          <cell r="S636" t="str">
            <v>INNOVA</v>
          </cell>
          <cell r="T636" t="str">
            <v>INV REBORN</v>
          </cell>
          <cell r="U636" t="str">
            <v>INNOVA V A/T</v>
          </cell>
        </row>
        <row r="637">
          <cell r="D637" t="e">
            <v>#N/A</v>
          </cell>
          <cell r="E637" t="str">
            <v>INNOVA</v>
          </cell>
          <cell r="F637" t="str">
            <v>INNOVA</v>
          </cell>
          <cell r="G637" t="str">
            <v>INNOVA</v>
          </cell>
          <cell r="H637" t="str">
            <v>INNOVA V A/T</v>
          </cell>
          <cell r="I637" t="str">
            <v>INNOVA V A/T</v>
          </cell>
          <cell r="J637" t="str">
            <v>INNOVA V A/T</v>
          </cell>
          <cell r="K637" t="str">
            <v>INNOVA REBORN</v>
          </cell>
          <cell r="L637" t="str">
            <v>TG40VA/T11M</v>
          </cell>
          <cell r="M637" t="str">
            <v>INNOVA</v>
          </cell>
          <cell r="N637" t="str">
            <v>INNOVA REBORN</v>
          </cell>
          <cell r="O637" t="e">
            <v>#N/A</v>
          </cell>
          <cell r="P637" t="e">
            <v>#N/A</v>
          </cell>
          <cell r="Q637" t="e">
            <v>#N/A</v>
          </cell>
          <cell r="R637" t="e">
            <v>#N/A</v>
          </cell>
          <cell r="S637" t="str">
            <v>INNOVA</v>
          </cell>
          <cell r="T637" t="str">
            <v>INV REBORN</v>
          </cell>
          <cell r="U637" t="str">
            <v>INNOVA V A/T</v>
          </cell>
        </row>
        <row r="638">
          <cell r="D638" t="e">
            <v>#N/A</v>
          </cell>
          <cell r="E638" t="str">
            <v>INNOVA</v>
          </cell>
          <cell r="F638" t="str">
            <v>INNOVA</v>
          </cell>
          <cell r="G638" t="str">
            <v>INNOVA</v>
          </cell>
          <cell r="H638" t="str">
            <v>INNOVA V A/T</v>
          </cell>
          <cell r="I638" t="str">
            <v>INNOVA V A/T</v>
          </cell>
          <cell r="J638" t="str">
            <v>INNOVA V A/T</v>
          </cell>
          <cell r="K638" t="str">
            <v>INNOVA REBORN</v>
          </cell>
          <cell r="L638" t="str">
            <v>TG40VA/T23</v>
          </cell>
          <cell r="M638" t="str">
            <v>INNOVA</v>
          </cell>
          <cell r="N638" t="str">
            <v>INNOVA REBORN</v>
          </cell>
          <cell r="O638" t="e">
            <v>#N/A</v>
          </cell>
          <cell r="P638" t="e">
            <v>#N/A</v>
          </cell>
          <cell r="Q638" t="e">
            <v>#N/A</v>
          </cell>
          <cell r="R638" t="e">
            <v>#N/A</v>
          </cell>
          <cell r="S638" t="str">
            <v>INNOVA</v>
          </cell>
          <cell r="T638" t="str">
            <v>INV REBORN</v>
          </cell>
          <cell r="U638" t="str">
            <v>INNOVA V A/T</v>
          </cell>
        </row>
        <row r="639">
          <cell r="D639" t="e">
            <v>#N/A</v>
          </cell>
          <cell r="E639" t="str">
            <v>INNOVA</v>
          </cell>
          <cell r="F639" t="str">
            <v>INNOVA</v>
          </cell>
          <cell r="G639" t="str">
            <v>INNOVA</v>
          </cell>
          <cell r="H639" t="str">
            <v>INNOVA V A/T</v>
          </cell>
          <cell r="I639" t="str">
            <v>INNOVA V A/T</v>
          </cell>
          <cell r="J639" t="str">
            <v>INNOVA V A/T</v>
          </cell>
          <cell r="K639" t="str">
            <v>INNOVA REBORN</v>
          </cell>
          <cell r="L639" t="str">
            <v>TG40VA/T24</v>
          </cell>
          <cell r="M639" t="str">
            <v>INNOVA</v>
          </cell>
          <cell r="N639" t="str">
            <v>INNOVA REBORN</v>
          </cell>
          <cell r="O639" t="e">
            <v>#N/A</v>
          </cell>
          <cell r="P639" t="e">
            <v>#N/A</v>
          </cell>
          <cell r="Q639" t="e">
            <v>#N/A</v>
          </cell>
          <cell r="R639" t="e">
            <v>#N/A</v>
          </cell>
          <cell r="S639" t="str">
            <v>INNOVA</v>
          </cell>
          <cell r="T639" t="str">
            <v>INV REBORN</v>
          </cell>
          <cell r="U639" t="str">
            <v>INNOVA V A/T</v>
          </cell>
        </row>
        <row r="640">
          <cell r="D640" t="e">
            <v>#N/A</v>
          </cell>
          <cell r="E640" t="str">
            <v>INNOVA</v>
          </cell>
          <cell r="F640" t="str">
            <v>INNOVA</v>
          </cell>
          <cell r="G640" t="str">
            <v>INNOVA</v>
          </cell>
          <cell r="H640" t="str">
            <v>INNOVA V A/T</v>
          </cell>
          <cell r="I640" t="str">
            <v>INNOVA V A/T</v>
          </cell>
          <cell r="J640" t="str">
            <v>INNOVA V A/T</v>
          </cell>
          <cell r="K640" t="str">
            <v>INNOVA REBORN</v>
          </cell>
          <cell r="L640" t="str">
            <v>TG40VA/T23M</v>
          </cell>
          <cell r="M640" t="str">
            <v>INNOVA</v>
          </cell>
          <cell r="N640" t="str">
            <v>INNOVA REBORN</v>
          </cell>
          <cell r="O640" t="e">
            <v>#N/A</v>
          </cell>
          <cell r="P640" t="e">
            <v>#N/A</v>
          </cell>
          <cell r="Q640" t="e">
            <v>#N/A</v>
          </cell>
          <cell r="R640" t="e">
            <v>#N/A</v>
          </cell>
          <cell r="S640" t="str">
            <v>INNOVA</v>
          </cell>
          <cell r="T640" t="str">
            <v>INV REBORN</v>
          </cell>
          <cell r="U640" t="str">
            <v>INNOVA V A/T</v>
          </cell>
        </row>
        <row r="641">
          <cell r="D641" t="str">
            <v>TGN140R-MDTMKD-H3</v>
          </cell>
          <cell r="E641" t="str">
            <v>INNOVA</v>
          </cell>
          <cell r="F641" t="str">
            <v>INNOVA</v>
          </cell>
          <cell r="G641" t="str">
            <v>INNOVA</v>
          </cell>
          <cell r="H641" t="str">
            <v>INNOVA V A/T</v>
          </cell>
          <cell r="I641" t="str">
            <v>INNOVA V A/T</v>
          </cell>
          <cell r="J641" t="str">
            <v>INNOVA V A/T</v>
          </cell>
          <cell r="K641" t="str">
            <v>INNOVA REBORN</v>
          </cell>
          <cell r="L641" t="str">
            <v>TGN40VA/TH3M</v>
          </cell>
          <cell r="M641" t="str">
            <v>INNOVA</v>
          </cell>
          <cell r="N641" t="str">
            <v>INNOVA REBORN</v>
          </cell>
          <cell r="O641" t="str">
            <v>TGN140R-MDTMKD-H3</v>
          </cell>
          <cell r="P641" t="e">
            <v>#N/A</v>
          </cell>
          <cell r="Q641" t="e">
            <v>#N/A</v>
          </cell>
          <cell r="R641" t="str">
            <v>TGN140R-MDTMKD-H3</v>
          </cell>
          <cell r="S641" t="str">
            <v>INNOVA</v>
          </cell>
          <cell r="T641" t="str">
            <v>INV REBORN</v>
          </cell>
          <cell r="U641" t="str">
            <v>INNOVA V A/T</v>
          </cell>
        </row>
        <row r="642">
          <cell r="D642" t="str">
            <v>TGN140R-MDTHKD-42</v>
          </cell>
          <cell r="E642" t="str">
            <v>INNOVA</v>
          </cell>
          <cell r="F642" t="str">
            <v>INNOVA</v>
          </cell>
          <cell r="G642" t="str">
            <v>INNOVA</v>
          </cell>
          <cell r="H642" t="str">
            <v>INNOVA V A/T</v>
          </cell>
          <cell r="I642" t="str">
            <v>INNOVA V A/T</v>
          </cell>
          <cell r="J642" t="str">
            <v xml:space="preserve">INNOVA V A/T </v>
          </cell>
          <cell r="K642" t="str">
            <v>INNOVA REBORN</v>
          </cell>
          <cell r="L642" t="str">
            <v>TGN40QA/T42M</v>
          </cell>
          <cell r="M642" t="str">
            <v>INNOVA</v>
          </cell>
          <cell r="N642" t="str">
            <v>INNOVA REBORN</v>
          </cell>
          <cell r="O642" t="str">
            <v>TGN140R-MDTHKD-42</v>
          </cell>
          <cell r="P642" t="e">
            <v>#N/A</v>
          </cell>
          <cell r="Q642" t="e">
            <v>#N/A</v>
          </cell>
          <cell r="R642" t="str">
            <v>TGN140R-MDTHKD-42</v>
          </cell>
          <cell r="S642" t="str">
            <v>INNOVA</v>
          </cell>
          <cell r="T642" t="str">
            <v>INV REBORN</v>
          </cell>
          <cell r="U642" t="str">
            <v>INNOVA V A/T</v>
          </cell>
        </row>
        <row r="643">
          <cell r="D643" t="str">
            <v>TGN140R-MDTHKD-52</v>
          </cell>
          <cell r="E643" t="str">
            <v>INNOVA</v>
          </cell>
          <cell r="F643" t="str">
            <v>INNOVA</v>
          </cell>
          <cell r="G643" t="str">
            <v>INNOVA</v>
          </cell>
          <cell r="H643" t="str">
            <v>INNOVA V A/T</v>
          </cell>
          <cell r="I643" t="str">
            <v>INNOVA V A/T</v>
          </cell>
          <cell r="J643" t="str">
            <v xml:space="preserve">INNOVA V A/T </v>
          </cell>
          <cell r="K643" t="str">
            <v>INNOVA REBORN</v>
          </cell>
          <cell r="L643" t="str">
            <v>TGN40VA/T52M</v>
          </cell>
          <cell r="M643" t="str">
            <v>INNOVA</v>
          </cell>
          <cell r="N643" t="str">
            <v>INNOVA REBORN</v>
          </cell>
          <cell r="O643" t="str">
            <v>TGN140R-MDTHKD-52</v>
          </cell>
          <cell r="P643" t="e">
            <v>#N/A</v>
          </cell>
          <cell r="Q643" t="e">
            <v>#N/A</v>
          </cell>
          <cell r="R643" t="str">
            <v>TGN140R-MDTHKD-52</v>
          </cell>
          <cell r="S643" t="str">
            <v>INNOVA</v>
          </cell>
          <cell r="T643" t="str">
            <v>INV REBORN</v>
          </cell>
          <cell r="U643" t="str">
            <v>INNOVA V A/T</v>
          </cell>
        </row>
        <row r="644">
          <cell r="D644" t="str">
            <v>GUN142R-MDTMYD-23</v>
          </cell>
          <cell r="E644" t="str">
            <v>INNOVA</v>
          </cell>
          <cell r="F644" t="str">
            <v>INNOVA</v>
          </cell>
          <cell r="G644" t="str">
            <v>INNOVA</v>
          </cell>
          <cell r="H644" t="str">
            <v>INNOVA V A/T DIESEL</v>
          </cell>
          <cell r="I644" t="str">
            <v>INNOVA V A/T DIESEL</v>
          </cell>
          <cell r="J644" t="str">
            <v>INNOVA V A/T DIESEL</v>
          </cell>
          <cell r="K644" t="str">
            <v>INNOVA REBORN</v>
          </cell>
          <cell r="L644" t="str">
            <v>GUN42VA/T23M</v>
          </cell>
          <cell r="M644" t="str">
            <v>INNOVA</v>
          </cell>
          <cell r="N644" t="str">
            <v>INNOVA REBORN</v>
          </cell>
          <cell r="O644" t="str">
            <v>GUN142R-MDTMYD-23</v>
          </cell>
          <cell r="P644" t="e">
            <v>#N/A</v>
          </cell>
          <cell r="Q644" t="e">
            <v>#N/A</v>
          </cell>
          <cell r="R644" t="str">
            <v>GUN142R-MDTMYD-23</v>
          </cell>
          <cell r="S644" t="str">
            <v>INNOVA</v>
          </cell>
          <cell r="T644" t="str">
            <v>INV REBORN</v>
          </cell>
          <cell r="U644" t="str">
            <v>INNOVA V A/T DIESEL</v>
          </cell>
        </row>
        <row r="645">
          <cell r="D645" t="str">
            <v>GUN142R-MDTMYD-F3</v>
          </cell>
          <cell r="E645" t="str">
            <v>INNOVA</v>
          </cell>
          <cell r="F645" t="str">
            <v>INNOVA</v>
          </cell>
          <cell r="G645" t="str">
            <v>INNOVA</v>
          </cell>
          <cell r="H645" t="str">
            <v>INNOVA V A/T DIESEL</v>
          </cell>
          <cell r="I645" t="str">
            <v>INNOVA V A/T DIESEL</v>
          </cell>
          <cell r="J645" t="str">
            <v>INNOVA V A/T DIESEL</v>
          </cell>
          <cell r="K645" t="str">
            <v>INNOVA REBORN</v>
          </cell>
          <cell r="L645" t="str">
            <v>GUN42VA/TF3M</v>
          </cell>
          <cell r="M645" t="str">
            <v>INNOVA</v>
          </cell>
          <cell r="N645" t="str">
            <v>INNOVA REBORN</v>
          </cell>
          <cell r="O645" t="str">
            <v>GUN142R-MDTMYD-F3</v>
          </cell>
          <cell r="P645" t="e">
            <v>#N/A</v>
          </cell>
          <cell r="Q645" t="e">
            <v>#N/A</v>
          </cell>
          <cell r="R645" t="str">
            <v>GUN142R-MDTMYD-F3</v>
          </cell>
          <cell r="S645" t="str">
            <v>INNOVA</v>
          </cell>
          <cell r="T645" t="str">
            <v>INV REBORN</v>
          </cell>
          <cell r="U645" t="str">
            <v>INNOVA V A/T DIESEL</v>
          </cell>
        </row>
        <row r="646">
          <cell r="D646" t="str">
            <v>GUN142R-MDTMYD-E0</v>
          </cell>
          <cell r="E646" t="str">
            <v>INNOVA</v>
          </cell>
          <cell r="F646" t="str">
            <v>INNOVA</v>
          </cell>
          <cell r="G646" t="str">
            <v>INNOVA</v>
          </cell>
          <cell r="H646" t="str">
            <v>INNOVA V A/T DIESEL</v>
          </cell>
          <cell r="I646" t="str">
            <v>INNOVA V A/T DIESEL</v>
          </cell>
          <cell r="J646" t="str">
            <v>INNOVA V A/T DIESEL</v>
          </cell>
          <cell r="K646" t="str">
            <v>INNOVA REBORN</v>
          </cell>
          <cell r="L646" t="str">
            <v>GUN42VA/TE0M</v>
          </cell>
          <cell r="M646" t="str">
            <v>INNOVA</v>
          </cell>
          <cell r="N646" t="str">
            <v>INNOVA REBORN</v>
          </cell>
          <cell r="O646" t="str">
            <v>GUN142R-MDTMYD-E0</v>
          </cell>
          <cell r="P646" t="e">
            <v>#N/A</v>
          </cell>
          <cell r="Q646" t="e">
            <v>#N/A</v>
          </cell>
          <cell r="R646" t="str">
            <v>GUN142R-MDTMYD-E0</v>
          </cell>
          <cell r="S646" t="str">
            <v>INNOVA</v>
          </cell>
          <cell r="T646" t="str">
            <v>INV REBORN</v>
          </cell>
          <cell r="U646" t="str">
            <v>INNOVA V A/T DIESEL</v>
          </cell>
        </row>
        <row r="647">
          <cell r="D647" t="str">
            <v>GUN142R-MDTMYD-13</v>
          </cell>
          <cell r="E647" t="str">
            <v>INNOVA</v>
          </cell>
          <cell r="F647" t="str">
            <v>INNOVA</v>
          </cell>
          <cell r="G647" t="str">
            <v>INNOVA</v>
          </cell>
          <cell r="H647" t="str">
            <v>INNOVA V A/T DIESEL</v>
          </cell>
          <cell r="I647" t="str">
            <v>INNOVA V A/T DIESEL</v>
          </cell>
          <cell r="J647" t="str">
            <v>INNOVA V A/T DIESEL</v>
          </cell>
          <cell r="K647" t="str">
            <v>INNOVA REBORN</v>
          </cell>
          <cell r="L647" t="str">
            <v>GUN42VA/T13M</v>
          </cell>
          <cell r="M647" t="str">
            <v>INNOVA</v>
          </cell>
          <cell r="N647" t="str">
            <v>INNOVA REBORN</v>
          </cell>
          <cell r="O647" t="str">
            <v>GUN142R-MDTMYD-13</v>
          </cell>
          <cell r="P647" t="e">
            <v>#N/A</v>
          </cell>
          <cell r="Q647" t="e">
            <v>#N/A</v>
          </cell>
          <cell r="R647" t="str">
            <v>GUN142R-MDTMYD-13</v>
          </cell>
          <cell r="S647" t="str">
            <v>INNOVA</v>
          </cell>
          <cell r="T647" t="str">
            <v>INV REBORN</v>
          </cell>
          <cell r="U647" t="str">
            <v>INNOVA V A/T DIESEL</v>
          </cell>
        </row>
        <row r="648">
          <cell r="D648" t="str">
            <v>GUN142R-MDTMYD-00</v>
          </cell>
          <cell r="E648" t="str">
            <v>INNOVA</v>
          </cell>
          <cell r="F648" t="str">
            <v>INNOVA</v>
          </cell>
          <cell r="G648" t="str">
            <v>INNOVA</v>
          </cell>
          <cell r="H648" t="str">
            <v>INNOVA V A/T DIESEL</v>
          </cell>
          <cell r="I648" t="str">
            <v>INNOVA V A/T DIESEL</v>
          </cell>
          <cell r="J648" t="str">
            <v>INNOVA V A/T DIESEL</v>
          </cell>
          <cell r="K648" t="str">
            <v>INNOVA REBORN</v>
          </cell>
          <cell r="L648" t="str">
            <v>GUN42VA/T</v>
          </cell>
          <cell r="M648" t="str">
            <v>INNOVA</v>
          </cell>
          <cell r="N648" t="str">
            <v>INNOVA REBORN</v>
          </cell>
          <cell r="O648" t="str">
            <v>GUN142R-MDTMYD-00</v>
          </cell>
          <cell r="P648" t="e">
            <v>#N/A</v>
          </cell>
          <cell r="Q648" t="e">
            <v>#N/A</v>
          </cell>
          <cell r="R648" t="str">
            <v>GUN142R-MDTMYD-00</v>
          </cell>
          <cell r="S648" t="str">
            <v>INNOVA</v>
          </cell>
          <cell r="T648" t="str">
            <v>INV REBORN</v>
          </cell>
          <cell r="U648" t="str">
            <v>INNOVA V A/T DIESEL</v>
          </cell>
        </row>
        <row r="649">
          <cell r="D649" t="e">
            <v>#N/A</v>
          </cell>
          <cell r="E649" t="str">
            <v>INNOVA</v>
          </cell>
          <cell r="F649" t="str">
            <v>INNOVA</v>
          </cell>
          <cell r="G649" t="str">
            <v>INNOVA</v>
          </cell>
          <cell r="H649" t="str">
            <v>INNOVA V A/T DIESEL</v>
          </cell>
          <cell r="I649" t="str">
            <v>INNOVA V A/T DIESEL</v>
          </cell>
          <cell r="J649" t="str">
            <v>INNOVA V A/T DIESEL</v>
          </cell>
          <cell r="K649" t="str">
            <v>INNOVA REBORN</v>
          </cell>
          <cell r="L649" t="str">
            <v>GUN42VA/T01M</v>
          </cell>
          <cell r="M649" t="str">
            <v>INNOVA</v>
          </cell>
          <cell r="N649" t="str">
            <v>INNOVA REBORN</v>
          </cell>
          <cell r="O649" t="e">
            <v>#N/A</v>
          </cell>
          <cell r="P649" t="e">
            <v>#N/A</v>
          </cell>
          <cell r="Q649" t="e">
            <v>#N/A</v>
          </cell>
          <cell r="R649" t="e">
            <v>#N/A</v>
          </cell>
          <cell r="S649" t="str">
            <v>INNOVA</v>
          </cell>
          <cell r="T649" t="str">
            <v>INV REBORN</v>
          </cell>
          <cell r="U649" t="str">
            <v>INNOVA V A/T DIESEL</v>
          </cell>
        </row>
        <row r="650">
          <cell r="D650" t="e">
            <v>#N/A</v>
          </cell>
          <cell r="E650" t="str">
            <v>INNOVA</v>
          </cell>
          <cell r="F650" t="str">
            <v>INNOVA</v>
          </cell>
          <cell r="G650" t="str">
            <v>INNOVA</v>
          </cell>
          <cell r="H650" t="str">
            <v>INNOVA V A/T DIESEL</v>
          </cell>
          <cell r="I650" t="str">
            <v>INNOVA V A/T DIESEL</v>
          </cell>
          <cell r="J650" t="str">
            <v>INNOVA V A/T DIESEL</v>
          </cell>
          <cell r="K650" t="str">
            <v>INNOVA REBORN</v>
          </cell>
          <cell r="L650" t="str">
            <v>GUN42VA/TL</v>
          </cell>
          <cell r="M650" t="str">
            <v>INNOVA</v>
          </cell>
          <cell r="N650" t="str">
            <v>INNOVA REBORN</v>
          </cell>
          <cell r="O650" t="e">
            <v>#N/A</v>
          </cell>
          <cell r="P650" t="e">
            <v>#N/A</v>
          </cell>
          <cell r="Q650" t="e">
            <v>#N/A</v>
          </cell>
          <cell r="R650" t="e">
            <v>#N/A</v>
          </cell>
          <cell r="S650" t="str">
            <v>INNOVA</v>
          </cell>
          <cell r="T650" t="str">
            <v>INV REBORN</v>
          </cell>
          <cell r="U650" t="str">
            <v>INNOVA V A/T DIESEL</v>
          </cell>
        </row>
        <row r="651">
          <cell r="D651" t="e">
            <v>#N/A</v>
          </cell>
          <cell r="E651" t="str">
            <v>INNOVA</v>
          </cell>
          <cell r="F651" t="str">
            <v>INNOVA</v>
          </cell>
          <cell r="G651" t="str">
            <v>INNOVA</v>
          </cell>
          <cell r="H651" t="str">
            <v>INNOVA V A/T DIESEL</v>
          </cell>
          <cell r="I651" t="str">
            <v>INNOVA V A/T DIESEL</v>
          </cell>
          <cell r="J651" t="str">
            <v>INNOVA V A/T DIESEL</v>
          </cell>
          <cell r="K651" t="str">
            <v>INNOVA REBORN</v>
          </cell>
          <cell r="L651" t="str">
            <v>KU40VA/T40M</v>
          </cell>
          <cell r="M651" t="str">
            <v>INNOVA</v>
          </cell>
          <cell r="N651" t="str">
            <v>INNOVA REBORN</v>
          </cell>
          <cell r="O651" t="e">
            <v>#N/A</v>
          </cell>
          <cell r="P651" t="e">
            <v>#N/A</v>
          </cell>
          <cell r="Q651" t="e">
            <v>#N/A</v>
          </cell>
          <cell r="R651" t="e">
            <v>#N/A</v>
          </cell>
          <cell r="S651" t="str">
            <v>INNOVA</v>
          </cell>
          <cell r="T651" t="str">
            <v>INV REBORN</v>
          </cell>
          <cell r="U651" t="str">
            <v>INNOVA V A/T DIESEL</v>
          </cell>
        </row>
        <row r="652">
          <cell r="D652" t="e">
            <v>#N/A</v>
          </cell>
          <cell r="E652" t="str">
            <v>INNOVA</v>
          </cell>
          <cell r="F652" t="str">
            <v>INNOVA</v>
          </cell>
          <cell r="G652" t="str">
            <v>INNOVA</v>
          </cell>
          <cell r="H652" t="str">
            <v>INNOVA V A/T DIESEL</v>
          </cell>
          <cell r="I652" t="str">
            <v>INNOVA V A/T DIESEL</v>
          </cell>
          <cell r="J652" t="str">
            <v>INNOVA V A/T DIESEL</v>
          </cell>
          <cell r="K652" t="str">
            <v>INNOVA REBORN</v>
          </cell>
          <cell r="L652" t="str">
            <v>KU40VA/T50M</v>
          </cell>
          <cell r="M652" t="str">
            <v>INNOVA</v>
          </cell>
          <cell r="N652" t="str">
            <v>INNOVA REBORN</v>
          </cell>
          <cell r="O652" t="e">
            <v>#N/A</v>
          </cell>
          <cell r="P652" t="e">
            <v>#N/A</v>
          </cell>
          <cell r="Q652" t="e">
            <v>#N/A</v>
          </cell>
          <cell r="R652" t="e">
            <v>#N/A</v>
          </cell>
          <cell r="S652" t="str">
            <v>INNOVA</v>
          </cell>
          <cell r="T652" t="str">
            <v>INV REBORN</v>
          </cell>
          <cell r="U652" t="str">
            <v>INNOVA V A/T DIESEL</v>
          </cell>
        </row>
        <row r="653">
          <cell r="D653" t="e">
            <v>#N/A</v>
          </cell>
          <cell r="E653" t="str">
            <v>INNOVA</v>
          </cell>
          <cell r="F653" t="str">
            <v>INNOVA</v>
          </cell>
          <cell r="G653" t="str">
            <v>INNOVA</v>
          </cell>
          <cell r="H653" t="str">
            <v>INNOVA V A/T DIESEL</v>
          </cell>
          <cell r="I653" t="str">
            <v>INNOVA V A/T DIESEL</v>
          </cell>
          <cell r="J653" t="str">
            <v>INNOVA V A/T DIESEL</v>
          </cell>
          <cell r="K653" t="str">
            <v>INNOVA REBORN</v>
          </cell>
          <cell r="L653" t="str">
            <v>KU40VA/T60M</v>
          </cell>
          <cell r="M653" t="str">
            <v>INNOVA</v>
          </cell>
          <cell r="N653" t="str">
            <v>INNOVA REBORN</v>
          </cell>
          <cell r="O653" t="e">
            <v>#N/A</v>
          </cell>
          <cell r="P653" t="e">
            <v>#N/A</v>
          </cell>
          <cell r="Q653" t="e">
            <v>#N/A</v>
          </cell>
          <cell r="R653" t="e">
            <v>#N/A</v>
          </cell>
          <cell r="S653" t="str">
            <v>INNOVA</v>
          </cell>
          <cell r="T653" t="str">
            <v>INV REBORN</v>
          </cell>
          <cell r="U653" t="str">
            <v>INNOVA V A/T DIESEL</v>
          </cell>
        </row>
        <row r="654">
          <cell r="D654" t="e">
            <v>#N/A</v>
          </cell>
          <cell r="E654" t="str">
            <v>INNOVA</v>
          </cell>
          <cell r="F654" t="str">
            <v>INNOVA</v>
          </cell>
          <cell r="G654" t="str">
            <v>INNOVA</v>
          </cell>
          <cell r="H654" t="str">
            <v>INNOVA V A/T DIESEL</v>
          </cell>
          <cell r="I654" t="str">
            <v>INNOVA V A/T DIESEL</v>
          </cell>
          <cell r="J654" t="str">
            <v>INNOVA V A/T DIESEL</v>
          </cell>
          <cell r="K654" t="str">
            <v>INNOVA REBORN</v>
          </cell>
          <cell r="L654" t="str">
            <v>KU40VA/T/40</v>
          </cell>
          <cell r="M654" t="str">
            <v>INNOVA</v>
          </cell>
          <cell r="N654" t="str">
            <v>INNOVA REBORN</v>
          </cell>
          <cell r="O654" t="e">
            <v>#N/A</v>
          </cell>
          <cell r="P654" t="e">
            <v>#N/A</v>
          </cell>
          <cell r="Q654" t="e">
            <v>#N/A</v>
          </cell>
          <cell r="R654" t="e">
            <v>#N/A</v>
          </cell>
          <cell r="S654" t="str">
            <v>INNOVA</v>
          </cell>
          <cell r="T654" t="str">
            <v>INV REBORN</v>
          </cell>
          <cell r="U654" t="str">
            <v>INNOVA V A/T DIESEL</v>
          </cell>
        </row>
        <row r="655">
          <cell r="D655" t="e">
            <v>#N/A</v>
          </cell>
          <cell r="E655" t="str">
            <v>INNOVA</v>
          </cell>
          <cell r="F655" t="str">
            <v>INNOVA</v>
          </cell>
          <cell r="G655" t="str">
            <v>INNOVA</v>
          </cell>
          <cell r="H655" t="str">
            <v>INNOVA V A/T DIESEL</v>
          </cell>
          <cell r="I655" t="str">
            <v>INNOVA V A/T DIESEL</v>
          </cell>
          <cell r="J655" t="str">
            <v>INNOVA V A/T DIESEL</v>
          </cell>
          <cell r="K655" t="str">
            <v>INNOVA REBORN</v>
          </cell>
          <cell r="L655" t="str">
            <v>KU40VA/T/40M</v>
          </cell>
          <cell r="M655" t="str">
            <v>INNOVA</v>
          </cell>
          <cell r="N655" t="str">
            <v>INNOVA REBORN</v>
          </cell>
          <cell r="O655" t="e">
            <v>#N/A</v>
          </cell>
          <cell r="P655" t="e">
            <v>#N/A</v>
          </cell>
          <cell r="Q655" t="e">
            <v>#N/A</v>
          </cell>
          <cell r="R655" t="e">
            <v>#N/A</v>
          </cell>
          <cell r="S655" t="str">
            <v>INNOVA</v>
          </cell>
          <cell r="T655" t="str">
            <v>INV REBORN</v>
          </cell>
          <cell r="U655" t="str">
            <v>INNOVA V A/T DIESEL</v>
          </cell>
        </row>
        <row r="656">
          <cell r="D656" t="str">
            <v>GUN142R-MDTMYD-10</v>
          </cell>
          <cell r="E656" t="str">
            <v>INNOVA</v>
          </cell>
          <cell r="F656" t="str">
            <v>INNOVA</v>
          </cell>
          <cell r="G656" t="str">
            <v>INNOVA</v>
          </cell>
          <cell r="H656" t="str">
            <v>INNOVA V A/T DIESEL</v>
          </cell>
          <cell r="I656" t="str">
            <v>INNOVA V A/T DIESEL</v>
          </cell>
          <cell r="J656" t="str">
            <v>INNOVA V A/T DIESEL</v>
          </cell>
          <cell r="K656" t="str">
            <v>INNOVA REBORN</v>
          </cell>
          <cell r="L656" t="str">
            <v>GUN42VA/T10M</v>
          </cell>
          <cell r="M656" t="str">
            <v>INNOVA</v>
          </cell>
          <cell r="N656" t="str">
            <v>INNOVA REBORN</v>
          </cell>
          <cell r="O656" t="str">
            <v>GUN142R-MDTMYD-10</v>
          </cell>
          <cell r="P656" t="e">
            <v>#N/A</v>
          </cell>
          <cell r="Q656" t="e">
            <v>#N/A</v>
          </cell>
          <cell r="R656" t="str">
            <v>GUN142R-MDTMYD-10</v>
          </cell>
          <cell r="S656" t="str">
            <v>INNOVA</v>
          </cell>
          <cell r="T656" t="str">
            <v>INV REBORN</v>
          </cell>
          <cell r="U656" t="str">
            <v>INNOVA V A/T DIESEL</v>
          </cell>
        </row>
        <row r="657">
          <cell r="D657" t="str">
            <v>GUN142R-MDTMYD-11</v>
          </cell>
          <cell r="E657" t="str">
            <v>INNOVA</v>
          </cell>
          <cell r="F657" t="str">
            <v>INNOVA</v>
          </cell>
          <cell r="G657" t="str">
            <v>INNOVA</v>
          </cell>
          <cell r="H657" t="str">
            <v>INNOVA V A/T DIESEL</v>
          </cell>
          <cell r="I657" t="str">
            <v>INNOVA V A/T DIESEL</v>
          </cell>
          <cell r="J657" t="str">
            <v>INNOVA V A/T DIESEL</v>
          </cell>
          <cell r="K657" t="str">
            <v>INNOVA REBORN</v>
          </cell>
          <cell r="L657" t="str">
            <v>GUN42VA/T11M</v>
          </cell>
          <cell r="M657" t="str">
            <v>INNOVA</v>
          </cell>
          <cell r="N657" t="str">
            <v>INNOVA REBORN</v>
          </cell>
          <cell r="O657" t="str">
            <v>GUN142R-MDTMYD-11</v>
          </cell>
          <cell r="P657" t="e">
            <v>#N/A</v>
          </cell>
          <cell r="Q657" t="e">
            <v>#N/A</v>
          </cell>
          <cell r="R657" t="str">
            <v>GUN142R-MDTMYD-11</v>
          </cell>
          <cell r="S657" t="str">
            <v>INNOVA</v>
          </cell>
          <cell r="T657" t="str">
            <v>INV REBORN</v>
          </cell>
          <cell r="U657" t="str">
            <v>INNOVA V A/T DIESEL</v>
          </cell>
        </row>
        <row r="658">
          <cell r="D658" t="str">
            <v>GUN142R-MDTMYD-11</v>
          </cell>
          <cell r="E658" t="str">
            <v>INNOVA</v>
          </cell>
          <cell r="F658" t="str">
            <v>INNOVA</v>
          </cell>
          <cell r="G658" t="str">
            <v>INNOVA</v>
          </cell>
          <cell r="H658" t="str">
            <v>INNOVA V A/T DIESEL</v>
          </cell>
          <cell r="I658" t="str">
            <v>INNOVA V A/T DIESEL</v>
          </cell>
          <cell r="J658" t="str">
            <v>INNOVA V A/T DIESEL</v>
          </cell>
          <cell r="K658" t="str">
            <v>INNOVA REBORN</v>
          </cell>
          <cell r="L658" t="str">
            <v>GUN42VA/T11M</v>
          </cell>
          <cell r="M658" t="str">
            <v>INNOVA</v>
          </cell>
          <cell r="N658" t="str">
            <v>INNOVA REBORN</v>
          </cell>
          <cell r="O658" t="str">
            <v>GUN142R-MDTMYD-11</v>
          </cell>
          <cell r="P658" t="e">
            <v>#N/A</v>
          </cell>
          <cell r="Q658" t="e">
            <v>#N/A</v>
          </cell>
          <cell r="R658" t="str">
            <v>GUN142R-MDTMYD-11</v>
          </cell>
          <cell r="S658" t="str">
            <v>INNOVA</v>
          </cell>
          <cell r="T658" t="str">
            <v>INV REBORN</v>
          </cell>
          <cell r="U658" t="str">
            <v>INNOVA V A/T DIESEL</v>
          </cell>
        </row>
        <row r="659">
          <cell r="D659" t="e">
            <v>#N/A</v>
          </cell>
          <cell r="E659" t="str">
            <v>INNOVA</v>
          </cell>
          <cell r="F659" t="str">
            <v>INNOVA</v>
          </cell>
          <cell r="G659" t="str">
            <v>INNOVA</v>
          </cell>
          <cell r="H659" t="str">
            <v>INNOVA V A/T DIESEL</v>
          </cell>
          <cell r="I659" t="str">
            <v>INNOVA V A/T DIESEL</v>
          </cell>
          <cell r="J659" t="str">
            <v>INNOVA V A/T DIESEL</v>
          </cell>
          <cell r="K659" t="str">
            <v>INNOVA REBORN</v>
          </cell>
          <cell r="L659" t="str">
            <v>KU40VA/T10M</v>
          </cell>
          <cell r="M659" t="str">
            <v>INNOVA</v>
          </cell>
          <cell r="N659" t="str">
            <v>INNOVA REBORN</v>
          </cell>
          <cell r="O659" t="e">
            <v>#N/A</v>
          </cell>
          <cell r="P659" t="e">
            <v>#N/A</v>
          </cell>
          <cell r="Q659" t="e">
            <v>#N/A</v>
          </cell>
          <cell r="R659" t="e">
            <v>#N/A</v>
          </cell>
          <cell r="S659" t="str">
            <v>INNOVA</v>
          </cell>
          <cell r="T659" t="str">
            <v>INV REBORN</v>
          </cell>
          <cell r="U659" t="str">
            <v>INNOVA V A/T DIESEL</v>
          </cell>
        </row>
        <row r="660">
          <cell r="D660" t="e">
            <v>#N/A</v>
          </cell>
          <cell r="E660" t="str">
            <v>INNOVA</v>
          </cell>
          <cell r="F660" t="str">
            <v>INNOVA</v>
          </cell>
          <cell r="G660" t="str">
            <v>INNOVA</v>
          </cell>
          <cell r="H660" t="str">
            <v>INNOVA V A/T DIESEL</v>
          </cell>
          <cell r="I660" t="str">
            <v>INNOVA V A/T DIESEL</v>
          </cell>
          <cell r="J660" t="str">
            <v>INNOVA V A/T DIESEL</v>
          </cell>
          <cell r="K660" t="str">
            <v>INNOVA REBORN</v>
          </cell>
          <cell r="L660" t="str">
            <v>KU40VA/T20M</v>
          </cell>
          <cell r="M660" t="str">
            <v>INNOVA</v>
          </cell>
          <cell r="N660" t="str">
            <v>INNOVA REBORN</v>
          </cell>
          <cell r="O660" t="e">
            <v>#N/A</v>
          </cell>
          <cell r="P660" t="e">
            <v>#N/A</v>
          </cell>
          <cell r="Q660" t="e">
            <v>#N/A</v>
          </cell>
          <cell r="R660" t="e">
            <v>#N/A</v>
          </cell>
          <cell r="S660" t="str">
            <v>INNOVA</v>
          </cell>
          <cell r="T660" t="str">
            <v>INV REBORN</v>
          </cell>
          <cell r="U660" t="str">
            <v>INNOVA V A/T DIESEL</v>
          </cell>
        </row>
        <row r="661">
          <cell r="D661" t="e">
            <v>#N/A</v>
          </cell>
          <cell r="E661" t="str">
            <v>INNOVA</v>
          </cell>
          <cell r="F661" t="str">
            <v>INNOVA</v>
          </cell>
          <cell r="G661" t="str">
            <v>INNOVA</v>
          </cell>
          <cell r="H661" t="str">
            <v>INNOVA V A/T DIESEL</v>
          </cell>
          <cell r="I661" t="str">
            <v>INNOVA V A/T DIESEL</v>
          </cell>
          <cell r="J661" t="str">
            <v>INNOVA V A/T DIESEL</v>
          </cell>
          <cell r="K661" t="str">
            <v>INNOVA REBORN</v>
          </cell>
          <cell r="L661" t="str">
            <v>KU40VA/T11M</v>
          </cell>
          <cell r="M661" t="str">
            <v>INNOVA</v>
          </cell>
          <cell r="N661" t="str">
            <v>INNOVA REBORN</v>
          </cell>
          <cell r="O661" t="e">
            <v>#N/A</v>
          </cell>
          <cell r="P661" t="e">
            <v>#N/A</v>
          </cell>
          <cell r="Q661" t="e">
            <v>#N/A</v>
          </cell>
          <cell r="R661" t="e">
            <v>#N/A</v>
          </cell>
          <cell r="S661" t="str">
            <v>INNOVA</v>
          </cell>
          <cell r="T661" t="str">
            <v>INV REBORN</v>
          </cell>
          <cell r="U661" t="str">
            <v>INNOVA V A/T DIESEL</v>
          </cell>
        </row>
        <row r="662">
          <cell r="D662" t="str">
            <v>GUN142R-MDTMYD-D0</v>
          </cell>
          <cell r="E662" t="str">
            <v>INNOVA</v>
          </cell>
          <cell r="F662" t="str">
            <v>INNOVA</v>
          </cell>
          <cell r="G662" t="str">
            <v>INNOVA</v>
          </cell>
          <cell r="H662" t="str">
            <v>INNOVA V A/T DIESEL</v>
          </cell>
          <cell r="I662" t="str">
            <v>INNOVA V A/T DIESEL</v>
          </cell>
          <cell r="J662" t="str">
            <v>INNOVA V A/T DIESEL</v>
          </cell>
          <cell r="K662" t="str">
            <v>INNOVA REBORN</v>
          </cell>
          <cell r="L662" t="str">
            <v>GUN42VA/TD0M</v>
          </cell>
          <cell r="M662" t="str">
            <v>INNOVA</v>
          </cell>
          <cell r="N662" t="str">
            <v>INNOVA REBORN</v>
          </cell>
          <cell r="O662" t="str">
            <v>GUN142R-MDTMYD-D0</v>
          </cell>
          <cell r="P662" t="e">
            <v>#N/A</v>
          </cell>
          <cell r="Q662" t="e">
            <v>#N/A</v>
          </cell>
          <cell r="R662" t="str">
            <v>GUN142R-MDTMYD-D0</v>
          </cell>
          <cell r="S662" t="str">
            <v>INNOVA</v>
          </cell>
          <cell r="T662" t="str">
            <v>INV REBORN</v>
          </cell>
          <cell r="U662" t="str">
            <v>INNOVA V A/T DIESEL</v>
          </cell>
        </row>
        <row r="663">
          <cell r="D663" t="str">
            <v>GUN142R-MDTMYD-24</v>
          </cell>
          <cell r="E663" t="str">
            <v>INNOVA</v>
          </cell>
          <cell r="F663" t="str">
            <v>INNOVA</v>
          </cell>
          <cell r="G663" t="str">
            <v>INNOVA</v>
          </cell>
          <cell r="H663" t="str">
            <v>INNOVA V A/T DIESEL</v>
          </cell>
          <cell r="I663" t="str">
            <v>INNOVA V A/T DIESEL</v>
          </cell>
          <cell r="J663" t="str">
            <v>INNOVA V A/T DIESEL</v>
          </cell>
          <cell r="K663" t="str">
            <v>INNOVA REBORN</v>
          </cell>
          <cell r="L663" t="str">
            <v>GUN42VA/T24M</v>
          </cell>
          <cell r="M663" t="str">
            <v>INNOVA</v>
          </cell>
          <cell r="N663" t="str">
            <v>INNOVA REBORN</v>
          </cell>
          <cell r="O663" t="str">
            <v>GUN142R-MDTMYD-24</v>
          </cell>
          <cell r="P663" t="e">
            <v>#N/A</v>
          </cell>
          <cell r="Q663" t="e">
            <v>#N/A</v>
          </cell>
          <cell r="R663" t="str">
            <v>GUN142R-MDTMYD-24</v>
          </cell>
          <cell r="S663" t="str">
            <v>INNOVA</v>
          </cell>
          <cell r="T663" t="str">
            <v>INV REBORN</v>
          </cell>
          <cell r="U663" t="str">
            <v>INNOVA V A/T DIESEL</v>
          </cell>
        </row>
        <row r="664">
          <cell r="D664" t="str">
            <v>GUN142R-MDTMYD-H3</v>
          </cell>
          <cell r="E664" t="str">
            <v>INNOVA</v>
          </cell>
          <cell r="F664" t="str">
            <v>INNOVA</v>
          </cell>
          <cell r="G664" t="str">
            <v>INNOVA</v>
          </cell>
          <cell r="H664" t="str">
            <v>INNOVA V A/T DIESEL</v>
          </cell>
          <cell r="I664" t="str">
            <v>INNOVA V A/T DIESEL</v>
          </cell>
          <cell r="J664" t="str">
            <v>INNOVA V A/T DIESEL</v>
          </cell>
          <cell r="K664" t="str">
            <v>INNOVA REBORN</v>
          </cell>
          <cell r="L664" t="str">
            <v>GUN42VA/TH3M</v>
          </cell>
          <cell r="M664" t="str">
            <v>INNOVA</v>
          </cell>
          <cell r="N664" t="str">
            <v>INNOVA REBORN</v>
          </cell>
          <cell r="O664" t="str">
            <v>GUN142R-MDTMYD-H3</v>
          </cell>
          <cell r="P664" t="e">
            <v>#N/A</v>
          </cell>
          <cell r="Q664" t="e">
            <v>#N/A</v>
          </cell>
          <cell r="R664" t="str">
            <v>GUN142R-MDTMYD-H3</v>
          </cell>
          <cell r="S664" t="str">
            <v>INNOVA</v>
          </cell>
          <cell r="T664" t="str">
            <v>INV REBORN</v>
          </cell>
          <cell r="U664" t="str">
            <v>INNOVA V A/T DIESEL</v>
          </cell>
        </row>
        <row r="665">
          <cell r="D665" t="str">
            <v>GUN142R-MDTHXD-00</v>
          </cell>
          <cell r="E665" t="str">
            <v>INNOVA</v>
          </cell>
          <cell r="F665" t="str">
            <v>INNOVA</v>
          </cell>
          <cell r="G665" t="str">
            <v>INNOVA</v>
          </cell>
          <cell r="H665" t="str">
            <v>INNOVA V A/T DIESEL</v>
          </cell>
          <cell r="I665" t="str">
            <v>INNOVA V A/T DIESEL</v>
          </cell>
          <cell r="J665" t="str">
            <v xml:space="preserve">INNOVA V A/T DIESEL </v>
          </cell>
          <cell r="K665" t="str">
            <v>INNOVA REBORN</v>
          </cell>
          <cell r="L665" t="str">
            <v>GUNX42VA/T00M</v>
          </cell>
          <cell r="M665" t="str">
            <v>INNOVA</v>
          </cell>
          <cell r="N665" t="str">
            <v>INNOVA REBORN</v>
          </cell>
          <cell r="O665" t="str">
            <v>GUN142R-MDTHXD-00</v>
          </cell>
          <cell r="P665" t="e">
            <v>#N/A</v>
          </cell>
          <cell r="Q665" t="e">
            <v>#N/A</v>
          </cell>
          <cell r="R665" t="str">
            <v>GUN142R-MDTHXD-00</v>
          </cell>
          <cell r="S665" t="str">
            <v>INNOVA</v>
          </cell>
          <cell r="T665" t="str">
            <v>INV REBORN</v>
          </cell>
          <cell r="U665" t="str">
            <v>INNOVA V A/T DIESEL</v>
          </cell>
        </row>
        <row r="666">
          <cell r="D666" t="str">
            <v>GUN142R-MDTHXD-10</v>
          </cell>
          <cell r="E666" t="str">
            <v>INNOVA</v>
          </cell>
          <cell r="F666" t="str">
            <v>INNOVA</v>
          </cell>
          <cell r="G666" t="str">
            <v>INNOVA</v>
          </cell>
          <cell r="H666" t="str">
            <v>INNOVA V A/T DIESEL</v>
          </cell>
          <cell r="I666" t="str">
            <v>INNOVA V A/T DIESEL</v>
          </cell>
          <cell r="J666" t="str">
            <v xml:space="preserve">INNOVA V A/T DIESEL </v>
          </cell>
          <cell r="K666" t="str">
            <v>INNOVA REBORN</v>
          </cell>
          <cell r="L666" t="str">
            <v>GUNX42VA/T10M</v>
          </cell>
          <cell r="M666" t="str">
            <v>INNOVA</v>
          </cell>
          <cell r="N666" t="str">
            <v>INNOVA REBORN</v>
          </cell>
          <cell r="O666" t="str">
            <v>GUN142R-MDTHXD-10</v>
          </cell>
          <cell r="P666" t="e">
            <v>#N/A</v>
          </cell>
          <cell r="Q666" t="e">
            <v>#N/A</v>
          </cell>
          <cell r="R666" t="str">
            <v>GUN142R-MDTHXD-10</v>
          </cell>
          <cell r="S666" t="str">
            <v>INNOVA</v>
          </cell>
          <cell r="T666" t="str">
            <v>INV REBORN</v>
          </cell>
          <cell r="U666" t="str">
            <v>INNOVA V A/T DIESEL</v>
          </cell>
        </row>
        <row r="667">
          <cell r="D667" t="str">
            <v>GUN142R-MDTHXD-20</v>
          </cell>
          <cell r="E667" t="str">
            <v>INNOVA</v>
          </cell>
          <cell r="F667" t="str">
            <v>INNOVA</v>
          </cell>
          <cell r="G667" t="str">
            <v>INNOVA</v>
          </cell>
          <cell r="H667" t="str">
            <v>INNOVA V A/T DIESEL</v>
          </cell>
          <cell r="I667" t="str">
            <v>INNOVA V A/T DIESEL</v>
          </cell>
          <cell r="J667" t="str">
            <v xml:space="preserve">INNOVA V A/T DIESEL </v>
          </cell>
          <cell r="K667" t="str">
            <v>INNOVA REBORN</v>
          </cell>
          <cell r="L667" t="str">
            <v>GUNX42VA/T20M</v>
          </cell>
          <cell r="M667" t="str">
            <v>INNOVA</v>
          </cell>
          <cell r="N667" t="str">
            <v>INNOVA REBORN</v>
          </cell>
          <cell r="O667" t="str">
            <v>GUN142R-MDTHXD-20</v>
          </cell>
          <cell r="P667" t="e">
            <v>#N/A</v>
          </cell>
          <cell r="Q667" t="e">
            <v>#N/A</v>
          </cell>
          <cell r="R667" t="str">
            <v>GUN142R-MDTHXD-20</v>
          </cell>
          <cell r="S667" t="str">
            <v>INNOVA</v>
          </cell>
          <cell r="T667" t="str">
            <v>INV REBORN</v>
          </cell>
          <cell r="U667" t="str">
            <v>INNOVA V A/T DIESEL</v>
          </cell>
        </row>
        <row r="668">
          <cell r="D668" t="str">
            <v>GUN142R-MDTMYD-25</v>
          </cell>
          <cell r="E668" t="str">
            <v>INNOVA</v>
          </cell>
          <cell r="F668" t="str">
            <v>INNOVA</v>
          </cell>
          <cell r="G668" t="str">
            <v>INNOVA</v>
          </cell>
          <cell r="H668" t="str">
            <v>INNOVA V A/T DIESEL</v>
          </cell>
          <cell r="I668" t="str">
            <v>INNOVA V A/T DIESEL TRD</v>
          </cell>
          <cell r="J668" t="str">
            <v>INNOVA V A/T DIESEL TRD</v>
          </cell>
          <cell r="K668" t="str">
            <v>INNOVA REBORN</v>
          </cell>
          <cell r="L668" t="str">
            <v>GUN42VA/T25M</v>
          </cell>
          <cell r="M668" t="str">
            <v>INNOVA</v>
          </cell>
          <cell r="N668" t="str">
            <v>INNOVA REBORN</v>
          </cell>
          <cell r="O668" t="str">
            <v>GUN142R-MDTMYD-25</v>
          </cell>
          <cell r="P668" t="e">
            <v>#N/A</v>
          </cell>
          <cell r="Q668" t="e">
            <v>#N/A</v>
          </cell>
          <cell r="R668" t="str">
            <v>GUN142R-MDTMYD-25</v>
          </cell>
          <cell r="S668" t="str">
            <v>INNOVA</v>
          </cell>
          <cell r="T668" t="str">
            <v>INV REBORN</v>
          </cell>
          <cell r="U668" t="str">
            <v>INNOVA V A/T DIESEL</v>
          </cell>
        </row>
        <row r="669">
          <cell r="D669" t="str">
            <v>TGN140R-MDTHKD-55</v>
          </cell>
          <cell r="E669" t="str">
            <v>INNOVA</v>
          </cell>
          <cell r="F669" t="str">
            <v>INNOVA</v>
          </cell>
          <cell r="G669" t="str">
            <v>INNOVA</v>
          </cell>
          <cell r="H669" t="str">
            <v>INNOVA V A/T Ltd Edition</v>
          </cell>
          <cell r="I669" t="str">
            <v>INNOVA V A/T Ltd</v>
          </cell>
          <cell r="J669" t="str">
            <v>INNOVA V A/T Ltd Edition</v>
          </cell>
          <cell r="K669" t="str">
            <v>INNOVA REBORN</v>
          </cell>
          <cell r="L669" t="str">
            <v>TGN40VA/T55M</v>
          </cell>
          <cell r="M669" t="str">
            <v>INNOVA</v>
          </cell>
          <cell r="N669" t="str">
            <v>INNOVA REBORN</v>
          </cell>
          <cell r="O669" t="str">
            <v>TGN140R-MDTHKD-55</v>
          </cell>
          <cell r="P669" t="e">
            <v>#N/A</v>
          </cell>
          <cell r="Q669" t="e">
            <v>#N/A</v>
          </cell>
          <cell r="R669" t="str">
            <v>TGN140R-MDTHKD-55</v>
          </cell>
          <cell r="S669" t="str">
            <v>INNOVA</v>
          </cell>
          <cell r="T669" t="str">
            <v>INV REBORN</v>
          </cell>
          <cell r="U669" t="str">
            <v>INNOVA V A/T Ltd Edition</v>
          </cell>
        </row>
        <row r="670">
          <cell r="D670" t="str">
            <v>TGN140R-MDTHKD-43</v>
          </cell>
          <cell r="E670" t="str">
            <v>INNOVA</v>
          </cell>
          <cell r="F670" t="str">
            <v>INNOVA</v>
          </cell>
          <cell r="G670" t="str">
            <v>INNOVA</v>
          </cell>
          <cell r="H670" t="str">
            <v>INNOVA V A/T</v>
          </cell>
          <cell r="I670" t="str">
            <v xml:space="preserve">INNOVA V A/T LUX </v>
          </cell>
          <cell r="J670" t="str">
            <v xml:space="preserve">INNOVA V A/T LUX </v>
          </cell>
          <cell r="K670" t="str">
            <v>INNOVA REBORN</v>
          </cell>
          <cell r="L670" t="str">
            <v>TGN40QA/T43M</v>
          </cell>
          <cell r="M670" t="str">
            <v>INNOVA</v>
          </cell>
          <cell r="N670" t="str">
            <v>INNOVA REBORN</v>
          </cell>
          <cell r="O670" t="str">
            <v>TGN140R-MDTHKD-43</v>
          </cell>
          <cell r="P670" t="e">
            <v>#N/A</v>
          </cell>
          <cell r="Q670" t="e">
            <v>#N/A</v>
          </cell>
          <cell r="R670" t="str">
            <v>TGN140R-MDTHKD-43</v>
          </cell>
          <cell r="S670" t="str">
            <v>INNOVA</v>
          </cell>
          <cell r="T670" t="str">
            <v>INV REBORN</v>
          </cell>
          <cell r="U670" t="str">
            <v>INNOVA V A/T</v>
          </cell>
        </row>
        <row r="671">
          <cell r="D671" t="str">
            <v>TGN140R-MDTHKD-53</v>
          </cell>
          <cell r="E671" t="str">
            <v>INNOVA</v>
          </cell>
          <cell r="F671" t="str">
            <v>INNOVA</v>
          </cell>
          <cell r="G671" t="str">
            <v>INNOVA</v>
          </cell>
          <cell r="H671" t="str">
            <v>INNOVA V A/T</v>
          </cell>
          <cell r="I671" t="str">
            <v xml:space="preserve">INNOVA V A/T LUX </v>
          </cell>
          <cell r="J671" t="str">
            <v xml:space="preserve">INNOVA V A/T LUX </v>
          </cell>
          <cell r="K671" t="str">
            <v>INNOVA REBORN</v>
          </cell>
          <cell r="L671" t="str">
            <v>TGN40VA/T53M</v>
          </cell>
          <cell r="M671" t="str">
            <v>INNOVA</v>
          </cell>
          <cell r="N671" t="str">
            <v>INNOVA REBORN</v>
          </cell>
          <cell r="O671" t="str">
            <v>TGN140R-MDTHKD-53</v>
          </cell>
          <cell r="P671" t="e">
            <v>#N/A</v>
          </cell>
          <cell r="Q671" t="e">
            <v>#N/A</v>
          </cell>
          <cell r="R671" t="str">
            <v>TGN140R-MDTHKD-53</v>
          </cell>
          <cell r="S671" t="str">
            <v>INNOVA</v>
          </cell>
          <cell r="T671" t="str">
            <v>INV REBORN</v>
          </cell>
          <cell r="U671" t="str">
            <v>INNOVA V A/T</v>
          </cell>
        </row>
        <row r="672">
          <cell r="D672" t="str">
            <v>TGN140R-MDMMKD-23</v>
          </cell>
          <cell r="E672" t="str">
            <v>INNOVA</v>
          </cell>
          <cell r="F672" t="str">
            <v>INNOVA</v>
          </cell>
          <cell r="G672" t="str">
            <v>INNOVA</v>
          </cell>
          <cell r="H672" t="str">
            <v>INNOVA V M/T</v>
          </cell>
          <cell r="I672" t="str">
            <v>INNOVA V M/T</v>
          </cell>
          <cell r="J672" t="str">
            <v>INNOVA V M/T</v>
          </cell>
          <cell r="K672" t="str">
            <v>INNOVA REBORN</v>
          </cell>
          <cell r="L672" t="str">
            <v>TGN40VM/T23M</v>
          </cell>
          <cell r="M672" t="str">
            <v>INNOVA</v>
          </cell>
          <cell r="N672" t="str">
            <v>INNOVA REBORN</v>
          </cell>
          <cell r="O672" t="str">
            <v>TGN140R-MDMMKD-23</v>
          </cell>
          <cell r="P672" t="e">
            <v>#N/A</v>
          </cell>
          <cell r="Q672" t="e">
            <v>#N/A</v>
          </cell>
          <cell r="R672" t="str">
            <v>TGN140R-MDMMKD-23</v>
          </cell>
          <cell r="S672" t="str">
            <v>INNOVA</v>
          </cell>
          <cell r="T672" t="str">
            <v>INV REBORN</v>
          </cell>
          <cell r="U672" t="str">
            <v>INNOVA V M/T</v>
          </cell>
        </row>
        <row r="673">
          <cell r="D673" t="str">
            <v>TGN140R-MDMMKD-E0</v>
          </cell>
          <cell r="E673" t="str">
            <v>INNOVA</v>
          </cell>
          <cell r="F673" t="str">
            <v>INNOVA</v>
          </cell>
          <cell r="G673" t="str">
            <v>INNOVA</v>
          </cell>
          <cell r="H673" t="str">
            <v>INNOVA V M/T</v>
          </cell>
          <cell r="I673" t="str">
            <v>INNOVA V M/T</v>
          </cell>
          <cell r="J673" t="str">
            <v>INNOVA V M/T</v>
          </cell>
          <cell r="K673" t="str">
            <v>INNOVA REBORN</v>
          </cell>
          <cell r="L673" t="str">
            <v>TGN40VM/TE0M</v>
          </cell>
          <cell r="M673" t="str">
            <v>INNOVA</v>
          </cell>
          <cell r="N673" t="str">
            <v>INNOVA REBORN</v>
          </cell>
          <cell r="O673" t="str">
            <v>TGN140R-MDMMKD-E0</v>
          </cell>
          <cell r="P673" t="e">
            <v>#N/A</v>
          </cell>
          <cell r="Q673" t="e">
            <v>#N/A</v>
          </cell>
          <cell r="R673" t="str">
            <v>TGN140R-MDMMKD-E0</v>
          </cell>
          <cell r="S673" t="str">
            <v>INNOVA</v>
          </cell>
          <cell r="T673" t="str">
            <v>INV REBORN</v>
          </cell>
          <cell r="U673" t="str">
            <v>INNOVA V M/T</v>
          </cell>
        </row>
        <row r="674">
          <cell r="D674" t="str">
            <v>TGN140R-MDMMKD-13</v>
          </cell>
          <cell r="E674" t="str">
            <v>INNOVA</v>
          </cell>
          <cell r="F674" t="str">
            <v>INNOVA</v>
          </cell>
          <cell r="G674" t="str">
            <v>INNOVA</v>
          </cell>
          <cell r="H674" t="str">
            <v>INNOVA V M/T</v>
          </cell>
          <cell r="I674" t="str">
            <v>INNOVA V M/T</v>
          </cell>
          <cell r="J674" t="str">
            <v>INNOVA V M/T</v>
          </cell>
          <cell r="K674" t="str">
            <v>INNOVA REBORN</v>
          </cell>
          <cell r="L674" t="str">
            <v>TGN40VM/T13M</v>
          </cell>
          <cell r="M674" t="str">
            <v>INNOVA</v>
          </cell>
          <cell r="N674" t="str">
            <v>INNOVA REBORN</v>
          </cell>
          <cell r="O674" t="str">
            <v>TGN140R-MDMMKD-13</v>
          </cell>
          <cell r="P674" t="e">
            <v>#N/A</v>
          </cell>
          <cell r="Q674" t="e">
            <v>#N/A</v>
          </cell>
          <cell r="R674" t="str">
            <v>TGN140R-MDMMKD-13</v>
          </cell>
          <cell r="S674" t="str">
            <v>INNOVA</v>
          </cell>
          <cell r="T674" t="str">
            <v>INV REBORN</v>
          </cell>
          <cell r="U674" t="str">
            <v>INNOVA V M/T</v>
          </cell>
        </row>
        <row r="675">
          <cell r="D675" t="e">
            <v>#N/A</v>
          </cell>
          <cell r="E675" t="str">
            <v>INNOVA</v>
          </cell>
          <cell r="F675" t="str">
            <v>INNOVA</v>
          </cell>
          <cell r="G675" t="str">
            <v>INNOVA</v>
          </cell>
          <cell r="H675" t="str">
            <v>INNOVA V M/T</v>
          </cell>
          <cell r="I675" t="str">
            <v>INNOVA V M/T</v>
          </cell>
          <cell r="J675" t="str">
            <v>INNOVA V M/T</v>
          </cell>
          <cell r="K675" t="str">
            <v>INNOVA REBORN</v>
          </cell>
          <cell r="L675" t="str">
            <v>TG40VM/T10M</v>
          </cell>
          <cell r="M675" t="str">
            <v>INNOVA</v>
          </cell>
          <cell r="N675" t="str">
            <v>INNOVA REBORN</v>
          </cell>
          <cell r="O675" t="e">
            <v>#N/A</v>
          </cell>
          <cell r="P675" t="e">
            <v>#N/A</v>
          </cell>
          <cell r="Q675" t="e">
            <v>#N/A</v>
          </cell>
          <cell r="R675" t="e">
            <v>#N/A</v>
          </cell>
          <cell r="S675" t="str">
            <v>INNOVA</v>
          </cell>
          <cell r="T675" t="str">
            <v>INV REBORN</v>
          </cell>
          <cell r="U675" t="str">
            <v>INNOVA V M/T</v>
          </cell>
        </row>
        <row r="676">
          <cell r="D676" t="e">
            <v>#N/A</v>
          </cell>
          <cell r="E676" t="str">
            <v>LANDCRUISER</v>
          </cell>
          <cell r="F676" t="str">
            <v>LANDCRUISER</v>
          </cell>
          <cell r="G676" t="str">
            <v>LANDCRUISER</v>
          </cell>
          <cell r="H676" t="str">
            <v>LANDCRUISER</v>
          </cell>
          <cell r="I676" t="str">
            <v>LANDCRUISER</v>
          </cell>
          <cell r="J676" t="str">
            <v>LANDCRUISER</v>
          </cell>
          <cell r="K676" t="str">
            <v>LANDCRUISER</v>
          </cell>
          <cell r="L676" t="str">
            <v>VJ200LMA/TM</v>
          </cell>
          <cell r="M676" t="str">
            <v>LANDCRUISER</v>
          </cell>
          <cell r="N676" t="str">
            <v>LANDCRUISER</v>
          </cell>
          <cell r="O676" t="e">
            <v>#N/A</v>
          </cell>
          <cell r="P676" t="e">
            <v>#N/A</v>
          </cell>
          <cell r="Q676" t="e">
            <v>#N/A</v>
          </cell>
          <cell r="R676" t="e">
            <v>#N/A</v>
          </cell>
          <cell r="S676" t="str">
            <v>LANDCRUISER</v>
          </cell>
          <cell r="T676" t="e">
            <v>#N/A</v>
          </cell>
          <cell r="U676" t="str">
            <v>LANDCRUISER</v>
          </cell>
        </row>
        <row r="677">
          <cell r="D677" t="e">
            <v>#N/A</v>
          </cell>
          <cell r="E677" t="str">
            <v>LANDCRUISER</v>
          </cell>
          <cell r="F677" t="str">
            <v>LANDCRUISER</v>
          </cell>
          <cell r="G677" t="str">
            <v>LANDCRUISER</v>
          </cell>
          <cell r="H677" t="str">
            <v>LANDCRUISER</v>
          </cell>
          <cell r="I677" t="str">
            <v>LANDCRUISER</v>
          </cell>
          <cell r="J677" t="str">
            <v>LANDCRUISER</v>
          </cell>
          <cell r="K677" t="str">
            <v>LANDCRUISER</v>
          </cell>
          <cell r="L677" t="str">
            <v>VJ200LSA/TM</v>
          </cell>
          <cell r="M677" t="str">
            <v>LANDCRUISER</v>
          </cell>
          <cell r="N677" t="str">
            <v>LANDCRUISER</v>
          </cell>
          <cell r="O677" t="e">
            <v>#N/A</v>
          </cell>
          <cell r="P677" t="e">
            <v>#N/A</v>
          </cell>
          <cell r="Q677" t="e">
            <v>#N/A</v>
          </cell>
          <cell r="R677" t="e">
            <v>#N/A</v>
          </cell>
          <cell r="S677" t="str">
            <v>LANDCRUISER</v>
          </cell>
          <cell r="T677" t="e">
            <v>#N/A</v>
          </cell>
          <cell r="U677" t="str">
            <v>LANDCRUISER</v>
          </cell>
        </row>
        <row r="678">
          <cell r="D678" t="str">
            <v>VDJ200R-GNTEZ-21</v>
          </cell>
          <cell r="E678" t="str">
            <v>LANDCRUISER</v>
          </cell>
          <cell r="F678" t="str">
            <v>LANDCRUISER</v>
          </cell>
          <cell r="G678" t="str">
            <v>LANDCRUISER</v>
          </cell>
          <cell r="H678" t="str">
            <v>LANDCRUISER</v>
          </cell>
          <cell r="I678" t="str">
            <v>LANDCRUISER</v>
          </cell>
          <cell r="J678" t="str">
            <v>LANDCRUISER</v>
          </cell>
          <cell r="K678" t="str">
            <v>LANDCRUISER</v>
          </cell>
          <cell r="L678" t="str">
            <v>VJ200FSA/TM</v>
          </cell>
          <cell r="M678" t="str">
            <v>LANDCRUISER</v>
          </cell>
          <cell r="N678" t="str">
            <v>LANDCRUISER</v>
          </cell>
          <cell r="O678" t="str">
            <v>VDJ200R-GNTEZ-21</v>
          </cell>
          <cell r="P678" t="e">
            <v>#N/A</v>
          </cell>
          <cell r="Q678" t="e">
            <v>#N/A</v>
          </cell>
          <cell r="R678" t="str">
            <v>VDJ200R-GNTEZ-21</v>
          </cell>
          <cell r="S678" t="str">
            <v>LANDCRUISER</v>
          </cell>
          <cell r="T678" t="e">
            <v>#N/A</v>
          </cell>
          <cell r="U678" t="str">
            <v>LANDCRUISER</v>
          </cell>
        </row>
        <row r="679">
          <cell r="D679" t="e">
            <v>#N/A</v>
          </cell>
          <cell r="E679" t="str">
            <v>LANDCRUISER</v>
          </cell>
          <cell r="F679" t="str">
            <v>LANDCRUISER</v>
          </cell>
          <cell r="G679" t="str">
            <v>LANDCRUISER</v>
          </cell>
          <cell r="H679" t="str">
            <v>LANDCRUISER</v>
          </cell>
          <cell r="I679" t="str">
            <v>LANDCRUISER</v>
          </cell>
          <cell r="J679" t="str">
            <v>LANDCRUISER</v>
          </cell>
          <cell r="K679" t="str">
            <v>LANDCRUISER</v>
          </cell>
          <cell r="L679" t="str">
            <v>VJ200STDA/T30M</v>
          </cell>
          <cell r="M679" t="str">
            <v>LANDCRUISER</v>
          </cell>
          <cell r="N679" t="str">
            <v>LANDCRUISER</v>
          </cell>
          <cell r="O679" t="e">
            <v>#N/A</v>
          </cell>
          <cell r="P679" t="e">
            <v>#N/A</v>
          </cell>
          <cell r="Q679" t="e">
            <v>#N/A</v>
          </cell>
          <cell r="R679" t="e">
            <v>#N/A</v>
          </cell>
          <cell r="S679" t="str">
            <v>LANDCRUISER</v>
          </cell>
          <cell r="T679" t="e">
            <v>#N/A</v>
          </cell>
          <cell r="U679" t="str">
            <v>LANDCRUISER</v>
          </cell>
        </row>
        <row r="680">
          <cell r="D680" t="str">
            <v>VDJ200R-GNTVZ-31</v>
          </cell>
          <cell r="E680" t="str">
            <v>LANDCRUISER</v>
          </cell>
          <cell r="F680" t="str">
            <v>LANDCRUISER</v>
          </cell>
          <cell r="G680" t="str">
            <v>LANDCRUISER</v>
          </cell>
          <cell r="H680" t="str">
            <v>LANDCRUISER</v>
          </cell>
          <cell r="I680" t="str">
            <v>LANDCRUISER</v>
          </cell>
          <cell r="J680" t="str">
            <v>LANDCRUISER</v>
          </cell>
          <cell r="K680" t="str">
            <v>LANDCRUISER</v>
          </cell>
          <cell r="L680" t="str">
            <v>VJ200FSA/T31M</v>
          </cell>
          <cell r="M680" t="str">
            <v>LANDCRUISER</v>
          </cell>
          <cell r="N680" t="str">
            <v>LANDCRUISER</v>
          </cell>
          <cell r="O680" t="str">
            <v>VDJ200R-GNTVZ-31</v>
          </cell>
          <cell r="P680" t="e">
            <v>#N/A</v>
          </cell>
          <cell r="Q680" t="e">
            <v>#N/A</v>
          </cell>
          <cell r="R680" t="str">
            <v>VDJ200R-GNTVZ-31</v>
          </cell>
          <cell r="S680" t="str">
            <v>LANDCRUISER</v>
          </cell>
          <cell r="T680" t="e">
            <v>#N/A</v>
          </cell>
          <cell r="U680" t="str">
            <v>LANDCRUISER</v>
          </cell>
        </row>
        <row r="681">
          <cell r="D681" t="str">
            <v>VDJ200R-GNTVZ-41</v>
          </cell>
          <cell r="E681" t="str">
            <v>LANDCRUISER</v>
          </cell>
          <cell r="F681" t="str">
            <v>LANDCRUISER</v>
          </cell>
          <cell r="G681" t="str">
            <v>LANDCRUISER</v>
          </cell>
          <cell r="H681" t="str">
            <v>LANDCRUISER</v>
          </cell>
          <cell r="I681" t="str">
            <v>LANDCRUISER</v>
          </cell>
          <cell r="J681" t="str">
            <v>LANDCRUISER</v>
          </cell>
          <cell r="K681" t="str">
            <v>LANDCRUISER</v>
          </cell>
          <cell r="L681" t="str">
            <v>VJ200VZA/T41M</v>
          </cell>
          <cell r="M681" t="str">
            <v>LANDCRUISER</v>
          </cell>
          <cell r="N681" t="str">
            <v>LANDCRUISER</v>
          </cell>
          <cell r="O681" t="str">
            <v>VDJ200R-GNTVZ-41</v>
          </cell>
          <cell r="P681" t="e">
            <v>#N/A</v>
          </cell>
          <cell r="Q681" t="e">
            <v>#N/A</v>
          </cell>
          <cell r="R681" t="str">
            <v>VDJ200R-GNTVZ-41</v>
          </cell>
          <cell r="S681" t="str">
            <v>LANDCRUISER</v>
          </cell>
          <cell r="T681" t="e">
            <v>#N/A</v>
          </cell>
          <cell r="U681" t="str">
            <v>LANDCRUISER</v>
          </cell>
        </row>
        <row r="682">
          <cell r="D682" t="str">
            <v>VDJ200R-GNTEZ-20</v>
          </cell>
          <cell r="E682" t="str">
            <v>LANDCRUISER</v>
          </cell>
          <cell r="F682" t="str">
            <v>LANDCRUISER</v>
          </cell>
          <cell r="G682" t="str">
            <v>LANDCRUISER</v>
          </cell>
          <cell r="H682" t="str">
            <v>LANDCRUISER</v>
          </cell>
          <cell r="I682" t="str">
            <v>LANDCRUISER</v>
          </cell>
          <cell r="J682" t="str">
            <v>LANDCRUISER</v>
          </cell>
          <cell r="K682" t="str">
            <v>LANDCRUISER</v>
          </cell>
          <cell r="L682" t="str">
            <v>VJ200STDA/TM</v>
          </cell>
          <cell r="M682" t="str">
            <v>LANDCRUISER</v>
          </cell>
          <cell r="N682" t="str">
            <v>LANDCRUISER</v>
          </cell>
          <cell r="O682" t="str">
            <v>VDJ200R-GNTEZ-20</v>
          </cell>
          <cell r="P682" t="e">
            <v>#N/A</v>
          </cell>
          <cell r="Q682" t="e">
            <v>#N/A</v>
          </cell>
          <cell r="R682" t="str">
            <v>VDJ200R-GNTEZ-20</v>
          </cell>
          <cell r="S682" t="str">
            <v>LANDCRUISER</v>
          </cell>
          <cell r="T682" t="e">
            <v>#N/A</v>
          </cell>
          <cell r="U682" t="str">
            <v>LANDCRUISER</v>
          </cell>
        </row>
        <row r="683">
          <cell r="D683" t="e">
            <v>#N/A</v>
          </cell>
          <cell r="E683" t="str">
            <v>LEXUS</v>
          </cell>
          <cell r="F683" t="str">
            <v>LEXUS</v>
          </cell>
          <cell r="G683" t="str">
            <v>LEXUS</v>
          </cell>
          <cell r="H683" t="str">
            <v>LEXUS</v>
          </cell>
          <cell r="I683" t="str">
            <v>LEXUS</v>
          </cell>
          <cell r="J683" t="str">
            <v>LEXUS</v>
          </cell>
          <cell r="K683" t="str">
            <v>LEXUS</v>
          </cell>
          <cell r="L683" t="str">
            <v>URJ20IR-GNTGKQ</v>
          </cell>
          <cell r="M683" t="str">
            <v>LEXUS</v>
          </cell>
          <cell r="N683" t="str">
            <v>LEXUS</v>
          </cell>
          <cell r="O683" t="e">
            <v>#N/A</v>
          </cell>
          <cell r="P683" t="e">
            <v>#N/A</v>
          </cell>
          <cell r="Q683" t="e">
            <v>#N/A</v>
          </cell>
          <cell r="R683" t="e">
            <v>#N/A</v>
          </cell>
          <cell r="S683" t="str">
            <v>LEXUS</v>
          </cell>
          <cell r="T683" t="e">
            <v>#N/A</v>
          </cell>
          <cell r="U683" t="str">
            <v>LEXUS</v>
          </cell>
        </row>
        <row r="684">
          <cell r="D684" t="e">
            <v>#N/A</v>
          </cell>
          <cell r="E684" t="str">
            <v>LIMO</v>
          </cell>
          <cell r="F684" t="str">
            <v>LIMO</v>
          </cell>
          <cell r="G684" t="str">
            <v>LIMO</v>
          </cell>
          <cell r="H684" t="str">
            <v>LIMO</v>
          </cell>
          <cell r="I684" t="str">
            <v>LIMO</v>
          </cell>
          <cell r="J684" t="str">
            <v>LIMO</v>
          </cell>
          <cell r="K684" t="str">
            <v>LIMO</v>
          </cell>
          <cell r="L684" t="str">
            <v>NC93TX10</v>
          </cell>
          <cell r="M684" t="str">
            <v>LIMO</v>
          </cell>
          <cell r="N684" t="str">
            <v>LIMO</v>
          </cell>
          <cell r="O684" t="e">
            <v>#N/A</v>
          </cell>
          <cell r="P684" t="e">
            <v>#N/A</v>
          </cell>
          <cell r="Q684" t="e">
            <v>#N/A</v>
          </cell>
          <cell r="R684" t="e">
            <v>#N/A</v>
          </cell>
          <cell r="S684" t="str">
            <v>LIMO</v>
          </cell>
          <cell r="T684" t="e">
            <v>#N/A</v>
          </cell>
          <cell r="U684" t="str">
            <v>LIMO</v>
          </cell>
        </row>
        <row r="685">
          <cell r="D685" t="e">
            <v>#N/A</v>
          </cell>
          <cell r="E685" t="str">
            <v>MARK X</v>
          </cell>
          <cell r="F685" t="str">
            <v>MARK X</v>
          </cell>
          <cell r="G685" t="str">
            <v>MARK X</v>
          </cell>
          <cell r="H685" t="str">
            <v>MARK X</v>
          </cell>
          <cell r="I685" t="str">
            <v>MARK X</v>
          </cell>
          <cell r="J685" t="str">
            <v>MARK X</v>
          </cell>
          <cell r="K685" t="str">
            <v>MARK X</v>
          </cell>
          <cell r="L685" t="str">
            <v>GRX130A/TM</v>
          </cell>
          <cell r="M685" t="str">
            <v>MARK X</v>
          </cell>
          <cell r="N685" t="str">
            <v>MARK X</v>
          </cell>
          <cell r="O685" t="e">
            <v>#N/A</v>
          </cell>
          <cell r="P685" t="e">
            <v>#N/A</v>
          </cell>
          <cell r="Q685" t="e">
            <v>#N/A</v>
          </cell>
          <cell r="R685" t="e">
            <v>#N/A</v>
          </cell>
          <cell r="S685" t="str">
            <v>MARK X</v>
          </cell>
          <cell r="T685" t="e">
            <v>#N/A</v>
          </cell>
          <cell r="U685" t="str">
            <v>MARK X</v>
          </cell>
        </row>
        <row r="686">
          <cell r="D686" t="str">
            <v>ZRR70R-APXEPD-13</v>
          </cell>
          <cell r="E686" t="str">
            <v>NAV1</v>
          </cell>
          <cell r="F686" t="str">
            <v>NAV1</v>
          </cell>
          <cell r="G686" t="str">
            <v>NAV1</v>
          </cell>
          <cell r="H686" t="str">
            <v>NAV1 G A/T</v>
          </cell>
          <cell r="I686" t="str">
            <v>NAV1 G A/T</v>
          </cell>
          <cell r="J686" t="str">
            <v>NAV1 G A/T</v>
          </cell>
          <cell r="K686" t="str">
            <v>NAV1</v>
          </cell>
          <cell r="L686" t="str">
            <v>ZR70GA/TLUXM</v>
          </cell>
          <cell r="M686" t="str">
            <v>NAV1</v>
          </cell>
          <cell r="N686" t="str">
            <v>NAV1</v>
          </cell>
          <cell r="O686" t="str">
            <v>ZRR70R-APXEPD-13</v>
          </cell>
          <cell r="P686" t="e">
            <v>#N/A</v>
          </cell>
          <cell r="Q686" t="e">
            <v>#N/A</v>
          </cell>
          <cell r="R686" t="str">
            <v>ZRR70R-APXEPD-13</v>
          </cell>
          <cell r="S686" t="str">
            <v>NAV1</v>
          </cell>
          <cell r="T686" t="e">
            <v>#N/A</v>
          </cell>
          <cell r="U686" t="str">
            <v>NAV1 G A/T</v>
          </cell>
        </row>
        <row r="687">
          <cell r="D687" t="e">
            <v>#N/A</v>
          </cell>
          <cell r="E687" t="str">
            <v>NAV1</v>
          </cell>
          <cell r="F687" t="str">
            <v>NAV1</v>
          </cell>
          <cell r="G687" t="str">
            <v>NAV1</v>
          </cell>
          <cell r="H687" t="str">
            <v>NAV1 G A/T</v>
          </cell>
          <cell r="I687" t="str">
            <v>NAV1 G A/T</v>
          </cell>
          <cell r="J687" t="str">
            <v>NAV1 G A/T</v>
          </cell>
          <cell r="K687" t="str">
            <v>NAV1</v>
          </cell>
          <cell r="L687" t="str">
            <v>ZR70GA/TM</v>
          </cell>
          <cell r="M687" t="str">
            <v>NAV1</v>
          </cell>
          <cell r="N687" t="str">
            <v>NAV1</v>
          </cell>
          <cell r="O687" t="e">
            <v>#N/A</v>
          </cell>
          <cell r="P687" t="e">
            <v>#N/A</v>
          </cell>
          <cell r="Q687" t="e">
            <v>#N/A</v>
          </cell>
          <cell r="R687" t="e">
            <v>#N/A</v>
          </cell>
          <cell r="S687" t="str">
            <v>NAV1</v>
          </cell>
          <cell r="T687" t="e">
            <v>#N/A</v>
          </cell>
          <cell r="U687" t="str">
            <v>NAV1 G A/T</v>
          </cell>
        </row>
        <row r="688">
          <cell r="D688" t="e">
            <v>#N/A</v>
          </cell>
          <cell r="E688" t="str">
            <v>NAV1</v>
          </cell>
          <cell r="F688" t="str">
            <v>NAV1</v>
          </cell>
          <cell r="G688" t="str">
            <v>NAV1</v>
          </cell>
          <cell r="H688" t="str">
            <v>NAV1 V A/T</v>
          </cell>
          <cell r="I688" t="str">
            <v>NAV1 V A/T</v>
          </cell>
          <cell r="J688" t="str">
            <v>NAV1 V A/T</v>
          </cell>
          <cell r="K688" t="str">
            <v>NAV1</v>
          </cell>
          <cell r="L688" t="str">
            <v>ZR70VA/TLUXM</v>
          </cell>
          <cell r="M688" t="str">
            <v>NAV1</v>
          </cell>
          <cell r="N688" t="str">
            <v>NAV1</v>
          </cell>
          <cell r="O688" t="e">
            <v>#N/A</v>
          </cell>
          <cell r="P688" t="e">
            <v>#N/A</v>
          </cell>
          <cell r="Q688" t="e">
            <v>#N/A</v>
          </cell>
          <cell r="R688" t="e">
            <v>#N/A</v>
          </cell>
          <cell r="S688" t="str">
            <v>NAV1</v>
          </cell>
          <cell r="T688" t="e">
            <v>#N/A</v>
          </cell>
          <cell r="U688" t="str">
            <v>NAV1 V A/T</v>
          </cell>
        </row>
        <row r="689">
          <cell r="D689" t="e">
            <v>#N/A</v>
          </cell>
          <cell r="E689" t="str">
            <v>NAV1</v>
          </cell>
          <cell r="F689" t="str">
            <v>NAV1</v>
          </cell>
          <cell r="G689" t="str">
            <v>NAV1</v>
          </cell>
          <cell r="H689" t="str">
            <v>NAV1 V A/T</v>
          </cell>
          <cell r="I689" t="str">
            <v>NAV1 V A/T</v>
          </cell>
          <cell r="J689" t="str">
            <v>NAV1 V A/T</v>
          </cell>
          <cell r="K689" t="str">
            <v>NAV1</v>
          </cell>
          <cell r="L689" t="str">
            <v>ZR70VA/TM</v>
          </cell>
          <cell r="M689" t="str">
            <v>NAV1</v>
          </cell>
          <cell r="N689" t="str">
            <v>NAV1</v>
          </cell>
          <cell r="O689" t="e">
            <v>#N/A</v>
          </cell>
          <cell r="P689" t="e">
            <v>#N/A</v>
          </cell>
          <cell r="Q689" t="e">
            <v>#N/A</v>
          </cell>
          <cell r="R689" t="e">
            <v>#N/A</v>
          </cell>
          <cell r="S689" t="str">
            <v>NAV1</v>
          </cell>
          <cell r="T689" t="e">
            <v>#N/A</v>
          </cell>
          <cell r="U689" t="str">
            <v>NAV1 V A/T</v>
          </cell>
        </row>
        <row r="690">
          <cell r="D690" t="e">
            <v>#N/A</v>
          </cell>
          <cell r="E690" t="str">
            <v>NAV1</v>
          </cell>
          <cell r="F690" t="str">
            <v>NAV1</v>
          </cell>
          <cell r="G690" t="str">
            <v>NAV1</v>
          </cell>
          <cell r="H690" t="str">
            <v>NAV1 V A/T</v>
          </cell>
          <cell r="I690" t="str">
            <v>NAV1 V A/T</v>
          </cell>
          <cell r="J690" t="str">
            <v>NAV1 V A/T</v>
          </cell>
          <cell r="K690" t="str">
            <v>NAV1</v>
          </cell>
          <cell r="L690" t="str">
            <v>ZRR70VA/TLUX</v>
          </cell>
          <cell r="M690" t="str">
            <v>NAV1</v>
          </cell>
          <cell r="N690" t="str">
            <v>NAV1</v>
          </cell>
          <cell r="O690" t="e">
            <v>#N/A</v>
          </cell>
          <cell r="P690" t="e">
            <v>#N/A</v>
          </cell>
          <cell r="Q690" t="e">
            <v>#N/A</v>
          </cell>
          <cell r="R690" t="e">
            <v>#N/A</v>
          </cell>
          <cell r="S690" t="str">
            <v>NAV1</v>
          </cell>
          <cell r="T690" t="e">
            <v>#N/A</v>
          </cell>
          <cell r="U690" t="str">
            <v>NAV1 V A/T</v>
          </cell>
        </row>
        <row r="691">
          <cell r="D691" t="str">
            <v>ZRR70R-APXEPD-14</v>
          </cell>
          <cell r="E691" t="str">
            <v>NAV1</v>
          </cell>
          <cell r="F691" t="str">
            <v>NAV1</v>
          </cell>
          <cell r="G691" t="str">
            <v>NAV1</v>
          </cell>
          <cell r="H691" t="str">
            <v>NAV1 V A/T</v>
          </cell>
          <cell r="I691" t="str">
            <v>NAV1 V A/T</v>
          </cell>
          <cell r="J691" t="str">
            <v>NAV1 V A/T</v>
          </cell>
          <cell r="K691" t="str">
            <v>NAV1</v>
          </cell>
          <cell r="L691" t="str">
            <v>ZRR70VA/TLUXM</v>
          </cell>
          <cell r="M691" t="str">
            <v>NAV1</v>
          </cell>
          <cell r="N691" t="str">
            <v>NAV1</v>
          </cell>
          <cell r="O691" t="str">
            <v>ZRR70R-APXEPD-14</v>
          </cell>
          <cell r="P691" t="e">
            <v>#N/A</v>
          </cell>
          <cell r="Q691" t="e">
            <v>#N/A</v>
          </cell>
          <cell r="R691" t="str">
            <v>ZRR70R-APXEPD-14</v>
          </cell>
          <cell r="S691" t="str">
            <v>NAV1</v>
          </cell>
          <cell r="T691" t="e">
            <v>#N/A</v>
          </cell>
          <cell r="U691" t="str">
            <v>NAV1 V A/T</v>
          </cell>
        </row>
        <row r="692">
          <cell r="D692" t="e">
            <v>#N/A</v>
          </cell>
          <cell r="E692" t="str">
            <v>NAV1</v>
          </cell>
          <cell r="F692" t="str">
            <v>NAV1</v>
          </cell>
          <cell r="G692" t="str">
            <v>NAV1</v>
          </cell>
          <cell r="H692" t="str">
            <v>NAV1 V A/T</v>
          </cell>
          <cell r="I692" t="str">
            <v>NAV1 V A/T</v>
          </cell>
          <cell r="J692" t="str">
            <v>NAV1 V A/T</v>
          </cell>
          <cell r="K692" t="str">
            <v>NAV1</v>
          </cell>
          <cell r="L692" t="str">
            <v>ZRR70VA/TM</v>
          </cell>
          <cell r="M692" t="str">
            <v>NAV1</v>
          </cell>
          <cell r="N692" t="str">
            <v>NAV1</v>
          </cell>
          <cell r="O692" t="e">
            <v>#N/A</v>
          </cell>
          <cell r="P692" t="e">
            <v>#N/A</v>
          </cell>
          <cell r="Q692" t="e">
            <v>#N/A</v>
          </cell>
          <cell r="R692" t="e">
            <v>#N/A</v>
          </cell>
          <cell r="S692" t="str">
            <v>NAV1</v>
          </cell>
          <cell r="T692" t="e">
            <v>#N/A</v>
          </cell>
          <cell r="U692" t="str">
            <v>NAV1 V A/T</v>
          </cell>
        </row>
        <row r="693">
          <cell r="D693" t="str">
            <v>ZRR70R-APXEPD-18</v>
          </cell>
          <cell r="E693" t="str">
            <v>NAV1</v>
          </cell>
          <cell r="F693" t="str">
            <v>NAV1</v>
          </cell>
          <cell r="G693" t="str">
            <v>NAV1</v>
          </cell>
          <cell r="H693" t="str">
            <v>NAV1 V A/T</v>
          </cell>
          <cell r="I693" t="str">
            <v>NAV1 V A/T</v>
          </cell>
          <cell r="J693" t="str">
            <v>NAV1 V A/T</v>
          </cell>
          <cell r="K693" t="str">
            <v>NAV1</v>
          </cell>
          <cell r="L693" t="str">
            <v>ZRR70VA/T18M</v>
          </cell>
          <cell r="M693" t="str">
            <v>NAV1</v>
          </cell>
          <cell r="N693" t="str">
            <v>NAV1</v>
          </cell>
          <cell r="O693" t="str">
            <v>ZRR70R-APXEPD-18</v>
          </cell>
          <cell r="P693" t="e">
            <v>#N/A</v>
          </cell>
          <cell r="Q693" t="e">
            <v>#N/A</v>
          </cell>
          <cell r="R693" t="str">
            <v>ZRR70R-APXEPD-18</v>
          </cell>
          <cell r="S693" t="str">
            <v>NAV1</v>
          </cell>
          <cell r="T693" t="e">
            <v>#N/A</v>
          </cell>
          <cell r="U693" t="str">
            <v>NAV1 V A/T</v>
          </cell>
        </row>
        <row r="694">
          <cell r="D694" t="str">
            <v>ZRR70R-APXEPD-1A</v>
          </cell>
          <cell r="E694" t="str">
            <v>NAV1</v>
          </cell>
          <cell r="F694" t="str">
            <v>NAV1</v>
          </cell>
          <cell r="G694" t="str">
            <v>NAV1</v>
          </cell>
          <cell r="H694" t="str">
            <v>NAV1 V A/T WELL CAB</v>
          </cell>
          <cell r="I694" t="str">
            <v>NAV1 V A/T WELL CAB</v>
          </cell>
          <cell r="J694" t="str">
            <v>NAV1 V A/T WELL CAB</v>
          </cell>
          <cell r="K694" t="str">
            <v>NAV1</v>
          </cell>
          <cell r="L694" t="str">
            <v>ZRR70VA/T1AM</v>
          </cell>
          <cell r="M694" t="str">
            <v>NAV1</v>
          </cell>
          <cell r="N694" t="str">
            <v>NAV1</v>
          </cell>
          <cell r="O694" t="str">
            <v>ZRR70R-APXEPD-1A</v>
          </cell>
          <cell r="P694" t="e">
            <v>#N/A</v>
          </cell>
          <cell r="Q694" t="e">
            <v>#N/A</v>
          </cell>
          <cell r="R694" t="str">
            <v>ZRR70R-APXEPD-1A</v>
          </cell>
          <cell r="S694" t="str">
            <v>NAV1</v>
          </cell>
          <cell r="T694" t="e">
            <v>#N/A</v>
          </cell>
          <cell r="U694" t="str">
            <v>NAV1 V A/T WELL CAB</v>
          </cell>
        </row>
        <row r="695">
          <cell r="D695" t="e">
            <v>#N/A</v>
          </cell>
          <cell r="E695" t="str">
            <v>PICK UP</v>
          </cell>
          <cell r="F695" t="str">
            <v>PICK UP</v>
          </cell>
          <cell r="G695" t="str">
            <v>PICK UP</v>
          </cell>
          <cell r="H695" t="str">
            <v>PICK UP</v>
          </cell>
          <cell r="I695" t="str">
            <v>PICK UP</v>
          </cell>
          <cell r="J695" t="str">
            <v>PICK UP</v>
          </cell>
          <cell r="K695" t="str">
            <v>PICK UP</v>
          </cell>
          <cell r="L695" t="str">
            <v>KF60FD01S</v>
          </cell>
          <cell r="M695" t="str">
            <v>PICK UP</v>
          </cell>
          <cell r="N695" t="str">
            <v>PICK UP</v>
          </cell>
          <cell r="O695" t="e">
            <v>#N/A</v>
          </cell>
          <cell r="P695" t="e">
            <v>#N/A</v>
          </cell>
          <cell r="Q695" t="e">
            <v>#N/A</v>
          </cell>
          <cell r="R695" t="e">
            <v>#N/A</v>
          </cell>
          <cell r="S695" t="str">
            <v>PICK UP</v>
          </cell>
          <cell r="T695" t="e">
            <v>#N/A</v>
          </cell>
          <cell r="U695" t="str">
            <v>PICK UP</v>
          </cell>
        </row>
        <row r="696">
          <cell r="D696" t="e">
            <v>#N/A</v>
          </cell>
          <cell r="E696" t="str">
            <v>PICK UP</v>
          </cell>
          <cell r="F696" t="str">
            <v>PICK UP</v>
          </cell>
          <cell r="G696" t="str">
            <v>PICK UP</v>
          </cell>
          <cell r="H696" t="str">
            <v>PICK UP</v>
          </cell>
          <cell r="I696" t="str">
            <v>PICK UP</v>
          </cell>
          <cell r="J696" t="str">
            <v>PICK UP</v>
          </cell>
          <cell r="K696" t="str">
            <v>PICK UP</v>
          </cell>
          <cell r="L696" t="str">
            <v>KF60PU01S</v>
          </cell>
          <cell r="M696" t="str">
            <v>PICK UP</v>
          </cell>
          <cell r="N696" t="str">
            <v>PICK UP</v>
          </cell>
          <cell r="O696" t="e">
            <v>#N/A</v>
          </cell>
          <cell r="P696" t="e">
            <v>#N/A</v>
          </cell>
          <cell r="Q696" t="e">
            <v>#N/A</v>
          </cell>
          <cell r="R696" t="e">
            <v>#N/A</v>
          </cell>
          <cell r="S696" t="str">
            <v>PICK UP</v>
          </cell>
          <cell r="T696" t="e">
            <v>#N/A</v>
          </cell>
          <cell r="U696" t="str">
            <v>PICK UP</v>
          </cell>
        </row>
        <row r="697">
          <cell r="D697" t="e">
            <v>#N/A</v>
          </cell>
          <cell r="E697" t="str">
            <v>PRIUS</v>
          </cell>
          <cell r="F697" t="str">
            <v>PRIUS</v>
          </cell>
          <cell r="G697" t="str">
            <v>PRIUS</v>
          </cell>
          <cell r="H697" t="str">
            <v>PRIUS</v>
          </cell>
          <cell r="I697" t="str">
            <v>PRIUS</v>
          </cell>
          <cell r="J697" t="str">
            <v>PRIUS</v>
          </cell>
          <cell r="K697" t="str">
            <v>PRIUS</v>
          </cell>
          <cell r="L697" t="str">
            <v>ZV30A/TM</v>
          </cell>
          <cell r="M697" t="str">
            <v>PRIUS</v>
          </cell>
          <cell r="N697" t="str">
            <v>PRIUS</v>
          </cell>
          <cell r="O697" t="e">
            <v>#N/A</v>
          </cell>
          <cell r="P697" t="e">
            <v>#N/A</v>
          </cell>
          <cell r="Q697" t="e">
            <v>#N/A</v>
          </cell>
          <cell r="R697" t="e">
            <v>#N/A</v>
          </cell>
          <cell r="S697" t="str">
            <v>PRIUS</v>
          </cell>
          <cell r="T697" t="e">
            <v>#N/A</v>
          </cell>
          <cell r="U697" t="str">
            <v>PRIUS</v>
          </cell>
        </row>
        <row r="698">
          <cell r="D698" t="e">
            <v>#N/A</v>
          </cell>
          <cell r="E698" t="str">
            <v>RUSH</v>
          </cell>
          <cell r="F698" t="str">
            <v>RUSH</v>
          </cell>
          <cell r="G698" t="str">
            <v>RUSH</v>
          </cell>
          <cell r="H698" t="str">
            <v>RUSH G A/T</v>
          </cell>
          <cell r="I698" t="str">
            <v>RUSH G A/T</v>
          </cell>
          <cell r="J698" t="str">
            <v>RUSH G A/T</v>
          </cell>
          <cell r="K698" t="str">
            <v>RUSH</v>
          </cell>
          <cell r="L698" t="str">
            <v>F70GA/TM</v>
          </cell>
          <cell r="M698" t="str">
            <v>RUSH</v>
          </cell>
          <cell r="N698" t="str">
            <v>RUSH</v>
          </cell>
          <cell r="O698" t="e">
            <v>#N/A</v>
          </cell>
          <cell r="P698" t="e">
            <v>#N/A</v>
          </cell>
          <cell r="Q698" t="e">
            <v>#N/A</v>
          </cell>
          <cell r="R698" t="e">
            <v>#N/A</v>
          </cell>
          <cell r="S698" t="str">
            <v>RUSH</v>
          </cell>
          <cell r="T698" t="e">
            <v>#N/A</v>
          </cell>
          <cell r="U698" t="str">
            <v>RUSH G A/T</v>
          </cell>
        </row>
        <row r="699">
          <cell r="D699" t="e">
            <v>#N/A</v>
          </cell>
          <cell r="E699" t="str">
            <v>RUSH</v>
          </cell>
          <cell r="F699" t="str">
            <v>RUSH</v>
          </cell>
          <cell r="G699" t="str">
            <v>RUSH</v>
          </cell>
          <cell r="H699" t="str">
            <v>RUSH G A/T</v>
          </cell>
          <cell r="I699" t="str">
            <v>RUSH G A/T</v>
          </cell>
          <cell r="J699" t="str">
            <v>RUSH G A/T</v>
          </cell>
          <cell r="K699" t="str">
            <v>RUSH</v>
          </cell>
          <cell r="L699" t="str">
            <v>F70GA/T/10M</v>
          </cell>
          <cell r="M699" t="str">
            <v>RUSH</v>
          </cell>
          <cell r="N699" t="str">
            <v>RUSH</v>
          </cell>
          <cell r="O699" t="e">
            <v>#N/A</v>
          </cell>
          <cell r="P699" t="e">
            <v>#N/A</v>
          </cell>
          <cell r="Q699" t="e">
            <v>#N/A</v>
          </cell>
          <cell r="R699" t="e">
            <v>#N/A</v>
          </cell>
          <cell r="S699" t="str">
            <v>RUSH</v>
          </cell>
          <cell r="T699" t="e">
            <v>#N/A</v>
          </cell>
          <cell r="U699" t="str">
            <v>RUSH G A/T</v>
          </cell>
        </row>
        <row r="700">
          <cell r="D700" t="e">
            <v>#N/A</v>
          </cell>
          <cell r="E700" t="str">
            <v>RUSH</v>
          </cell>
          <cell r="F700" t="str">
            <v>RUSH</v>
          </cell>
          <cell r="G700" t="str">
            <v>RUSH</v>
          </cell>
          <cell r="H700" t="str">
            <v>RUSH G A/T</v>
          </cell>
          <cell r="I700" t="str">
            <v>RUSH G A/T</v>
          </cell>
          <cell r="J700" t="str">
            <v>RUSH G A/T</v>
          </cell>
          <cell r="K700" t="str">
            <v>RUSH</v>
          </cell>
          <cell r="L700" t="str">
            <v>F70GA/T10M</v>
          </cell>
          <cell r="M700" t="str">
            <v>RUSH</v>
          </cell>
          <cell r="N700" t="str">
            <v>RUSH</v>
          </cell>
          <cell r="O700" t="e">
            <v>#N/A</v>
          </cell>
          <cell r="P700" t="e">
            <v>#N/A</v>
          </cell>
          <cell r="Q700" t="e">
            <v>#N/A</v>
          </cell>
          <cell r="R700" t="e">
            <v>#N/A</v>
          </cell>
          <cell r="S700" t="str">
            <v>RUSH</v>
          </cell>
          <cell r="T700" t="e">
            <v>#N/A</v>
          </cell>
          <cell r="U700" t="str">
            <v>RUSH G A/T</v>
          </cell>
        </row>
        <row r="701">
          <cell r="D701" t="e">
            <v>#N/A</v>
          </cell>
          <cell r="E701" t="str">
            <v>RUSH</v>
          </cell>
          <cell r="F701" t="str">
            <v>RUSH</v>
          </cell>
          <cell r="G701" t="str">
            <v>RUSH</v>
          </cell>
          <cell r="H701" t="str">
            <v>RUSH G A/T</v>
          </cell>
          <cell r="I701" t="str">
            <v>RUSH G A/T</v>
          </cell>
          <cell r="J701" t="str">
            <v>RUSH G A/T</v>
          </cell>
          <cell r="K701" t="str">
            <v>RUSH</v>
          </cell>
          <cell r="L701" t="str">
            <v>F70GA/T20LTDM</v>
          </cell>
          <cell r="M701" t="str">
            <v>RUSH</v>
          </cell>
          <cell r="N701" t="str">
            <v>RUSH</v>
          </cell>
          <cell r="O701" t="e">
            <v>#N/A</v>
          </cell>
          <cell r="P701" t="e">
            <v>#N/A</v>
          </cell>
          <cell r="Q701" t="e">
            <v>#N/A</v>
          </cell>
          <cell r="R701" t="e">
            <v>#N/A</v>
          </cell>
          <cell r="S701" t="str">
            <v>RUSH</v>
          </cell>
          <cell r="T701" t="e">
            <v>#N/A</v>
          </cell>
          <cell r="U701" t="str">
            <v>RUSH G A/T</v>
          </cell>
        </row>
        <row r="702">
          <cell r="D702" t="e">
            <v>#N/A</v>
          </cell>
          <cell r="E702" t="str">
            <v>RUSH</v>
          </cell>
          <cell r="F702" t="str">
            <v>RUSH</v>
          </cell>
          <cell r="G702" t="str">
            <v>RUSH</v>
          </cell>
          <cell r="H702" t="str">
            <v>RUSH G A/T</v>
          </cell>
          <cell r="I702" t="str">
            <v>RUSH G A/T</v>
          </cell>
          <cell r="J702" t="str">
            <v>RUSH G A/T</v>
          </cell>
          <cell r="K702" t="str">
            <v>RUSH</v>
          </cell>
          <cell r="L702" t="str">
            <v>F70GA/T20M</v>
          </cell>
          <cell r="M702" t="str">
            <v>RUSH</v>
          </cell>
          <cell r="N702" t="str">
            <v>RUSH</v>
          </cell>
          <cell r="O702" t="e">
            <v>#N/A</v>
          </cell>
          <cell r="P702" t="e">
            <v>#N/A</v>
          </cell>
          <cell r="Q702" t="e">
            <v>#N/A</v>
          </cell>
          <cell r="R702" t="e">
            <v>#N/A</v>
          </cell>
          <cell r="S702" t="str">
            <v>RUSH</v>
          </cell>
          <cell r="T702" t="e">
            <v>#N/A</v>
          </cell>
          <cell r="U702" t="str">
            <v>RUSH G A/T</v>
          </cell>
        </row>
        <row r="703">
          <cell r="D703" t="e">
            <v>#N/A</v>
          </cell>
          <cell r="E703" t="str">
            <v>RUSH</v>
          </cell>
          <cell r="F703" t="str">
            <v>RUSH</v>
          </cell>
          <cell r="G703" t="str">
            <v>RUSH</v>
          </cell>
          <cell r="H703" t="str">
            <v>RUSH G A/T</v>
          </cell>
          <cell r="I703" t="str">
            <v>RUSH G A/T</v>
          </cell>
          <cell r="J703" t="str">
            <v>RUSH G A/T</v>
          </cell>
          <cell r="K703" t="str">
            <v>RUSH</v>
          </cell>
          <cell r="L703" t="str">
            <v>F70GA/T30LTDM</v>
          </cell>
          <cell r="M703" t="str">
            <v>RUSH</v>
          </cell>
          <cell r="N703" t="str">
            <v>RUSH</v>
          </cell>
          <cell r="O703" t="e">
            <v>#N/A</v>
          </cell>
          <cell r="P703" t="e">
            <v>#N/A</v>
          </cell>
          <cell r="Q703" t="e">
            <v>#N/A</v>
          </cell>
          <cell r="R703" t="e">
            <v>#N/A</v>
          </cell>
          <cell r="S703" t="str">
            <v>RUSH</v>
          </cell>
          <cell r="T703" t="e">
            <v>#N/A</v>
          </cell>
          <cell r="U703" t="str">
            <v>RUSH G A/T</v>
          </cell>
        </row>
        <row r="704">
          <cell r="D704" t="str">
            <v>F700RE-GQDFJ-30</v>
          </cell>
          <cell r="E704" t="str">
            <v>RUSH</v>
          </cell>
          <cell r="F704" t="str">
            <v>RUSH</v>
          </cell>
          <cell r="G704" t="str">
            <v>RUSH</v>
          </cell>
          <cell r="H704" t="str">
            <v>RUSH G A/T</v>
          </cell>
          <cell r="I704" t="str">
            <v>RUSH G A/T</v>
          </cell>
          <cell r="J704" t="str">
            <v>RUSH G A/T</v>
          </cell>
          <cell r="K704" t="str">
            <v>RUSH</v>
          </cell>
          <cell r="L704" t="str">
            <v>F70GA/T30M</v>
          </cell>
          <cell r="M704" t="str">
            <v>RUSH</v>
          </cell>
          <cell r="N704" t="str">
            <v>RUSH</v>
          </cell>
          <cell r="O704" t="str">
            <v>F700RE-GQDFJ-30</v>
          </cell>
          <cell r="P704" t="e">
            <v>#N/A</v>
          </cell>
          <cell r="Q704" t="e">
            <v>#N/A</v>
          </cell>
          <cell r="R704" t="str">
            <v>F700RE-GQDFJ-30</v>
          </cell>
          <cell r="S704" t="str">
            <v>RUSH</v>
          </cell>
          <cell r="T704" t="e">
            <v>#N/A</v>
          </cell>
          <cell r="U704" t="str">
            <v>RUSH G A/T</v>
          </cell>
        </row>
        <row r="705">
          <cell r="D705" t="str">
            <v>F700RE-GQDFJ-31</v>
          </cell>
          <cell r="E705" t="str">
            <v>RUSH</v>
          </cell>
          <cell r="F705" t="str">
            <v>RUSH</v>
          </cell>
          <cell r="G705" t="str">
            <v>RUSH</v>
          </cell>
          <cell r="H705" t="str">
            <v>RUSH G A/T</v>
          </cell>
          <cell r="I705" t="str">
            <v>RUSH G A/T</v>
          </cell>
          <cell r="J705" t="str">
            <v>RUSH G A/T</v>
          </cell>
          <cell r="K705" t="str">
            <v>RUSH</v>
          </cell>
          <cell r="L705" t="str">
            <v>F70GA/T31M</v>
          </cell>
          <cell r="M705" t="str">
            <v>RUSH</v>
          </cell>
          <cell r="N705" t="str">
            <v>RUSH</v>
          </cell>
          <cell r="O705" t="str">
            <v>F700RE-GQDFJ-31</v>
          </cell>
          <cell r="P705" t="e">
            <v>#N/A</v>
          </cell>
          <cell r="Q705" t="e">
            <v>#N/A</v>
          </cell>
          <cell r="R705" t="str">
            <v>F700RE-GQDFJ-31</v>
          </cell>
          <cell r="S705" t="str">
            <v>RUSH</v>
          </cell>
          <cell r="T705" t="e">
            <v>#N/A</v>
          </cell>
          <cell r="U705" t="str">
            <v>RUSH G A/T</v>
          </cell>
        </row>
        <row r="706">
          <cell r="D706" t="e">
            <v>#N/A</v>
          </cell>
          <cell r="E706" t="str">
            <v>RUSH</v>
          </cell>
          <cell r="F706" t="str">
            <v>RUSH</v>
          </cell>
          <cell r="G706" t="str">
            <v>RUSH</v>
          </cell>
          <cell r="H706" t="str">
            <v>RUSH G A/T</v>
          </cell>
          <cell r="I706" t="str">
            <v>RUSH G A/T</v>
          </cell>
          <cell r="J706" t="str">
            <v>RUSH G A/T</v>
          </cell>
          <cell r="K706" t="str">
            <v>RUSH</v>
          </cell>
          <cell r="L706" t="str">
            <v>F70GA/TLTD10M</v>
          </cell>
          <cell r="M706" t="str">
            <v>RUSH</v>
          </cell>
          <cell r="N706" t="str">
            <v>RUSH</v>
          </cell>
          <cell r="O706" t="e">
            <v>#N/A</v>
          </cell>
          <cell r="P706" t="e">
            <v>#N/A</v>
          </cell>
          <cell r="Q706" t="e">
            <v>#N/A</v>
          </cell>
          <cell r="R706" t="e">
            <v>#N/A</v>
          </cell>
          <cell r="S706" t="str">
            <v>RUSH</v>
          </cell>
          <cell r="T706" t="e">
            <v>#N/A</v>
          </cell>
          <cell r="U706" t="str">
            <v>RUSH G A/T</v>
          </cell>
        </row>
        <row r="707">
          <cell r="D707" t="e">
            <v>#N/A</v>
          </cell>
          <cell r="E707" t="str">
            <v>RUSH</v>
          </cell>
          <cell r="F707" t="str">
            <v>RUSH</v>
          </cell>
          <cell r="G707" t="str">
            <v>RUSH</v>
          </cell>
          <cell r="H707" t="str">
            <v>RUSH G A/T</v>
          </cell>
          <cell r="I707" t="str">
            <v>RUSH G A/T</v>
          </cell>
          <cell r="J707" t="str">
            <v>RUSH G A/T</v>
          </cell>
          <cell r="K707" t="str">
            <v>RUSH</v>
          </cell>
          <cell r="L707" t="str">
            <v>F70GA/T/11</v>
          </cell>
          <cell r="M707" t="str">
            <v>RUSH</v>
          </cell>
          <cell r="N707" t="str">
            <v>RUSH</v>
          </cell>
          <cell r="O707" t="e">
            <v>#N/A</v>
          </cell>
          <cell r="P707" t="e">
            <v>#N/A</v>
          </cell>
          <cell r="Q707" t="e">
            <v>#N/A</v>
          </cell>
          <cell r="R707" t="e">
            <v>#N/A</v>
          </cell>
          <cell r="S707" t="str">
            <v>RUSH</v>
          </cell>
          <cell r="T707" t="e">
            <v>#N/A</v>
          </cell>
          <cell r="U707" t="str">
            <v>RUSH G A/T</v>
          </cell>
        </row>
        <row r="708">
          <cell r="D708" t="e">
            <v>#N/A</v>
          </cell>
          <cell r="E708" t="str">
            <v>RUSH</v>
          </cell>
          <cell r="F708" t="str">
            <v>RUSH</v>
          </cell>
          <cell r="G708" t="str">
            <v>RUSH</v>
          </cell>
          <cell r="H708" t="str">
            <v>RUSH G A/T</v>
          </cell>
          <cell r="I708" t="str">
            <v>RUSH G A/T</v>
          </cell>
          <cell r="J708" t="str">
            <v>RUSH G A/T</v>
          </cell>
          <cell r="K708" t="str">
            <v>RUSH</v>
          </cell>
          <cell r="L708" t="str">
            <v>F70GA/TDU11</v>
          </cell>
          <cell r="M708" t="str">
            <v>RUSH</v>
          </cell>
          <cell r="N708" t="str">
            <v>RUSH</v>
          </cell>
          <cell r="O708" t="e">
            <v>#N/A</v>
          </cell>
          <cell r="P708" t="e">
            <v>#N/A</v>
          </cell>
          <cell r="Q708" t="e">
            <v>#N/A</v>
          </cell>
          <cell r="R708" t="e">
            <v>#N/A</v>
          </cell>
          <cell r="S708" t="str">
            <v>RUSH</v>
          </cell>
          <cell r="T708" t="e">
            <v>#N/A</v>
          </cell>
          <cell r="U708" t="str">
            <v>RUSH G A/T</v>
          </cell>
        </row>
        <row r="709">
          <cell r="D709" t="e">
            <v>#N/A</v>
          </cell>
          <cell r="E709" t="str">
            <v>RUSH</v>
          </cell>
          <cell r="F709" t="str">
            <v>RUSH</v>
          </cell>
          <cell r="G709" t="str">
            <v>RUSH</v>
          </cell>
          <cell r="H709" t="str">
            <v>RUSH G M/T</v>
          </cell>
          <cell r="I709" t="str">
            <v>RUSH G M/T</v>
          </cell>
          <cell r="J709" t="str">
            <v>RUSH G M/T</v>
          </cell>
          <cell r="K709" t="str">
            <v>RUSH</v>
          </cell>
          <cell r="L709" t="str">
            <v>F70GM/TM</v>
          </cell>
          <cell r="M709" t="str">
            <v>RUSH</v>
          </cell>
          <cell r="N709" t="str">
            <v>RUSH</v>
          </cell>
          <cell r="O709" t="e">
            <v>#N/A</v>
          </cell>
          <cell r="P709" t="e">
            <v>#N/A</v>
          </cell>
          <cell r="Q709" t="e">
            <v>#N/A</v>
          </cell>
          <cell r="R709" t="e">
            <v>#N/A</v>
          </cell>
          <cell r="S709" t="str">
            <v>RUSH</v>
          </cell>
          <cell r="T709" t="e">
            <v>#N/A</v>
          </cell>
          <cell r="U709" t="str">
            <v>RUSH G M/T</v>
          </cell>
        </row>
        <row r="710">
          <cell r="D710" t="e">
            <v>#N/A</v>
          </cell>
          <cell r="E710" t="str">
            <v>RUSH</v>
          </cell>
          <cell r="F710" t="str">
            <v>RUSH</v>
          </cell>
          <cell r="G710" t="str">
            <v>RUSH</v>
          </cell>
          <cell r="H710" t="str">
            <v>RUSH G M/T</v>
          </cell>
          <cell r="I710" t="str">
            <v>RUSH G M/T</v>
          </cell>
          <cell r="J710" t="str">
            <v>RUSH G M/T</v>
          </cell>
          <cell r="K710" t="str">
            <v>RUSH</v>
          </cell>
          <cell r="L710" t="str">
            <v>F70GM/T/01M</v>
          </cell>
          <cell r="M710" t="str">
            <v>RUSH</v>
          </cell>
          <cell r="N710" t="str">
            <v>RUSH</v>
          </cell>
          <cell r="O710" t="e">
            <v>#N/A</v>
          </cell>
          <cell r="P710" t="e">
            <v>#N/A</v>
          </cell>
          <cell r="Q710" t="e">
            <v>#N/A</v>
          </cell>
          <cell r="R710" t="e">
            <v>#N/A</v>
          </cell>
          <cell r="S710" t="str">
            <v>RUSH</v>
          </cell>
          <cell r="T710" t="e">
            <v>#N/A</v>
          </cell>
          <cell r="U710" t="str">
            <v>RUSH G M/T</v>
          </cell>
        </row>
        <row r="711">
          <cell r="D711" t="e">
            <v>#N/A</v>
          </cell>
          <cell r="E711" t="str">
            <v>RUSH</v>
          </cell>
          <cell r="F711" t="str">
            <v>RUSH</v>
          </cell>
          <cell r="G711" t="str">
            <v>RUSH</v>
          </cell>
          <cell r="H711" t="str">
            <v>RUSH G M/T</v>
          </cell>
          <cell r="I711" t="str">
            <v>RUSH G M/T</v>
          </cell>
          <cell r="J711" t="str">
            <v>RUSH G M/T</v>
          </cell>
          <cell r="K711" t="str">
            <v>RUSH</v>
          </cell>
          <cell r="L711" t="str">
            <v>F70GM/T/10M</v>
          </cell>
          <cell r="M711" t="str">
            <v>RUSH</v>
          </cell>
          <cell r="N711" t="str">
            <v>RUSH</v>
          </cell>
          <cell r="O711" t="e">
            <v>#N/A</v>
          </cell>
          <cell r="P711" t="e">
            <v>#N/A</v>
          </cell>
          <cell r="Q711" t="e">
            <v>#N/A</v>
          </cell>
          <cell r="R711" t="e">
            <v>#N/A</v>
          </cell>
          <cell r="S711" t="str">
            <v>RUSH</v>
          </cell>
          <cell r="T711" t="e">
            <v>#N/A</v>
          </cell>
          <cell r="U711" t="str">
            <v>RUSH G M/T</v>
          </cell>
        </row>
        <row r="712">
          <cell r="D712" t="e">
            <v>#N/A</v>
          </cell>
          <cell r="E712" t="str">
            <v>RUSH</v>
          </cell>
          <cell r="F712" t="str">
            <v>RUSH</v>
          </cell>
          <cell r="G712" t="str">
            <v>RUSH</v>
          </cell>
          <cell r="H712" t="str">
            <v>RUSH G M/T</v>
          </cell>
          <cell r="I712" t="str">
            <v>RUSH G M/T</v>
          </cell>
          <cell r="J712" t="str">
            <v>RUSH G M/T</v>
          </cell>
          <cell r="K712" t="str">
            <v>RUSH</v>
          </cell>
          <cell r="L712" t="str">
            <v>F70GM/T/01M</v>
          </cell>
          <cell r="M712" t="str">
            <v>RUSH</v>
          </cell>
          <cell r="N712" t="str">
            <v>RUSH</v>
          </cell>
          <cell r="O712" t="e">
            <v>#N/A</v>
          </cell>
          <cell r="P712" t="e">
            <v>#N/A</v>
          </cell>
          <cell r="Q712" t="e">
            <v>#N/A</v>
          </cell>
          <cell r="R712" t="e">
            <v>#N/A</v>
          </cell>
          <cell r="S712" t="str">
            <v>RUSH</v>
          </cell>
          <cell r="T712" t="e">
            <v>#N/A</v>
          </cell>
          <cell r="U712" t="str">
            <v>RUSH G M/T</v>
          </cell>
        </row>
        <row r="713">
          <cell r="D713" t="e">
            <v>#N/A</v>
          </cell>
          <cell r="E713" t="str">
            <v>RUSH</v>
          </cell>
          <cell r="F713" t="str">
            <v>RUSH</v>
          </cell>
          <cell r="G713" t="str">
            <v>RUSH</v>
          </cell>
          <cell r="H713" t="str">
            <v>RUSH G M/T</v>
          </cell>
          <cell r="I713" t="str">
            <v>RUSH G M/T</v>
          </cell>
          <cell r="J713" t="str">
            <v>RUSH G M/T</v>
          </cell>
          <cell r="K713" t="str">
            <v>RUSH</v>
          </cell>
          <cell r="L713" t="str">
            <v>F70GM/T01M</v>
          </cell>
          <cell r="M713" t="str">
            <v>RUSH</v>
          </cell>
          <cell r="N713" t="str">
            <v>RUSH</v>
          </cell>
          <cell r="O713" t="e">
            <v>#N/A</v>
          </cell>
          <cell r="P713" t="e">
            <v>#N/A</v>
          </cell>
          <cell r="Q713" t="e">
            <v>#N/A</v>
          </cell>
          <cell r="R713" t="e">
            <v>#N/A</v>
          </cell>
          <cell r="S713" t="str">
            <v>RUSH</v>
          </cell>
          <cell r="T713" t="e">
            <v>#N/A</v>
          </cell>
          <cell r="U713" t="str">
            <v>RUSH G M/T</v>
          </cell>
        </row>
        <row r="714">
          <cell r="D714" t="e">
            <v>#N/A</v>
          </cell>
          <cell r="E714" t="str">
            <v>RUSH</v>
          </cell>
          <cell r="F714" t="str">
            <v>RUSH</v>
          </cell>
          <cell r="G714" t="str">
            <v>RUSH</v>
          </cell>
          <cell r="H714" t="str">
            <v>RUSH G M/T</v>
          </cell>
          <cell r="I714" t="str">
            <v>RUSH G M/T</v>
          </cell>
          <cell r="J714" t="str">
            <v>RUSH G M/T</v>
          </cell>
          <cell r="K714" t="str">
            <v>RUSH</v>
          </cell>
          <cell r="L714" t="str">
            <v>F70GM/T10M</v>
          </cell>
          <cell r="M714" t="str">
            <v>RUSH</v>
          </cell>
          <cell r="N714" t="str">
            <v>RUSH</v>
          </cell>
          <cell r="O714" t="e">
            <v>#N/A</v>
          </cell>
          <cell r="P714" t="e">
            <v>#N/A</v>
          </cell>
          <cell r="Q714" t="e">
            <v>#N/A</v>
          </cell>
          <cell r="R714" t="e">
            <v>#N/A</v>
          </cell>
          <cell r="S714" t="str">
            <v>RUSH</v>
          </cell>
          <cell r="T714" t="e">
            <v>#N/A</v>
          </cell>
          <cell r="U714" t="str">
            <v>RUSH G M/T</v>
          </cell>
        </row>
        <row r="715">
          <cell r="D715" t="e">
            <v>#N/A</v>
          </cell>
          <cell r="E715" t="str">
            <v>RUSH</v>
          </cell>
          <cell r="F715" t="str">
            <v>RUSH</v>
          </cell>
          <cell r="G715" t="str">
            <v>RUSH</v>
          </cell>
          <cell r="H715" t="str">
            <v>RUSH G M/T</v>
          </cell>
          <cell r="I715" t="str">
            <v>RUSH G M/T</v>
          </cell>
          <cell r="J715" t="str">
            <v>RUSH G M/T</v>
          </cell>
          <cell r="K715" t="str">
            <v>RUSH</v>
          </cell>
          <cell r="L715" t="str">
            <v>F70GM/T20LTDM</v>
          </cell>
          <cell r="M715" t="str">
            <v>RUSH</v>
          </cell>
          <cell r="N715" t="str">
            <v>RUSH</v>
          </cell>
          <cell r="O715" t="e">
            <v>#N/A</v>
          </cell>
          <cell r="P715" t="e">
            <v>#N/A</v>
          </cell>
          <cell r="Q715" t="e">
            <v>#N/A</v>
          </cell>
          <cell r="R715" t="e">
            <v>#N/A</v>
          </cell>
          <cell r="S715" t="str">
            <v>RUSH</v>
          </cell>
          <cell r="T715" t="e">
            <v>#N/A</v>
          </cell>
          <cell r="U715" t="str">
            <v>RUSH G M/T</v>
          </cell>
        </row>
        <row r="716">
          <cell r="D716" t="e">
            <v>#N/A</v>
          </cell>
          <cell r="E716" t="str">
            <v>RUSH</v>
          </cell>
          <cell r="F716" t="str">
            <v>RUSH</v>
          </cell>
          <cell r="G716" t="str">
            <v>RUSH</v>
          </cell>
          <cell r="H716" t="str">
            <v>RUSH G M/T</v>
          </cell>
          <cell r="I716" t="str">
            <v>RUSH G M/T</v>
          </cell>
          <cell r="J716" t="str">
            <v>RUSH G M/T</v>
          </cell>
          <cell r="K716" t="str">
            <v>RUSH</v>
          </cell>
          <cell r="L716" t="str">
            <v>F70GM/T20M</v>
          </cell>
          <cell r="M716" t="str">
            <v>RUSH</v>
          </cell>
          <cell r="N716" t="str">
            <v>RUSH</v>
          </cell>
          <cell r="O716" t="e">
            <v>#N/A</v>
          </cell>
          <cell r="P716" t="e">
            <v>#N/A</v>
          </cell>
          <cell r="Q716" t="e">
            <v>#N/A</v>
          </cell>
          <cell r="R716" t="e">
            <v>#N/A</v>
          </cell>
          <cell r="S716" t="str">
            <v>RUSH</v>
          </cell>
          <cell r="T716" t="e">
            <v>#N/A</v>
          </cell>
          <cell r="U716" t="str">
            <v>RUSH G M/T</v>
          </cell>
        </row>
        <row r="717">
          <cell r="D717" t="e">
            <v>#N/A</v>
          </cell>
          <cell r="E717" t="str">
            <v>RUSH</v>
          </cell>
          <cell r="F717" t="str">
            <v>RUSH</v>
          </cell>
          <cell r="G717" t="str">
            <v>RUSH</v>
          </cell>
          <cell r="H717" t="str">
            <v>RUSH G M/T</v>
          </cell>
          <cell r="I717" t="str">
            <v>RUSH G M/T</v>
          </cell>
          <cell r="J717" t="str">
            <v>RUSH G M/T</v>
          </cell>
          <cell r="K717" t="str">
            <v>RUSH</v>
          </cell>
          <cell r="L717" t="str">
            <v>F70GM/T30LTDM</v>
          </cell>
          <cell r="M717" t="str">
            <v>RUSH</v>
          </cell>
          <cell r="N717" t="str">
            <v>RUSH</v>
          </cell>
          <cell r="O717" t="e">
            <v>#N/A</v>
          </cell>
          <cell r="P717" t="e">
            <v>#N/A</v>
          </cell>
          <cell r="Q717" t="e">
            <v>#N/A</v>
          </cell>
          <cell r="R717" t="e">
            <v>#N/A</v>
          </cell>
          <cell r="S717" t="str">
            <v>RUSH</v>
          </cell>
          <cell r="T717" t="e">
            <v>#N/A</v>
          </cell>
          <cell r="U717" t="str">
            <v>RUSH G M/T</v>
          </cell>
        </row>
        <row r="718">
          <cell r="D718" t="str">
            <v>F700RE-GMDFJ-30</v>
          </cell>
          <cell r="E718" t="str">
            <v>RUSH</v>
          </cell>
          <cell r="F718" t="str">
            <v>RUSH</v>
          </cell>
          <cell r="G718" t="str">
            <v>RUSH</v>
          </cell>
          <cell r="H718" t="str">
            <v>RUSH G M/T</v>
          </cell>
          <cell r="I718" t="str">
            <v>RUSH G M/T</v>
          </cell>
          <cell r="J718" t="str">
            <v>RUSH G M/T</v>
          </cell>
          <cell r="K718" t="str">
            <v>RUSH</v>
          </cell>
          <cell r="L718" t="str">
            <v>F70GM/T30M</v>
          </cell>
          <cell r="M718" t="str">
            <v>RUSH</v>
          </cell>
          <cell r="N718" t="str">
            <v>RUSH</v>
          </cell>
          <cell r="O718" t="str">
            <v>F700RE-GMDFJ-30</v>
          </cell>
          <cell r="P718" t="e">
            <v>#N/A</v>
          </cell>
          <cell r="Q718" t="e">
            <v>#N/A</v>
          </cell>
          <cell r="R718" t="str">
            <v>F700RE-GMDFJ-30</v>
          </cell>
          <cell r="S718" t="str">
            <v>RUSH</v>
          </cell>
          <cell r="T718" t="e">
            <v>#N/A</v>
          </cell>
          <cell r="U718" t="str">
            <v>RUSH G M/T</v>
          </cell>
        </row>
        <row r="719">
          <cell r="D719" t="str">
            <v>F700RE-GMDFJ-31</v>
          </cell>
          <cell r="E719" t="str">
            <v>RUSH</v>
          </cell>
          <cell r="F719" t="str">
            <v>RUSH</v>
          </cell>
          <cell r="G719" t="str">
            <v>RUSH</v>
          </cell>
          <cell r="H719" t="str">
            <v>RUSH G M/T</v>
          </cell>
          <cell r="I719" t="str">
            <v>RUSH G M/T</v>
          </cell>
          <cell r="J719" t="str">
            <v>RUSH G M/T</v>
          </cell>
          <cell r="K719" t="str">
            <v>RUSH</v>
          </cell>
          <cell r="L719" t="str">
            <v>F70GM/T31M</v>
          </cell>
          <cell r="M719" t="str">
            <v>RUSH</v>
          </cell>
          <cell r="N719" t="str">
            <v>RUSH</v>
          </cell>
          <cell r="O719" t="str">
            <v>F700RE-GMDFJ-31</v>
          </cell>
          <cell r="P719" t="e">
            <v>#N/A</v>
          </cell>
          <cell r="Q719" t="e">
            <v>#N/A</v>
          </cell>
          <cell r="R719" t="str">
            <v>F700RE-GMDFJ-31</v>
          </cell>
          <cell r="S719" t="str">
            <v>RUSH</v>
          </cell>
          <cell r="T719" t="e">
            <v>#N/A</v>
          </cell>
          <cell r="U719" t="str">
            <v>RUSH G M/T</v>
          </cell>
        </row>
        <row r="720">
          <cell r="D720" t="e">
            <v>#N/A</v>
          </cell>
          <cell r="E720" t="str">
            <v>RUSH</v>
          </cell>
          <cell r="F720" t="str">
            <v>RUSH</v>
          </cell>
          <cell r="G720" t="str">
            <v>RUSH</v>
          </cell>
          <cell r="H720" t="str">
            <v>RUSH G M/T</v>
          </cell>
          <cell r="I720" t="str">
            <v>RUSH G M/T</v>
          </cell>
          <cell r="J720" t="str">
            <v>RUSH G M/T</v>
          </cell>
          <cell r="K720" t="str">
            <v>RUSH</v>
          </cell>
          <cell r="L720" t="str">
            <v>F70GM/TLTD10M</v>
          </cell>
          <cell r="M720" t="str">
            <v>RUSH</v>
          </cell>
          <cell r="N720" t="str">
            <v>RUSH</v>
          </cell>
          <cell r="O720" t="e">
            <v>#N/A</v>
          </cell>
          <cell r="P720" t="e">
            <v>#N/A</v>
          </cell>
          <cell r="Q720" t="e">
            <v>#N/A</v>
          </cell>
          <cell r="R720" t="e">
            <v>#N/A</v>
          </cell>
          <cell r="S720" t="str">
            <v>RUSH</v>
          </cell>
          <cell r="T720" t="e">
            <v>#N/A</v>
          </cell>
          <cell r="U720" t="str">
            <v>RUSH G M/T</v>
          </cell>
        </row>
        <row r="721">
          <cell r="D721" t="e">
            <v>#N/A</v>
          </cell>
          <cell r="E721" t="str">
            <v>RUSH</v>
          </cell>
          <cell r="F721" t="str">
            <v>RUSH</v>
          </cell>
          <cell r="G721" t="str">
            <v>RUSH</v>
          </cell>
          <cell r="H721" t="str">
            <v>RUSH G M/T</v>
          </cell>
          <cell r="I721" t="str">
            <v>RUSH G M/T</v>
          </cell>
          <cell r="J721" t="str">
            <v>RUSH G M/T</v>
          </cell>
          <cell r="K721" t="str">
            <v>RUSH</v>
          </cell>
          <cell r="L721" t="str">
            <v>F70GM/T11</v>
          </cell>
          <cell r="M721" t="str">
            <v>RUSH</v>
          </cell>
          <cell r="N721" t="str">
            <v>RUSH</v>
          </cell>
          <cell r="O721" t="e">
            <v>#N/A</v>
          </cell>
          <cell r="P721" t="e">
            <v>#N/A</v>
          </cell>
          <cell r="Q721" t="e">
            <v>#N/A</v>
          </cell>
          <cell r="R721" t="e">
            <v>#N/A</v>
          </cell>
          <cell r="S721" t="str">
            <v>RUSH</v>
          </cell>
          <cell r="T721" t="e">
            <v>#N/A</v>
          </cell>
          <cell r="U721" t="str">
            <v>RUSH G M/T</v>
          </cell>
        </row>
        <row r="722">
          <cell r="D722" t="e">
            <v>#N/A</v>
          </cell>
          <cell r="E722" t="str">
            <v>RUSH</v>
          </cell>
          <cell r="F722" t="str">
            <v>RUSH</v>
          </cell>
          <cell r="G722" t="str">
            <v>RUSH</v>
          </cell>
          <cell r="H722" t="str">
            <v>RUSH G M/T</v>
          </cell>
          <cell r="I722" t="str">
            <v>RUSH G M/T</v>
          </cell>
          <cell r="J722" t="str">
            <v>RUSH G M/T</v>
          </cell>
          <cell r="K722" t="str">
            <v>RUSH</v>
          </cell>
          <cell r="L722" t="str">
            <v>F70GM/TDU11</v>
          </cell>
          <cell r="M722" t="str">
            <v>RUSH</v>
          </cell>
          <cell r="N722" t="str">
            <v>RUSH</v>
          </cell>
          <cell r="O722" t="e">
            <v>#N/A</v>
          </cell>
          <cell r="P722" t="e">
            <v>#N/A</v>
          </cell>
          <cell r="Q722" t="e">
            <v>#N/A</v>
          </cell>
          <cell r="R722" t="e">
            <v>#N/A</v>
          </cell>
          <cell r="S722" t="str">
            <v>RUSH</v>
          </cell>
          <cell r="T722" t="e">
            <v>#N/A</v>
          </cell>
          <cell r="U722" t="str">
            <v>RUSH G M/T</v>
          </cell>
        </row>
        <row r="723">
          <cell r="D723" t="e">
            <v>#N/A</v>
          </cell>
          <cell r="E723" t="str">
            <v>RUSH</v>
          </cell>
          <cell r="F723" t="str">
            <v>RUSH</v>
          </cell>
          <cell r="G723" t="str">
            <v>RUSH</v>
          </cell>
          <cell r="H723" t="str">
            <v>RUSH S A/T</v>
          </cell>
          <cell r="I723" t="str">
            <v>RUSH S A/T</v>
          </cell>
          <cell r="J723" t="str">
            <v>RUSH S A/T</v>
          </cell>
          <cell r="K723" t="str">
            <v>RUSH</v>
          </cell>
          <cell r="L723" t="str">
            <v>F70SA/T01M</v>
          </cell>
          <cell r="M723" t="str">
            <v>RUSH</v>
          </cell>
          <cell r="N723" t="str">
            <v>RUSH</v>
          </cell>
          <cell r="O723" t="e">
            <v>#N/A</v>
          </cell>
          <cell r="P723" t="e">
            <v>#N/A</v>
          </cell>
          <cell r="Q723" t="e">
            <v>#N/A</v>
          </cell>
          <cell r="R723" t="e">
            <v>#N/A</v>
          </cell>
          <cell r="S723" t="str">
            <v>RUSH</v>
          </cell>
          <cell r="T723" t="e">
            <v>#N/A</v>
          </cell>
          <cell r="U723" t="str">
            <v>RUSH S A/T</v>
          </cell>
        </row>
        <row r="724">
          <cell r="D724" t="e">
            <v>#N/A</v>
          </cell>
          <cell r="E724" t="str">
            <v>RUSH</v>
          </cell>
          <cell r="F724" t="str">
            <v>RUSH</v>
          </cell>
          <cell r="G724" t="str">
            <v>RUSH</v>
          </cell>
          <cell r="H724" t="str">
            <v>RUSH S A/T</v>
          </cell>
          <cell r="I724" t="str">
            <v>RUSH S A/T</v>
          </cell>
          <cell r="J724" t="str">
            <v>RUSH S A/T</v>
          </cell>
          <cell r="K724" t="str">
            <v>RUSH</v>
          </cell>
          <cell r="L724" t="str">
            <v>F70SA/T10M</v>
          </cell>
          <cell r="M724" t="str">
            <v>RUSH</v>
          </cell>
          <cell r="N724" t="str">
            <v>RUSH</v>
          </cell>
          <cell r="O724" t="e">
            <v>#N/A</v>
          </cell>
          <cell r="P724" t="e">
            <v>#N/A</v>
          </cell>
          <cell r="Q724" t="e">
            <v>#N/A</v>
          </cell>
          <cell r="R724" t="e">
            <v>#N/A</v>
          </cell>
          <cell r="S724" t="str">
            <v>RUSH</v>
          </cell>
          <cell r="T724" t="e">
            <v>#N/A</v>
          </cell>
          <cell r="U724" t="str">
            <v>RUSH S A/T</v>
          </cell>
        </row>
        <row r="725">
          <cell r="D725" t="e">
            <v>#N/A</v>
          </cell>
          <cell r="E725" t="str">
            <v>RUSH</v>
          </cell>
          <cell r="F725" t="str">
            <v>RUSH</v>
          </cell>
          <cell r="G725" t="str">
            <v>RUSH</v>
          </cell>
          <cell r="H725" t="str">
            <v>RUSH S A/T</v>
          </cell>
          <cell r="I725" t="str">
            <v>RUSH S A/T</v>
          </cell>
          <cell r="J725" t="str">
            <v>RUSH S A/T</v>
          </cell>
          <cell r="K725" t="str">
            <v>RUSH</v>
          </cell>
          <cell r="L725" t="str">
            <v>F70SA/TM</v>
          </cell>
          <cell r="M725" t="str">
            <v>RUSH</v>
          </cell>
          <cell r="N725" t="str">
            <v>RUSH</v>
          </cell>
          <cell r="O725" t="e">
            <v>#N/A</v>
          </cell>
          <cell r="P725" t="e">
            <v>#N/A</v>
          </cell>
          <cell r="Q725" t="e">
            <v>#N/A</v>
          </cell>
          <cell r="R725" t="e">
            <v>#N/A</v>
          </cell>
          <cell r="S725" t="str">
            <v>RUSH</v>
          </cell>
          <cell r="T725" t="e">
            <v>#N/A</v>
          </cell>
          <cell r="U725" t="str">
            <v>RUSH S A/T</v>
          </cell>
        </row>
        <row r="726">
          <cell r="D726" t="e">
            <v>#N/A</v>
          </cell>
          <cell r="E726" t="str">
            <v>RUSH</v>
          </cell>
          <cell r="F726" t="str">
            <v>RUSH</v>
          </cell>
          <cell r="G726" t="str">
            <v>RUSH</v>
          </cell>
          <cell r="H726" t="str">
            <v>RUSH S A/T</v>
          </cell>
          <cell r="I726" t="str">
            <v>RUSH S A/T</v>
          </cell>
          <cell r="J726" t="str">
            <v>RUSH S A/T</v>
          </cell>
          <cell r="K726" t="str">
            <v>RUSH</v>
          </cell>
          <cell r="L726" t="str">
            <v>F70SA/T20TRDDUM</v>
          </cell>
          <cell r="M726" t="str">
            <v>RUSH</v>
          </cell>
          <cell r="N726" t="str">
            <v>RUSH</v>
          </cell>
          <cell r="O726" t="e">
            <v>#N/A</v>
          </cell>
          <cell r="P726" t="e">
            <v>#N/A</v>
          </cell>
          <cell r="Q726" t="e">
            <v>#N/A</v>
          </cell>
          <cell r="R726" t="e">
            <v>#N/A</v>
          </cell>
          <cell r="S726" t="str">
            <v>RUSH</v>
          </cell>
          <cell r="T726" t="e">
            <v>#N/A</v>
          </cell>
          <cell r="U726" t="str">
            <v>RUSH S A/T</v>
          </cell>
        </row>
        <row r="727">
          <cell r="D727" t="e">
            <v>#N/A</v>
          </cell>
          <cell r="E727" t="str">
            <v>RUSH</v>
          </cell>
          <cell r="F727" t="str">
            <v>RUSH</v>
          </cell>
          <cell r="G727" t="str">
            <v>RUSH</v>
          </cell>
          <cell r="H727" t="str">
            <v>RUSH S A/T</v>
          </cell>
          <cell r="I727" t="str">
            <v>RUSH S A/T</v>
          </cell>
          <cell r="J727" t="str">
            <v>RUSH S A/T</v>
          </cell>
          <cell r="K727" t="str">
            <v>RUSH</v>
          </cell>
          <cell r="L727" t="str">
            <v>F70SA/T20TRDM</v>
          </cell>
          <cell r="M727" t="str">
            <v>RUSH</v>
          </cell>
          <cell r="N727" t="str">
            <v>RUSH</v>
          </cell>
          <cell r="O727" t="e">
            <v>#N/A</v>
          </cell>
          <cell r="P727" t="e">
            <v>#N/A</v>
          </cell>
          <cell r="Q727" t="e">
            <v>#N/A</v>
          </cell>
          <cell r="R727" t="e">
            <v>#N/A</v>
          </cell>
          <cell r="S727" t="str">
            <v>RUSH</v>
          </cell>
          <cell r="T727" t="e">
            <v>#N/A</v>
          </cell>
          <cell r="U727" t="str">
            <v>RUSH S A/T</v>
          </cell>
        </row>
        <row r="728">
          <cell r="D728" t="e">
            <v>#N/A</v>
          </cell>
          <cell r="E728" t="str">
            <v>RUSH</v>
          </cell>
          <cell r="F728" t="str">
            <v>RUSH</v>
          </cell>
          <cell r="G728" t="str">
            <v>RUSH</v>
          </cell>
          <cell r="H728" t="str">
            <v>RUSH S A/T</v>
          </cell>
          <cell r="I728" t="str">
            <v>RUSH S A/T</v>
          </cell>
          <cell r="J728" t="str">
            <v>RUSH S A/T</v>
          </cell>
          <cell r="K728" t="str">
            <v>RUSH</v>
          </cell>
          <cell r="L728" t="str">
            <v>F70SA/T20TRDUM</v>
          </cell>
          <cell r="M728" t="str">
            <v>RUSH</v>
          </cell>
          <cell r="N728" t="str">
            <v>RUSH</v>
          </cell>
          <cell r="O728" t="e">
            <v>#N/A</v>
          </cell>
          <cell r="P728" t="e">
            <v>#N/A</v>
          </cell>
          <cell r="Q728" t="e">
            <v>#N/A</v>
          </cell>
          <cell r="R728" t="e">
            <v>#N/A</v>
          </cell>
          <cell r="S728" t="str">
            <v>RUSH</v>
          </cell>
          <cell r="T728" t="e">
            <v>#N/A</v>
          </cell>
          <cell r="U728" t="str">
            <v>RUSH S A/T</v>
          </cell>
        </row>
        <row r="729">
          <cell r="D729" t="e">
            <v>#N/A</v>
          </cell>
          <cell r="E729" t="str">
            <v>RUSH</v>
          </cell>
          <cell r="F729" t="str">
            <v>RUSH</v>
          </cell>
          <cell r="G729" t="str">
            <v>RUSH</v>
          </cell>
          <cell r="H729" t="str">
            <v>RUSH S A/T</v>
          </cell>
          <cell r="I729" t="str">
            <v>RUSH S A/T</v>
          </cell>
          <cell r="J729" t="str">
            <v>RUSH S A/T</v>
          </cell>
          <cell r="K729" t="str">
            <v>RUSH</v>
          </cell>
          <cell r="L729" t="str">
            <v>F70SA/T20TRLTM</v>
          </cell>
          <cell r="M729" t="str">
            <v>RUSH</v>
          </cell>
          <cell r="N729" t="str">
            <v>RUSH</v>
          </cell>
          <cell r="O729" t="e">
            <v>#N/A</v>
          </cell>
          <cell r="P729" t="e">
            <v>#N/A</v>
          </cell>
          <cell r="Q729" t="e">
            <v>#N/A</v>
          </cell>
          <cell r="R729" t="e">
            <v>#N/A</v>
          </cell>
          <cell r="S729" t="str">
            <v>RUSH</v>
          </cell>
          <cell r="T729" t="e">
            <v>#N/A</v>
          </cell>
          <cell r="U729" t="str">
            <v>RUSH S A/T</v>
          </cell>
        </row>
        <row r="730">
          <cell r="D730" t="e">
            <v>#N/A</v>
          </cell>
          <cell r="E730" t="str">
            <v>RUSH</v>
          </cell>
          <cell r="F730" t="str">
            <v>RUSH</v>
          </cell>
          <cell r="G730" t="str">
            <v>RUSH</v>
          </cell>
          <cell r="H730" t="str">
            <v>RUSH S A/T</v>
          </cell>
          <cell r="I730" t="str">
            <v>RUSH S A/T</v>
          </cell>
          <cell r="J730" t="str">
            <v>RUSH S A/T</v>
          </cell>
          <cell r="K730" t="str">
            <v>RUSH</v>
          </cell>
          <cell r="L730" t="str">
            <v>F70SA/T30TRDDUM</v>
          </cell>
          <cell r="M730" t="str">
            <v>RUSH</v>
          </cell>
          <cell r="N730" t="str">
            <v>RUSH</v>
          </cell>
          <cell r="O730" t="e">
            <v>#N/A</v>
          </cell>
          <cell r="P730" t="e">
            <v>#N/A</v>
          </cell>
          <cell r="Q730" t="e">
            <v>#N/A</v>
          </cell>
          <cell r="R730" t="e">
            <v>#N/A</v>
          </cell>
          <cell r="S730" t="str">
            <v>RUSH</v>
          </cell>
          <cell r="T730" t="e">
            <v>#N/A</v>
          </cell>
          <cell r="U730" t="str">
            <v>RUSH S A/T</v>
          </cell>
        </row>
        <row r="731">
          <cell r="D731" t="str">
            <v>F700RE-GQMFJ-30</v>
          </cell>
          <cell r="E731" t="str">
            <v>RUSH</v>
          </cell>
          <cell r="F731" t="str">
            <v>RUSH</v>
          </cell>
          <cell r="G731" t="str">
            <v>RUSH</v>
          </cell>
          <cell r="H731" t="str">
            <v>RUSH S A/T</v>
          </cell>
          <cell r="I731" t="str">
            <v>RUSH S A/T</v>
          </cell>
          <cell r="J731" t="str">
            <v>RUSH S A/T</v>
          </cell>
          <cell r="K731" t="str">
            <v>RUSH</v>
          </cell>
          <cell r="L731" t="str">
            <v>F70SA/T30TRDM</v>
          </cell>
          <cell r="M731" t="str">
            <v>RUSH</v>
          </cell>
          <cell r="N731" t="str">
            <v>RUSH</v>
          </cell>
          <cell r="O731" t="str">
            <v>F700RE-GQMFJ-30</v>
          </cell>
          <cell r="P731" t="e">
            <v>#N/A</v>
          </cell>
          <cell r="Q731" t="e">
            <v>#N/A</v>
          </cell>
          <cell r="R731" t="str">
            <v>F700RE-GQMFJ-30</v>
          </cell>
          <cell r="S731" t="str">
            <v>RUSH</v>
          </cell>
          <cell r="T731" t="e">
            <v>#N/A</v>
          </cell>
          <cell r="U731" t="str">
            <v>RUSH S A/T</v>
          </cell>
        </row>
        <row r="732">
          <cell r="D732" t="e">
            <v>#N/A</v>
          </cell>
          <cell r="E732" t="str">
            <v>RUSH</v>
          </cell>
          <cell r="F732" t="str">
            <v>RUSH</v>
          </cell>
          <cell r="G732" t="str">
            <v>RUSH</v>
          </cell>
          <cell r="H732" t="str">
            <v>RUSH S A/T</v>
          </cell>
          <cell r="I732" t="str">
            <v>RUSH S A/T</v>
          </cell>
          <cell r="J732" t="str">
            <v>RUSH S A/T</v>
          </cell>
          <cell r="K732" t="str">
            <v>RUSH</v>
          </cell>
          <cell r="L732" t="str">
            <v>F70SA/T30TRDUM</v>
          </cell>
          <cell r="M732" t="str">
            <v>RUSH</v>
          </cell>
          <cell r="N732" t="str">
            <v>RUSH</v>
          </cell>
          <cell r="O732" t="e">
            <v>#N/A</v>
          </cell>
          <cell r="P732" t="e">
            <v>#N/A</v>
          </cell>
          <cell r="Q732" t="e">
            <v>#N/A</v>
          </cell>
          <cell r="R732" t="e">
            <v>#N/A</v>
          </cell>
          <cell r="S732" t="str">
            <v>RUSH</v>
          </cell>
          <cell r="T732" t="e">
            <v>#N/A</v>
          </cell>
          <cell r="U732" t="str">
            <v>RUSH S A/T</v>
          </cell>
        </row>
        <row r="733">
          <cell r="D733" t="e">
            <v>#N/A</v>
          </cell>
          <cell r="E733" t="str">
            <v>RUSH</v>
          </cell>
          <cell r="F733" t="str">
            <v>RUSH</v>
          </cell>
          <cell r="G733" t="str">
            <v>RUSH</v>
          </cell>
          <cell r="H733" t="str">
            <v>RUSH S A/T</v>
          </cell>
          <cell r="I733" t="str">
            <v>RUSH S A/T</v>
          </cell>
          <cell r="J733" t="str">
            <v>RUSH S A/T</v>
          </cell>
          <cell r="K733" t="str">
            <v>RUSH</v>
          </cell>
          <cell r="L733" t="str">
            <v>F70SA/T30TRLTM</v>
          </cell>
          <cell r="M733" t="str">
            <v>RUSH</v>
          </cell>
          <cell r="N733" t="str">
            <v>RUSH</v>
          </cell>
          <cell r="O733" t="e">
            <v>#N/A</v>
          </cell>
          <cell r="P733" t="e">
            <v>#N/A</v>
          </cell>
          <cell r="Q733" t="e">
            <v>#N/A</v>
          </cell>
          <cell r="R733" t="e">
            <v>#N/A</v>
          </cell>
          <cell r="S733" t="str">
            <v>RUSH</v>
          </cell>
          <cell r="T733" t="e">
            <v>#N/A</v>
          </cell>
          <cell r="U733" t="str">
            <v>RUSH S A/T</v>
          </cell>
        </row>
        <row r="734">
          <cell r="D734" t="e">
            <v>#N/A</v>
          </cell>
          <cell r="E734" t="str">
            <v>RUSH</v>
          </cell>
          <cell r="F734" t="str">
            <v>RUSH</v>
          </cell>
          <cell r="G734" t="str">
            <v>RUSH</v>
          </cell>
          <cell r="H734" t="str">
            <v>RUSH S A/T</v>
          </cell>
          <cell r="I734" t="str">
            <v>RUSH S A/T</v>
          </cell>
          <cell r="J734" t="str">
            <v>RUSH S A/T</v>
          </cell>
          <cell r="K734" t="str">
            <v>RUSH</v>
          </cell>
          <cell r="L734" t="str">
            <v>F70SA/TDU10M</v>
          </cell>
          <cell r="M734" t="str">
            <v>RUSH</v>
          </cell>
          <cell r="N734" t="str">
            <v>RUSH</v>
          </cell>
          <cell r="O734" t="e">
            <v>#N/A</v>
          </cell>
          <cell r="P734" t="e">
            <v>#N/A</v>
          </cell>
          <cell r="Q734" t="e">
            <v>#N/A</v>
          </cell>
          <cell r="R734" t="e">
            <v>#N/A</v>
          </cell>
          <cell r="S734" t="str">
            <v>RUSH</v>
          </cell>
          <cell r="T734" t="e">
            <v>#N/A</v>
          </cell>
          <cell r="U734" t="str">
            <v>RUSH S A/T</v>
          </cell>
        </row>
        <row r="735">
          <cell r="D735" t="e">
            <v>#N/A</v>
          </cell>
          <cell r="E735" t="str">
            <v>RUSH</v>
          </cell>
          <cell r="F735" t="str">
            <v>RUSH</v>
          </cell>
          <cell r="G735" t="str">
            <v>RUSH</v>
          </cell>
          <cell r="H735" t="str">
            <v>RUSH S A/T</v>
          </cell>
          <cell r="I735" t="str">
            <v>RUSH S A/T</v>
          </cell>
          <cell r="J735" t="str">
            <v>RUSH S A/T</v>
          </cell>
          <cell r="K735" t="str">
            <v>RUSH</v>
          </cell>
          <cell r="L735" t="str">
            <v>F70SA/TLTD10M</v>
          </cell>
          <cell r="M735" t="str">
            <v>RUSH</v>
          </cell>
          <cell r="N735" t="str">
            <v>RUSH</v>
          </cell>
          <cell r="O735" t="e">
            <v>#N/A</v>
          </cell>
          <cell r="P735" t="e">
            <v>#N/A</v>
          </cell>
          <cell r="Q735" t="e">
            <v>#N/A</v>
          </cell>
          <cell r="R735" t="e">
            <v>#N/A</v>
          </cell>
          <cell r="S735" t="str">
            <v>RUSH</v>
          </cell>
          <cell r="T735" t="e">
            <v>#N/A</v>
          </cell>
          <cell r="U735" t="str">
            <v>RUSH S A/T</v>
          </cell>
        </row>
        <row r="736">
          <cell r="D736" t="e">
            <v>#N/A</v>
          </cell>
          <cell r="E736" t="str">
            <v>RUSH</v>
          </cell>
          <cell r="F736" t="str">
            <v>RUSH</v>
          </cell>
          <cell r="G736" t="str">
            <v>RUSH</v>
          </cell>
          <cell r="H736" t="str">
            <v>RUSH S A/T</v>
          </cell>
          <cell r="I736" t="str">
            <v>RUSH S A/T</v>
          </cell>
          <cell r="J736" t="str">
            <v>RUSH S A/T</v>
          </cell>
          <cell r="K736" t="str">
            <v>RUSH</v>
          </cell>
          <cell r="L736" t="str">
            <v>F7SA/TTRLT31M</v>
          </cell>
          <cell r="M736" t="str">
            <v>RUSH</v>
          </cell>
          <cell r="N736" t="str">
            <v>RUSH</v>
          </cell>
          <cell r="O736" t="e">
            <v>#N/A</v>
          </cell>
          <cell r="P736" t="e">
            <v>#N/A</v>
          </cell>
          <cell r="Q736" t="e">
            <v>#N/A</v>
          </cell>
          <cell r="R736" t="e">
            <v>#N/A</v>
          </cell>
          <cell r="S736" t="str">
            <v>RUSH</v>
          </cell>
          <cell r="T736" t="e">
            <v>#N/A</v>
          </cell>
          <cell r="U736" t="str">
            <v>RUSH S A/T</v>
          </cell>
        </row>
        <row r="737">
          <cell r="D737" t="str">
            <v>F700RE-GQMFJ-40</v>
          </cell>
          <cell r="E737" t="str">
            <v>RUSH</v>
          </cell>
          <cell r="F737" t="str">
            <v>RUSH</v>
          </cell>
          <cell r="G737" t="str">
            <v>RUSH</v>
          </cell>
          <cell r="H737" t="str">
            <v>RUSH S A/T</v>
          </cell>
          <cell r="I737" t="str">
            <v>RUSH S A/T</v>
          </cell>
          <cell r="J737" t="str">
            <v>RUSH S A/T</v>
          </cell>
          <cell r="K737" t="str">
            <v>RUSH</v>
          </cell>
          <cell r="L737" t="str">
            <v>F7SA/TTRLT40M</v>
          </cell>
          <cell r="M737" t="str">
            <v>RUSH</v>
          </cell>
          <cell r="N737" t="str">
            <v>RUSH</v>
          </cell>
          <cell r="O737" t="str">
            <v>F700RE-GQMFJ-40</v>
          </cell>
          <cell r="P737" t="e">
            <v>#N/A</v>
          </cell>
          <cell r="Q737" t="e">
            <v>#N/A</v>
          </cell>
          <cell r="R737" t="str">
            <v>F700RE-GQMFJ-40</v>
          </cell>
          <cell r="S737" t="str">
            <v>RUSH</v>
          </cell>
          <cell r="T737" t="e">
            <v>#N/A</v>
          </cell>
          <cell r="U737" t="str">
            <v>RUSH S A/T</v>
          </cell>
        </row>
        <row r="738">
          <cell r="D738" t="str">
            <v>F700RE-GQMFJ-41</v>
          </cell>
          <cell r="E738" t="str">
            <v>RUSH</v>
          </cell>
          <cell r="F738" t="str">
            <v>RUSH</v>
          </cell>
          <cell r="G738" t="str">
            <v>RUSH</v>
          </cell>
          <cell r="H738" t="str">
            <v>RUSH S A/T</v>
          </cell>
          <cell r="I738" t="str">
            <v>RUSH S A/T</v>
          </cell>
          <cell r="J738" t="str">
            <v>RUSH S A/T</v>
          </cell>
          <cell r="K738" t="str">
            <v>RUSH</v>
          </cell>
          <cell r="L738" t="str">
            <v>F7SA/TTRLT41M</v>
          </cell>
          <cell r="M738" t="str">
            <v>RUSH</v>
          </cell>
          <cell r="N738" t="str">
            <v>RUSH</v>
          </cell>
          <cell r="O738" t="str">
            <v>F700RE-GQMFJ-41</v>
          </cell>
          <cell r="P738" t="e">
            <v>#N/A</v>
          </cell>
          <cell r="Q738" t="e">
            <v>#N/A</v>
          </cell>
          <cell r="R738" t="str">
            <v>F700RE-GQMFJ-41</v>
          </cell>
          <cell r="S738" t="str">
            <v>RUSH</v>
          </cell>
          <cell r="T738" t="e">
            <v>#N/A</v>
          </cell>
          <cell r="U738" t="str">
            <v>RUSH S A/T</v>
          </cell>
        </row>
        <row r="739">
          <cell r="D739" t="e">
            <v>#N/A</v>
          </cell>
          <cell r="E739" t="str">
            <v>RUSH</v>
          </cell>
          <cell r="F739" t="str">
            <v>RUSH</v>
          </cell>
          <cell r="G739" t="str">
            <v>RUSH</v>
          </cell>
          <cell r="H739" t="str">
            <v>RUSH S A/T</v>
          </cell>
          <cell r="I739" t="str">
            <v>RUSH S A/T</v>
          </cell>
          <cell r="J739" t="str">
            <v>RUSH S A/T</v>
          </cell>
          <cell r="K739" t="str">
            <v>RUSH</v>
          </cell>
          <cell r="L739" t="str">
            <v>F70SA/TDU10</v>
          </cell>
          <cell r="M739" t="str">
            <v>RUSH</v>
          </cell>
          <cell r="N739" t="str">
            <v>RUSH</v>
          </cell>
          <cell r="O739" t="e">
            <v>#N/A</v>
          </cell>
          <cell r="P739" t="e">
            <v>#N/A</v>
          </cell>
          <cell r="Q739" t="e">
            <v>#N/A</v>
          </cell>
          <cell r="R739" t="e">
            <v>#N/A</v>
          </cell>
          <cell r="S739" t="str">
            <v>RUSH</v>
          </cell>
          <cell r="T739" t="e">
            <v>#N/A</v>
          </cell>
          <cell r="U739" t="str">
            <v>RUSH S A/T</v>
          </cell>
        </row>
        <row r="740">
          <cell r="D740" t="e">
            <v>#N/A</v>
          </cell>
          <cell r="E740" t="str">
            <v>RUSH</v>
          </cell>
          <cell r="F740" t="str">
            <v>RUSH</v>
          </cell>
          <cell r="G740" t="str">
            <v>RUSH</v>
          </cell>
          <cell r="H740" t="str">
            <v>RUSH S M/T</v>
          </cell>
          <cell r="I740" t="str">
            <v>RUSH S M/T</v>
          </cell>
          <cell r="J740" t="str">
            <v>RUSH S M/T</v>
          </cell>
          <cell r="K740" t="str">
            <v>RUSH</v>
          </cell>
          <cell r="L740" t="str">
            <v>F70SM/T10M</v>
          </cell>
          <cell r="M740" t="str">
            <v>RUSH</v>
          </cell>
          <cell r="N740" t="str">
            <v>RUSH</v>
          </cell>
          <cell r="O740" t="e">
            <v>#N/A</v>
          </cell>
          <cell r="P740" t="e">
            <v>#N/A</v>
          </cell>
          <cell r="Q740" t="e">
            <v>#N/A</v>
          </cell>
          <cell r="R740" t="e">
            <v>#N/A</v>
          </cell>
          <cell r="S740" t="str">
            <v>RUSH</v>
          </cell>
          <cell r="T740" t="e">
            <v>#N/A</v>
          </cell>
          <cell r="U740" t="str">
            <v>RUSH S M/T</v>
          </cell>
        </row>
        <row r="741">
          <cell r="D741" t="e">
            <v>#N/A</v>
          </cell>
          <cell r="E741" t="str">
            <v>RUSH</v>
          </cell>
          <cell r="F741" t="str">
            <v>RUSH</v>
          </cell>
          <cell r="G741" t="str">
            <v>RUSH</v>
          </cell>
          <cell r="H741" t="str">
            <v>RUSH S M/T</v>
          </cell>
          <cell r="I741" t="str">
            <v>RUSH S M/T</v>
          </cell>
          <cell r="J741" t="str">
            <v>RUSH S M/T</v>
          </cell>
          <cell r="K741" t="str">
            <v>RUSH</v>
          </cell>
          <cell r="L741" t="str">
            <v>F70SM/TM</v>
          </cell>
          <cell r="M741" t="str">
            <v>RUSH</v>
          </cell>
          <cell r="N741" t="str">
            <v>RUSH</v>
          </cell>
          <cell r="O741" t="e">
            <v>#N/A</v>
          </cell>
          <cell r="P741" t="e">
            <v>#N/A</v>
          </cell>
          <cell r="Q741" t="e">
            <v>#N/A</v>
          </cell>
          <cell r="R741" t="e">
            <v>#N/A</v>
          </cell>
          <cell r="S741" t="str">
            <v>RUSH</v>
          </cell>
          <cell r="T741" t="e">
            <v>#N/A</v>
          </cell>
          <cell r="U741" t="str">
            <v>RUSH S M/T</v>
          </cell>
        </row>
        <row r="742">
          <cell r="D742" t="e">
            <v>#N/A</v>
          </cell>
          <cell r="E742" t="str">
            <v>RUSH</v>
          </cell>
          <cell r="F742" t="str">
            <v>RUSH</v>
          </cell>
          <cell r="G742" t="str">
            <v>RUSH</v>
          </cell>
          <cell r="H742" t="str">
            <v>RUSH S M/T</v>
          </cell>
          <cell r="I742" t="str">
            <v>RUSH S M/T</v>
          </cell>
          <cell r="J742" t="str">
            <v>RUSH S M/T</v>
          </cell>
          <cell r="K742" t="str">
            <v>RUSH</v>
          </cell>
          <cell r="L742" t="str">
            <v>F70SM/T01M</v>
          </cell>
          <cell r="M742" t="str">
            <v>RUSH</v>
          </cell>
          <cell r="N742" t="str">
            <v>RUSH</v>
          </cell>
          <cell r="O742" t="e">
            <v>#N/A</v>
          </cell>
          <cell r="P742" t="e">
            <v>#N/A</v>
          </cell>
          <cell r="Q742" t="e">
            <v>#N/A</v>
          </cell>
          <cell r="R742" t="e">
            <v>#N/A</v>
          </cell>
          <cell r="S742" t="str">
            <v>RUSH</v>
          </cell>
          <cell r="T742" t="e">
            <v>#N/A</v>
          </cell>
          <cell r="U742" t="str">
            <v>RUSH S M/T</v>
          </cell>
        </row>
        <row r="743">
          <cell r="D743" t="e">
            <v>#N/A</v>
          </cell>
          <cell r="E743" t="str">
            <v>RUSH</v>
          </cell>
          <cell r="F743" t="str">
            <v>RUSH</v>
          </cell>
          <cell r="G743" t="str">
            <v>RUSH</v>
          </cell>
          <cell r="H743" t="str">
            <v>RUSH S M/T</v>
          </cell>
          <cell r="I743" t="str">
            <v>RUSH S M/T</v>
          </cell>
          <cell r="J743" t="str">
            <v>RUSH S M/T</v>
          </cell>
          <cell r="K743" t="str">
            <v>RUSH</v>
          </cell>
          <cell r="L743" t="str">
            <v>F70SM/T20TRDDUM</v>
          </cell>
          <cell r="M743" t="str">
            <v>RUSH</v>
          </cell>
          <cell r="N743" t="str">
            <v>RUSH</v>
          </cell>
          <cell r="O743" t="e">
            <v>#N/A</v>
          </cell>
          <cell r="P743" t="e">
            <v>#N/A</v>
          </cell>
          <cell r="Q743" t="e">
            <v>#N/A</v>
          </cell>
          <cell r="R743" t="e">
            <v>#N/A</v>
          </cell>
          <cell r="S743" t="str">
            <v>RUSH</v>
          </cell>
          <cell r="T743" t="e">
            <v>#N/A</v>
          </cell>
          <cell r="U743" t="str">
            <v>RUSH S M/T</v>
          </cell>
        </row>
        <row r="744">
          <cell r="D744" t="e">
            <v>#N/A</v>
          </cell>
          <cell r="E744" t="str">
            <v>RUSH</v>
          </cell>
          <cell r="F744" t="str">
            <v>RUSH</v>
          </cell>
          <cell r="G744" t="str">
            <v>RUSH</v>
          </cell>
          <cell r="H744" t="str">
            <v>RUSH S M/T</v>
          </cell>
          <cell r="I744" t="str">
            <v>RUSH S M/T</v>
          </cell>
          <cell r="J744" t="str">
            <v>RUSH S M/T</v>
          </cell>
          <cell r="K744" t="str">
            <v>RUSH</v>
          </cell>
          <cell r="L744" t="str">
            <v>F70SM/T20TRDM</v>
          </cell>
          <cell r="M744" t="str">
            <v>RUSH</v>
          </cell>
          <cell r="N744" t="str">
            <v>RUSH</v>
          </cell>
          <cell r="O744" t="e">
            <v>#N/A</v>
          </cell>
          <cell r="P744" t="e">
            <v>#N/A</v>
          </cell>
          <cell r="Q744" t="e">
            <v>#N/A</v>
          </cell>
          <cell r="R744" t="e">
            <v>#N/A</v>
          </cell>
          <cell r="S744" t="str">
            <v>RUSH</v>
          </cell>
          <cell r="T744" t="e">
            <v>#N/A</v>
          </cell>
          <cell r="U744" t="str">
            <v>RUSH S M/T</v>
          </cell>
        </row>
        <row r="745">
          <cell r="D745" t="e">
            <v>#N/A</v>
          </cell>
          <cell r="E745" t="str">
            <v>RUSH</v>
          </cell>
          <cell r="F745" t="str">
            <v>RUSH</v>
          </cell>
          <cell r="G745" t="str">
            <v>RUSH</v>
          </cell>
          <cell r="H745" t="str">
            <v>RUSH S M/T</v>
          </cell>
          <cell r="I745" t="str">
            <v>RUSH S M/T</v>
          </cell>
          <cell r="J745" t="str">
            <v>RUSH S M/T</v>
          </cell>
          <cell r="K745" t="str">
            <v>RUSH</v>
          </cell>
          <cell r="L745" t="str">
            <v>F70SM/T20TRDUM</v>
          </cell>
          <cell r="M745" t="str">
            <v>RUSH</v>
          </cell>
          <cell r="N745" t="str">
            <v>RUSH</v>
          </cell>
          <cell r="O745" t="e">
            <v>#N/A</v>
          </cell>
          <cell r="P745" t="e">
            <v>#N/A</v>
          </cell>
          <cell r="Q745" t="e">
            <v>#N/A</v>
          </cell>
          <cell r="R745" t="e">
            <v>#N/A</v>
          </cell>
          <cell r="S745" t="str">
            <v>RUSH</v>
          </cell>
          <cell r="T745" t="e">
            <v>#N/A</v>
          </cell>
          <cell r="U745" t="str">
            <v>RUSH S M/T</v>
          </cell>
        </row>
        <row r="746">
          <cell r="D746" t="e">
            <v>#N/A</v>
          </cell>
          <cell r="E746" t="str">
            <v>RUSH</v>
          </cell>
          <cell r="F746" t="str">
            <v>RUSH</v>
          </cell>
          <cell r="G746" t="str">
            <v>RUSH</v>
          </cell>
          <cell r="H746" t="str">
            <v>RUSH S M/T</v>
          </cell>
          <cell r="I746" t="str">
            <v>RUSH S M/T</v>
          </cell>
          <cell r="J746" t="str">
            <v>RUSH S M/T</v>
          </cell>
          <cell r="K746" t="str">
            <v>RUSH</v>
          </cell>
          <cell r="L746" t="str">
            <v>F70SM/T20TRLTM</v>
          </cell>
          <cell r="M746" t="str">
            <v>RUSH</v>
          </cell>
          <cell r="N746" t="str">
            <v>RUSH</v>
          </cell>
          <cell r="O746" t="e">
            <v>#N/A</v>
          </cell>
          <cell r="P746" t="e">
            <v>#N/A</v>
          </cell>
          <cell r="Q746" t="e">
            <v>#N/A</v>
          </cell>
          <cell r="R746" t="e">
            <v>#N/A</v>
          </cell>
          <cell r="S746" t="str">
            <v>RUSH</v>
          </cell>
          <cell r="T746" t="e">
            <v>#N/A</v>
          </cell>
          <cell r="U746" t="str">
            <v>RUSH S M/T</v>
          </cell>
        </row>
        <row r="747">
          <cell r="D747" t="e">
            <v>#N/A</v>
          </cell>
          <cell r="E747" t="str">
            <v>RUSH</v>
          </cell>
          <cell r="F747" t="str">
            <v>RUSH</v>
          </cell>
          <cell r="G747" t="str">
            <v>RUSH</v>
          </cell>
          <cell r="H747" t="str">
            <v>RUSH S M/T</v>
          </cell>
          <cell r="I747" t="str">
            <v>RUSH S M/T</v>
          </cell>
          <cell r="J747" t="str">
            <v>RUSH S M/T</v>
          </cell>
          <cell r="K747" t="str">
            <v>RUSH</v>
          </cell>
          <cell r="L747" t="str">
            <v>F70SM/T30TRDDUM</v>
          </cell>
          <cell r="M747" t="str">
            <v>RUSH</v>
          </cell>
          <cell r="N747" t="str">
            <v>RUSH</v>
          </cell>
          <cell r="O747" t="e">
            <v>#N/A</v>
          </cell>
          <cell r="P747" t="e">
            <v>#N/A</v>
          </cell>
          <cell r="Q747" t="e">
            <v>#N/A</v>
          </cell>
          <cell r="R747" t="e">
            <v>#N/A</v>
          </cell>
          <cell r="S747" t="str">
            <v>RUSH</v>
          </cell>
          <cell r="T747" t="e">
            <v>#N/A</v>
          </cell>
          <cell r="U747" t="str">
            <v>RUSH S M/T</v>
          </cell>
        </row>
        <row r="748">
          <cell r="D748" t="str">
            <v>F700RE-GMMFJ-30</v>
          </cell>
          <cell r="E748" t="str">
            <v>RUSH</v>
          </cell>
          <cell r="F748" t="str">
            <v>RUSH</v>
          </cell>
          <cell r="G748" t="str">
            <v>RUSH</v>
          </cell>
          <cell r="H748" t="str">
            <v>RUSH S M/T</v>
          </cell>
          <cell r="I748" t="str">
            <v>RUSH S M/T</v>
          </cell>
          <cell r="J748" t="str">
            <v>RUSH S M/T</v>
          </cell>
          <cell r="K748" t="str">
            <v>RUSH</v>
          </cell>
          <cell r="L748" t="str">
            <v>F70SM/T30TRDM</v>
          </cell>
          <cell r="M748" t="str">
            <v>RUSH</v>
          </cell>
          <cell r="N748" t="str">
            <v>RUSH</v>
          </cell>
          <cell r="O748" t="str">
            <v>F700RE-GMMFJ-30</v>
          </cell>
          <cell r="P748" t="e">
            <v>#N/A</v>
          </cell>
          <cell r="Q748" t="e">
            <v>#N/A</v>
          </cell>
          <cell r="R748" t="str">
            <v>F700RE-GMMFJ-30</v>
          </cell>
          <cell r="S748" t="str">
            <v>RUSH</v>
          </cell>
          <cell r="T748" t="e">
            <v>#N/A</v>
          </cell>
          <cell r="U748" t="str">
            <v>RUSH S M/T</v>
          </cell>
        </row>
        <row r="749">
          <cell r="D749" t="e">
            <v>#N/A</v>
          </cell>
          <cell r="E749" t="str">
            <v>RUSH</v>
          </cell>
          <cell r="F749" t="str">
            <v>RUSH</v>
          </cell>
          <cell r="G749" t="str">
            <v>RUSH</v>
          </cell>
          <cell r="H749" t="str">
            <v>RUSH S M/T</v>
          </cell>
          <cell r="I749" t="str">
            <v>RUSH S M/T</v>
          </cell>
          <cell r="J749" t="str">
            <v>RUSH S M/T</v>
          </cell>
          <cell r="K749" t="str">
            <v>RUSH</v>
          </cell>
          <cell r="L749" t="str">
            <v>F70SM/T30TRDUM</v>
          </cell>
          <cell r="M749" t="str">
            <v>RUSH</v>
          </cell>
          <cell r="N749" t="str">
            <v>RUSH</v>
          </cell>
          <cell r="O749" t="e">
            <v>#N/A</v>
          </cell>
          <cell r="P749" t="e">
            <v>#N/A</v>
          </cell>
          <cell r="Q749" t="e">
            <v>#N/A</v>
          </cell>
          <cell r="R749" t="e">
            <v>#N/A</v>
          </cell>
          <cell r="S749" t="str">
            <v>RUSH</v>
          </cell>
          <cell r="T749" t="e">
            <v>#N/A</v>
          </cell>
          <cell r="U749" t="str">
            <v>RUSH S M/T</v>
          </cell>
        </row>
        <row r="750">
          <cell r="D750" t="e">
            <v>#N/A</v>
          </cell>
          <cell r="E750" t="str">
            <v>RUSH</v>
          </cell>
          <cell r="F750" t="str">
            <v>RUSH</v>
          </cell>
          <cell r="G750" t="str">
            <v>RUSH</v>
          </cell>
          <cell r="H750" t="str">
            <v>RUSH S M/T</v>
          </cell>
          <cell r="I750" t="str">
            <v>RUSH S M/T</v>
          </cell>
          <cell r="J750" t="str">
            <v>RUSH S M/T</v>
          </cell>
          <cell r="K750" t="str">
            <v>RUSH</v>
          </cell>
          <cell r="L750" t="str">
            <v>F70SM/T30TRLTM</v>
          </cell>
          <cell r="M750" t="str">
            <v>RUSH</v>
          </cell>
          <cell r="N750" t="str">
            <v>RUSH</v>
          </cell>
          <cell r="O750" t="e">
            <v>#N/A</v>
          </cell>
          <cell r="P750" t="e">
            <v>#N/A</v>
          </cell>
          <cell r="Q750" t="e">
            <v>#N/A</v>
          </cell>
          <cell r="R750" t="e">
            <v>#N/A</v>
          </cell>
          <cell r="S750" t="str">
            <v>RUSH</v>
          </cell>
          <cell r="T750" t="e">
            <v>#N/A</v>
          </cell>
          <cell r="U750" t="str">
            <v>RUSH S M/T</v>
          </cell>
        </row>
        <row r="751">
          <cell r="D751" t="e">
            <v>#N/A</v>
          </cell>
          <cell r="E751" t="str">
            <v>RUSH</v>
          </cell>
          <cell r="F751" t="str">
            <v>RUSH</v>
          </cell>
          <cell r="G751" t="str">
            <v>RUSH</v>
          </cell>
          <cell r="H751" t="str">
            <v>RUSH S M/T</v>
          </cell>
          <cell r="I751" t="str">
            <v>RUSH S M/T</v>
          </cell>
          <cell r="J751" t="str">
            <v>RUSH S M/T</v>
          </cell>
          <cell r="K751" t="str">
            <v>RUSH</v>
          </cell>
          <cell r="L751" t="str">
            <v>F70SM/TDU10M</v>
          </cell>
          <cell r="M751" t="str">
            <v>RUSH</v>
          </cell>
          <cell r="N751" t="str">
            <v>RUSH</v>
          </cell>
          <cell r="O751" t="e">
            <v>#N/A</v>
          </cell>
          <cell r="P751" t="e">
            <v>#N/A</v>
          </cell>
          <cell r="Q751" t="e">
            <v>#N/A</v>
          </cell>
          <cell r="R751" t="e">
            <v>#N/A</v>
          </cell>
          <cell r="S751" t="str">
            <v>RUSH</v>
          </cell>
          <cell r="T751" t="e">
            <v>#N/A</v>
          </cell>
          <cell r="U751" t="str">
            <v>RUSH S M/T</v>
          </cell>
        </row>
        <row r="752">
          <cell r="D752" t="e">
            <v>#N/A</v>
          </cell>
          <cell r="E752" t="str">
            <v>RUSH</v>
          </cell>
          <cell r="F752" t="str">
            <v>RUSH</v>
          </cell>
          <cell r="G752" t="str">
            <v>RUSH</v>
          </cell>
          <cell r="H752" t="str">
            <v>RUSH S M/T</v>
          </cell>
          <cell r="I752" t="str">
            <v>RUSH S M/T</v>
          </cell>
          <cell r="J752" t="str">
            <v>RUSH S M/T</v>
          </cell>
          <cell r="K752" t="str">
            <v>RUSH</v>
          </cell>
          <cell r="L752" t="str">
            <v>F70SM/TLTD10M</v>
          </cell>
          <cell r="M752" t="str">
            <v>RUSH</v>
          </cell>
          <cell r="N752" t="str">
            <v>RUSH</v>
          </cell>
          <cell r="O752" t="e">
            <v>#N/A</v>
          </cell>
          <cell r="P752" t="e">
            <v>#N/A</v>
          </cell>
          <cell r="Q752" t="e">
            <v>#N/A</v>
          </cell>
          <cell r="R752" t="e">
            <v>#N/A</v>
          </cell>
          <cell r="S752" t="str">
            <v>RUSH</v>
          </cell>
          <cell r="T752" t="e">
            <v>#N/A</v>
          </cell>
          <cell r="U752" t="str">
            <v>RUSH S M/T</v>
          </cell>
        </row>
        <row r="753">
          <cell r="D753" t="str">
            <v>F700RE-GMMFJ-40</v>
          </cell>
          <cell r="E753" t="str">
            <v>RUSH</v>
          </cell>
          <cell r="F753" t="str">
            <v>RUSH</v>
          </cell>
          <cell r="G753" t="str">
            <v>RUSH</v>
          </cell>
          <cell r="H753" t="str">
            <v>RUSH S M/T</v>
          </cell>
          <cell r="I753" t="str">
            <v>RUSH S M/T</v>
          </cell>
          <cell r="J753" t="str">
            <v>RUSH S M/T</v>
          </cell>
          <cell r="K753" t="str">
            <v>RUSH</v>
          </cell>
          <cell r="L753" t="str">
            <v>F70SM/TRLT40M</v>
          </cell>
          <cell r="M753" t="str">
            <v>RUSH</v>
          </cell>
          <cell r="N753" t="str">
            <v>RUSH</v>
          </cell>
          <cell r="O753" t="str">
            <v>F700RE-GMMFJ-40</v>
          </cell>
          <cell r="P753" t="e">
            <v>#N/A</v>
          </cell>
          <cell r="Q753" t="e">
            <v>#N/A</v>
          </cell>
          <cell r="R753" t="str">
            <v>F700RE-GMMFJ-40</v>
          </cell>
          <cell r="S753" t="str">
            <v>RUSH</v>
          </cell>
          <cell r="T753" t="e">
            <v>#N/A</v>
          </cell>
          <cell r="U753" t="str">
            <v>RUSH S M/T</v>
          </cell>
        </row>
        <row r="754">
          <cell r="D754" t="str">
            <v>F700RE-GMMFJ-41</v>
          </cell>
          <cell r="E754" t="str">
            <v>RUSH</v>
          </cell>
          <cell r="F754" t="str">
            <v>RUSH</v>
          </cell>
          <cell r="G754" t="str">
            <v>RUSH</v>
          </cell>
          <cell r="H754" t="str">
            <v>RUSH S M/T</v>
          </cell>
          <cell r="I754" t="str">
            <v>RUSH S M/T</v>
          </cell>
          <cell r="J754" t="str">
            <v>RUSH S M/T</v>
          </cell>
          <cell r="K754" t="str">
            <v>RUSH</v>
          </cell>
          <cell r="L754" t="str">
            <v>F70SM/TRLT41M</v>
          </cell>
          <cell r="M754" t="str">
            <v>RUSH</v>
          </cell>
          <cell r="N754" t="str">
            <v>RUSH</v>
          </cell>
          <cell r="O754" t="str">
            <v>F700RE-GMMFJ-41</v>
          </cell>
          <cell r="P754" t="e">
            <v>#N/A</v>
          </cell>
          <cell r="Q754" t="e">
            <v>#N/A</v>
          </cell>
          <cell r="R754" t="str">
            <v>F700RE-GMMFJ-41</v>
          </cell>
          <cell r="S754" t="str">
            <v>RUSH</v>
          </cell>
          <cell r="T754" t="e">
            <v>#N/A</v>
          </cell>
          <cell r="U754" t="str">
            <v>RUSH S M/T</v>
          </cell>
        </row>
        <row r="755">
          <cell r="D755" t="e">
            <v>#N/A</v>
          </cell>
          <cell r="E755" t="str">
            <v>RUSH</v>
          </cell>
          <cell r="F755" t="str">
            <v>RUSH</v>
          </cell>
          <cell r="G755" t="str">
            <v>RUSH</v>
          </cell>
          <cell r="H755" t="str">
            <v>RUSH S M/T</v>
          </cell>
          <cell r="I755" t="str">
            <v>RUSH S M/T</v>
          </cell>
          <cell r="J755" t="str">
            <v>RUSH S M/T</v>
          </cell>
          <cell r="K755" t="str">
            <v>RUSH</v>
          </cell>
          <cell r="L755" t="str">
            <v>F70SM/TTRLT31M</v>
          </cell>
          <cell r="M755" t="str">
            <v>RUSH</v>
          </cell>
          <cell r="N755" t="str">
            <v>RUSH</v>
          </cell>
          <cell r="O755" t="e">
            <v>#N/A</v>
          </cell>
          <cell r="P755" t="e">
            <v>#N/A</v>
          </cell>
          <cell r="Q755" t="e">
            <v>#N/A</v>
          </cell>
          <cell r="R755" t="e">
            <v>#N/A</v>
          </cell>
          <cell r="S755" t="str">
            <v>RUSH</v>
          </cell>
          <cell r="T755" t="e">
            <v>#N/A</v>
          </cell>
          <cell r="U755" t="str">
            <v>RUSH S M/T</v>
          </cell>
        </row>
        <row r="756">
          <cell r="D756" t="e">
            <v>#N/A</v>
          </cell>
          <cell r="E756" t="str">
            <v>RUSH</v>
          </cell>
          <cell r="F756" t="str">
            <v>RUSH</v>
          </cell>
          <cell r="G756" t="str">
            <v>RUSH</v>
          </cell>
          <cell r="H756" t="str">
            <v>RUSH S M/T</v>
          </cell>
          <cell r="I756" t="str">
            <v>RUSH S M/T</v>
          </cell>
          <cell r="J756" t="str">
            <v>RUSH S M/T</v>
          </cell>
          <cell r="K756" t="str">
            <v>RUSH</v>
          </cell>
          <cell r="L756" t="str">
            <v>F70SM/T/01M</v>
          </cell>
          <cell r="M756" t="str">
            <v>RUSH</v>
          </cell>
          <cell r="N756" t="str">
            <v>RUSH</v>
          </cell>
          <cell r="O756" t="e">
            <v>#N/A</v>
          </cell>
          <cell r="P756" t="e">
            <v>#N/A</v>
          </cell>
          <cell r="Q756" t="e">
            <v>#N/A</v>
          </cell>
          <cell r="R756" t="e">
            <v>#N/A</v>
          </cell>
          <cell r="S756" t="str">
            <v>RUSH</v>
          </cell>
          <cell r="T756" t="e">
            <v>#N/A</v>
          </cell>
          <cell r="U756" t="str">
            <v>RUSH S M/T</v>
          </cell>
        </row>
        <row r="757">
          <cell r="D757" t="e">
            <v>#N/A</v>
          </cell>
          <cell r="E757" t="str">
            <v>RUSH</v>
          </cell>
          <cell r="F757" t="str">
            <v>RUSH</v>
          </cell>
          <cell r="G757" t="str">
            <v>RUSH</v>
          </cell>
          <cell r="H757" t="str">
            <v>RUSH S M/T</v>
          </cell>
          <cell r="I757" t="str">
            <v>RUSH S M/T</v>
          </cell>
          <cell r="J757" t="str">
            <v>RUSH S M/T</v>
          </cell>
          <cell r="K757" t="str">
            <v>RUSH</v>
          </cell>
          <cell r="L757" t="str">
            <v>F70SM/TDU10</v>
          </cell>
          <cell r="M757" t="str">
            <v>RUSH</v>
          </cell>
          <cell r="N757" t="str">
            <v>RUSH</v>
          </cell>
          <cell r="O757" t="e">
            <v>#N/A</v>
          </cell>
          <cell r="P757" t="e">
            <v>#N/A</v>
          </cell>
          <cell r="Q757" t="e">
            <v>#N/A</v>
          </cell>
          <cell r="R757" t="e">
            <v>#N/A</v>
          </cell>
          <cell r="S757" t="str">
            <v>RUSH</v>
          </cell>
          <cell r="T757" t="e">
            <v>#N/A</v>
          </cell>
          <cell r="U757" t="str">
            <v>RUSH S M/T</v>
          </cell>
        </row>
        <row r="758">
          <cell r="D758" t="str">
            <v>NSP170R-MWYDKD-00</v>
          </cell>
          <cell r="E758" t="str">
            <v>SIENTA</v>
          </cell>
          <cell r="F758" t="str">
            <v>SIENTA</v>
          </cell>
          <cell r="G758" t="str">
            <v>SIENTA</v>
          </cell>
          <cell r="H758" t="str">
            <v>SIENTA E A/T</v>
          </cell>
          <cell r="I758" t="str">
            <v>SIENTA E A/T</v>
          </cell>
          <cell r="J758" t="str">
            <v>SIENTA E A/T</v>
          </cell>
          <cell r="K758" t="str">
            <v>SIENTA</v>
          </cell>
          <cell r="L758" t="str">
            <v>NP17EA/T00M</v>
          </cell>
          <cell r="M758" t="str">
            <v>SIENTA</v>
          </cell>
          <cell r="N758" t="str">
            <v>SIENTA</v>
          </cell>
          <cell r="O758" t="str">
            <v>NSP170R-MWYDKD-00</v>
          </cell>
          <cell r="P758" t="e">
            <v>#N/A</v>
          </cell>
          <cell r="Q758" t="e">
            <v>#N/A</v>
          </cell>
          <cell r="R758" t="str">
            <v>NSP170R-MWYDKD-00</v>
          </cell>
          <cell r="S758" t="str">
            <v>SIENTA</v>
          </cell>
          <cell r="T758" t="e">
            <v>#N/A</v>
          </cell>
          <cell r="U758" t="str">
            <v>SIENTA E A/T</v>
          </cell>
        </row>
        <row r="759">
          <cell r="D759" t="str">
            <v>NSP170R-MWYDKD-01</v>
          </cell>
          <cell r="E759" t="str">
            <v>SIENTA</v>
          </cell>
          <cell r="F759" t="str">
            <v>SIENTA</v>
          </cell>
          <cell r="G759" t="str">
            <v>SIENTA</v>
          </cell>
          <cell r="H759" t="str">
            <v>SIENTA E A/T</v>
          </cell>
          <cell r="I759" t="str">
            <v>SIENTA E A/T</v>
          </cell>
          <cell r="J759" t="str">
            <v>SIENTA E A/T</v>
          </cell>
          <cell r="K759" t="str">
            <v>SIENTA</v>
          </cell>
          <cell r="L759" t="str">
            <v>NP17EA/T01M</v>
          </cell>
          <cell r="M759" t="str">
            <v>SIENTA</v>
          </cell>
          <cell r="N759" t="str">
            <v>SIENTA</v>
          </cell>
          <cell r="O759" t="str">
            <v>NSP170R-MWYDKD-01</v>
          </cell>
          <cell r="P759" t="e">
            <v>#N/A</v>
          </cell>
          <cell r="Q759" t="e">
            <v>#N/A</v>
          </cell>
          <cell r="R759" t="str">
            <v>NSP170R-MWYDKD-01</v>
          </cell>
          <cell r="S759" t="str">
            <v>SIENTA</v>
          </cell>
          <cell r="T759" t="e">
            <v>#N/A</v>
          </cell>
          <cell r="U759" t="str">
            <v>SIENTA E A/T</v>
          </cell>
        </row>
        <row r="760">
          <cell r="D760" t="str">
            <v>NSP170R-MWFDKD-00</v>
          </cell>
          <cell r="E760" t="str">
            <v>SIENTA</v>
          </cell>
          <cell r="F760" t="str">
            <v>SIENTA</v>
          </cell>
          <cell r="G760" t="str">
            <v>SIENTA</v>
          </cell>
          <cell r="H760" t="str">
            <v>SIENTA E M/T</v>
          </cell>
          <cell r="I760" t="str">
            <v>SIENTA E M/T</v>
          </cell>
          <cell r="J760" t="str">
            <v>SIENTA E M/T</v>
          </cell>
          <cell r="K760" t="str">
            <v>SIENTA</v>
          </cell>
          <cell r="L760" t="str">
            <v>NP17EM/T00M</v>
          </cell>
          <cell r="M760" t="str">
            <v>SIENTA</v>
          </cell>
          <cell r="N760" t="str">
            <v>SIENTA</v>
          </cell>
          <cell r="O760" t="str">
            <v>NSP170R-MWFDKD-00</v>
          </cell>
          <cell r="P760" t="e">
            <v>#N/A</v>
          </cell>
          <cell r="Q760" t="e">
            <v>#N/A</v>
          </cell>
          <cell r="R760" t="str">
            <v>NSP170R-MWFDKD-00</v>
          </cell>
          <cell r="S760" t="str">
            <v>SIENTA</v>
          </cell>
          <cell r="T760" t="e">
            <v>#N/A</v>
          </cell>
          <cell r="U760" t="str">
            <v>SIENTA E M/T</v>
          </cell>
        </row>
        <row r="761">
          <cell r="D761" t="str">
            <v>NSP170R-MWFDKD-01</v>
          </cell>
          <cell r="E761" t="str">
            <v>SIENTA</v>
          </cell>
          <cell r="F761" t="str">
            <v>SIENTA</v>
          </cell>
          <cell r="G761" t="str">
            <v>SIENTA</v>
          </cell>
          <cell r="H761" t="str">
            <v>SIENTA E M/T</v>
          </cell>
          <cell r="I761" t="str">
            <v>SIENTA E M/T</v>
          </cell>
          <cell r="J761" t="str">
            <v>SIENTA E M/T</v>
          </cell>
          <cell r="K761" t="str">
            <v>SIENTA</v>
          </cell>
          <cell r="L761" t="str">
            <v>NP17EM/T01M</v>
          </cell>
          <cell r="M761" t="str">
            <v>SIENTA</v>
          </cell>
          <cell r="N761" t="str">
            <v>SIENTA</v>
          </cell>
          <cell r="O761" t="str">
            <v>NSP170R-MWFDKD-01</v>
          </cell>
          <cell r="P761" t="e">
            <v>#N/A</v>
          </cell>
          <cell r="Q761" t="e">
            <v>#N/A</v>
          </cell>
          <cell r="R761" t="str">
            <v>NSP170R-MWFDKD-01</v>
          </cell>
          <cell r="S761" t="str">
            <v>SIENTA</v>
          </cell>
          <cell r="T761" t="e">
            <v>#N/A</v>
          </cell>
          <cell r="U761" t="str">
            <v>SIENTA E M/T</v>
          </cell>
        </row>
        <row r="762">
          <cell r="D762" t="str">
            <v>NSP170R-MWYNKD-01</v>
          </cell>
          <cell r="E762" t="str">
            <v>SIENTA</v>
          </cell>
          <cell r="F762" t="str">
            <v>SIENTA</v>
          </cell>
          <cell r="G762" t="str">
            <v>SIENTA</v>
          </cell>
          <cell r="H762" t="str">
            <v>SIENTA G A/T</v>
          </cell>
          <cell r="I762" t="str">
            <v>SIENTA G A/T</v>
          </cell>
          <cell r="J762" t="str">
            <v>SIENTA G A/T</v>
          </cell>
          <cell r="K762" t="str">
            <v>SIENTA</v>
          </cell>
          <cell r="L762" t="str">
            <v>NP17GA/T01M</v>
          </cell>
          <cell r="M762" t="str">
            <v>SIENTA</v>
          </cell>
          <cell r="N762" t="str">
            <v>SIENTA</v>
          </cell>
          <cell r="O762" t="str">
            <v>NSP170R-MWYNKD-01</v>
          </cell>
          <cell r="P762" t="e">
            <v>#N/A</v>
          </cell>
          <cell r="Q762" t="e">
            <v>#N/A</v>
          </cell>
          <cell r="R762" t="str">
            <v>NSP170R-MWYNKD-01</v>
          </cell>
          <cell r="S762" t="str">
            <v>SIENTA</v>
          </cell>
          <cell r="T762" t="e">
            <v>#N/A</v>
          </cell>
          <cell r="U762" t="str">
            <v>SIENTA G A/T</v>
          </cell>
        </row>
        <row r="763">
          <cell r="D763" t="str">
            <v>NSP170R-MWYNKD-D0</v>
          </cell>
          <cell r="E763" t="str">
            <v>SIENTA</v>
          </cell>
          <cell r="F763" t="str">
            <v>SIENTA</v>
          </cell>
          <cell r="G763" t="str">
            <v>SIENTA</v>
          </cell>
          <cell r="H763" t="str">
            <v>SIENTA G A/T</v>
          </cell>
          <cell r="I763" t="str">
            <v>SIENTA G A/T</v>
          </cell>
          <cell r="J763" t="str">
            <v>SIENTA G A/T</v>
          </cell>
          <cell r="K763" t="str">
            <v>SIENTA</v>
          </cell>
          <cell r="L763" t="str">
            <v>NP17GA/TD0M</v>
          </cell>
          <cell r="M763" t="str">
            <v>SIENTA</v>
          </cell>
          <cell r="N763" t="str">
            <v>SIENTA</v>
          </cell>
          <cell r="O763" t="str">
            <v>NSP170R-MWYNKD-D0</v>
          </cell>
          <cell r="P763" t="e">
            <v>#N/A</v>
          </cell>
          <cell r="Q763" t="e">
            <v>#N/A</v>
          </cell>
          <cell r="R763" t="str">
            <v>NSP170R-MWYNKD-D0</v>
          </cell>
          <cell r="S763" t="str">
            <v>SIENTA</v>
          </cell>
          <cell r="T763" t="e">
            <v>#N/A</v>
          </cell>
          <cell r="U763" t="str">
            <v>SIENTA G A/T</v>
          </cell>
        </row>
        <row r="764">
          <cell r="D764" t="str">
            <v>NSP170R-MWFNKD-01</v>
          </cell>
          <cell r="E764" t="str">
            <v>SIENTA</v>
          </cell>
          <cell r="F764" t="str">
            <v>SIENTA</v>
          </cell>
          <cell r="G764" t="str">
            <v>SIENTA</v>
          </cell>
          <cell r="H764" t="str">
            <v>SIENTA G M/T</v>
          </cell>
          <cell r="I764" t="str">
            <v>SIENTA G M/T</v>
          </cell>
          <cell r="J764" t="str">
            <v>SIENTA G M/T</v>
          </cell>
          <cell r="K764" t="str">
            <v>SIENTA</v>
          </cell>
          <cell r="L764" t="str">
            <v>NP17GM/T01M</v>
          </cell>
          <cell r="M764" t="str">
            <v>SIENTA</v>
          </cell>
          <cell r="N764" t="str">
            <v>SIENTA</v>
          </cell>
          <cell r="O764" t="str">
            <v>NSP170R-MWFNKD-01</v>
          </cell>
          <cell r="P764" t="e">
            <v>#N/A</v>
          </cell>
          <cell r="Q764" t="e">
            <v>#N/A</v>
          </cell>
          <cell r="R764" t="str">
            <v>NSP170R-MWFNKD-01</v>
          </cell>
          <cell r="S764" t="str">
            <v>SIENTA</v>
          </cell>
          <cell r="T764" t="e">
            <v>#N/A</v>
          </cell>
          <cell r="U764" t="str">
            <v>SIENTA G M/T</v>
          </cell>
        </row>
        <row r="765">
          <cell r="D765" t="str">
            <v>NSP170R-MWFNKD-D0</v>
          </cell>
          <cell r="E765" t="str">
            <v>SIENTA</v>
          </cell>
          <cell r="F765" t="str">
            <v>SIENTA</v>
          </cell>
          <cell r="G765" t="str">
            <v>SIENTA</v>
          </cell>
          <cell r="H765" t="str">
            <v>SIENTA G M/T</v>
          </cell>
          <cell r="I765" t="str">
            <v>SIENTA G M/T</v>
          </cell>
          <cell r="J765" t="str">
            <v>SIENTA G M/T</v>
          </cell>
          <cell r="K765" t="str">
            <v>SIENTA</v>
          </cell>
          <cell r="L765" t="str">
            <v>NP17GM/TD0M</v>
          </cell>
          <cell r="M765" t="str">
            <v>SIENTA</v>
          </cell>
          <cell r="N765" t="str">
            <v>SIENTA</v>
          </cell>
          <cell r="O765" t="str">
            <v>NSP170R-MWFNKD-D0</v>
          </cell>
          <cell r="P765" t="e">
            <v>#N/A</v>
          </cell>
          <cell r="Q765" t="e">
            <v>#N/A</v>
          </cell>
          <cell r="R765" t="str">
            <v>NSP170R-MWFNKD-D0</v>
          </cell>
          <cell r="S765" t="str">
            <v>SIENTA</v>
          </cell>
          <cell r="T765" t="e">
            <v>#N/A</v>
          </cell>
          <cell r="U765" t="str">
            <v>SIENTA G M/T</v>
          </cell>
        </row>
        <row r="766">
          <cell r="D766" t="str">
            <v>NSP170R-MWYUKD-01</v>
          </cell>
          <cell r="E766" t="str">
            <v>SIENTA</v>
          </cell>
          <cell r="F766" t="str">
            <v>SIENTA</v>
          </cell>
          <cell r="G766" t="str">
            <v>SIENTA</v>
          </cell>
          <cell r="H766" t="str">
            <v>SIENTA Q A/T</v>
          </cell>
          <cell r="I766" t="str">
            <v>SIENTA Q A/T</v>
          </cell>
          <cell r="J766" t="str">
            <v>SIENTA Q A/T</v>
          </cell>
          <cell r="K766" t="str">
            <v>SIENTA</v>
          </cell>
          <cell r="L766" t="str">
            <v>NP17QA/T01M</v>
          </cell>
          <cell r="M766" t="str">
            <v>SIENTA</v>
          </cell>
          <cell r="N766" t="str">
            <v>SIENTA</v>
          </cell>
          <cell r="O766" t="str">
            <v>NSP170R-MWYUKD-01</v>
          </cell>
          <cell r="P766" t="e">
            <v>#N/A</v>
          </cell>
          <cell r="Q766" t="e">
            <v>#N/A</v>
          </cell>
          <cell r="R766" t="str">
            <v>NSP170R-MWYUKD-01</v>
          </cell>
          <cell r="S766" t="str">
            <v>SIENTA</v>
          </cell>
          <cell r="T766" t="e">
            <v>#N/A</v>
          </cell>
          <cell r="U766" t="str">
            <v>SIENTA Q A/T</v>
          </cell>
        </row>
        <row r="767">
          <cell r="D767" t="str">
            <v>NSP170R-MWYUKD-03</v>
          </cell>
          <cell r="E767" t="str">
            <v>SIENTA</v>
          </cell>
          <cell r="F767" t="str">
            <v>SIENTA</v>
          </cell>
          <cell r="G767" t="str">
            <v>SIENTA</v>
          </cell>
          <cell r="H767" t="str">
            <v>SIENTA Q A/T</v>
          </cell>
          <cell r="I767" t="str">
            <v>SIENTA Q A/T</v>
          </cell>
          <cell r="J767" t="str">
            <v>SIENTA Q A/T</v>
          </cell>
          <cell r="K767" t="str">
            <v>SIENTA</v>
          </cell>
          <cell r="L767" t="str">
            <v>NP17QA/T03M</v>
          </cell>
          <cell r="M767" t="str">
            <v>SIENTA</v>
          </cell>
          <cell r="N767" t="str">
            <v>SIENTA</v>
          </cell>
          <cell r="O767" t="str">
            <v>NSP170R-MWYUKD-03</v>
          </cell>
          <cell r="P767" t="e">
            <v>#N/A</v>
          </cell>
          <cell r="Q767" t="e">
            <v>#N/A</v>
          </cell>
          <cell r="R767" t="str">
            <v>NSP170R-MWYUKD-03</v>
          </cell>
          <cell r="S767" t="str">
            <v>SIENTA</v>
          </cell>
          <cell r="T767" t="e">
            <v>#N/A</v>
          </cell>
          <cell r="U767" t="str">
            <v>SIENTA Q A/T</v>
          </cell>
        </row>
        <row r="768">
          <cell r="D768" t="str">
            <v>NSP170R-MWYUKD-D2</v>
          </cell>
          <cell r="E768" t="str">
            <v>SIENTA</v>
          </cell>
          <cell r="F768" t="str">
            <v>SIENTA</v>
          </cell>
          <cell r="G768" t="str">
            <v>SIENTA</v>
          </cell>
          <cell r="H768" t="str">
            <v>SIENTA Q A/T</v>
          </cell>
          <cell r="I768" t="str">
            <v>SIENTA Q A/T</v>
          </cell>
          <cell r="J768" t="str">
            <v>SIENTA Q A/T</v>
          </cell>
          <cell r="K768" t="str">
            <v>SIENTA</v>
          </cell>
          <cell r="L768" t="str">
            <v>NP17QA/TD2M</v>
          </cell>
          <cell r="M768" t="str">
            <v>SIENTA</v>
          </cell>
          <cell r="N768" t="str">
            <v>SIENTA</v>
          </cell>
          <cell r="O768" t="str">
            <v>NSP170R-MWYUKD-D2</v>
          </cell>
          <cell r="P768" t="e">
            <v>#N/A</v>
          </cell>
          <cell r="Q768" t="e">
            <v>#N/A</v>
          </cell>
          <cell r="R768" t="str">
            <v>NSP170R-MWYUKD-D2</v>
          </cell>
          <cell r="S768" t="str">
            <v>SIENTA</v>
          </cell>
          <cell r="T768" t="e">
            <v>#N/A</v>
          </cell>
          <cell r="U768" t="str">
            <v>SIENTA Q A/T</v>
          </cell>
        </row>
        <row r="769">
          <cell r="D769" t="str">
            <v>NSP170R-MWYUKD-04</v>
          </cell>
          <cell r="E769" t="str">
            <v>SIENTA</v>
          </cell>
          <cell r="F769" t="str">
            <v>SIENTA</v>
          </cell>
          <cell r="G769" t="str">
            <v>SIENTA</v>
          </cell>
          <cell r="H769" t="str">
            <v>SIENTA Q A/T</v>
          </cell>
          <cell r="I769" t="str">
            <v>SIENTA Q A/T</v>
          </cell>
          <cell r="J769" t="str">
            <v>SIENTA Q A/T</v>
          </cell>
          <cell r="K769" t="str">
            <v>SIENTA</v>
          </cell>
          <cell r="L769" t="str">
            <v>NP17QA/T04M</v>
          </cell>
          <cell r="M769" t="str">
            <v>SIENTA</v>
          </cell>
          <cell r="N769" t="str">
            <v>SIENTA</v>
          </cell>
          <cell r="O769" t="str">
            <v>NSP170R-MWYUKD-04</v>
          </cell>
          <cell r="P769" t="e">
            <v>#N/A</v>
          </cell>
          <cell r="Q769" t="e">
            <v>#N/A</v>
          </cell>
          <cell r="R769" t="str">
            <v>NSP170R-MWYUKD-04</v>
          </cell>
          <cell r="S769" t="str">
            <v>SIENTA</v>
          </cell>
          <cell r="T769" t="e">
            <v>#N/A</v>
          </cell>
          <cell r="U769" t="str">
            <v>SIENTA Q A/T</v>
          </cell>
        </row>
        <row r="770">
          <cell r="D770" t="str">
            <v>NSP170R-MWYUKD-05</v>
          </cell>
          <cell r="E770" t="str">
            <v>SIENTA</v>
          </cell>
          <cell r="F770" t="str">
            <v>SIENTA</v>
          </cell>
          <cell r="G770" t="str">
            <v>SIENTA</v>
          </cell>
          <cell r="H770" t="str">
            <v>SIENTA Q A/T</v>
          </cell>
          <cell r="I770" t="str">
            <v>SIENTA Q A/T</v>
          </cell>
          <cell r="J770" t="str">
            <v>SIENTA Q A/T</v>
          </cell>
          <cell r="K770" t="str">
            <v>SIENTA</v>
          </cell>
          <cell r="L770" t="str">
            <v>NP17QA/T05M</v>
          </cell>
          <cell r="M770" t="str">
            <v>SIENTA</v>
          </cell>
          <cell r="N770" t="str">
            <v>SIENTA</v>
          </cell>
          <cell r="O770" t="str">
            <v>NSP170R-MWYUKD-05</v>
          </cell>
          <cell r="P770" t="e">
            <v>#N/A</v>
          </cell>
          <cell r="Q770" t="e">
            <v>#N/A</v>
          </cell>
          <cell r="R770" t="str">
            <v>NSP170R-MWYUKD-05</v>
          </cell>
          <cell r="S770" t="str">
            <v>SIENTA</v>
          </cell>
          <cell r="T770" t="e">
            <v>#N/A</v>
          </cell>
          <cell r="U770" t="str">
            <v>SIENTA Q A/T</v>
          </cell>
        </row>
        <row r="771">
          <cell r="D771" t="str">
            <v>NSP170R-MWYUKD-06</v>
          </cell>
          <cell r="E771" t="str">
            <v>SIENTA</v>
          </cell>
          <cell r="F771" t="str">
            <v>SIENTA</v>
          </cell>
          <cell r="G771" t="str">
            <v>SIENTA</v>
          </cell>
          <cell r="H771" t="str">
            <v>SIENTA Q A/T</v>
          </cell>
          <cell r="I771" t="str">
            <v>SIENTA Q A/T</v>
          </cell>
          <cell r="J771" t="str">
            <v>SIENTA Q A/T</v>
          </cell>
          <cell r="K771" t="str">
            <v>SIENTA</v>
          </cell>
          <cell r="L771" t="str">
            <v>NP17QA/T06M</v>
          </cell>
          <cell r="M771" t="str">
            <v>SIENTA</v>
          </cell>
          <cell r="N771" t="str">
            <v>SIENTA</v>
          </cell>
          <cell r="O771" t="str">
            <v>NSP170R-MWYUKD-06</v>
          </cell>
          <cell r="P771" t="e">
            <v>#N/A</v>
          </cell>
          <cell r="Q771" t="e">
            <v>#N/A</v>
          </cell>
          <cell r="R771" t="str">
            <v>NSP170R-MWYUKD-06</v>
          </cell>
          <cell r="S771" t="str">
            <v>SIENTA</v>
          </cell>
          <cell r="T771" t="e">
            <v>#N/A</v>
          </cell>
          <cell r="U771" t="str">
            <v>SIENTA Q A/T</v>
          </cell>
        </row>
        <row r="772">
          <cell r="D772" t="str">
            <v>NSP170R-MWYQKD-00</v>
          </cell>
          <cell r="E772" t="str">
            <v>SIENTA</v>
          </cell>
          <cell r="F772" t="str">
            <v>SIENTA</v>
          </cell>
          <cell r="G772" t="str">
            <v>SIENTA</v>
          </cell>
          <cell r="H772" t="str">
            <v>SIENTA V A/T</v>
          </cell>
          <cell r="I772" t="str">
            <v>SIENTA V A/T</v>
          </cell>
          <cell r="J772" t="str">
            <v>SIENTA V A/T</v>
          </cell>
          <cell r="K772" t="str">
            <v>SIENTA</v>
          </cell>
          <cell r="L772" t="str">
            <v>NP17VA/T01M</v>
          </cell>
          <cell r="M772" t="str">
            <v>SIENTA</v>
          </cell>
          <cell r="N772" t="str">
            <v>SIENTA</v>
          </cell>
          <cell r="O772" t="str">
            <v>NSP170R-MWYQKD-00</v>
          </cell>
          <cell r="P772" t="e">
            <v>#N/A</v>
          </cell>
          <cell r="Q772" t="e">
            <v>#N/A</v>
          </cell>
          <cell r="R772" t="str">
            <v>NSP170R-MWYQKD-00</v>
          </cell>
          <cell r="S772" t="str">
            <v>SIENTA</v>
          </cell>
          <cell r="T772" t="e">
            <v>#N/A</v>
          </cell>
          <cell r="U772" t="str">
            <v>SIENTA V A/T</v>
          </cell>
        </row>
        <row r="773">
          <cell r="D773" t="str">
            <v>NSP170R-MWYQKD-02</v>
          </cell>
          <cell r="E773" t="str">
            <v>SIENTA</v>
          </cell>
          <cell r="F773" t="str">
            <v>SIENTA</v>
          </cell>
          <cell r="G773" t="str">
            <v>SIENTA</v>
          </cell>
          <cell r="H773" t="str">
            <v>SIENTA V A/T</v>
          </cell>
          <cell r="I773" t="str">
            <v>SIENTA V A/T</v>
          </cell>
          <cell r="J773" t="str">
            <v>SIENTA V A/T</v>
          </cell>
          <cell r="K773" t="str">
            <v>SIENTA</v>
          </cell>
          <cell r="L773" t="str">
            <v>NP17VA/T02M</v>
          </cell>
          <cell r="M773" t="str">
            <v>SIENTA</v>
          </cell>
          <cell r="N773" t="str">
            <v>SIENTA</v>
          </cell>
          <cell r="O773" t="str">
            <v>NSP170R-MWYQKD-02</v>
          </cell>
          <cell r="P773" t="e">
            <v>#N/A</v>
          </cell>
          <cell r="Q773" t="e">
            <v>#N/A</v>
          </cell>
          <cell r="R773" t="str">
            <v>NSP170R-MWYQKD-02</v>
          </cell>
          <cell r="S773" t="str">
            <v>SIENTA</v>
          </cell>
          <cell r="T773" t="e">
            <v>#N/A</v>
          </cell>
          <cell r="U773" t="str">
            <v>SIENTA V A/T</v>
          </cell>
        </row>
        <row r="774">
          <cell r="D774" t="str">
            <v>NSP170R-MWYQKD-03</v>
          </cell>
          <cell r="E774" t="str">
            <v>SIENTA</v>
          </cell>
          <cell r="F774" t="str">
            <v>SIENTA</v>
          </cell>
          <cell r="G774" t="str">
            <v>SIENTA</v>
          </cell>
          <cell r="H774" t="str">
            <v>SIENTA V A/T</v>
          </cell>
          <cell r="I774" t="str">
            <v>SIENTA V A/T</v>
          </cell>
          <cell r="J774" t="str">
            <v>SIENTA V A/T</v>
          </cell>
          <cell r="K774" t="str">
            <v>SIENTA</v>
          </cell>
          <cell r="L774" t="str">
            <v>NP17VA/T03M</v>
          </cell>
          <cell r="M774" t="str">
            <v>SIENTA</v>
          </cell>
          <cell r="N774" t="str">
            <v>SIENTA</v>
          </cell>
          <cell r="O774" t="str">
            <v>NSP170R-MWYQKD-03</v>
          </cell>
          <cell r="P774" t="e">
            <v>#N/A</v>
          </cell>
          <cell r="Q774" t="e">
            <v>#N/A</v>
          </cell>
          <cell r="R774" t="str">
            <v>NSP170R-MWYQKD-03</v>
          </cell>
          <cell r="S774" t="str">
            <v>SIENTA</v>
          </cell>
          <cell r="T774" t="e">
            <v>#N/A</v>
          </cell>
          <cell r="U774" t="str">
            <v>SIENTA V A/T</v>
          </cell>
        </row>
        <row r="775">
          <cell r="D775" t="str">
            <v>NSP170R-MWYQKD-D2</v>
          </cell>
          <cell r="E775" t="str">
            <v>SIENTA</v>
          </cell>
          <cell r="F775" t="str">
            <v>SIENTA</v>
          </cell>
          <cell r="G775" t="str">
            <v>SIENTA</v>
          </cell>
          <cell r="H775" t="str">
            <v>SIENTA V A/T</v>
          </cell>
          <cell r="I775" t="str">
            <v>SIENTA V A/T</v>
          </cell>
          <cell r="J775" t="str">
            <v>SIENTA V A/T</v>
          </cell>
          <cell r="K775" t="str">
            <v>SIENTA</v>
          </cell>
          <cell r="L775" t="str">
            <v>NP17VA/TD2M</v>
          </cell>
          <cell r="M775" t="str">
            <v>SIENTA</v>
          </cell>
          <cell r="N775" t="str">
            <v>SIENTA</v>
          </cell>
          <cell r="O775" t="str">
            <v>NSP170R-MWYQKD-D2</v>
          </cell>
          <cell r="P775" t="e">
            <v>#N/A</v>
          </cell>
          <cell r="Q775" t="e">
            <v>#N/A</v>
          </cell>
          <cell r="R775" t="str">
            <v>NSP170R-MWYQKD-D2</v>
          </cell>
          <cell r="S775" t="str">
            <v>SIENTA</v>
          </cell>
          <cell r="T775" t="e">
            <v>#N/A</v>
          </cell>
          <cell r="U775" t="str">
            <v>SIENTA V A/T</v>
          </cell>
        </row>
        <row r="776">
          <cell r="D776" t="str">
            <v>NSP170R-MWFQKD-00</v>
          </cell>
          <cell r="E776" t="str">
            <v>SIENTA</v>
          </cell>
          <cell r="F776" t="str">
            <v>SIENTA</v>
          </cell>
          <cell r="G776" t="str">
            <v>SIENTA</v>
          </cell>
          <cell r="H776" t="str">
            <v>SIENTA V M/T</v>
          </cell>
          <cell r="I776" t="str">
            <v>SIENTA V M/T</v>
          </cell>
          <cell r="J776" t="str">
            <v>SIENTA V M/T</v>
          </cell>
          <cell r="K776" t="str">
            <v>SIENTA</v>
          </cell>
          <cell r="L776" t="str">
            <v>NP17VM/T00M</v>
          </cell>
          <cell r="M776" t="str">
            <v>SIENTA</v>
          </cell>
          <cell r="N776" t="str">
            <v>SIENTA</v>
          </cell>
          <cell r="O776" t="str">
            <v>NSP170R-MWFQKD-00</v>
          </cell>
          <cell r="P776" t="e">
            <v>#N/A</v>
          </cell>
          <cell r="Q776" t="e">
            <v>#N/A</v>
          </cell>
          <cell r="R776" t="str">
            <v>NSP170R-MWFQKD-00</v>
          </cell>
          <cell r="S776" t="str">
            <v>SIENTA</v>
          </cell>
          <cell r="T776" t="e">
            <v>#N/A</v>
          </cell>
          <cell r="U776" t="str">
            <v>SIENTA V M/T</v>
          </cell>
        </row>
        <row r="777">
          <cell r="D777" t="str">
            <v>NSP170R-MWFQKD-D0</v>
          </cell>
          <cell r="E777" t="str">
            <v>SIENTA</v>
          </cell>
          <cell r="F777" t="str">
            <v>SIENTA</v>
          </cell>
          <cell r="G777" t="str">
            <v>SIENTA</v>
          </cell>
          <cell r="H777" t="str">
            <v>SIENTA V M/T</v>
          </cell>
          <cell r="I777" t="str">
            <v>SIENTA V M/T</v>
          </cell>
          <cell r="J777" t="str">
            <v>SIENTA V M/T</v>
          </cell>
          <cell r="K777" t="str">
            <v>SIENTA</v>
          </cell>
          <cell r="L777" t="str">
            <v>NP17VM/TD0M</v>
          </cell>
          <cell r="M777" t="str">
            <v>SIENTA</v>
          </cell>
          <cell r="N777" t="str">
            <v>SIENTA</v>
          </cell>
          <cell r="O777" t="str">
            <v>NSP170R-MWFQKD-D0</v>
          </cell>
          <cell r="P777" t="e">
            <v>#N/A</v>
          </cell>
          <cell r="Q777" t="e">
            <v>#N/A</v>
          </cell>
          <cell r="R777" t="str">
            <v>NSP170R-MWFQKD-D0</v>
          </cell>
          <cell r="S777" t="str">
            <v>SIENTA</v>
          </cell>
          <cell r="T777" t="e">
            <v>#N/A</v>
          </cell>
          <cell r="U777" t="str">
            <v>SIENTA V M/T</v>
          </cell>
        </row>
        <row r="778">
          <cell r="D778" t="str">
            <v>NSP170R-MWFQKD-01</v>
          </cell>
          <cell r="E778" t="str">
            <v>SIENTA</v>
          </cell>
          <cell r="F778" t="str">
            <v>SIENTA</v>
          </cell>
          <cell r="G778" t="str">
            <v>SIENTA</v>
          </cell>
          <cell r="H778" t="str">
            <v>SIENTA V M/T</v>
          </cell>
          <cell r="I778" t="str">
            <v>SIENTA V M/T</v>
          </cell>
          <cell r="J778" t="str">
            <v>SIENTA V M/T</v>
          </cell>
          <cell r="K778" t="str">
            <v>SIENTA</v>
          </cell>
          <cell r="L778" t="str">
            <v>NP17VM/T01M</v>
          </cell>
          <cell r="M778" t="str">
            <v>SIENTA</v>
          </cell>
          <cell r="N778" t="str">
            <v>SIENTA</v>
          </cell>
          <cell r="O778" t="str">
            <v>NSP170R-MWFQKD-01</v>
          </cell>
          <cell r="P778" t="e">
            <v>#N/A</v>
          </cell>
          <cell r="Q778" t="e">
            <v>#N/A</v>
          </cell>
          <cell r="R778" t="str">
            <v>NSP170R-MWFQKD-01</v>
          </cell>
          <cell r="S778" t="str">
            <v>SIENTA</v>
          </cell>
          <cell r="T778" t="e">
            <v>#N/A</v>
          </cell>
          <cell r="U778" t="str">
            <v>SIENTA V M/T</v>
          </cell>
        </row>
        <row r="779">
          <cell r="D779" t="str">
            <v>NSP170R-MWFQKD-02</v>
          </cell>
          <cell r="E779" t="str">
            <v>SIENTA</v>
          </cell>
          <cell r="F779" t="str">
            <v>SIENTA</v>
          </cell>
          <cell r="G779" t="str">
            <v>SIENTA</v>
          </cell>
          <cell r="H779" t="str">
            <v>SIENTA V M/T</v>
          </cell>
          <cell r="I779" t="str">
            <v>SIENTA V M/T</v>
          </cell>
          <cell r="J779" t="str">
            <v>SIENTA V M/T</v>
          </cell>
          <cell r="K779" t="str">
            <v>SIENTA</v>
          </cell>
          <cell r="L779" t="str">
            <v>NP17VM/T02M</v>
          </cell>
          <cell r="M779" t="str">
            <v>SIENTA</v>
          </cell>
          <cell r="N779" t="str">
            <v>SIENTA</v>
          </cell>
          <cell r="O779" t="str">
            <v>NSP170R-MWFQKD-02</v>
          </cell>
          <cell r="P779" t="e">
            <v>#N/A</v>
          </cell>
          <cell r="Q779" t="e">
            <v>#N/A</v>
          </cell>
          <cell r="R779" t="str">
            <v>NSP170R-MWFQKD-02</v>
          </cell>
          <cell r="S779" t="str">
            <v>SIENTA</v>
          </cell>
          <cell r="T779" t="e">
            <v>#N/A</v>
          </cell>
          <cell r="U779" t="str">
            <v>SIENTA V M/T</v>
          </cell>
        </row>
        <row r="780">
          <cell r="D780" t="str">
            <v>NSP170R-MWFQKD-03</v>
          </cell>
          <cell r="E780" t="str">
            <v>SIENTA</v>
          </cell>
          <cell r="F780" t="str">
            <v>SIENTA</v>
          </cell>
          <cell r="G780" t="str">
            <v>SIENTA</v>
          </cell>
          <cell r="H780" t="str">
            <v>SIENTA V M/T</v>
          </cell>
          <cell r="I780" t="str">
            <v>SIENTA V M/T</v>
          </cell>
          <cell r="J780" t="str">
            <v>SIENTA V M/T</v>
          </cell>
          <cell r="K780" t="str">
            <v>SIENTA</v>
          </cell>
          <cell r="L780" t="str">
            <v>NP17VM/T03M</v>
          </cell>
          <cell r="M780" t="str">
            <v>SIENTA</v>
          </cell>
          <cell r="N780" t="str">
            <v>SIENTA</v>
          </cell>
          <cell r="O780" t="str">
            <v>NSP170R-MWFQKD-03</v>
          </cell>
          <cell r="P780" t="e">
            <v>#N/A</v>
          </cell>
          <cell r="Q780" t="e">
            <v>#N/A</v>
          </cell>
          <cell r="R780" t="str">
            <v>NSP170R-MWFQKD-03</v>
          </cell>
          <cell r="S780" t="str">
            <v>SIENTA</v>
          </cell>
          <cell r="T780" t="e">
            <v>#N/A</v>
          </cell>
          <cell r="U780" t="str">
            <v>SIENTA V M/T</v>
          </cell>
        </row>
        <row r="781">
          <cell r="D781" t="str">
            <v>AGH30R-NFXLK-03</v>
          </cell>
          <cell r="E781" t="str">
            <v>VELLFIRE</v>
          </cell>
          <cell r="F781" t="str">
            <v>VELLFIRE</v>
          </cell>
          <cell r="G781" t="str">
            <v>VELLFIRE</v>
          </cell>
          <cell r="H781" t="str">
            <v>VELLFIRE</v>
          </cell>
          <cell r="I781" t="str">
            <v>VELLFIRE</v>
          </cell>
          <cell r="J781" t="str">
            <v>VELLFIRE</v>
          </cell>
          <cell r="K781" t="str">
            <v>VELLFIRE</v>
          </cell>
          <cell r="L781" t="str">
            <v>VE30GA/T03M</v>
          </cell>
          <cell r="M781" t="str">
            <v>VELLFIRE</v>
          </cell>
          <cell r="N781" t="str">
            <v>VELLFIRE</v>
          </cell>
          <cell r="O781" t="str">
            <v>AGH30R-NFXLK-03</v>
          </cell>
          <cell r="P781" t="e">
            <v>#N/A</v>
          </cell>
          <cell r="Q781" t="e">
            <v>#N/A</v>
          </cell>
          <cell r="R781" t="str">
            <v>AGH30R-NFXLK-03</v>
          </cell>
          <cell r="S781" t="str">
            <v>VELLFIRE</v>
          </cell>
          <cell r="T781" t="e">
            <v>#N/A</v>
          </cell>
          <cell r="U781" t="str">
            <v>VELLFIRE</v>
          </cell>
        </row>
        <row r="782">
          <cell r="D782" t="str">
            <v>AGH30R-NFXLK-00</v>
          </cell>
          <cell r="E782" t="str">
            <v>VELLFIRE</v>
          </cell>
          <cell r="F782" t="str">
            <v>VELLFIRE</v>
          </cell>
          <cell r="G782" t="str">
            <v>VELLFIRE</v>
          </cell>
          <cell r="H782" t="str">
            <v>VELLFIRE</v>
          </cell>
          <cell r="I782" t="str">
            <v>VELLFIRE</v>
          </cell>
          <cell r="J782" t="str">
            <v>VELLFIRE</v>
          </cell>
          <cell r="K782" t="str">
            <v>VELLFIRE</v>
          </cell>
          <cell r="L782" t="str">
            <v>VE30GA/T</v>
          </cell>
          <cell r="M782" t="str">
            <v>VELLFIRE</v>
          </cell>
          <cell r="N782" t="str">
            <v>VELLFIRE</v>
          </cell>
          <cell r="O782" t="str">
            <v>AGH30R-NFXLK-00</v>
          </cell>
          <cell r="P782" t="e">
            <v>#N/A</v>
          </cell>
          <cell r="Q782" t="e">
            <v>#N/A</v>
          </cell>
          <cell r="R782" t="str">
            <v>AGH30R-NFXLK-00</v>
          </cell>
          <cell r="S782" t="str">
            <v>VELLFIRE</v>
          </cell>
          <cell r="T782" t="e">
            <v>#N/A</v>
          </cell>
          <cell r="U782" t="str">
            <v>VELLFIRE</v>
          </cell>
        </row>
        <row r="783">
          <cell r="D783" t="str">
            <v>GUN142R-MDTHYD-E2</v>
          </cell>
          <cell r="E783" t="str">
            <v>INNOVA</v>
          </cell>
          <cell r="F783" t="str">
            <v>INNOVA</v>
          </cell>
          <cell r="G783" t="str">
            <v>INNOVA</v>
          </cell>
          <cell r="H783" t="str">
            <v>VENTURER A/T DIESEL</v>
          </cell>
          <cell r="I783" t="str">
            <v>VENTURER A/T DIESEL</v>
          </cell>
          <cell r="J783" t="str">
            <v>VENTURER A/T DIESEL</v>
          </cell>
          <cell r="K783" t="str">
            <v>INNOVA REBORN</v>
          </cell>
          <cell r="L783" t="str">
            <v>GUN42QA/TE2M</v>
          </cell>
          <cell r="M783" t="str">
            <v>INNOVA</v>
          </cell>
          <cell r="N783" t="str">
            <v>INNOVA REBORN</v>
          </cell>
          <cell r="O783" t="str">
            <v>GUN142R-MDTHYD-E2</v>
          </cell>
          <cell r="P783" t="e">
            <v>#N/A</v>
          </cell>
          <cell r="Q783" t="e">
            <v>#N/A</v>
          </cell>
          <cell r="R783" t="str">
            <v>GUN142R-MDTHYD-E2</v>
          </cell>
          <cell r="S783" t="str">
            <v>INNOVA</v>
          </cell>
          <cell r="T783" t="e">
            <v>#N/A</v>
          </cell>
          <cell r="U783" t="str">
            <v>VENTURER A/T DIESEL</v>
          </cell>
        </row>
        <row r="784">
          <cell r="D784" t="str">
            <v>TGN140R-MDMHKD-12</v>
          </cell>
          <cell r="E784" t="str">
            <v>INNOVA</v>
          </cell>
          <cell r="F784" t="str">
            <v>INNOVA</v>
          </cell>
          <cell r="G784" t="str">
            <v>INNOVA</v>
          </cell>
          <cell r="H784" t="str">
            <v>VENTURER M/T</v>
          </cell>
          <cell r="I784" t="str">
            <v>VENTURER M/T</v>
          </cell>
          <cell r="J784" t="str">
            <v>VENTURER M/T</v>
          </cell>
          <cell r="K784" t="str">
            <v>INNOVA REBORN</v>
          </cell>
          <cell r="L784" t="str">
            <v>TGN40QM/T12M</v>
          </cell>
          <cell r="M784" t="str">
            <v>INNOVA</v>
          </cell>
          <cell r="N784" t="str">
            <v>INNOVA REBORN</v>
          </cell>
          <cell r="O784" t="str">
            <v>TGN140R-MDMHKD-12</v>
          </cell>
          <cell r="P784" t="e">
            <v>#N/A</v>
          </cell>
          <cell r="Q784" t="e">
            <v>#N/A</v>
          </cell>
          <cell r="R784" t="str">
            <v>TGN140R-MDMHKD-12</v>
          </cell>
          <cell r="S784" t="str">
            <v>INNOVA</v>
          </cell>
          <cell r="T784" t="e">
            <v>#N/A</v>
          </cell>
          <cell r="U784" t="str">
            <v>VENTURER M/T</v>
          </cell>
        </row>
        <row r="785">
          <cell r="D785" t="e">
            <v>#N/A</v>
          </cell>
          <cell r="E785" t="str">
            <v>VIOS</v>
          </cell>
          <cell r="F785" t="str">
            <v>VIOS</v>
          </cell>
          <cell r="G785" t="str">
            <v>VIOS</v>
          </cell>
          <cell r="H785" t="str">
            <v>VIOS E A/T</v>
          </cell>
          <cell r="I785" t="str">
            <v>VIOS E A/T</v>
          </cell>
          <cell r="J785" t="str">
            <v>VIOS E A/T</v>
          </cell>
          <cell r="K785" t="str">
            <v>VIOS</v>
          </cell>
          <cell r="L785" t="str">
            <v>NC15EA/TM</v>
          </cell>
          <cell r="M785" t="str">
            <v>VIOS</v>
          </cell>
          <cell r="N785" t="str">
            <v>VIOS</v>
          </cell>
          <cell r="O785" t="e">
            <v>#N/A</v>
          </cell>
          <cell r="P785" t="e">
            <v>#N/A</v>
          </cell>
          <cell r="Q785" t="e">
            <v>#N/A</v>
          </cell>
          <cell r="R785" t="e">
            <v>#N/A</v>
          </cell>
          <cell r="S785" t="str">
            <v>VIOS</v>
          </cell>
          <cell r="T785" t="e">
            <v>#N/A</v>
          </cell>
          <cell r="U785" t="str">
            <v>VIOS E A/T</v>
          </cell>
        </row>
        <row r="786">
          <cell r="D786" t="str">
            <v>NCP150R-CEPRKD-00</v>
          </cell>
          <cell r="E786" t="str">
            <v>VIOS</v>
          </cell>
          <cell r="F786" t="str">
            <v>VIOS</v>
          </cell>
          <cell r="G786" t="str">
            <v>VIOS</v>
          </cell>
          <cell r="H786" t="str">
            <v>VIOS E A/T</v>
          </cell>
          <cell r="I786" t="str">
            <v>VIOS E A/T</v>
          </cell>
          <cell r="J786" t="str">
            <v>VIOS E A/T</v>
          </cell>
          <cell r="K786" t="str">
            <v>VIOS</v>
          </cell>
          <cell r="L786" t="str">
            <v>NCP15EA/TM</v>
          </cell>
          <cell r="M786" t="str">
            <v>VIOS</v>
          </cell>
          <cell r="N786" t="str">
            <v>VIOS</v>
          </cell>
          <cell r="O786" t="str">
            <v>NCP150R-CEPRKD-00</v>
          </cell>
          <cell r="P786" t="e">
            <v>#N/A</v>
          </cell>
          <cell r="Q786" t="e">
            <v>#N/A</v>
          </cell>
          <cell r="R786" t="str">
            <v>NCP150R-CEPRKD-00</v>
          </cell>
          <cell r="S786" t="str">
            <v>VIOS</v>
          </cell>
          <cell r="T786" t="e">
            <v>#N/A</v>
          </cell>
          <cell r="U786" t="str">
            <v>VIOS E A/T</v>
          </cell>
        </row>
        <row r="787">
          <cell r="D787" t="e">
            <v>#N/A</v>
          </cell>
          <cell r="E787" t="str">
            <v>VIOS</v>
          </cell>
          <cell r="F787" t="str">
            <v>VIOS</v>
          </cell>
          <cell r="G787" t="str">
            <v>VIOS</v>
          </cell>
          <cell r="H787" t="str">
            <v>VIOS E M/T</v>
          </cell>
          <cell r="I787" t="str">
            <v>VIOS E M/T</v>
          </cell>
          <cell r="J787" t="str">
            <v>VIOS E M/T</v>
          </cell>
          <cell r="K787" t="str">
            <v>VIOS</v>
          </cell>
          <cell r="L787" t="str">
            <v>NC93EM/T</v>
          </cell>
          <cell r="M787" t="str">
            <v>VIOS</v>
          </cell>
          <cell r="N787" t="str">
            <v>VIOS</v>
          </cell>
          <cell r="O787" t="e">
            <v>#N/A</v>
          </cell>
          <cell r="P787" t="e">
            <v>#N/A</v>
          </cell>
          <cell r="Q787" t="e">
            <v>#N/A</v>
          </cell>
          <cell r="R787" t="e">
            <v>#N/A</v>
          </cell>
          <cell r="S787" t="str">
            <v>VIOS</v>
          </cell>
          <cell r="T787" t="e">
            <v>#N/A</v>
          </cell>
          <cell r="U787" t="str">
            <v>VIOS E M/T</v>
          </cell>
        </row>
        <row r="788">
          <cell r="D788" t="e">
            <v>#N/A</v>
          </cell>
          <cell r="E788" t="str">
            <v>VIOS</v>
          </cell>
          <cell r="F788" t="str">
            <v>VIOS</v>
          </cell>
          <cell r="G788" t="str">
            <v>VIOS</v>
          </cell>
          <cell r="H788" t="str">
            <v>VIOS E M/T</v>
          </cell>
          <cell r="I788" t="str">
            <v>VIOS E M/T</v>
          </cell>
          <cell r="J788" t="str">
            <v>VIOS E M/T</v>
          </cell>
          <cell r="K788" t="str">
            <v>VIOS</v>
          </cell>
          <cell r="L788" t="str">
            <v>NC93EM/TM</v>
          </cell>
          <cell r="M788" t="str">
            <v>VIOS</v>
          </cell>
          <cell r="N788" t="str">
            <v>VIOS</v>
          </cell>
          <cell r="O788" t="e">
            <v>#N/A</v>
          </cell>
          <cell r="P788" t="e">
            <v>#N/A</v>
          </cell>
          <cell r="Q788" t="e">
            <v>#N/A</v>
          </cell>
          <cell r="R788" t="e">
            <v>#N/A</v>
          </cell>
          <cell r="S788" t="str">
            <v>VIOS</v>
          </cell>
          <cell r="T788" t="e">
            <v>#N/A</v>
          </cell>
          <cell r="U788" t="str">
            <v>VIOS E M/T</v>
          </cell>
        </row>
        <row r="789">
          <cell r="D789" t="e">
            <v>#N/A</v>
          </cell>
          <cell r="E789" t="str">
            <v>VIOS</v>
          </cell>
          <cell r="F789" t="str">
            <v>VIOS</v>
          </cell>
          <cell r="G789" t="str">
            <v>VIOS</v>
          </cell>
          <cell r="H789" t="str">
            <v>VIOS E M/T</v>
          </cell>
          <cell r="I789" t="str">
            <v>VIOS E M/T</v>
          </cell>
          <cell r="J789" t="str">
            <v>VIOS E M/T</v>
          </cell>
          <cell r="K789" t="str">
            <v>VIOS</v>
          </cell>
          <cell r="L789" t="str">
            <v>NC93EM/T10M</v>
          </cell>
          <cell r="M789" t="str">
            <v>VIOS</v>
          </cell>
          <cell r="N789" t="str">
            <v>VIOS</v>
          </cell>
          <cell r="O789" t="e">
            <v>#N/A</v>
          </cell>
          <cell r="P789" t="e">
            <v>#N/A</v>
          </cell>
          <cell r="Q789" t="e">
            <v>#N/A</v>
          </cell>
          <cell r="R789" t="e">
            <v>#N/A</v>
          </cell>
          <cell r="S789" t="str">
            <v>VIOS</v>
          </cell>
          <cell r="T789" t="e">
            <v>#N/A</v>
          </cell>
          <cell r="U789" t="str">
            <v>VIOS E M/T</v>
          </cell>
        </row>
        <row r="790">
          <cell r="D790" t="e">
            <v>#N/A</v>
          </cell>
          <cell r="E790" t="str">
            <v>VIOS</v>
          </cell>
          <cell r="F790" t="str">
            <v>VIOS</v>
          </cell>
          <cell r="G790" t="str">
            <v>VIOS</v>
          </cell>
          <cell r="H790" t="str">
            <v>VIOS E M/T</v>
          </cell>
          <cell r="I790" t="str">
            <v>VIOS E M/T</v>
          </cell>
          <cell r="J790" t="str">
            <v>VIOS E M/T</v>
          </cell>
          <cell r="K790" t="str">
            <v>VIOS</v>
          </cell>
          <cell r="L790" t="str">
            <v>NC15EM/TM</v>
          </cell>
          <cell r="M790" t="str">
            <v>VIOS</v>
          </cell>
          <cell r="N790" t="str">
            <v>VIOS</v>
          </cell>
          <cell r="O790" t="e">
            <v>#N/A</v>
          </cell>
          <cell r="P790" t="e">
            <v>#N/A</v>
          </cell>
          <cell r="Q790" t="e">
            <v>#N/A</v>
          </cell>
          <cell r="R790" t="e">
            <v>#N/A</v>
          </cell>
          <cell r="S790" t="str">
            <v>VIOS</v>
          </cell>
          <cell r="T790" t="e">
            <v>#N/A</v>
          </cell>
          <cell r="U790" t="str">
            <v>VIOS E M/T</v>
          </cell>
        </row>
        <row r="791">
          <cell r="D791" t="e">
            <v>#N/A</v>
          </cell>
          <cell r="E791" t="str">
            <v>VIOS</v>
          </cell>
          <cell r="F791" t="str">
            <v>VIOS</v>
          </cell>
          <cell r="G791" t="str">
            <v>VIOS</v>
          </cell>
          <cell r="H791" t="str">
            <v>VIOS E M/T</v>
          </cell>
          <cell r="I791" t="str">
            <v>VIOS E M/T</v>
          </cell>
          <cell r="J791" t="str">
            <v>VIOS E M/T</v>
          </cell>
          <cell r="K791" t="str">
            <v>VIOS</v>
          </cell>
          <cell r="L791" t="str">
            <v>NC93em/T20M</v>
          </cell>
          <cell r="M791" t="str">
            <v>VIOS</v>
          </cell>
          <cell r="N791" t="str">
            <v>VIOS</v>
          </cell>
          <cell r="O791" t="e">
            <v>#N/A</v>
          </cell>
          <cell r="P791" t="e">
            <v>#N/A</v>
          </cell>
          <cell r="Q791" t="e">
            <v>#N/A</v>
          </cell>
          <cell r="R791" t="e">
            <v>#N/A</v>
          </cell>
          <cell r="S791" t="str">
            <v>VIOS</v>
          </cell>
          <cell r="T791" t="e">
            <v>#N/A</v>
          </cell>
          <cell r="U791" t="str">
            <v>VIOS E M/T</v>
          </cell>
        </row>
        <row r="792">
          <cell r="D792" t="e">
            <v>#N/A</v>
          </cell>
          <cell r="E792" t="str">
            <v>VIOS</v>
          </cell>
          <cell r="F792" t="str">
            <v>VIOS</v>
          </cell>
          <cell r="G792" t="str">
            <v>VIOS</v>
          </cell>
          <cell r="H792" t="str">
            <v>VIOS E M/T</v>
          </cell>
          <cell r="I792" t="str">
            <v>VIOS E M/T</v>
          </cell>
          <cell r="J792" t="str">
            <v>VIOS E M/T</v>
          </cell>
          <cell r="K792" t="str">
            <v>VIOS</v>
          </cell>
          <cell r="L792" t="str">
            <v>NC93EM/T30M</v>
          </cell>
          <cell r="M792" t="str">
            <v>VIOS</v>
          </cell>
          <cell r="N792" t="str">
            <v>VIOS</v>
          </cell>
          <cell r="O792" t="e">
            <v>#N/A</v>
          </cell>
          <cell r="P792" t="e">
            <v>#N/A</v>
          </cell>
          <cell r="Q792" t="e">
            <v>#N/A</v>
          </cell>
          <cell r="R792" t="e">
            <v>#N/A</v>
          </cell>
          <cell r="S792" t="str">
            <v>VIOS</v>
          </cell>
          <cell r="T792" t="e">
            <v>#N/A</v>
          </cell>
          <cell r="U792" t="str">
            <v>VIOS E M/T</v>
          </cell>
        </row>
        <row r="793">
          <cell r="D793" t="str">
            <v>NCP150R-CEMRKD-00</v>
          </cell>
          <cell r="E793" t="str">
            <v>VIOS</v>
          </cell>
          <cell r="F793" t="str">
            <v>VIOS</v>
          </cell>
          <cell r="G793" t="str">
            <v>VIOS</v>
          </cell>
          <cell r="H793" t="str">
            <v>VIOS E M/T</v>
          </cell>
          <cell r="I793" t="str">
            <v>VIOS E M/T</v>
          </cell>
          <cell r="J793" t="str">
            <v>VIOS E M/T</v>
          </cell>
          <cell r="K793" t="str">
            <v>VIOS</v>
          </cell>
          <cell r="L793" t="str">
            <v>NCP15EM/TM</v>
          </cell>
          <cell r="M793" t="str">
            <v>VIOS</v>
          </cell>
          <cell r="N793" t="str">
            <v>VIOS</v>
          </cell>
          <cell r="O793" t="str">
            <v>NCP150R-CEMRKD-00</v>
          </cell>
          <cell r="P793" t="e">
            <v>#N/A</v>
          </cell>
          <cell r="Q793" t="e">
            <v>#N/A</v>
          </cell>
          <cell r="R793" t="str">
            <v>NCP150R-CEMRKD-00</v>
          </cell>
          <cell r="S793" t="str">
            <v>VIOS</v>
          </cell>
          <cell r="T793" t="e">
            <v>#N/A</v>
          </cell>
          <cell r="U793" t="str">
            <v>VIOS E M/T</v>
          </cell>
        </row>
        <row r="794">
          <cell r="D794" t="str">
            <v>NSP151R-CEMRKD-00</v>
          </cell>
          <cell r="E794" t="str">
            <v>VIOS</v>
          </cell>
          <cell r="F794" t="str">
            <v>VIOS</v>
          </cell>
          <cell r="G794" t="str">
            <v>VIOS</v>
          </cell>
          <cell r="H794" t="str">
            <v>VIOS E M/T</v>
          </cell>
          <cell r="I794" t="str">
            <v>VIOS E M/T</v>
          </cell>
          <cell r="J794" t="str">
            <v>VIOS E M/T</v>
          </cell>
          <cell r="K794" t="str">
            <v>VIOS</v>
          </cell>
          <cell r="L794" t="str">
            <v>NS15MREM/T00M</v>
          </cell>
          <cell r="M794" t="str">
            <v>VIOS</v>
          </cell>
          <cell r="N794" t="str">
            <v>VIOS</v>
          </cell>
          <cell r="O794" t="str">
            <v>NSP151R-CEMRKD-00</v>
          </cell>
          <cell r="P794" t="e">
            <v>#N/A</v>
          </cell>
          <cell r="Q794" t="e">
            <v>#N/A</v>
          </cell>
          <cell r="R794" t="str">
            <v>NSP151R-CEMRKD-00</v>
          </cell>
          <cell r="S794" t="str">
            <v>VIOS</v>
          </cell>
          <cell r="T794" t="e">
            <v>#N/A</v>
          </cell>
          <cell r="U794" t="str">
            <v>VIOS E M/T</v>
          </cell>
        </row>
        <row r="795">
          <cell r="D795" t="e">
            <v>#N/A</v>
          </cell>
          <cell r="E795" t="str">
            <v>VIOS</v>
          </cell>
          <cell r="F795" t="str">
            <v>VIOS</v>
          </cell>
          <cell r="G795" t="str">
            <v>VIOS</v>
          </cell>
          <cell r="H795" t="str">
            <v>VIOS G A/T</v>
          </cell>
          <cell r="I795" t="str">
            <v>VIOS G A/T</v>
          </cell>
          <cell r="J795" t="str">
            <v>VIOS G A/T</v>
          </cell>
          <cell r="K795" t="str">
            <v>VIOS</v>
          </cell>
          <cell r="L795" t="str">
            <v>NC93GA/T</v>
          </cell>
          <cell r="M795" t="str">
            <v>VIOS</v>
          </cell>
          <cell r="N795" t="str">
            <v>VIOS</v>
          </cell>
          <cell r="O795" t="e">
            <v>#N/A</v>
          </cell>
          <cell r="P795" t="e">
            <v>#N/A</v>
          </cell>
          <cell r="Q795" t="e">
            <v>#N/A</v>
          </cell>
          <cell r="R795" t="e">
            <v>#N/A</v>
          </cell>
          <cell r="S795" t="str">
            <v>VIOS</v>
          </cell>
          <cell r="T795" t="e">
            <v>#N/A</v>
          </cell>
          <cell r="U795" t="str">
            <v>VIOS G A/T</v>
          </cell>
        </row>
        <row r="796">
          <cell r="D796" t="e">
            <v>#N/A</v>
          </cell>
          <cell r="E796" t="str">
            <v>VIOS</v>
          </cell>
          <cell r="F796" t="str">
            <v>VIOS</v>
          </cell>
          <cell r="G796" t="str">
            <v>VIOS</v>
          </cell>
          <cell r="H796" t="str">
            <v>VIOS G A/T</v>
          </cell>
          <cell r="I796" t="str">
            <v>VIOS G A/T</v>
          </cell>
          <cell r="J796" t="str">
            <v>VIOS G A/T</v>
          </cell>
          <cell r="K796" t="str">
            <v>VIOS</v>
          </cell>
          <cell r="L796" t="str">
            <v>NC93GA/TM</v>
          </cell>
          <cell r="M796" t="str">
            <v>VIOS</v>
          </cell>
          <cell r="N796" t="str">
            <v>VIOS</v>
          </cell>
          <cell r="O796" t="e">
            <v>#N/A</v>
          </cell>
          <cell r="P796" t="e">
            <v>#N/A</v>
          </cell>
          <cell r="Q796" t="e">
            <v>#N/A</v>
          </cell>
          <cell r="R796" t="e">
            <v>#N/A</v>
          </cell>
          <cell r="S796" t="str">
            <v>VIOS</v>
          </cell>
          <cell r="T796" t="e">
            <v>#N/A</v>
          </cell>
          <cell r="U796" t="str">
            <v>VIOS G A/T</v>
          </cell>
        </row>
        <row r="797">
          <cell r="D797" t="e">
            <v>#N/A</v>
          </cell>
          <cell r="E797" t="str">
            <v>VIOS</v>
          </cell>
          <cell r="F797" t="str">
            <v>VIOS</v>
          </cell>
          <cell r="G797" t="str">
            <v>VIOS</v>
          </cell>
          <cell r="H797" t="str">
            <v>VIOS G A/T</v>
          </cell>
          <cell r="I797" t="str">
            <v>VIOS G A/T</v>
          </cell>
          <cell r="J797" t="str">
            <v>VIOS G A/T</v>
          </cell>
          <cell r="K797" t="str">
            <v>VIOS</v>
          </cell>
          <cell r="L797" t="str">
            <v>NC93GA/T10M</v>
          </cell>
          <cell r="M797" t="str">
            <v>VIOS</v>
          </cell>
          <cell r="N797" t="str">
            <v>VIOS</v>
          </cell>
          <cell r="O797" t="e">
            <v>#N/A</v>
          </cell>
          <cell r="P797" t="e">
            <v>#N/A</v>
          </cell>
          <cell r="Q797" t="e">
            <v>#N/A</v>
          </cell>
          <cell r="R797" t="e">
            <v>#N/A</v>
          </cell>
          <cell r="S797" t="str">
            <v>VIOS</v>
          </cell>
          <cell r="T797" t="e">
            <v>#N/A</v>
          </cell>
          <cell r="U797" t="str">
            <v>VIOS G A/T</v>
          </cell>
        </row>
        <row r="798">
          <cell r="D798" t="e">
            <v>#N/A</v>
          </cell>
          <cell r="E798" t="str">
            <v>VIOS</v>
          </cell>
          <cell r="F798" t="str">
            <v>VIOS</v>
          </cell>
          <cell r="G798" t="str">
            <v>VIOS</v>
          </cell>
          <cell r="H798" t="str">
            <v>VIOS G A/T</v>
          </cell>
          <cell r="I798" t="str">
            <v>VIOS G A/T</v>
          </cell>
          <cell r="J798" t="str">
            <v>VIOS G A/T</v>
          </cell>
          <cell r="K798" t="str">
            <v>VIOS</v>
          </cell>
          <cell r="L798" t="str">
            <v>NC15GA/TM</v>
          </cell>
          <cell r="M798" t="str">
            <v>VIOS</v>
          </cell>
          <cell r="N798" t="str">
            <v>VIOS</v>
          </cell>
          <cell r="O798" t="e">
            <v>#N/A</v>
          </cell>
          <cell r="P798" t="e">
            <v>#N/A</v>
          </cell>
          <cell r="Q798" t="e">
            <v>#N/A</v>
          </cell>
          <cell r="R798" t="e">
            <v>#N/A</v>
          </cell>
          <cell r="S798" t="str">
            <v>VIOS</v>
          </cell>
          <cell r="T798" t="e">
            <v>#N/A</v>
          </cell>
          <cell r="U798" t="str">
            <v>VIOS G A/T</v>
          </cell>
        </row>
        <row r="799">
          <cell r="D799" t="e">
            <v>#N/A</v>
          </cell>
          <cell r="E799" t="str">
            <v>VIOS</v>
          </cell>
          <cell r="F799" t="str">
            <v>VIOS</v>
          </cell>
          <cell r="G799" t="str">
            <v>VIOS</v>
          </cell>
          <cell r="H799" t="str">
            <v>VIOS G A/T</v>
          </cell>
          <cell r="I799" t="str">
            <v>VIOS G A/T</v>
          </cell>
          <cell r="J799" t="str">
            <v>VIOS G A/T</v>
          </cell>
          <cell r="K799" t="str">
            <v>VIOS</v>
          </cell>
          <cell r="L799" t="str">
            <v>NC15GA/TM</v>
          </cell>
          <cell r="M799" t="str">
            <v>VIOS</v>
          </cell>
          <cell r="N799" t="str">
            <v>VIOS</v>
          </cell>
          <cell r="O799" t="e">
            <v>#N/A</v>
          </cell>
          <cell r="P799" t="e">
            <v>#N/A</v>
          </cell>
          <cell r="Q799" t="e">
            <v>#N/A</v>
          </cell>
          <cell r="R799" t="e">
            <v>#N/A</v>
          </cell>
          <cell r="S799" t="str">
            <v>VIOS</v>
          </cell>
          <cell r="T799" t="e">
            <v>#N/A</v>
          </cell>
          <cell r="U799" t="str">
            <v>VIOS G A/T</v>
          </cell>
        </row>
        <row r="800">
          <cell r="D800" t="e">
            <v>#N/A</v>
          </cell>
          <cell r="E800" t="str">
            <v>VIOS</v>
          </cell>
          <cell r="F800" t="str">
            <v>VIOS</v>
          </cell>
          <cell r="G800" t="str">
            <v>VIOS</v>
          </cell>
          <cell r="H800" t="str">
            <v>VIOS G A/T</v>
          </cell>
          <cell r="I800" t="str">
            <v>VIOS G A/T</v>
          </cell>
          <cell r="J800" t="str">
            <v>VIOS G A/T</v>
          </cell>
          <cell r="K800" t="str">
            <v>VIOS</v>
          </cell>
          <cell r="L800" t="str">
            <v>NC93GA/T20M</v>
          </cell>
          <cell r="M800" t="str">
            <v>VIOS</v>
          </cell>
          <cell r="N800" t="str">
            <v>VIOS</v>
          </cell>
          <cell r="O800" t="e">
            <v>#N/A</v>
          </cell>
          <cell r="P800" t="e">
            <v>#N/A</v>
          </cell>
          <cell r="Q800" t="e">
            <v>#N/A</v>
          </cell>
          <cell r="R800" t="e">
            <v>#N/A</v>
          </cell>
          <cell r="S800" t="str">
            <v>VIOS</v>
          </cell>
          <cell r="T800" t="e">
            <v>#N/A</v>
          </cell>
          <cell r="U800" t="str">
            <v>VIOS G A/T</v>
          </cell>
        </row>
        <row r="801">
          <cell r="D801" t="e">
            <v>#N/A</v>
          </cell>
          <cell r="E801" t="str">
            <v>VIOS</v>
          </cell>
          <cell r="F801" t="str">
            <v>VIOS</v>
          </cell>
          <cell r="G801" t="str">
            <v>VIOS</v>
          </cell>
          <cell r="H801" t="str">
            <v>VIOS G A/T</v>
          </cell>
          <cell r="I801" t="str">
            <v>VIOS G A/T</v>
          </cell>
          <cell r="J801" t="str">
            <v>VIOS G A/T</v>
          </cell>
          <cell r="K801" t="str">
            <v>VIOS</v>
          </cell>
          <cell r="L801" t="str">
            <v>NC93GA/T21TRDM</v>
          </cell>
          <cell r="M801" t="str">
            <v>VIOS</v>
          </cell>
          <cell r="N801" t="str">
            <v>VIOS</v>
          </cell>
          <cell r="O801" t="e">
            <v>#N/A</v>
          </cell>
          <cell r="P801" t="e">
            <v>#N/A</v>
          </cell>
          <cell r="Q801" t="e">
            <v>#N/A</v>
          </cell>
          <cell r="R801" t="e">
            <v>#N/A</v>
          </cell>
          <cell r="S801" t="str">
            <v>VIOS</v>
          </cell>
          <cell r="T801" t="e">
            <v>#N/A</v>
          </cell>
          <cell r="U801" t="str">
            <v>VIOS G A/T</v>
          </cell>
        </row>
        <row r="802">
          <cell r="D802" t="e">
            <v>#N/A</v>
          </cell>
          <cell r="E802" t="str">
            <v>VIOS</v>
          </cell>
          <cell r="F802" t="str">
            <v>VIOS</v>
          </cell>
          <cell r="G802" t="str">
            <v>VIOS</v>
          </cell>
          <cell r="H802" t="str">
            <v>VIOS G A/T</v>
          </cell>
          <cell r="I802" t="str">
            <v>VIOS G A/T</v>
          </cell>
          <cell r="J802" t="str">
            <v>VIOS G A/T</v>
          </cell>
          <cell r="K802" t="str">
            <v>VIOS</v>
          </cell>
          <cell r="L802" t="str">
            <v>NC93GA/T31TRDM</v>
          </cell>
          <cell r="M802" t="str">
            <v>VIOS</v>
          </cell>
          <cell r="N802" t="str">
            <v>VIOS</v>
          </cell>
          <cell r="O802" t="e">
            <v>#N/A</v>
          </cell>
          <cell r="P802" t="e">
            <v>#N/A</v>
          </cell>
          <cell r="Q802" t="e">
            <v>#N/A</v>
          </cell>
          <cell r="R802" t="e">
            <v>#N/A</v>
          </cell>
          <cell r="S802" t="str">
            <v>VIOS</v>
          </cell>
          <cell r="T802" t="e">
            <v>#N/A</v>
          </cell>
          <cell r="U802" t="str">
            <v>VIOS G A/T</v>
          </cell>
        </row>
        <row r="803">
          <cell r="D803" t="str">
            <v>NCP150R-CEPGKD-00</v>
          </cell>
          <cell r="E803" t="str">
            <v>VIOS</v>
          </cell>
          <cell r="F803" t="str">
            <v>VIOS</v>
          </cell>
          <cell r="G803" t="str">
            <v>VIOS</v>
          </cell>
          <cell r="H803" t="str">
            <v>VIOS G A/T</v>
          </cell>
          <cell r="I803" t="str">
            <v>VIOS G A/T</v>
          </cell>
          <cell r="J803" t="str">
            <v>VIOS G A/T</v>
          </cell>
          <cell r="K803" t="str">
            <v>VIOS</v>
          </cell>
          <cell r="L803" t="str">
            <v>NCP15GA/TM</v>
          </cell>
          <cell r="M803" t="str">
            <v>VIOS</v>
          </cell>
          <cell r="N803" t="str">
            <v>VIOS</v>
          </cell>
          <cell r="O803" t="str">
            <v>NCP150R-CEPGKD-00</v>
          </cell>
          <cell r="P803" t="e">
            <v>#N/A</v>
          </cell>
          <cell r="Q803" t="e">
            <v>#N/A</v>
          </cell>
          <cell r="R803" t="str">
            <v>NCP150R-CEPGKD-00</v>
          </cell>
          <cell r="S803" t="str">
            <v>VIOS</v>
          </cell>
          <cell r="T803" t="e">
            <v>#N/A</v>
          </cell>
          <cell r="U803" t="str">
            <v>VIOS G A/T</v>
          </cell>
        </row>
        <row r="804">
          <cell r="D804" t="str">
            <v>NCP150R-CEPGKD-01</v>
          </cell>
          <cell r="E804" t="str">
            <v>VIOS</v>
          </cell>
          <cell r="F804" t="str">
            <v>VIOS</v>
          </cell>
          <cell r="G804" t="str">
            <v>VIOS</v>
          </cell>
          <cell r="H804" t="str">
            <v>VIOS G A/T</v>
          </cell>
          <cell r="I804" t="str">
            <v>VIOS G A/T</v>
          </cell>
          <cell r="J804" t="str">
            <v>VIOS G A/T</v>
          </cell>
          <cell r="K804" t="str">
            <v>VIOS</v>
          </cell>
          <cell r="L804" t="str">
            <v>NCP15GA/TTRDM</v>
          </cell>
          <cell r="M804" t="str">
            <v>VIOS</v>
          </cell>
          <cell r="N804" t="str">
            <v>VIOS</v>
          </cell>
          <cell r="O804" t="str">
            <v>NCP150R-CEPGKD-01</v>
          </cell>
          <cell r="P804" t="e">
            <v>#N/A</v>
          </cell>
          <cell r="Q804" t="e">
            <v>#N/A</v>
          </cell>
          <cell r="R804" t="str">
            <v>NCP150R-CEPGKD-01</v>
          </cell>
          <cell r="S804" t="str">
            <v>VIOS</v>
          </cell>
          <cell r="T804" t="e">
            <v>#N/A</v>
          </cell>
          <cell r="U804" t="str">
            <v>VIOS G A/T</v>
          </cell>
        </row>
        <row r="805">
          <cell r="D805" t="e">
            <v>#N/A</v>
          </cell>
          <cell r="E805" t="str">
            <v>VIOS</v>
          </cell>
          <cell r="F805" t="str">
            <v>VIOS</v>
          </cell>
          <cell r="G805" t="str">
            <v>VIOS</v>
          </cell>
          <cell r="H805" t="str">
            <v>VIOS G A/T</v>
          </cell>
          <cell r="I805" t="str">
            <v>VIOS G A/T</v>
          </cell>
          <cell r="J805" t="str">
            <v>VIOS G A/T</v>
          </cell>
          <cell r="K805" t="str">
            <v>VIOS</v>
          </cell>
          <cell r="L805" t="str">
            <v>NC93GA/T11TRDM</v>
          </cell>
          <cell r="M805" t="str">
            <v>VIOS</v>
          </cell>
          <cell r="N805" t="str">
            <v>VIOS</v>
          </cell>
          <cell r="O805" t="e">
            <v>#N/A</v>
          </cell>
          <cell r="P805" t="e">
            <v>#N/A</v>
          </cell>
          <cell r="Q805" t="e">
            <v>#N/A</v>
          </cell>
          <cell r="R805" t="e">
            <v>#N/A</v>
          </cell>
          <cell r="S805" t="str">
            <v>VIOS</v>
          </cell>
          <cell r="T805" t="e">
            <v>#N/A</v>
          </cell>
          <cell r="U805" t="str">
            <v>VIOS G A/T</v>
          </cell>
        </row>
        <row r="806">
          <cell r="D806" t="str">
            <v>NSP151R-CEXGKD-00</v>
          </cell>
          <cell r="E806" t="str">
            <v>VIOS</v>
          </cell>
          <cell r="F806" t="str">
            <v>VIOS</v>
          </cell>
          <cell r="G806" t="str">
            <v>VIOS</v>
          </cell>
          <cell r="H806" t="str">
            <v>VIOS G A/T</v>
          </cell>
          <cell r="I806" t="str">
            <v>VIOS G A/T</v>
          </cell>
          <cell r="J806" t="str">
            <v>VIOS G A/T</v>
          </cell>
          <cell r="K806" t="str">
            <v>VIOS</v>
          </cell>
          <cell r="L806" t="str">
            <v>NS15XGGA/T00M</v>
          </cell>
          <cell r="M806" t="str">
            <v>VIOS</v>
          </cell>
          <cell r="N806" t="str">
            <v>VIOS</v>
          </cell>
          <cell r="O806" t="str">
            <v>NSP151R-CEXGKD-00</v>
          </cell>
          <cell r="P806" t="e">
            <v>#N/A</v>
          </cell>
          <cell r="Q806" t="e">
            <v>#N/A</v>
          </cell>
          <cell r="R806" t="str">
            <v>NSP151R-CEXGKD-00</v>
          </cell>
          <cell r="S806" t="str">
            <v>VIOS</v>
          </cell>
          <cell r="T806" t="e">
            <v>#N/A</v>
          </cell>
          <cell r="U806" t="str">
            <v>VIOS G A/T</v>
          </cell>
        </row>
        <row r="807">
          <cell r="D807" t="str">
            <v>NSP151R-CEXGKD-D0</v>
          </cell>
          <cell r="E807" t="str">
            <v>VIOS</v>
          </cell>
          <cell r="F807" t="str">
            <v>VIOS</v>
          </cell>
          <cell r="G807" t="str">
            <v>VIOS</v>
          </cell>
          <cell r="H807" t="str">
            <v>VIOS G A/T</v>
          </cell>
          <cell r="I807" t="str">
            <v>VIOS G A/T</v>
          </cell>
          <cell r="J807" t="str">
            <v>VIOS G A/T</v>
          </cell>
          <cell r="K807" t="str">
            <v>VIOS</v>
          </cell>
          <cell r="L807" t="str">
            <v>NS15XGGA/TD0M</v>
          </cell>
          <cell r="M807" t="str">
            <v>VIOS</v>
          </cell>
          <cell r="N807" t="str">
            <v>VIOS</v>
          </cell>
          <cell r="O807" t="str">
            <v>NSP151R-CEXGKD-D0</v>
          </cell>
          <cell r="P807" t="e">
            <v>#N/A</v>
          </cell>
          <cell r="Q807" t="e">
            <v>#N/A</v>
          </cell>
          <cell r="R807" t="str">
            <v>NSP151R-CEXGKD-D0</v>
          </cell>
          <cell r="S807" t="str">
            <v>VIOS</v>
          </cell>
          <cell r="T807" t="e">
            <v>#N/A</v>
          </cell>
          <cell r="U807" t="str">
            <v>VIOS G A/T</v>
          </cell>
        </row>
        <row r="808">
          <cell r="D808" t="str">
            <v>NSP151R-CEXGKD-01</v>
          </cell>
          <cell r="E808" t="str">
            <v>VIOS</v>
          </cell>
          <cell r="F808" t="str">
            <v>VIOS</v>
          </cell>
          <cell r="G808" t="str">
            <v>VIOS</v>
          </cell>
          <cell r="H808" t="str">
            <v>VIOS G A/T</v>
          </cell>
          <cell r="I808" t="str">
            <v>VIOS G A/T</v>
          </cell>
          <cell r="J808" t="str">
            <v>VIOS G A/T</v>
          </cell>
          <cell r="K808" t="str">
            <v>VIOS</v>
          </cell>
          <cell r="L808" t="str">
            <v>NS15XGGA/T01M</v>
          </cell>
          <cell r="M808" t="str">
            <v>VIOS</v>
          </cell>
          <cell r="N808" t="str">
            <v>VIOS</v>
          </cell>
          <cell r="O808" t="str">
            <v>NSP151R-CEXGKD-01</v>
          </cell>
          <cell r="P808" t="e">
            <v>#N/A</v>
          </cell>
          <cell r="Q808" t="e">
            <v>#N/A</v>
          </cell>
          <cell r="R808" t="str">
            <v>NSP151R-CEXGKD-01</v>
          </cell>
          <cell r="S808" t="str">
            <v>VIOS</v>
          </cell>
          <cell r="T808" t="e">
            <v>#N/A</v>
          </cell>
          <cell r="U808" t="str">
            <v>VIOS G A/T</v>
          </cell>
        </row>
        <row r="809">
          <cell r="D809" t="e">
            <v>#N/A</v>
          </cell>
          <cell r="E809" t="str">
            <v>VIOS</v>
          </cell>
          <cell r="F809" t="str">
            <v>VIOS</v>
          </cell>
          <cell r="G809" t="str">
            <v>VIOS</v>
          </cell>
          <cell r="H809" t="str">
            <v>VIOS G M/T</v>
          </cell>
          <cell r="I809" t="str">
            <v>VIOS G M/T</v>
          </cell>
          <cell r="J809" t="str">
            <v>VIOS G M/T</v>
          </cell>
          <cell r="K809" t="str">
            <v>VIOS</v>
          </cell>
          <cell r="L809" t="str">
            <v>NC42GM/T01M</v>
          </cell>
          <cell r="M809" t="str">
            <v>VIOS</v>
          </cell>
          <cell r="N809" t="str">
            <v>VIOS</v>
          </cell>
          <cell r="O809" t="e">
            <v>#N/A</v>
          </cell>
          <cell r="P809" t="e">
            <v>#N/A</v>
          </cell>
          <cell r="Q809" t="e">
            <v>#N/A</v>
          </cell>
          <cell r="R809" t="e">
            <v>#N/A</v>
          </cell>
          <cell r="S809" t="str">
            <v>VIOS</v>
          </cell>
          <cell r="T809" t="e">
            <v>#N/A</v>
          </cell>
          <cell r="U809" t="str">
            <v>VIOS G M/T</v>
          </cell>
        </row>
        <row r="810">
          <cell r="D810" t="e">
            <v>#N/A</v>
          </cell>
          <cell r="E810" t="str">
            <v>VIOS</v>
          </cell>
          <cell r="F810" t="str">
            <v>VIOS</v>
          </cell>
          <cell r="G810" t="str">
            <v>VIOS</v>
          </cell>
          <cell r="H810" t="str">
            <v>VIOS G M/T</v>
          </cell>
          <cell r="I810" t="str">
            <v>VIOS G M/T</v>
          </cell>
          <cell r="J810" t="str">
            <v>VIOS G M/T</v>
          </cell>
          <cell r="K810" t="str">
            <v>VIOS</v>
          </cell>
          <cell r="L810" t="str">
            <v>NC93GM/T10M</v>
          </cell>
          <cell r="M810" t="str">
            <v>VIOS</v>
          </cell>
          <cell r="N810" t="str">
            <v>VIOS</v>
          </cell>
          <cell r="O810" t="e">
            <v>#N/A</v>
          </cell>
          <cell r="P810" t="e">
            <v>#N/A</v>
          </cell>
          <cell r="Q810" t="e">
            <v>#N/A</v>
          </cell>
          <cell r="R810" t="e">
            <v>#N/A</v>
          </cell>
          <cell r="S810" t="str">
            <v>VIOS</v>
          </cell>
          <cell r="T810" t="e">
            <v>#N/A</v>
          </cell>
          <cell r="U810" t="str">
            <v>VIOS G M/T</v>
          </cell>
        </row>
        <row r="811">
          <cell r="D811" t="e">
            <v>#N/A</v>
          </cell>
          <cell r="E811" t="str">
            <v>VIOS</v>
          </cell>
          <cell r="F811" t="str">
            <v>VIOS</v>
          </cell>
          <cell r="G811" t="str">
            <v>VIOS</v>
          </cell>
          <cell r="H811" t="str">
            <v>VIOS G M/T</v>
          </cell>
          <cell r="I811" t="str">
            <v>VIOS G M/T</v>
          </cell>
          <cell r="J811" t="str">
            <v>VIOS G M/T</v>
          </cell>
          <cell r="K811" t="str">
            <v>VIOS</v>
          </cell>
          <cell r="L811" t="str">
            <v>NC93GM/T</v>
          </cell>
          <cell r="M811" t="str">
            <v>VIOS</v>
          </cell>
          <cell r="N811" t="str">
            <v>VIOS</v>
          </cell>
          <cell r="O811" t="e">
            <v>#N/A</v>
          </cell>
          <cell r="P811" t="e">
            <v>#N/A</v>
          </cell>
          <cell r="Q811" t="e">
            <v>#N/A</v>
          </cell>
          <cell r="R811" t="e">
            <v>#N/A</v>
          </cell>
          <cell r="S811" t="str">
            <v>VIOS</v>
          </cell>
          <cell r="T811" t="e">
            <v>#N/A</v>
          </cell>
          <cell r="U811" t="str">
            <v>VIOS G M/T</v>
          </cell>
        </row>
        <row r="812">
          <cell r="D812" t="e">
            <v>#N/A</v>
          </cell>
          <cell r="E812" t="str">
            <v>VIOS</v>
          </cell>
          <cell r="F812" t="str">
            <v>VIOS</v>
          </cell>
          <cell r="G812" t="str">
            <v>VIOS</v>
          </cell>
          <cell r="H812" t="str">
            <v>VIOS G M/T</v>
          </cell>
          <cell r="I812" t="str">
            <v>VIOS G M/T</v>
          </cell>
          <cell r="J812" t="str">
            <v>VIOS G M/T</v>
          </cell>
          <cell r="K812" t="str">
            <v>VIOS</v>
          </cell>
          <cell r="L812" t="str">
            <v>NC93GM/TM</v>
          </cell>
          <cell r="M812" t="str">
            <v>VIOS</v>
          </cell>
          <cell r="N812" t="str">
            <v>VIOS</v>
          </cell>
          <cell r="O812" t="e">
            <v>#N/A</v>
          </cell>
          <cell r="P812" t="e">
            <v>#N/A</v>
          </cell>
          <cell r="Q812" t="e">
            <v>#N/A</v>
          </cell>
          <cell r="R812" t="e">
            <v>#N/A</v>
          </cell>
          <cell r="S812" t="str">
            <v>VIOS</v>
          </cell>
          <cell r="T812" t="e">
            <v>#N/A</v>
          </cell>
          <cell r="U812" t="str">
            <v>VIOS G M/T</v>
          </cell>
        </row>
        <row r="813">
          <cell r="D813" t="e">
            <v>#N/A</v>
          </cell>
          <cell r="E813" t="str">
            <v>VIOS</v>
          </cell>
          <cell r="F813" t="str">
            <v>VIOS</v>
          </cell>
          <cell r="G813" t="str">
            <v>VIOS</v>
          </cell>
          <cell r="H813" t="str">
            <v>VIOS G M/T</v>
          </cell>
          <cell r="I813" t="str">
            <v>VIOS G M/T</v>
          </cell>
          <cell r="J813" t="str">
            <v>VIOS G M/T</v>
          </cell>
          <cell r="K813" t="str">
            <v>VIOS</v>
          </cell>
          <cell r="L813" t="str">
            <v>NC15GM/TM</v>
          </cell>
          <cell r="M813" t="str">
            <v>VIOS</v>
          </cell>
          <cell r="N813" t="str">
            <v>VIOS</v>
          </cell>
          <cell r="O813" t="e">
            <v>#N/A</v>
          </cell>
          <cell r="P813" t="e">
            <v>#N/A</v>
          </cell>
          <cell r="Q813" t="e">
            <v>#N/A</v>
          </cell>
          <cell r="R813" t="e">
            <v>#N/A</v>
          </cell>
          <cell r="S813" t="str">
            <v>VIOS</v>
          </cell>
          <cell r="T813" t="e">
            <v>#N/A</v>
          </cell>
          <cell r="U813" t="str">
            <v>VIOS G M/T</v>
          </cell>
        </row>
        <row r="814">
          <cell r="D814" t="e">
            <v>#N/A</v>
          </cell>
          <cell r="E814" t="str">
            <v>VIOS</v>
          </cell>
          <cell r="F814" t="str">
            <v>VIOS</v>
          </cell>
          <cell r="G814" t="str">
            <v>VIOS</v>
          </cell>
          <cell r="H814" t="str">
            <v>VIOS G M/T</v>
          </cell>
          <cell r="I814" t="str">
            <v>VIOS G M/T</v>
          </cell>
          <cell r="J814" t="str">
            <v>VIOS G M/T</v>
          </cell>
          <cell r="K814" t="str">
            <v>VIOS</v>
          </cell>
          <cell r="L814" t="str">
            <v>NC93GM/T20M</v>
          </cell>
          <cell r="M814" t="str">
            <v>VIOS</v>
          </cell>
          <cell r="N814" t="str">
            <v>VIOS</v>
          </cell>
          <cell r="O814" t="e">
            <v>#N/A</v>
          </cell>
          <cell r="P814" t="e">
            <v>#N/A</v>
          </cell>
          <cell r="Q814" t="e">
            <v>#N/A</v>
          </cell>
          <cell r="R814" t="e">
            <v>#N/A</v>
          </cell>
          <cell r="S814" t="str">
            <v>VIOS</v>
          </cell>
          <cell r="T814" t="e">
            <v>#N/A</v>
          </cell>
          <cell r="U814" t="str">
            <v>VIOS G M/T</v>
          </cell>
        </row>
        <row r="815">
          <cell r="D815" t="str">
            <v>NCP150R-CEMGKD-00</v>
          </cell>
          <cell r="E815" t="str">
            <v>VIOS</v>
          </cell>
          <cell r="F815" t="str">
            <v>VIOS</v>
          </cell>
          <cell r="G815" t="str">
            <v>VIOS</v>
          </cell>
          <cell r="H815" t="str">
            <v>VIOS G M/T</v>
          </cell>
          <cell r="I815" t="str">
            <v>VIOS G M/T</v>
          </cell>
          <cell r="J815" t="str">
            <v>VIOS G M/T</v>
          </cell>
          <cell r="K815" t="str">
            <v>VIOS</v>
          </cell>
          <cell r="L815" t="str">
            <v>NCP15GM/TM</v>
          </cell>
          <cell r="M815" t="str">
            <v>VIOS</v>
          </cell>
          <cell r="N815" t="str">
            <v>VIOS</v>
          </cell>
          <cell r="O815" t="str">
            <v>NCP150R-CEMGKD-00</v>
          </cell>
          <cell r="P815" t="e">
            <v>#N/A</v>
          </cell>
          <cell r="Q815" t="e">
            <v>#N/A</v>
          </cell>
          <cell r="R815" t="str">
            <v>NCP150R-CEMGKD-00</v>
          </cell>
          <cell r="S815" t="str">
            <v>VIOS</v>
          </cell>
          <cell r="T815" t="e">
            <v>#N/A</v>
          </cell>
          <cell r="U815" t="str">
            <v>VIOS G M/T</v>
          </cell>
        </row>
        <row r="816">
          <cell r="D816" t="str">
            <v>NCP150R-CEMGKD-01</v>
          </cell>
          <cell r="E816" t="str">
            <v>VIOS</v>
          </cell>
          <cell r="F816" t="str">
            <v>VIOS</v>
          </cell>
          <cell r="G816" t="str">
            <v>VIOS</v>
          </cell>
          <cell r="H816" t="str">
            <v>VIOS G M/T</v>
          </cell>
          <cell r="I816" t="str">
            <v>VIOS G M/T</v>
          </cell>
          <cell r="J816" t="str">
            <v>VIOS G M/T</v>
          </cell>
          <cell r="K816" t="str">
            <v>VIOS</v>
          </cell>
          <cell r="L816" t="str">
            <v>NCP15GM/TTRDM</v>
          </cell>
          <cell r="M816" t="str">
            <v>VIOS</v>
          </cell>
          <cell r="N816" t="str">
            <v>VIOS</v>
          </cell>
          <cell r="O816" t="str">
            <v>NCP150R-CEMGKD-01</v>
          </cell>
          <cell r="P816" t="e">
            <v>#N/A</v>
          </cell>
          <cell r="Q816" t="e">
            <v>#N/A</v>
          </cell>
          <cell r="R816" t="str">
            <v>NCP150R-CEMGKD-01</v>
          </cell>
          <cell r="S816" t="str">
            <v>VIOS</v>
          </cell>
          <cell r="T816" t="e">
            <v>#N/A</v>
          </cell>
          <cell r="U816" t="str">
            <v>VIOS G M/T</v>
          </cell>
        </row>
        <row r="817">
          <cell r="D817" t="str">
            <v>NSP151R-CEMGKD-01</v>
          </cell>
          <cell r="E817" t="str">
            <v>VIOS</v>
          </cell>
          <cell r="F817" t="str">
            <v>VIOS</v>
          </cell>
          <cell r="G817" t="str">
            <v>VIOS</v>
          </cell>
          <cell r="H817" t="str">
            <v>VIOS G M/T</v>
          </cell>
          <cell r="I817" t="str">
            <v>VIOS G M/T</v>
          </cell>
          <cell r="J817" t="str">
            <v>VIOS G M/T</v>
          </cell>
          <cell r="K817" t="str">
            <v>VIOS</v>
          </cell>
          <cell r="L817" t="str">
            <v>NS15MGGM/T01M</v>
          </cell>
          <cell r="M817" t="str">
            <v>VIOS</v>
          </cell>
          <cell r="N817" t="str">
            <v>VIOS</v>
          </cell>
          <cell r="O817" t="str">
            <v>NSP151R-CEMGKD-01</v>
          </cell>
          <cell r="P817" t="e">
            <v>#N/A</v>
          </cell>
          <cell r="Q817" t="e">
            <v>#N/A</v>
          </cell>
          <cell r="R817" t="str">
            <v>NSP151R-CEMGKD-01</v>
          </cell>
          <cell r="S817" t="str">
            <v>VIOS</v>
          </cell>
          <cell r="T817" t="e">
            <v>#N/A</v>
          </cell>
          <cell r="U817" t="str">
            <v>VIOS G M/T</v>
          </cell>
        </row>
        <row r="818">
          <cell r="D818" t="str">
            <v>NSP151R-CEMGKD-00</v>
          </cell>
          <cell r="E818" t="str">
            <v>VIOS</v>
          </cell>
          <cell r="F818" t="str">
            <v>VIOS</v>
          </cell>
          <cell r="G818" t="str">
            <v>VIOS</v>
          </cell>
          <cell r="H818" t="str">
            <v>VIOS G M/T</v>
          </cell>
          <cell r="I818" t="str">
            <v>VIOS G M/T</v>
          </cell>
          <cell r="J818" t="str">
            <v>VIOS G M/T</v>
          </cell>
          <cell r="K818" t="str">
            <v>VIOS</v>
          </cell>
          <cell r="L818" t="str">
            <v>NS15MGGM/T00M</v>
          </cell>
          <cell r="M818" t="str">
            <v>VIOS</v>
          </cell>
          <cell r="N818" t="str">
            <v>VIOS</v>
          </cell>
          <cell r="O818" t="str">
            <v>NSP151R-CEMGKD-00</v>
          </cell>
          <cell r="P818" t="e">
            <v>#N/A</v>
          </cell>
          <cell r="Q818" t="e">
            <v>#N/A</v>
          </cell>
          <cell r="R818" t="str">
            <v>NSP151R-CEMGKD-00</v>
          </cell>
          <cell r="S818" t="str">
            <v>VIOS</v>
          </cell>
          <cell r="T818" t="e">
            <v>#N/A</v>
          </cell>
          <cell r="U818" t="str">
            <v>VIOS G M/T</v>
          </cell>
        </row>
        <row r="819">
          <cell r="D819" t="str">
            <v>NSP151R-CEMGKD-D0</v>
          </cell>
          <cell r="E819" t="str">
            <v>VIOS</v>
          </cell>
          <cell r="F819" t="str">
            <v>VIOS</v>
          </cell>
          <cell r="G819" t="str">
            <v>VIOS</v>
          </cell>
          <cell r="H819" t="str">
            <v>VIOS G M/T</v>
          </cell>
          <cell r="I819" t="str">
            <v>VIOS G M/T</v>
          </cell>
          <cell r="J819" t="str">
            <v>VIOS G M/T</v>
          </cell>
          <cell r="K819" t="str">
            <v>VIOS</v>
          </cell>
          <cell r="L819" t="str">
            <v>NS15MGGM/TD0M</v>
          </cell>
          <cell r="M819" t="str">
            <v>VIOS</v>
          </cell>
          <cell r="N819" t="str">
            <v>VIOS</v>
          </cell>
          <cell r="O819" t="str">
            <v>NSP151R-CEMGKD-D0</v>
          </cell>
          <cell r="P819" t="e">
            <v>#N/A</v>
          </cell>
          <cell r="Q819" t="e">
            <v>#N/A</v>
          </cell>
          <cell r="R819" t="str">
            <v>NSP151R-CEMGKD-D0</v>
          </cell>
          <cell r="S819" t="str">
            <v>VIOS</v>
          </cell>
          <cell r="T819" t="e">
            <v>#N/A</v>
          </cell>
          <cell r="U819" t="str">
            <v>VIOS G M/T</v>
          </cell>
        </row>
        <row r="820">
          <cell r="D820" t="e">
            <v>#N/A</v>
          </cell>
          <cell r="E820" t="str">
            <v>YARIS</v>
          </cell>
          <cell r="F820" t="str">
            <v>YARIS</v>
          </cell>
          <cell r="G820" t="str">
            <v>YARIS</v>
          </cell>
          <cell r="H820" t="str">
            <v>YARIS E A/T</v>
          </cell>
          <cell r="I820" t="str">
            <v>YARIS E A/T</v>
          </cell>
          <cell r="J820" t="str">
            <v>YARIS E A/T</v>
          </cell>
          <cell r="K820" t="str">
            <v>YARIS</v>
          </cell>
          <cell r="L820" t="str">
            <v>NC91EA/T</v>
          </cell>
          <cell r="M820" t="str">
            <v>YARIS</v>
          </cell>
          <cell r="N820" t="str">
            <v>YARIS</v>
          </cell>
          <cell r="O820" t="e">
            <v>#N/A</v>
          </cell>
          <cell r="P820" t="e">
            <v>#N/A</v>
          </cell>
          <cell r="Q820" t="e">
            <v>#N/A</v>
          </cell>
          <cell r="R820" t="e">
            <v>#N/A</v>
          </cell>
          <cell r="S820" t="str">
            <v>YARIS</v>
          </cell>
          <cell r="T820" t="e">
            <v>#N/A</v>
          </cell>
          <cell r="U820" t="str">
            <v>YARIS E A/T</v>
          </cell>
        </row>
        <row r="821">
          <cell r="D821" t="e">
            <v>#N/A</v>
          </cell>
          <cell r="E821" t="str">
            <v>YARIS</v>
          </cell>
          <cell r="F821" t="str">
            <v>YARIS</v>
          </cell>
          <cell r="G821" t="str">
            <v>YARIS</v>
          </cell>
          <cell r="H821" t="str">
            <v>YARIS E A/T</v>
          </cell>
          <cell r="I821" t="str">
            <v>YARIS E A/T</v>
          </cell>
          <cell r="J821" t="str">
            <v>YARIS E A/T</v>
          </cell>
          <cell r="K821" t="str">
            <v>YARIS</v>
          </cell>
          <cell r="L821" t="str">
            <v>NC91EA/TM</v>
          </cell>
          <cell r="M821" t="str">
            <v>YARIS</v>
          </cell>
          <cell r="N821" t="str">
            <v>YARIS</v>
          </cell>
          <cell r="O821" t="e">
            <v>#N/A</v>
          </cell>
          <cell r="P821" t="e">
            <v>#N/A</v>
          </cell>
          <cell r="Q821" t="e">
            <v>#N/A</v>
          </cell>
          <cell r="R821" t="e">
            <v>#N/A</v>
          </cell>
          <cell r="S821" t="str">
            <v>YARIS</v>
          </cell>
          <cell r="T821" t="e">
            <v>#N/A</v>
          </cell>
          <cell r="U821" t="str">
            <v>YARIS E A/T</v>
          </cell>
        </row>
        <row r="822">
          <cell r="D822" t="e">
            <v>#N/A</v>
          </cell>
          <cell r="E822" t="str">
            <v>YARIS</v>
          </cell>
          <cell r="F822" t="str">
            <v>YARIS</v>
          </cell>
          <cell r="G822" t="str">
            <v>YARIS</v>
          </cell>
          <cell r="H822" t="str">
            <v>YARIS E A/T</v>
          </cell>
          <cell r="I822" t="str">
            <v>YARIS E A/T</v>
          </cell>
          <cell r="J822" t="str">
            <v>YARIS E A/T</v>
          </cell>
          <cell r="K822" t="str">
            <v>YARIS</v>
          </cell>
          <cell r="L822" t="str">
            <v>NC91EA/T10M</v>
          </cell>
          <cell r="M822" t="str">
            <v>YARIS</v>
          </cell>
          <cell r="N822" t="str">
            <v>YARIS</v>
          </cell>
          <cell r="O822" t="e">
            <v>#N/A</v>
          </cell>
          <cell r="P822" t="e">
            <v>#N/A</v>
          </cell>
          <cell r="Q822" t="e">
            <v>#N/A</v>
          </cell>
          <cell r="R822" t="e">
            <v>#N/A</v>
          </cell>
          <cell r="S822" t="str">
            <v>YARIS</v>
          </cell>
          <cell r="T822" t="e">
            <v>#N/A</v>
          </cell>
          <cell r="U822" t="str">
            <v>YARIS E A/T</v>
          </cell>
        </row>
        <row r="823">
          <cell r="D823" t="e">
            <v>#N/A</v>
          </cell>
          <cell r="E823" t="str">
            <v>YARIS</v>
          </cell>
          <cell r="F823" t="str">
            <v>YARIS</v>
          </cell>
          <cell r="G823" t="str">
            <v>YARIS</v>
          </cell>
          <cell r="H823" t="str">
            <v>YARIS E A/T</v>
          </cell>
          <cell r="I823" t="str">
            <v>YARIS E A/T</v>
          </cell>
          <cell r="J823" t="str">
            <v>YARIS E A/T</v>
          </cell>
          <cell r="K823" t="str">
            <v>YARIS</v>
          </cell>
          <cell r="L823" t="str">
            <v>NC91EA/T10S</v>
          </cell>
          <cell r="M823" t="str">
            <v>YARIS</v>
          </cell>
          <cell r="N823" t="str">
            <v>YARIS</v>
          </cell>
          <cell r="O823" t="e">
            <v>#N/A</v>
          </cell>
          <cell r="P823" t="e">
            <v>#N/A</v>
          </cell>
          <cell r="Q823" t="e">
            <v>#N/A</v>
          </cell>
          <cell r="R823" t="e">
            <v>#N/A</v>
          </cell>
          <cell r="S823" t="str">
            <v>YARIS</v>
          </cell>
          <cell r="T823" t="e">
            <v>#N/A</v>
          </cell>
          <cell r="U823" t="str">
            <v>YARIS E A/T</v>
          </cell>
        </row>
        <row r="824">
          <cell r="D824" t="e">
            <v>#N/A</v>
          </cell>
          <cell r="E824" t="str">
            <v>YARIS</v>
          </cell>
          <cell r="F824" t="str">
            <v>YARIS</v>
          </cell>
          <cell r="G824" t="str">
            <v>YARIS</v>
          </cell>
          <cell r="H824" t="str">
            <v>YARIS E A/T</v>
          </cell>
          <cell r="I824" t="str">
            <v>YARIS E A/T</v>
          </cell>
          <cell r="J824" t="str">
            <v>YARIS E A/T</v>
          </cell>
          <cell r="K824" t="str">
            <v>YARIS</v>
          </cell>
          <cell r="L824" t="str">
            <v>NC91EA/T20M</v>
          </cell>
          <cell r="M824" t="str">
            <v>YARIS</v>
          </cell>
          <cell r="N824" t="str">
            <v>YARIS</v>
          </cell>
          <cell r="O824" t="e">
            <v>#N/A</v>
          </cell>
          <cell r="P824" t="e">
            <v>#N/A</v>
          </cell>
          <cell r="Q824" t="e">
            <v>#N/A</v>
          </cell>
          <cell r="R824" t="e">
            <v>#N/A</v>
          </cell>
          <cell r="S824" t="str">
            <v>YARIS</v>
          </cell>
          <cell r="T824" t="e">
            <v>#N/A</v>
          </cell>
          <cell r="U824" t="str">
            <v>YARIS E A/T</v>
          </cell>
        </row>
        <row r="825">
          <cell r="D825" t="str">
            <v>NCP150R-CHPRKD-00</v>
          </cell>
          <cell r="E825" t="str">
            <v>YARIS</v>
          </cell>
          <cell r="F825" t="str">
            <v>YARIS</v>
          </cell>
          <cell r="G825" t="str">
            <v>YARIS</v>
          </cell>
          <cell r="H825" t="str">
            <v>YARIS E A/T</v>
          </cell>
          <cell r="I825" t="str">
            <v>YARIS E A/T</v>
          </cell>
          <cell r="J825" t="str">
            <v>YARIS E A/T</v>
          </cell>
          <cell r="K825" t="str">
            <v>YARIS</v>
          </cell>
          <cell r="L825" t="str">
            <v>NR15EA/TM</v>
          </cell>
          <cell r="M825" t="str">
            <v>YARIS</v>
          </cell>
          <cell r="N825" t="str">
            <v>YARIS</v>
          </cell>
          <cell r="O825" t="str">
            <v>NCP150R-CHPRKD-00</v>
          </cell>
          <cell r="P825" t="e">
            <v>#N/A</v>
          </cell>
          <cell r="Q825" t="e">
            <v>#N/A</v>
          </cell>
          <cell r="R825" t="str">
            <v>NCP150R-CHPRKD-00</v>
          </cell>
          <cell r="S825" t="str">
            <v>YARIS</v>
          </cell>
          <cell r="T825" t="e">
            <v>#N/A</v>
          </cell>
          <cell r="U825" t="str">
            <v>YARIS E A/T</v>
          </cell>
        </row>
        <row r="826">
          <cell r="D826" t="e">
            <v>#N/A</v>
          </cell>
          <cell r="E826" t="str">
            <v>YARIS</v>
          </cell>
          <cell r="F826" t="str">
            <v>YARIS</v>
          </cell>
          <cell r="G826" t="str">
            <v>YARIS</v>
          </cell>
          <cell r="H826" t="str">
            <v>YARIS E A/T</v>
          </cell>
          <cell r="I826" t="str">
            <v>YARIS E A/T</v>
          </cell>
          <cell r="J826" t="str">
            <v>YARIS E A/T</v>
          </cell>
          <cell r="K826" t="str">
            <v>YARIS</v>
          </cell>
          <cell r="L826" t="str">
            <v>NR15EA/TS</v>
          </cell>
          <cell r="M826" t="str">
            <v>YARIS</v>
          </cell>
          <cell r="N826" t="str">
            <v>YARIS</v>
          </cell>
          <cell r="O826" t="e">
            <v>#N/A</v>
          </cell>
          <cell r="P826" t="e">
            <v>#N/A</v>
          </cell>
          <cell r="Q826" t="e">
            <v>#N/A</v>
          </cell>
          <cell r="R826" t="e">
            <v>#N/A</v>
          </cell>
          <cell r="S826" t="str">
            <v>YARIS</v>
          </cell>
          <cell r="T826" t="e">
            <v>#N/A</v>
          </cell>
          <cell r="U826" t="str">
            <v>YARIS E A/T</v>
          </cell>
        </row>
        <row r="827">
          <cell r="D827" t="e">
            <v>#N/A</v>
          </cell>
          <cell r="E827" t="str">
            <v>YARIS</v>
          </cell>
          <cell r="F827" t="str">
            <v>YARIS</v>
          </cell>
          <cell r="G827" t="str">
            <v>YARIS</v>
          </cell>
          <cell r="H827" t="str">
            <v>YARIS E A/T</v>
          </cell>
          <cell r="I827" t="str">
            <v>YARIS E A/T</v>
          </cell>
          <cell r="J827" t="str">
            <v>YARIS E A/T</v>
          </cell>
          <cell r="K827" t="str">
            <v>YARIS</v>
          </cell>
          <cell r="L827" t="str">
            <v>NC91EA/TLTD</v>
          </cell>
          <cell r="M827" t="str">
            <v>YARIS</v>
          </cell>
          <cell r="N827" t="str">
            <v>YARIS</v>
          </cell>
          <cell r="O827" t="e">
            <v>#N/A</v>
          </cell>
          <cell r="P827" t="e">
            <v>#N/A</v>
          </cell>
          <cell r="Q827" t="e">
            <v>#N/A</v>
          </cell>
          <cell r="R827" t="e">
            <v>#N/A</v>
          </cell>
          <cell r="S827" t="str">
            <v>YARIS</v>
          </cell>
          <cell r="T827" t="e">
            <v>#N/A</v>
          </cell>
          <cell r="U827" t="str">
            <v>YARIS E A/T</v>
          </cell>
        </row>
        <row r="828">
          <cell r="D828" t="str">
            <v>NSP151R-CHXRKD-00</v>
          </cell>
          <cell r="E828" t="str">
            <v>YARIS</v>
          </cell>
          <cell r="F828" t="str">
            <v>YARIS</v>
          </cell>
          <cell r="G828" t="str">
            <v>YARIS</v>
          </cell>
          <cell r="H828" t="str">
            <v>YARIS E A/T</v>
          </cell>
          <cell r="I828" t="str">
            <v>YARIS E A/T</v>
          </cell>
          <cell r="J828" t="str">
            <v>YARIS E A/T</v>
          </cell>
          <cell r="K828" t="str">
            <v>YARIS</v>
          </cell>
          <cell r="L828" t="str">
            <v>NS51HXEA/T00M</v>
          </cell>
          <cell r="M828" t="str">
            <v>YARIS</v>
          </cell>
          <cell r="N828" t="str">
            <v>YARIS</v>
          </cell>
          <cell r="O828" t="str">
            <v>NSP151R-CHXRKD-00</v>
          </cell>
          <cell r="P828" t="e">
            <v>#N/A</v>
          </cell>
          <cell r="Q828" t="e">
            <v>#N/A</v>
          </cell>
          <cell r="R828" t="str">
            <v>NSP151R-CHXRKD-00</v>
          </cell>
          <cell r="S828" t="str">
            <v>YARIS</v>
          </cell>
          <cell r="T828" t="e">
            <v>#N/A</v>
          </cell>
          <cell r="U828" t="str">
            <v>YARIS E A/T</v>
          </cell>
        </row>
        <row r="829">
          <cell r="D829" t="e">
            <v>#N/A</v>
          </cell>
          <cell r="E829" t="str">
            <v>YARIS</v>
          </cell>
          <cell r="F829" t="str">
            <v>YARIS</v>
          </cell>
          <cell r="G829" t="str">
            <v>YARIS</v>
          </cell>
          <cell r="H829" t="str">
            <v>YARIS E M/T</v>
          </cell>
          <cell r="I829" t="str">
            <v>YARIS E M/T</v>
          </cell>
          <cell r="J829" t="str">
            <v>YARIS E M/T</v>
          </cell>
          <cell r="K829" t="str">
            <v>YARIS</v>
          </cell>
          <cell r="L829" t="str">
            <v>NC91EM/T</v>
          </cell>
          <cell r="M829" t="str">
            <v>YARIS</v>
          </cell>
          <cell r="N829" t="str">
            <v>YARIS</v>
          </cell>
          <cell r="O829" t="e">
            <v>#N/A</v>
          </cell>
          <cell r="P829" t="e">
            <v>#N/A</v>
          </cell>
          <cell r="Q829" t="e">
            <v>#N/A</v>
          </cell>
          <cell r="R829" t="e">
            <v>#N/A</v>
          </cell>
          <cell r="S829" t="str">
            <v>YARIS</v>
          </cell>
          <cell r="T829" t="e">
            <v>#N/A</v>
          </cell>
          <cell r="U829" t="str">
            <v>YARIS E M/T</v>
          </cell>
        </row>
        <row r="830">
          <cell r="D830" t="e">
            <v>#N/A</v>
          </cell>
          <cell r="E830" t="str">
            <v>YARIS</v>
          </cell>
          <cell r="F830" t="str">
            <v>YARIS</v>
          </cell>
          <cell r="G830" t="str">
            <v>YARIS</v>
          </cell>
          <cell r="H830" t="str">
            <v>YARIS E M/T</v>
          </cell>
          <cell r="I830" t="str">
            <v>YARIS E M/T</v>
          </cell>
          <cell r="J830" t="str">
            <v>YARIS E M/T</v>
          </cell>
          <cell r="K830" t="str">
            <v>YARIS</v>
          </cell>
          <cell r="L830" t="str">
            <v>NC91EM/TM</v>
          </cell>
          <cell r="M830" t="str">
            <v>YARIS</v>
          </cell>
          <cell r="N830" t="str">
            <v>YARIS</v>
          </cell>
          <cell r="O830" t="e">
            <v>#N/A</v>
          </cell>
          <cell r="P830" t="e">
            <v>#N/A</v>
          </cell>
          <cell r="Q830" t="e">
            <v>#N/A</v>
          </cell>
          <cell r="R830" t="e">
            <v>#N/A</v>
          </cell>
          <cell r="S830" t="str">
            <v>YARIS</v>
          </cell>
          <cell r="T830" t="e">
            <v>#N/A</v>
          </cell>
          <cell r="U830" t="str">
            <v>YARIS E M/T</v>
          </cell>
        </row>
        <row r="831">
          <cell r="D831" t="e">
            <v>#N/A</v>
          </cell>
          <cell r="E831" t="str">
            <v>YARIS</v>
          </cell>
          <cell r="F831" t="str">
            <v>YARIS</v>
          </cell>
          <cell r="G831" t="str">
            <v>YARIS</v>
          </cell>
          <cell r="H831" t="str">
            <v>YARIS E M/T</v>
          </cell>
          <cell r="I831" t="str">
            <v>YARIS E M/T</v>
          </cell>
          <cell r="J831" t="str">
            <v>YARIS E M/T</v>
          </cell>
          <cell r="K831" t="str">
            <v>YARIS</v>
          </cell>
          <cell r="L831" t="str">
            <v>NC91EM/T10M</v>
          </cell>
          <cell r="M831" t="str">
            <v>YARIS</v>
          </cell>
          <cell r="N831" t="str">
            <v>YARIS</v>
          </cell>
          <cell r="O831" t="e">
            <v>#N/A</v>
          </cell>
          <cell r="P831" t="e">
            <v>#N/A</v>
          </cell>
          <cell r="Q831" t="e">
            <v>#N/A</v>
          </cell>
          <cell r="R831" t="e">
            <v>#N/A</v>
          </cell>
          <cell r="S831" t="str">
            <v>YARIS</v>
          </cell>
          <cell r="T831" t="e">
            <v>#N/A</v>
          </cell>
          <cell r="U831" t="str">
            <v>YARIS E M/T</v>
          </cell>
        </row>
        <row r="832">
          <cell r="D832" t="e">
            <v>#N/A</v>
          </cell>
          <cell r="E832" t="str">
            <v>YARIS</v>
          </cell>
          <cell r="F832" t="str">
            <v>YARIS</v>
          </cell>
          <cell r="G832" t="str">
            <v>YARIS</v>
          </cell>
          <cell r="H832" t="str">
            <v>YARIS E M/T</v>
          </cell>
          <cell r="I832" t="str">
            <v>YARIS E M/T</v>
          </cell>
          <cell r="J832" t="str">
            <v>YARIS E M/T</v>
          </cell>
          <cell r="K832" t="str">
            <v>YARIS</v>
          </cell>
          <cell r="L832" t="str">
            <v>NC91EM/T20M</v>
          </cell>
          <cell r="M832" t="str">
            <v>YARIS</v>
          </cell>
          <cell r="N832" t="str">
            <v>YARIS</v>
          </cell>
          <cell r="O832" t="e">
            <v>#N/A</v>
          </cell>
          <cell r="P832" t="e">
            <v>#N/A</v>
          </cell>
          <cell r="Q832" t="e">
            <v>#N/A</v>
          </cell>
          <cell r="R832" t="e">
            <v>#N/A</v>
          </cell>
          <cell r="S832" t="str">
            <v>YARIS</v>
          </cell>
          <cell r="T832" t="e">
            <v>#N/A</v>
          </cell>
          <cell r="U832" t="str">
            <v>YARIS E M/T</v>
          </cell>
        </row>
        <row r="833">
          <cell r="D833" t="str">
            <v>NCP150R-CHMRKD-00</v>
          </cell>
          <cell r="E833" t="str">
            <v>YARIS</v>
          </cell>
          <cell r="F833" t="str">
            <v>YARIS</v>
          </cell>
          <cell r="G833" t="str">
            <v>YARIS</v>
          </cell>
          <cell r="H833" t="str">
            <v>YARIS E M/T</v>
          </cell>
          <cell r="I833" t="str">
            <v>YARIS E M/T</v>
          </cell>
          <cell r="J833" t="str">
            <v>YARIS E M/T</v>
          </cell>
          <cell r="K833" t="str">
            <v>YARIS</v>
          </cell>
          <cell r="L833" t="str">
            <v>NR15EM/TM</v>
          </cell>
          <cell r="M833" t="str">
            <v>YARIS</v>
          </cell>
          <cell r="N833" t="str">
            <v>YARIS</v>
          </cell>
          <cell r="O833" t="str">
            <v>NCP150R-CHMRKD-00</v>
          </cell>
          <cell r="P833" t="e">
            <v>#N/A</v>
          </cell>
          <cell r="Q833" t="e">
            <v>#N/A</v>
          </cell>
          <cell r="R833" t="str">
            <v>NCP150R-CHMRKD-00</v>
          </cell>
          <cell r="S833" t="str">
            <v>YARIS</v>
          </cell>
          <cell r="T833" t="e">
            <v>#N/A</v>
          </cell>
          <cell r="U833" t="str">
            <v>YARIS E M/T</v>
          </cell>
        </row>
        <row r="834">
          <cell r="D834" t="e">
            <v>#N/A</v>
          </cell>
          <cell r="E834" t="str">
            <v>YARIS</v>
          </cell>
          <cell r="F834" t="str">
            <v>YARIS</v>
          </cell>
          <cell r="G834" t="str">
            <v>YARIS</v>
          </cell>
          <cell r="H834" t="str">
            <v>YARIS E M/T</v>
          </cell>
          <cell r="I834" t="str">
            <v>YARIS E M/T</v>
          </cell>
          <cell r="J834" t="str">
            <v>YARIS E M/T</v>
          </cell>
          <cell r="K834" t="str">
            <v>YARIS</v>
          </cell>
          <cell r="L834" t="str">
            <v>NR15EM/TS</v>
          </cell>
          <cell r="M834" t="str">
            <v>YARIS</v>
          </cell>
          <cell r="N834" t="str">
            <v>YARIS</v>
          </cell>
          <cell r="O834" t="e">
            <v>#N/A</v>
          </cell>
          <cell r="P834" t="e">
            <v>#N/A</v>
          </cell>
          <cell r="Q834" t="e">
            <v>#N/A</v>
          </cell>
          <cell r="R834" t="e">
            <v>#N/A</v>
          </cell>
          <cell r="S834" t="str">
            <v>YARIS</v>
          </cell>
          <cell r="T834" t="e">
            <v>#N/A</v>
          </cell>
          <cell r="U834" t="str">
            <v>YARIS E M/T</v>
          </cell>
        </row>
        <row r="835">
          <cell r="D835" t="e">
            <v>#N/A</v>
          </cell>
          <cell r="E835" t="str">
            <v>YARIS</v>
          </cell>
          <cell r="F835" t="str">
            <v>YARIS</v>
          </cell>
          <cell r="G835" t="str">
            <v>YARIS</v>
          </cell>
          <cell r="H835" t="str">
            <v>YARIS E M/T</v>
          </cell>
          <cell r="I835" t="str">
            <v>YARIS E M/T</v>
          </cell>
          <cell r="J835" t="str">
            <v>YARIS E M/T</v>
          </cell>
          <cell r="K835" t="str">
            <v>YARIS</v>
          </cell>
          <cell r="L835" t="str">
            <v>NC91EM/TDU</v>
          </cell>
          <cell r="M835" t="str">
            <v>YARIS</v>
          </cell>
          <cell r="N835" t="str">
            <v>YARIS</v>
          </cell>
          <cell r="O835" t="e">
            <v>#N/A</v>
          </cell>
          <cell r="P835" t="e">
            <v>#N/A</v>
          </cell>
          <cell r="Q835" t="e">
            <v>#N/A</v>
          </cell>
          <cell r="R835" t="e">
            <v>#N/A</v>
          </cell>
          <cell r="S835" t="str">
            <v>YARIS</v>
          </cell>
          <cell r="T835" t="e">
            <v>#N/A</v>
          </cell>
          <cell r="U835" t="str">
            <v>YARIS E M/T</v>
          </cell>
        </row>
        <row r="836">
          <cell r="D836" t="e">
            <v>#N/A</v>
          </cell>
          <cell r="E836" t="str">
            <v>YARIS</v>
          </cell>
          <cell r="F836" t="str">
            <v>YARIS</v>
          </cell>
          <cell r="G836" t="str">
            <v>YARIS</v>
          </cell>
          <cell r="H836" t="str">
            <v>YARIS E M/T</v>
          </cell>
          <cell r="I836" t="str">
            <v>YARIS E M/T</v>
          </cell>
          <cell r="J836" t="str">
            <v>YARIS E M/T</v>
          </cell>
          <cell r="K836" t="str">
            <v>YARIS</v>
          </cell>
          <cell r="L836" t="str">
            <v>NC91EM/TDUM</v>
          </cell>
          <cell r="M836" t="str">
            <v>YARIS</v>
          </cell>
          <cell r="N836" t="str">
            <v>YARIS</v>
          </cell>
          <cell r="O836" t="e">
            <v>#N/A</v>
          </cell>
          <cell r="P836" t="e">
            <v>#N/A</v>
          </cell>
          <cell r="Q836" t="e">
            <v>#N/A</v>
          </cell>
          <cell r="R836" t="e">
            <v>#N/A</v>
          </cell>
          <cell r="S836" t="str">
            <v>YARIS</v>
          </cell>
          <cell r="T836" t="e">
            <v>#N/A</v>
          </cell>
          <cell r="U836" t="str">
            <v>YARIS E M/T</v>
          </cell>
        </row>
        <row r="837">
          <cell r="D837" t="e">
            <v>#N/A</v>
          </cell>
          <cell r="E837" t="str">
            <v>YARIS</v>
          </cell>
          <cell r="F837" t="str">
            <v>YARIS</v>
          </cell>
          <cell r="G837" t="str">
            <v>YARIS</v>
          </cell>
          <cell r="H837" t="str">
            <v>YARIS E M/T</v>
          </cell>
          <cell r="I837" t="str">
            <v>YARIS E M/T</v>
          </cell>
          <cell r="J837" t="str">
            <v>YARIS E M/T</v>
          </cell>
          <cell r="K837" t="str">
            <v>YARIS</v>
          </cell>
          <cell r="L837" t="str">
            <v>NC91EM/TLTD</v>
          </cell>
          <cell r="M837" t="str">
            <v>YARIS</v>
          </cell>
          <cell r="N837" t="str">
            <v>YARIS</v>
          </cell>
          <cell r="O837" t="e">
            <v>#N/A</v>
          </cell>
          <cell r="P837" t="e">
            <v>#N/A</v>
          </cell>
          <cell r="Q837" t="e">
            <v>#N/A</v>
          </cell>
          <cell r="R837" t="e">
            <v>#N/A</v>
          </cell>
          <cell r="S837" t="str">
            <v>YARIS</v>
          </cell>
          <cell r="T837" t="e">
            <v>#N/A</v>
          </cell>
          <cell r="U837" t="str">
            <v>YARIS E M/T</v>
          </cell>
        </row>
        <row r="838">
          <cell r="D838" t="str">
            <v>NSP151R-CHMRKD-00</v>
          </cell>
          <cell r="E838" t="str">
            <v>YARIS</v>
          </cell>
          <cell r="F838" t="str">
            <v>YARIS</v>
          </cell>
          <cell r="G838" t="str">
            <v>YARIS</v>
          </cell>
          <cell r="H838" t="str">
            <v>YARIS E M/T</v>
          </cell>
          <cell r="I838" t="str">
            <v>YARIS E M/T</v>
          </cell>
          <cell r="J838" t="str">
            <v>YARIS E M/T</v>
          </cell>
          <cell r="K838" t="str">
            <v>YARIS</v>
          </cell>
          <cell r="L838" t="str">
            <v>NS51HMEM/T00M</v>
          </cell>
          <cell r="M838" t="str">
            <v>YARIS</v>
          </cell>
          <cell r="N838" t="str">
            <v>YARIS</v>
          </cell>
          <cell r="O838" t="str">
            <v>NSP151R-CHMRKD-00</v>
          </cell>
          <cell r="P838" t="e">
            <v>#N/A</v>
          </cell>
          <cell r="Q838" t="e">
            <v>#N/A</v>
          </cell>
          <cell r="R838" t="str">
            <v>NSP151R-CHMRKD-00</v>
          </cell>
          <cell r="S838" t="str">
            <v>YARIS</v>
          </cell>
          <cell r="T838" t="e">
            <v>#N/A</v>
          </cell>
          <cell r="U838" t="str">
            <v>YARIS E M/T</v>
          </cell>
        </row>
        <row r="839">
          <cell r="D839" t="str">
            <v>NCP150R-CHPGKD-01</v>
          </cell>
          <cell r="E839" t="str">
            <v>YARIS</v>
          </cell>
          <cell r="F839" t="str">
            <v>YARIS</v>
          </cell>
          <cell r="G839" t="str">
            <v>YARIS</v>
          </cell>
          <cell r="H839" t="str">
            <v>YARIS G A/T</v>
          </cell>
          <cell r="I839" t="str">
            <v>YARIS G A/T</v>
          </cell>
          <cell r="J839" t="str">
            <v>YARIS G A/T</v>
          </cell>
          <cell r="K839" t="str">
            <v>YARIS</v>
          </cell>
          <cell r="L839" t="str">
            <v>NR15GA/TM</v>
          </cell>
          <cell r="M839" t="str">
            <v>YARIS</v>
          </cell>
          <cell r="N839" t="str">
            <v>YARIS</v>
          </cell>
          <cell r="O839" t="str">
            <v>NCP150R-CHPGKD-01</v>
          </cell>
          <cell r="P839" t="e">
            <v>#N/A</v>
          </cell>
          <cell r="Q839" t="e">
            <v>#N/A</v>
          </cell>
          <cell r="R839" t="str">
            <v>NCP150R-CHPGKD-01</v>
          </cell>
          <cell r="S839" t="str">
            <v>YARIS</v>
          </cell>
          <cell r="T839" t="e">
            <v>#N/A</v>
          </cell>
          <cell r="U839" t="str">
            <v>YARIS G A/T</v>
          </cell>
        </row>
        <row r="840">
          <cell r="D840" t="e">
            <v>#N/A</v>
          </cell>
          <cell r="E840" t="str">
            <v>YARIS</v>
          </cell>
          <cell r="F840" t="str">
            <v>YARIS</v>
          </cell>
          <cell r="G840" t="str">
            <v>YARIS</v>
          </cell>
          <cell r="H840" t="str">
            <v>YARIS G A/T</v>
          </cell>
          <cell r="I840" t="str">
            <v>YARIS G A/T</v>
          </cell>
          <cell r="J840" t="str">
            <v>YARIS G A/T</v>
          </cell>
          <cell r="K840" t="str">
            <v>YARIS</v>
          </cell>
          <cell r="L840" t="str">
            <v>NR15GA/TS</v>
          </cell>
          <cell r="M840" t="str">
            <v>YARIS</v>
          </cell>
          <cell r="N840" t="str">
            <v>YARIS</v>
          </cell>
          <cell r="O840" t="e">
            <v>#N/A</v>
          </cell>
          <cell r="P840" t="e">
            <v>#N/A</v>
          </cell>
          <cell r="Q840" t="e">
            <v>#N/A</v>
          </cell>
          <cell r="R840" t="e">
            <v>#N/A</v>
          </cell>
          <cell r="S840" t="str">
            <v>YARIS</v>
          </cell>
          <cell r="T840" t="e">
            <v>#N/A</v>
          </cell>
          <cell r="U840" t="str">
            <v>YARIS G A/T</v>
          </cell>
        </row>
        <row r="841">
          <cell r="D841" t="str">
            <v>NSP151R-CHXGKD-00</v>
          </cell>
          <cell r="E841" t="str">
            <v>YARIS</v>
          </cell>
          <cell r="F841" t="str">
            <v>YARIS</v>
          </cell>
          <cell r="G841" t="str">
            <v>YARIS</v>
          </cell>
          <cell r="H841" t="str">
            <v>YARIS G A/T</v>
          </cell>
          <cell r="I841" t="str">
            <v>YARIS G A/T</v>
          </cell>
          <cell r="J841" t="str">
            <v>YARIS G A/T</v>
          </cell>
          <cell r="K841" t="str">
            <v>YARIS</v>
          </cell>
          <cell r="L841" t="str">
            <v>NS51HXGA/T00M</v>
          </cell>
          <cell r="M841" t="str">
            <v>YARIS</v>
          </cell>
          <cell r="N841" t="str">
            <v>YARIS</v>
          </cell>
          <cell r="O841" t="str">
            <v>NSP151R-CHXGKD-00</v>
          </cell>
          <cell r="P841" t="e">
            <v>#N/A</v>
          </cell>
          <cell r="Q841" t="e">
            <v>#N/A</v>
          </cell>
          <cell r="R841" t="str">
            <v>NSP151R-CHXGKD-00</v>
          </cell>
          <cell r="S841" t="str">
            <v>YARIS</v>
          </cell>
          <cell r="T841" t="e">
            <v>#N/A</v>
          </cell>
          <cell r="U841" t="str">
            <v>YARIS G A/T</v>
          </cell>
        </row>
        <row r="842">
          <cell r="D842" t="e">
            <v>#N/A</v>
          </cell>
          <cell r="E842" t="str">
            <v>YARIS</v>
          </cell>
          <cell r="F842" t="str">
            <v>YARIS</v>
          </cell>
          <cell r="G842" t="str">
            <v>YARIS</v>
          </cell>
          <cell r="H842" t="str">
            <v>YARIS G A/T</v>
          </cell>
          <cell r="I842" t="str">
            <v>YARIS G A/T</v>
          </cell>
          <cell r="J842" t="str">
            <v>YARIS G A/T</v>
          </cell>
          <cell r="K842" t="str">
            <v>YARIS</v>
          </cell>
          <cell r="L842" t="str">
            <v>NS51HXGA/TD0M</v>
          </cell>
          <cell r="M842" t="str">
            <v>YARIS</v>
          </cell>
          <cell r="N842" t="str">
            <v>YARIS</v>
          </cell>
          <cell r="O842" t="e">
            <v>#N/A</v>
          </cell>
          <cell r="P842" t="e">
            <v>#N/A</v>
          </cell>
          <cell r="Q842" t="e">
            <v>#N/A</v>
          </cell>
          <cell r="R842" t="e">
            <v>#N/A</v>
          </cell>
          <cell r="S842" t="str">
            <v>YARIS</v>
          </cell>
          <cell r="T842" t="e">
            <v>#N/A</v>
          </cell>
          <cell r="U842" t="str">
            <v>YARIS G A/T</v>
          </cell>
        </row>
        <row r="843">
          <cell r="D843" t="str">
            <v>NCP150R-CHMGKD-01</v>
          </cell>
          <cell r="E843" t="str">
            <v>YARIS</v>
          </cell>
          <cell r="F843" t="str">
            <v>YARIS</v>
          </cell>
          <cell r="G843" t="str">
            <v>YARIS</v>
          </cell>
          <cell r="H843" t="str">
            <v>YARIS G M/T</v>
          </cell>
          <cell r="I843" t="str">
            <v>YARIS G M/T</v>
          </cell>
          <cell r="J843" t="str">
            <v>YARIS G M/T</v>
          </cell>
          <cell r="K843" t="str">
            <v>YARIS</v>
          </cell>
          <cell r="L843" t="str">
            <v>NR15GM/TM</v>
          </cell>
          <cell r="M843" t="str">
            <v>YARIS</v>
          </cell>
          <cell r="N843" t="str">
            <v>YARIS</v>
          </cell>
          <cell r="O843" t="str">
            <v>NCP150R-CHMGKD-01</v>
          </cell>
          <cell r="P843" t="e">
            <v>#N/A</v>
          </cell>
          <cell r="Q843" t="e">
            <v>#N/A</v>
          </cell>
          <cell r="R843" t="str">
            <v>NCP150R-CHMGKD-01</v>
          </cell>
          <cell r="S843" t="str">
            <v>YARIS</v>
          </cell>
          <cell r="T843" t="e">
            <v>#N/A</v>
          </cell>
          <cell r="U843" t="str">
            <v>YARIS G M/T</v>
          </cell>
        </row>
        <row r="844">
          <cell r="D844" t="e">
            <v>#N/A</v>
          </cell>
          <cell r="E844" t="str">
            <v>YARIS</v>
          </cell>
          <cell r="F844" t="str">
            <v>YARIS</v>
          </cell>
          <cell r="G844" t="str">
            <v>YARIS</v>
          </cell>
          <cell r="H844" t="str">
            <v>YARIS G M/T</v>
          </cell>
          <cell r="I844" t="str">
            <v>YARIS G M/T</v>
          </cell>
          <cell r="J844" t="str">
            <v>YARIS G M/T</v>
          </cell>
          <cell r="K844" t="str">
            <v>YARIS</v>
          </cell>
          <cell r="L844" t="str">
            <v>NR15GM/TS</v>
          </cell>
          <cell r="M844" t="str">
            <v>YARIS</v>
          </cell>
          <cell r="N844" t="str">
            <v>YARIS</v>
          </cell>
          <cell r="O844" t="e">
            <v>#N/A</v>
          </cell>
          <cell r="P844" t="e">
            <v>#N/A</v>
          </cell>
          <cell r="Q844" t="e">
            <v>#N/A</v>
          </cell>
          <cell r="R844" t="e">
            <v>#N/A</v>
          </cell>
          <cell r="S844" t="str">
            <v>YARIS</v>
          </cell>
          <cell r="T844" t="e">
            <v>#N/A</v>
          </cell>
          <cell r="U844" t="str">
            <v>YARIS G M/T</v>
          </cell>
        </row>
        <row r="845">
          <cell r="D845" t="str">
            <v>NSP151R-CHMGKD-00</v>
          </cell>
          <cell r="E845" t="str">
            <v>YARIS</v>
          </cell>
          <cell r="F845" t="str">
            <v>YARIS</v>
          </cell>
          <cell r="G845" t="str">
            <v>YARIS</v>
          </cell>
          <cell r="H845" t="str">
            <v>YARIS G M/T</v>
          </cell>
          <cell r="I845" t="str">
            <v>YARIS G M/T</v>
          </cell>
          <cell r="J845" t="str">
            <v>YARIS G M/T</v>
          </cell>
          <cell r="K845" t="str">
            <v>YARIS</v>
          </cell>
          <cell r="L845" t="str">
            <v>NS51HMGM/T00M</v>
          </cell>
          <cell r="M845" t="str">
            <v>YARIS</v>
          </cell>
          <cell r="N845" t="str">
            <v>YARIS</v>
          </cell>
          <cell r="O845" t="str">
            <v>NSP151R-CHMGKD-00</v>
          </cell>
          <cell r="P845" t="e">
            <v>#N/A</v>
          </cell>
          <cell r="Q845" t="e">
            <v>#N/A</v>
          </cell>
          <cell r="R845" t="str">
            <v>NSP151R-CHMGKD-00</v>
          </cell>
          <cell r="S845" t="str">
            <v>YARIS</v>
          </cell>
          <cell r="T845" t="e">
            <v>#N/A</v>
          </cell>
          <cell r="U845" t="str">
            <v>YARIS G M/T</v>
          </cell>
        </row>
        <row r="846">
          <cell r="D846" t="str">
            <v>NSP151R-CHMGKD-D0</v>
          </cell>
          <cell r="E846" t="str">
            <v>YARIS</v>
          </cell>
          <cell r="F846" t="str">
            <v>YARIS</v>
          </cell>
          <cell r="G846" t="str">
            <v>YARIS</v>
          </cell>
          <cell r="H846" t="str">
            <v>YARIS G M/T</v>
          </cell>
          <cell r="I846" t="str">
            <v>YARIS G M/T</v>
          </cell>
          <cell r="J846" t="str">
            <v>YARIS G M/T</v>
          </cell>
          <cell r="K846" t="str">
            <v>YARIS</v>
          </cell>
          <cell r="L846" t="str">
            <v>NS51HMGM/TD0M</v>
          </cell>
          <cell r="M846" t="str">
            <v>YARIS</v>
          </cell>
          <cell r="N846" t="str">
            <v>YARIS</v>
          </cell>
          <cell r="O846" t="str">
            <v>NSP151R-CHMGKD-D0</v>
          </cell>
          <cell r="P846" t="e">
            <v>#N/A</v>
          </cell>
          <cell r="Q846" t="e">
            <v>#N/A</v>
          </cell>
          <cell r="R846" t="str">
            <v>NSP151R-CHMGKD-D0</v>
          </cell>
          <cell r="S846" t="str">
            <v>YARIS</v>
          </cell>
          <cell r="T846" t="e">
            <v>#N/A</v>
          </cell>
          <cell r="U846" t="str">
            <v>YARIS G M/T</v>
          </cell>
        </row>
        <row r="847">
          <cell r="D847" t="e">
            <v>#N/A</v>
          </cell>
          <cell r="E847" t="str">
            <v>YARIS</v>
          </cell>
          <cell r="F847" t="str">
            <v>YARIS</v>
          </cell>
          <cell r="G847" t="str">
            <v>YARIS</v>
          </cell>
          <cell r="H847" t="str">
            <v>YARIS J A/T</v>
          </cell>
          <cell r="I847" t="str">
            <v>YARIS J A/T</v>
          </cell>
          <cell r="J847" t="str">
            <v>YARIS J A/T</v>
          </cell>
          <cell r="K847" t="str">
            <v>YARIS</v>
          </cell>
          <cell r="L847" t="str">
            <v>NC91JA/T</v>
          </cell>
          <cell r="M847" t="str">
            <v>YARIS</v>
          </cell>
          <cell r="N847" t="str">
            <v>YARIS</v>
          </cell>
          <cell r="O847" t="e">
            <v>#N/A</v>
          </cell>
          <cell r="P847" t="e">
            <v>#N/A</v>
          </cell>
          <cell r="Q847" t="e">
            <v>#N/A</v>
          </cell>
          <cell r="R847" t="e">
            <v>#N/A</v>
          </cell>
          <cell r="S847" t="str">
            <v>YARIS</v>
          </cell>
          <cell r="T847" t="e">
            <v>#N/A</v>
          </cell>
          <cell r="U847" t="str">
            <v>YARIS J A/T</v>
          </cell>
        </row>
        <row r="848">
          <cell r="D848" t="e">
            <v>#N/A</v>
          </cell>
          <cell r="E848" t="str">
            <v>YARIS</v>
          </cell>
          <cell r="F848" t="str">
            <v>YARIS</v>
          </cell>
          <cell r="G848" t="str">
            <v>YARIS</v>
          </cell>
          <cell r="H848" t="str">
            <v>YARIS J A/T</v>
          </cell>
          <cell r="I848" t="str">
            <v>YARIS J A/T</v>
          </cell>
          <cell r="J848" t="str">
            <v>YARIS J A/T</v>
          </cell>
          <cell r="K848" t="str">
            <v>YARIS</v>
          </cell>
          <cell r="L848" t="str">
            <v>NC91JA/TM</v>
          </cell>
          <cell r="M848" t="str">
            <v>YARIS</v>
          </cell>
          <cell r="N848" t="str">
            <v>YARIS</v>
          </cell>
          <cell r="O848" t="e">
            <v>#N/A</v>
          </cell>
          <cell r="P848" t="e">
            <v>#N/A</v>
          </cell>
          <cell r="Q848" t="e">
            <v>#N/A</v>
          </cell>
          <cell r="R848" t="e">
            <v>#N/A</v>
          </cell>
          <cell r="S848" t="str">
            <v>YARIS</v>
          </cell>
          <cell r="T848" t="e">
            <v>#N/A</v>
          </cell>
          <cell r="U848" t="str">
            <v>YARIS J A/T</v>
          </cell>
        </row>
        <row r="849">
          <cell r="D849" t="e">
            <v>#N/A</v>
          </cell>
          <cell r="E849" t="str">
            <v>YARIS</v>
          </cell>
          <cell r="F849" t="str">
            <v>YARIS</v>
          </cell>
          <cell r="G849" t="str">
            <v>YARIS</v>
          </cell>
          <cell r="H849" t="str">
            <v>YARIS J A/T</v>
          </cell>
          <cell r="I849" t="str">
            <v>YARIS J A/T</v>
          </cell>
          <cell r="J849" t="str">
            <v>YARIS J A/T</v>
          </cell>
          <cell r="K849" t="str">
            <v>YARIS</v>
          </cell>
          <cell r="L849" t="str">
            <v>NC91JA/T10M</v>
          </cell>
          <cell r="M849" t="str">
            <v>YARIS</v>
          </cell>
          <cell r="N849" t="str">
            <v>YARIS</v>
          </cell>
          <cell r="O849" t="e">
            <v>#N/A</v>
          </cell>
          <cell r="P849" t="e">
            <v>#N/A</v>
          </cell>
          <cell r="Q849" t="e">
            <v>#N/A</v>
          </cell>
          <cell r="R849" t="e">
            <v>#N/A</v>
          </cell>
          <cell r="S849" t="str">
            <v>YARIS</v>
          </cell>
          <cell r="T849" t="e">
            <v>#N/A</v>
          </cell>
          <cell r="U849" t="str">
            <v>YARIS J A/T</v>
          </cell>
        </row>
        <row r="850">
          <cell r="D850" t="e">
            <v>#N/A</v>
          </cell>
          <cell r="E850" t="str">
            <v>YARIS</v>
          </cell>
          <cell r="F850" t="str">
            <v>YARIS</v>
          </cell>
          <cell r="G850" t="str">
            <v>YARIS</v>
          </cell>
          <cell r="H850" t="str">
            <v>YARIS J A/T</v>
          </cell>
          <cell r="I850" t="str">
            <v>YARIS J A/T</v>
          </cell>
          <cell r="J850" t="str">
            <v>YARIS J A/T</v>
          </cell>
          <cell r="K850" t="str">
            <v>YARIS</v>
          </cell>
          <cell r="L850" t="str">
            <v>NC91JA/T20M</v>
          </cell>
          <cell r="M850" t="str">
            <v>YARIS</v>
          </cell>
          <cell r="N850" t="str">
            <v>YARIS</v>
          </cell>
          <cell r="O850" t="e">
            <v>#N/A</v>
          </cell>
          <cell r="P850" t="e">
            <v>#N/A</v>
          </cell>
          <cell r="Q850" t="e">
            <v>#N/A</v>
          </cell>
          <cell r="R850" t="e">
            <v>#N/A</v>
          </cell>
          <cell r="S850" t="str">
            <v>YARIS</v>
          </cell>
          <cell r="T850" t="e">
            <v>#N/A</v>
          </cell>
          <cell r="U850" t="str">
            <v>YARIS J A/T</v>
          </cell>
        </row>
        <row r="851">
          <cell r="D851" t="e">
            <v>#N/A</v>
          </cell>
          <cell r="E851" t="str">
            <v>YARIS</v>
          </cell>
          <cell r="F851" t="str">
            <v>YARIS</v>
          </cell>
          <cell r="G851" t="str">
            <v>YARIS</v>
          </cell>
          <cell r="H851" t="str">
            <v>YARIS J A/T</v>
          </cell>
          <cell r="I851" t="str">
            <v>YARIS J A/T</v>
          </cell>
          <cell r="J851" t="str">
            <v>YARIS J A/T</v>
          </cell>
          <cell r="K851" t="str">
            <v>YARIS</v>
          </cell>
          <cell r="L851" t="str">
            <v>NC91JA/T30M</v>
          </cell>
          <cell r="M851" t="str">
            <v>YARIS</v>
          </cell>
          <cell r="N851" t="str">
            <v>YARIS</v>
          </cell>
          <cell r="O851" t="e">
            <v>#N/A</v>
          </cell>
          <cell r="P851" t="e">
            <v>#N/A</v>
          </cell>
          <cell r="Q851" t="e">
            <v>#N/A</v>
          </cell>
          <cell r="R851" t="e">
            <v>#N/A</v>
          </cell>
          <cell r="S851" t="str">
            <v>YARIS</v>
          </cell>
          <cell r="T851" t="e">
            <v>#N/A</v>
          </cell>
          <cell r="U851" t="str">
            <v>YARIS J A/T</v>
          </cell>
        </row>
        <row r="852">
          <cell r="D852" t="e">
            <v>#N/A</v>
          </cell>
          <cell r="E852" t="str">
            <v>YARIS</v>
          </cell>
          <cell r="F852" t="str">
            <v>YARIS</v>
          </cell>
          <cell r="G852" t="str">
            <v>YARIS</v>
          </cell>
          <cell r="H852" t="str">
            <v>YARIS J M/T</v>
          </cell>
          <cell r="I852" t="str">
            <v>YARIS J M/T</v>
          </cell>
          <cell r="J852" t="str">
            <v>YARIS J M/T</v>
          </cell>
          <cell r="K852" t="str">
            <v>YARIS</v>
          </cell>
          <cell r="L852" t="str">
            <v>NC91JM/T</v>
          </cell>
          <cell r="M852" t="str">
            <v>YARIS</v>
          </cell>
          <cell r="N852" t="str">
            <v>YARIS</v>
          </cell>
          <cell r="O852" t="e">
            <v>#N/A</v>
          </cell>
          <cell r="P852" t="e">
            <v>#N/A</v>
          </cell>
          <cell r="Q852" t="e">
            <v>#N/A</v>
          </cell>
          <cell r="R852" t="e">
            <v>#N/A</v>
          </cell>
          <cell r="S852" t="str">
            <v>YARIS</v>
          </cell>
          <cell r="T852" t="e">
            <v>#N/A</v>
          </cell>
          <cell r="U852" t="str">
            <v>YARIS J M/T</v>
          </cell>
        </row>
        <row r="853">
          <cell r="D853" t="e">
            <v>#N/A</v>
          </cell>
          <cell r="E853" t="str">
            <v>YARIS</v>
          </cell>
          <cell r="F853" t="str">
            <v>YARIS</v>
          </cell>
          <cell r="G853" t="str">
            <v>YARIS</v>
          </cell>
          <cell r="H853" t="str">
            <v>YARIS J M/T</v>
          </cell>
          <cell r="I853" t="str">
            <v>YARIS J M/T</v>
          </cell>
          <cell r="J853" t="str">
            <v>YARIS J M/T</v>
          </cell>
          <cell r="K853" t="str">
            <v>YARIS</v>
          </cell>
          <cell r="L853" t="str">
            <v>NC91JM/TM</v>
          </cell>
          <cell r="M853" t="str">
            <v>YARIS</v>
          </cell>
          <cell r="N853" t="str">
            <v>YARIS</v>
          </cell>
          <cell r="O853" t="e">
            <v>#N/A</v>
          </cell>
          <cell r="P853" t="e">
            <v>#N/A</v>
          </cell>
          <cell r="Q853" t="e">
            <v>#N/A</v>
          </cell>
          <cell r="R853" t="e">
            <v>#N/A</v>
          </cell>
          <cell r="S853" t="str">
            <v>YARIS</v>
          </cell>
          <cell r="T853" t="e">
            <v>#N/A</v>
          </cell>
          <cell r="U853" t="str">
            <v>YARIS J M/T</v>
          </cell>
        </row>
        <row r="854">
          <cell r="D854" t="e">
            <v>#N/A</v>
          </cell>
          <cell r="E854" t="str">
            <v>YARIS</v>
          </cell>
          <cell r="F854" t="str">
            <v>YARIS</v>
          </cell>
          <cell r="G854" t="str">
            <v>YARIS</v>
          </cell>
          <cell r="H854" t="str">
            <v>YARIS J M/T</v>
          </cell>
          <cell r="I854" t="str">
            <v>YARIS J M/T</v>
          </cell>
          <cell r="J854" t="str">
            <v>YARIS J M/T</v>
          </cell>
          <cell r="K854" t="str">
            <v>YARIS</v>
          </cell>
          <cell r="L854" t="str">
            <v>NC91JM/T10M</v>
          </cell>
          <cell r="M854" t="str">
            <v>YARIS</v>
          </cell>
          <cell r="N854" t="str">
            <v>YARIS</v>
          </cell>
          <cell r="O854" t="e">
            <v>#N/A</v>
          </cell>
          <cell r="P854" t="e">
            <v>#N/A</v>
          </cell>
          <cell r="Q854" t="e">
            <v>#N/A</v>
          </cell>
          <cell r="R854" t="e">
            <v>#N/A</v>
          </cell>
          <cell r="S854" t="str">
            <v>YARIS</v>
          </cell>
          <cell r="T854" t="e">
            <v>#N/A</v>
          </cell>
          <cell r="U854" t="str">
            <v>YARIS J M/T</v>
          </cell>
        </row>
        <row r="855">
          <cell r="D855" t="e">
            <v>#N/A</v>
          </cell>
          <cell r="E855" t="str">
            <v>YARIS</v>
          </cell>
          <cell r="F855" t="str">
            <v>YARIS</v>
          </cell>
          <cell r="G855" t="str">
            <v>YARIS</v>
          </cell>
          <cell r="H855" t="str">
            <v>YARIS J M/T</v>
          </cell>
          <cell r="I855" t="str">
            <v>YARIS J M/T</v>
          </cell>
          <cell r="J855" t="str">
            <v>YARIS J M/T</v>
          </cell>
          <cell r="K855" t="str">
            <v>YARIS</v>
          </cell>
          <cell r="L855" t="str">
            <v>NC91JM/T20M</v>
          </cell>
          <cell r="M855" t="str">
            <v>YARIS</v>
          </cell>
          <cell r="N855" t="str">
            <v>YARIS</v>
          </cell>
          <cell r="O855" t="e">
            <v>#N/A</v>
          </cell>
          <cell r="P855" t="e">
            <v>#N/A</v>
          </cell>
          <cell r="Q855" t="e">
            <v>#N/A</v>
          </cell>
          <cell r="R855" t="e">
            <v>#N/A</v>
          </cell>
          <cell r="S855" t="str">
            <v>YARIS</v>
          </cell>
          <cell r="T855" t="e">
            <v>#N/A</v>
          </cell>
          <cell r="U855" t="str">
            <v>YARIS J M/T</v>
          </cell>
        </row>
        <row r="856">
          <cell r="D856" t="e">
            <v>#N/A</v>
          </cell>
          <cell r="E856" t="str">
            <v>YARIS</v>
          </cell>
          <cell r="F856" t="str">
            <v>YARIS</v>
          </cell>
          <cell r="G856" t="str">
            <v>YARIS</v>
          </cell>
          <cell r="H856" t="str">
            <v>YARIS J M/T</v>
          </cell>
          <cell r="I856" t="str">
            <v>YARIS J M/T</v>
          </cell>
          <cell r="J856" t="str">
            <v>YARIS J M/T</v>
          </cell>
          <cell r="K856" t="str">
            <v>YARIS</v>
          </cell>
          <cell r="L856" t="str">
            <v>NC91JM/T30M</v>
          </cell>
          <cell r="M856" t="str">
            <v>YARIS</v>
          </cell>
          <cell r="N856" t="str">
            <v>YARIS</v>
          </cell>
          <cell r="O856" t="e">
            <v>#N/A</v>
          </cell>
          <cell r="P856" t="e">
            <v>#N/A</v>
          </cell>
          <cell r="Q856" t="e">
            <v>#N/A</v>
          </cell>
          <cell r="R856" t="e">
            <v>#N/A</v>
          </cell>
          <cell r="S856" t="str">
            <v>YARIS</v>
          </cell>
          <cell r="T856" t="e">
            <v>#N/A</v>
          </cell>
          <cell r="U856" t="str">
            <v>YARIS J M/T</v>
          </cell>
        </row>
        <row r="857">
          <cell r="D857" t="e">
            <v>#N/A</v>
          </cell>
          <cell r="E857" t="str">
            <v>YARIS</v>
          </cell>
          <cell r="F857" t="str">
            <v>YARIS</v>
          </cell>
          <cell r="G857" t="str">
            <v>YARIS</v>
          </cell>
          <cell r="H857" t="str">
            <v>YARIS S A/T</v>
          </cell>
          <cell r="I857" t="str">
            <v>YARIS S A/T</v>
          </cell>
          <cell r="J857" t="str">
            <v>YARIS S A/T</v>
          </cell>
          <cell r="K857" t="str">
            <v>YARIS</v>
          </cell>
          <cell r="L857" t="str">
            <v>NC91SA/T</v>
          </cell>
          <cell r="M857" t="str">
            <v>YARIS</v>
          </cell>
          <cell r="N857" t="str">
            <v>YARIS</v>
          </cell>
          <cell r="O857" t="e">
            <v>#N/A</v>
          </cell>
          <cell r="P857" t="e">
            <v>#N/A</v>
          </cell>
          <cell r="Q857" t="e">
            <v>#N/A</v>
          </cell>
          <cell r="R857" t="e">
            <v>#N/A</v>
          </cell>
          <cell r="S857" t="str">
            <v>YARIS</v>
          </cell>
          <cell r="T857" t="e">
            <v>#N/A</v>
          </cell>
          <cell r="U857" t="str">
            <v>YARIS S A/T</v>
          </cell>
        </row>
        <row r="858">
          <cell r="D858" t="e">
            <v>#N/A</v>
          </cell>
          <cell r="E858" t="str">
            <v>YARIS</v>
          </cell>
          <cell r="F858" t="str">
            <v>YARIS</v>
          </cell>
          <cell r="G858" t="str">
            <v>YARIS</v>
          </cell>
          <cell r="H858" t="str">
            <v>YARIS S A/T</v>
          </cell>
          <cell r="I858" t="str">
            <v>YARIS S A/T</v>
          </cell>
          <cell r="J858" t="str">
            <v>YARIS S A/T</v>
          </cell>
          <cell r="K858" t="str">
            <v>YARIS</v>
          </cell>
          <cell r="L858" t="str">
            <v>NC91SA/TM</v>
          </cell>
          <cell r="M858" t="str">
            <v>YARIS</v>
          </cell>
          <cell r="N858" t="str">
            <v>YARIS</v>
          </cell>
          <cell r="O858" t="e">
            <v>#N/A</v>
          </cell>
          <cell r="P858" t="e">
            <v>#N/A</v>
          </cell>
          <cell r="Q858" t="e">
            <v>#N/A</v>
          </cell>
          <cell r="R858" t="e">
            <v>#N/A</v>
          </cell>
          <cell r="S858" t="str">
            <v>YARIS</v>
          </cell>
          <cell r="T858" t="e">
            <v>#N/A</v>
          </cell>
          <cell r="U858" t="str">
            <v>YARIS S A/T</v>
          </cell>
        </row>
        <row r="859">
          <cell r="D859" t="e">
            <v>#N/A</v>
          </cell>
          <cell r="E859" t="str">
            <v>YARIS</v>
          </cell>
          <cell r="F859" t="str">
            <v>YARIS</v>
          </cell>
          <cell r="G859" t="str">
            <v>YARIS</v>
          </cell>
          <cell r="H859" t="str">
            <v>YARIS S A/T</v>
          </cell>
          <cell r="I859" t="str">
            <v>YARIS S A/T</v>
          </cell>
          <cell r="J859" t="str">
            <v>YARIS S A/T</v>
          </cell>
          <cell r="K859" t="str">
            <v>YARIS</v>
          </cell>
          <cell r="L859" t="str">
            <v>NC91SA/T11S</v>
          </cell>
          <cell r="M859" t="str">
            <v>YARIS</v>
          </cell>
          <cell r="N859" t="str">
            <v>YARIS</v>
          </cell>
          <cell r="O859" t="e">
            <v>#N/A</v>
          </cell>
          <cell r="P859" t="e">
            <v>#N/A</v>
          </cell>
          <cell r="Q859" t="e">
            <v>#N/A</v>
          </cell>
          <cell r="R859" t="e">
            <v>#N/A</v>
          </cell>
          <cell r="S859" t="str">
            <v>YARIS</v>
          </cell>
          <cell r="T859" t="e">
            <v>#N/A</v>
          </cell>
          <cell r="U859" t="str">
            <v>YARIS S A/T</v>
          </cell>
        </row>
        <row r="860">
          <cell r="D860" t="e">
            <v>#N/A</v>
          </cell>
          <cell r="E860" t="str">
            <v>YARIS</v>
          </cell>
          <cell r="F860" t="str">
            <v>YARIS</v>
          </cell>
          <cell r="G860" t="str">
            <v>YARIS</v>
          </cell>
          <cell r="H860" t="str">
            <v>YARIS S A/T</v>
          </cell>
          <cell r="I860" t="str">
            <v>YARIS S A/T</v>
          </cell>
          <cell r="J860" t="str">
            <v>YARIS S A/T</v>
          </cell>
          <cell r="K860" t="str">
            <v>YARIS</v>
          </cell>
          <cell r="L860" t="str">
            <v>NC91SA/T12TRD</v>
          </cell>
          <cell r="M860" t="str">
            <v>YARIS</v>
          </cell>
          <cell r="N860" t="str">
            <v>YARIS</v>
          </cell>
          <cell r="O860" t="e">
            <v>#N/A</v>
          </cell>
          <cell r="P860" t="e">
            <v>#N/A</v>
          </cell>
          <cell r="Q860" t="e">
            <v>#N/A</v>
          </cell>
          <cell r="R860" t="e">
            <v>#N/A</v>
          </cell>
          <cell r="S860" t="str">
            <v>YARIS</v>
          </cell>
          <cell r="T860" t="e">
            <v>#N/A</v>
          </cell>
          <cell r="U860" t="str">
            <v>YARIS S A/T</v>
          </cell>
        </row>
        <row r="861">
          <cell r="D861" t="e">
            <v>#N/A</v>
          </cell>
          <cell r="E861" t="str">
            <v>YARIS</v>
          </cell>
          <cell r="F861" t="str">
            <v>YARIS</v>
          </cell>
          <cell r="G861" t="str">
            <v>YARIS</v>
          </cell>
          <cell r="H861" t="str">
            <v>YARIS S A/T</v>
          </cell>
          <cell r="I861" t="str">
            <v>YARIS S A/T</v>
          </cell>
          <cell r="J861" t="str">
            <v>YARIS S A/T</v>
          </cell>
          <cell r="K861" t="str">
            <v>YARIS</v>
          </cell>
          <cell r="L861" t="str">
            <v>NC91SA/T21M</v>
          </cell>
          <cell r="M861" t="str">
            <v>YARIS</v>
          </cell>
          <cell r="N861" t="str">
            <v>YARIS</v>
          </cell>
          <cell r="O861" t="e">
            <v>#N/A</v>
          </cell>
          <cell r="P861" t="e">
            <v>#N/A</v>
          </cell>
          <cell r="Q861" t="e">
            <v>#N/A</v>
          </cell>
          <cell r="R861" t="e">
            <v>#N/A</v>
          </cell>
          <cell r="S861" t="str">
            <v>YARIS</v>
          </cell>
          <cell r="T861" t="e">
            <v>#N/A</v>
          </cell>
          <cell r="U861" t="str">
            <v>YARIS S A/T</v>
          </cell>
        </row>
        <row r="862">
          <cell r="D862" t="e">
            <v>#N/A</v>
          </cell>
          <cell r="E862" t="str">
            <v>YARIS</v>
          </cell>
          <cell r="F862" t="str">
            <v>YARIS</v>
          </cell>
          <cell r="G862" t="str">
            <v>YARIS</v>
          </cell>
          <cell r="H862" t="str">
            <v>YARIS S A/T</v>
          </cell>
          <cell r="I862" t="str">
            <v>YARIS S A/T</v>
          </cell>
          <cell r="J862" t="str">
            <v>YARIS S A/T</v>
          </cell>
          <cell r="K862" t="str">
            <v>YARIS</v>
          </cell>
          <cell r="L862" t="str">
            <v>NC91SA/T22TRDM</v>
          </cell>
          <cell r="M862" t="str">
            <v>YARIS</v>
          </cell>
          <cell r="N862" t="str">
            <v>YARIS</v>
          </cell>
          <cell r="O862" t="e">
            <v>#N/A</v>
          </cell>
          <cell r="P862" t="e">
            <v>#N/A</v>
          </cell>
          <cell r="Q862" t="e">
            <v>#N/A</v>
          </cell>
          <cell r="R862" t="e">
            <v>#N/A</v>
          </cell>
          <cell r="S862" t="str">
            <v>YARIS</v>
          </cell>
          <cell r="T862" t="e">
            <v>#N/A</v>
          </cell>
          <cell r="U862" t="str">
            <v>YARIS S A/T</v>
          </cell>
        </row>
        <row r="863">
          <cell r="D863" t="e">
            <v>#N/A</v>
          </cell>
          <cell r="E863" t="str">
            <v>YARIS</v>
          </cell>
          <cell r="F863" t="str">
            <v>YARIS</v>
          </cell>
          <cell r="G863" t="str">
            <v>YARIS</v>
          </cell>
          <cell r="H863" t="str">
            <v>YARIS S A/T</v>
          </cell>
          <cell r="I863" t="str">
            <v>YARIS S A/T</v>
          </cell>
          <cell r="J863" t="str">
            <v>YARIS S A/T</v>
          </cell>
          <cell r="K863" t="str">
            <v>YARIS</v>
          </cell>
          <cell r="L863" t="str">
            <v>NR15SA/TM/TRD</v>
          </cell>
          <cell r="M863" t="str">
            <v>YARIS</v>
          </cell>
          <cell r="N863" t="str">
            <v>YARIS</v>
          </cell>
          <cell r="O863" t="e">
            <v>#N/A</v>
          </cell>
          <cell r="P863" t="e">
            <v>#N/A</v>
          </cell>
          <cell r="Q863" t="e">
            <v>#N/A</v>
          </cell>
          <cell r="R863" t="e">
            <v>#N/A</v>
          </cell>
          <cell r="S863" t="str">
            <v>YARIS</v>
          </cell>
          <cell r="T863" t="e">
            <v>#N/A</v>
          </cell>
          <cell r="U863" t="str">
            <v>YARIS S A/T</v>
          </cell>
        </row>
        <row r="864">
          <cell r="D864" t="str">
            <v>NCP150R-CHPVKD-00</v>
          </cell>
          <cell r="E864" t="str">
            <v>YARIS</v>
          </cell>
          <cell r="F864" t="str">
            <v>YARIS</v>
          </cell>
          <cell r="G864" t="str">
            <v>YARIS</v>
          </cell>
          <cell r="H864" t="str">
            <v>YARIS S A/T</v>
          </cell>
          <cell r="I864" t="str">
            <v>YARIS S A/T</v>
          </cell>
          <cell r="J864" t="str">
            <v>YARIS S A/T</v>
          </cell>
          <cell r="K864" t="str">
            <v>YARIS</v>
          </cell>
          <cell r="L864" t="str">
            <v>NR15SA/TTRDM</v>
          </cell>
          <cell r="M864" t="str">
            <v>YARIS</v>
          </cell>
          <cell r="N864" t="str">
            <v>YARIS</v>
          </cell>
          <cell r="O864" t="str">
            <v>NCP150R-CHPVKD-00</v>
          </cell>
          <cell r="P864" t="e">
            <v>#N/A</v>
          </cell>
          <cell r="Q864" t="e">
            <v>#N/A</v>
          </cell>
          <cell r="R864" t="str">
            <v>NCP150R-CHPVKD-00</v>
          </cell>
          <cell r="S864" t="str">
            <v>YARIS</v>
          </cell>
          <cell r="T864" t="e">
            <v>#N/A</v>
          </cell>
          <cell r="U864" t="str">
            <v>YARIS S A/T</v>
          </cell>
        </row>
        <row r="865">
          <cell r="D865" t="e">
            <v>#N/A</v>
          </cell>
          <cell r="E865" t="str">
            <v>YARIS</v>
          </cell>
          <cell r="F865" t="str">
            <v>YARIS</v>
          </cell>
          <cell r="G865" t="str">
            <v>YARIS</v>
          </cell>
          <cell r="H865" t="str">
            <v>YARIS S A/T</v>
          </cell>
          <cell r="I865" t="str">
            <v>YARIS S A/T</v>
          </cell>
          <cell r="J865" t="str">
            <v>YARIS S A/T</v>
          </cell>
          <cell r="K865" t="str">
            <v>YARIS</v>
          </cell>
          <cell r="L865" t="str">
            <v>NC91SA/T11M</v>
          </cell>
          <cell r="M865" t="str">
            <v>YARIS</v>
          </cell>
          <cell r="N865" t="str">
            <v>YARIS</v>
          </cell>
          <cell r="O865" t="e">
            <v>#N/A</v>
          </cell>
          <cell r="P865" t="e">
            <v>#N/A</v>
          </cell>
          <cell r="Q865" t="e">
            <v>#N/A</v>
          </cell>
          <cell r="R865" t="e">
            <v>#N/A</v>
          </cell>
          <cell r="S865" t="str">
            <v>YARIS</v>
          </cell>
          <cell r="T865" t="e">
            <v>#N/A</v>
          </cell>
          <cell r="U865" t="str">
            <v>YARIS S A/T</v>
          </cell>
        </row>
        <row r="866">
          <cell r="D866" t="e">
            <v>#N/A</v>
          </cell>
          <cell r="E866" t="str">
            <v>YARIS</v>
          </cell>
          <cell r="F866" t="str">
            <v>YARIS</v>
          </cell>
          <cell r="G866" t="str">
            <v>YARIS</v>
          </cell>
          <cell r="H866" t="str">
            <v>YARIS S A/T</v>
          </cell>
          <cell r="I866" t="str">
            <v>YARIS S A/T</v>
          </cell>
          <cell r="J866" t="str">
            <v>YARIS S A/T</v>
          </cell>
          <cell r="K866" t="str">
            <v>YARIS</v>
          </cell>
          <cell r="L866" t="str">
            <v>NC91SA/T01</v>
          </cell>
          <cell r="M866" t="str">
            <v>YARIS</v>
          </cell>
          <cell r="N866" t="str">
            <v>YARIS</v>
          </cell>
          <cell r="O866" t="e">
            <v>#N/A</v>
          </cell>
          <cell r="P866" t="e">
            <v>#N/A</v>
          </cell>
          <cell r="Q866" t="e">
            <v>#N/A</v>
          </cell>
          <cell r="R866" t="e">
            <v>#N/A</v>
          </cell>
          <cell r="S866" t="str">
            <v>YARIS</v>
          </cell>
          <cell r="T866" t="e">
            <v>#N/A</v>
          </cell>
          <cell r="U866" t="str">
            <v>YARIS S A/T</v>
          </cell>
        </row>
        <row r="867">
          <cell r="D867" t="e">
            <v>#N/A</v>
          </cell>
          <cell r="E867" t="str">
            <v>YARIS</v>
          </cell>
          <cell r="F867" t="str">
            <v>YARIS</v>
          </cell>
          <cell r="G867" t="str">
            <v>YARIS</v>
          </cell>
          <cell r="H867" t="str">
            <v>YARIS S A/T</v>
          </cell>
          <cell r="I867" t="str">
            <v>YARIS S A/T</v>
          </cell>
          <cell r="J867" t="str">
            <v>YARIS S A/T</v>
          </cell>
          <cell r="K867" t="str">
            <v>YARIS</v>
          </cell>
          <cell r="L867" t="str">
            <v>NC91SA/T11DU</v>
          </cell>
          <cell r="M867" t="str">
            <v>YARIS</v>
          </cell>
          <cell r="N867" t="str">
            <v>YARIS</v>
          </cell>
          <cell r="O867" t="e">
            <v>#N/A</v>
          </cell>
          <cell r="P867" t="e">
            <v>#N/A</v>
          </cell>
          <cell r="Q867" t="e">
            <v>#N/A</v>
          </cell>
          <cell r="R867" t="e">
            <v>#N/A</v>
          </cell>
          <cell r="S867" t="str">
            <v>YARIS</v>
          </cell>
          <cell r="T867" t="e">
            <v>#N/A</v>
          </cell>
          <cell r="U867" t="str">
            <v>YARIS S A/T</v>
          </cell>
        </row>
        <row r="868">
          <cell r="D868" t="e">
            <v>#N/A</v>
          </cell>
          <cell r="E868" t="str">
            <v>YARIS</v>
          </cell>
          <cell r="F868" t="str">
            <v>YARIS</v>
          </cell>
          <cell r="G868" t="str">
            <v>YARIS</v>
          </cell>
          <cell r="H868" t="str">
            <v>YARIS S A/T</v>
          </cell>
          <cell r="I868" t="str">
            <v>YARIS S A/T</v>
          </cell>
          <cell r="J868" t="str">
            <v>YARIS S A/T</v>
          </cell>
          <cell r="K868" t="str">
            <v>YARIS</v>
          </cell>
          <cell r="L868" t="str">
            <v>NC91SA/T12TRD</v>
          </cell>
          <cell r="M868" t="str">
            <v>YARIS</v>
          </cell>
          <cell r="N868" t="str">
            <v>YARIS</v>
          </cell>
          <cell r="O868" t="e">
            <v>#N/A</v>
          </cell>
          <cell r="P868" t="e">
            <v>#N/A</v>
          </cell>
          <cell r="Q868" t="e">
            <v>#N/A</v>
          </cell>
          <cell r="R868" t="e">
            <v>#N/A</v>
          </cell>
          <cell r="S868" t="str">
            <v>YARIS</v>
          </cell>
          <cell r="T868" t="e">
            <v>#N/A</v>
          </cell>
          <cell r="U868" t="str">
            <v>YARIS S A/T</v>
          </cell>
        </row>
        <row r="869">
          <cell r="D869" t="str">
            <v>NSP151R-CHXVKD-00</v>
          </cell>
          <cell r="E869" t="str">
            <v>YARIS</v>
          </cell>
          <cell r="F869" t="str">
            <v>YARIS</v>
          </cell>
          <cell r="G869" t="str">
            <v>YARIS</v>
          </cell>
          <cell r="H869" t="str">
            <v>YARIS S A/T</v>
          </cell>
          <cell r="I869" t="str">
            <v>YARIS S A/T</v>
          </cell>
          <cell r="J869" t="str">
            <v>YARIS S A/T</v>
          </cell>
          <cell r="K869" t="str">
            <v>YARIS</v>
          </cell>
          <cell r="L869" t="str">
            <v>NS51HXSA/T00M</v>
          </cell>
          <cell r="M869" t="str">
            <v>YARIS</v>
          </cell>
          <cell r="N869" t="str">
            <v>YARIS</v>
          </cell>
          <cell r="O869" t="str">
            <v>NSP151R-CHXVKD-00</v>
          </cell>
          <cell r="P869" t="e">
            <v>#N/A</v>
          </cell>
          <cell r="Q869" t="e">
            <v>#N/A</v>
          </cell>
          <cell r="R869" t="str">
            <v>NSP151R-CHXVKD-00</v>
          </cell>
          <cell r="S869" t="str">
            <v>YARIS</v>
          </cell>
          <cell r="T869" t="e">
            <v>#N/A</v>
          </cell>
          <cell r="U869" t="str">
            <v>YARIS S A/T</v>
          </cell>
        </row>
        <row r="870">
          <cell r="D870" t="str">
            <v>NSP151R-CHXVKD-01</v>
          </cell>
          <cell r="E870" t="str">
            <v>YARIS</v>
          </cell>
          <cell r="F870" t="str">
            <v>YARIS</v>
          </cell>
          <cell r="G870" t="str">
            <v>YARIS</v>
          </cell>
          <cell r="H870" t="str">
            <v>YARIS S A/T</v>
          </cell>
          <cell r="I870" t="str">
            <v>YARIS S A/T</v>
          </cell>
          <cell r="J870" t="str">
            <v>YARIS S A/T</v>
          </cell>
          <cell r="K870" t="str">
            <v>YARIS</v>
          </cell>
          <cell r="L870" t="str">
            <v>NS51HXSA/T01M</v>
          </cell>
          <cell r="M870" t="str">
            <v>YARIS</v>
          </cell>
          <cell r="N870" t="str">
            <v>YARIS</v>
          </cell>
          <cell r="O870" t="str">
            <v>NSP151R-CHXVKD-01</v>
          </cell>
          <cell r="P870" t="e">
            <v>#N/A</v>
          </cell>
          <cell r="Q870" t="e">
            <v>#N/A</v>
          </cell>
          <cell r="R870" t="str">
            <v>NSP151R-CHXVKD-01</v>
          </cell>
          <cell r="S870" t="str">
            <v>YARIS</v>
          </cell>
          <cell r="T870" t="e">
            <v>#N/A</v>
          </cell>
          <cell r="U870" t="str">
            <v>YARIS S A/T</v>
          </cell>
        </row>
        <row r="871">
          <cell r="D871" t="str">
            <v>NSP151R-CHXVKD-02</v>
          </cell>
          <cell r="E871" t="str">
            <v>YARIS</v>
          </cell>
          <cell r="F871" t="str">
            <v>YARIS</v>
          </cell>
          <cell r="G871" t="str">
            <v>YARIS</v>
          </cell>
          <cell r="H871" t="str">
            <v>YARIS S A/T</v>
          </cell>
          <cell r="I871" t="str">
            <v>YARIS S A/T</v>
          </cell>
          <cell r="J871" t="str">
            <v>YARIS S A/T</v>
          </cell>
          <cell r="K871" t="str">
            <v>YARIS</v>
          </cell>
          <cell r="L871" t="str">
            <v>NS51HXSA/T02M</v>
          </cell>
          <cell r="M871" t="str">
            <v>YARIS</v>
          </cell>
          <cell r="N871" t="str">
            <v>YARIS</v>
          </cell>
          <cell r="O871" t="str">
            <v>NSP151R-CHXVKD-02</v>
          </cell>
          <cell r="P871" t="e">
            <v>#N/A</v>
          </cell>
          <cell r="Q871" t="e">
            <v>#N/A</v>
          </cell>
          <cell r="R871" t="str">
            <v>NSP151R-CHXVKD-02</v>
          </cell>
          <cell r="S871" t="str">
            <v>YARIS</v>
          </cell>
          <cell r="T871" t="e">
            <v>#N/A</v>
          </cell>
          <cell r="U871" t="str">
            <v>YARIS S A/T</v>
          </cell>
        </row>
        <row r="872">
          <cell r="D872" t="str">
            <v>NSP151R-CHXVKD-03</v>
          </cell>
          <cell r="E872" t="str">
            <v>YARIS</v>
          </cell>
          <cell r="F872" t="str">
            <v>YARIS</v>
          </cell>
          <cell r="G872" t="str">
            <v>YARIS</v>
          </cell>
          <cell r="H872" t="str">
            <v>YARIS S A/T</v>
          </cell>
          <cell r="I872" t="str">
            <v>YARIS S A/T</v>
          </cell>
          <cell r="J872" t="str">
            <v>YARIS S A/T</v>
          </cell>
          <cell r="K872" t="str">
            <v>YARIS</v>
          </cell>
          <cell r="L872" t="str">
            <v>NS51HXSA/T03M</v>
          </cell>
          <cell r="M872" t="str">
            <v>YARIS</v>
          </cell>
          <cell r="N872" t="str">
            <v>YARIS</v>
          </cell>
          <cell r="O872" t="str">
            <v>NSP151R-CHXVKD-03</v>
          </cell>
          <cell r="P872" t="e">
            <v>#N/A</v>
          </cell>
          <cell r="Q872" t="e">
            <v>#N/A</v>
          </cell>
          <cell r="R872" t="str">
            <v>NSP151R-CHXVKD-03</v>
          </cell>
          <cell r="S872" t="str">
            <v>YARIS</v>
          </cell>
          <cell r="T872" t="e">
            <v>#N/A</v>
          </cell>
          <cell r="U872" t="str">
            <v>YARIS S A/T</v>
          </cell>
        </row>
        <row r="873">
          <cell r="D873" t="str">
            <v>NSP151R-CHXVKD-D1</v>
          </cell>
          <cell r="E873" t="str">
            <v>YARIS</v>
          </cell>
          <cell r="F873" t="str">
            <v>YARIS</v>
          </cell>
          <cell r="G873" t="str">
            <v>YARIS</v>
          </cell>
          <cell r="H873" t="str">
            <v>YARIS S A/T</v>
          </cell>
          <cell r="I873" t="str">
            <v>YARIS S A/T</v>
          </cell>
          <cell r="J873" t="str">
            <v>YARIS S A/T</v>
          </cell>
          <cell r="K873" t="str">
            <v>YARIS</v>
          </cell>
          <cell r="L873" t="str">
            <v>NS51HXSA/TD1M</v>
          </cell>
          <cell r="M873" t="str">
            <v>YARIS</v>
          </cell>
          <cell r="N873" t="str">
            <v>YARIS</v>
          </cell>
          <cell r="O873" t="str">
            <v>NSP151R-CHXVKD-D1</v>
          </cell>
          <cell r="P873" t="e">
            <v>#N/A</v>
          </cell>
          <cell r="Q873" t="e">
            <v>#N/A</v>
          </cell>
          <cell r="R873" t="str">
            <v>NSP151R-CHXVKD-D1</v>
          </cell>
          <cell r="S873" t="str">
            <v>YARIS</v>
          </cell>
          <cell r="T873" t="e">
            <v>#N/A</v>
          </cell>
          <cell r="U873" t="str">
            <v>YARIS S A/T</v>
          </cell>
        </row>
        <row r="874">
          <cell r="D874" t="str">
            <v>NSP151R-CHXVKD-D0</v>
          </cell>
          <cell r="E874" t="str">
            <v>YARIS</v>
          </cell>
          <cell r="F874" t="str">
            <v>YARIS</v>
          </cell>
          <cell r="G874" t="str">
            <v>YARIS</v>
          </cell>
          <cell r="H874" t="str">
            <v>YARIS S A/T</v>
          </cell>
          <cell r="I874" t="str">
            <v>YARIS S A/T</v>
          </cell>
          <cell r="J874" t="str">
            <v>YARIS S A/T</v>
          </cell>
          <cell r="K874" t="str">
            <v>YARIS</v>
          </cell>
          <cell r="L874" t="str">
            <v>NS51HXSA/TD0M</v>
          </cell>
          <cell r="M874" t="str">
            <v>YARIS</v>
          </cell>
          <cell r="N874" t="str">
            <v>YARIS</v>
          </cell>
          <cell r="O874" t="str">
            <v>NSP151R-CHXVKD-D0</v>
          </cell>
          <cell r="P874" t="e">
            <v>#N/A</v>
          </cell>
          <cell r="Q874" t="e">
            <v>#N/A</v>
          </cell>
          <cell r="R874" t="str">
            <v>NSP151R-CHXVKD-D0</v>
          </cell>
          <cell r="S874" t="str">
            <v>YARIS</v>
          </cell>
          <cell r="T874" t="e">
            <v>#N/A</v>
          </cell>
          <cell r="U874" t="str">
            <v>YARIS S A/T</v>
          </cell>
        </row>
        <row r="875">
          <cell r="D875" t="e">
            <v>#N/A</v>
          </cell>
          <cell r="E875" t="str">
            <v>YARIS</v>
          </cell>
          <cell r="F875" t="str">
            <v>YARIS</v>
          </cell>
          <cell r="G875" t="str">
            <v>YARIS</v>
          </cell>
          <cell r="H875" t="str">
            <v>YARIS S M/T</v>
          </cell>
          <cell r="I875" t="str">
            <v>YARIS S M/T</v>
          </cell>
          <cell r="J875" t="str">
            <v>YARIS S M/T</v>
          </cell>
          <cell r="K875" t="str">
            <v>YARIS</v>
          </cell>
          <cell r="L875" t="str">
            <v>NC91Sm/T10</v>
          </cell>
          <cell r="M875" t="str">
            <v>YARIS</v>
          </cell>
          <cell r="N875" t="str">
            <v>YARIS</v>
          </cell>
          <cell r="O875" t="e">
            <v>#N/A</v>
          </cell>
          <cell r="P875" t="e">
            <v>#N/A</v>
          </cell>
          <cell r="Q875" t="e">
            <v>#N/A</v>
          </cell>
          <cell r="R875" t="e">
            <v>#N/A</v>
          </cell>
          <cell r="S875" t="str">
            <v>YARIS</v>
          </cell>
          <cell r="T875" t="e">
            <v>#N/A</v>
          </cell>
          <cell r="U875" t="str">
            <v>YARIS S M/T</v>
          </cell>
        </row>
        <row r="876">
          <cell r="D876" t="e">
            <v>#N/A</v>
          </cell>
          <cell r="E876" t="str">
            <v>YARIS</v>
          </cell>
          <cell r="F876" t="str">
            <v>YARIS</v>
          </cell>
          <cell r="G876" t="str">
            <v>YARIS</v>
          </cell>
          <cell r="H876" t="str">
            <v>YARIS S M/T</v>
          </cell>
          <cell r="I876" t="str">
            <v>YARIS S M/T</v>
          </cell>
          <cell r="J876" t="str">
            <v>YARIS S M/T</v>
          </cell>
          <cell r="K876" t="str">
            <v>YARIS</v>
          </cell>
          <cell r="L876" t="str">
            <v>NC91SM/T</v>
          </cell>
          <cell r="M876" t="str">
            <v>YARIS</v>
          </cell>
          <cell r="N876" t="str">
            <v>YARIS</v>
          </cell>
          <cell r="O876" t="e">
            <v>#N/A</v>
          </cell>
          <cell r="P876" t="e">
            <v>#N/A</v>
          </cell>
          <cell r="Q876" t="e">
            <v>#N/A</v>
          </cell>
          <cell r="R876" t="e">
            <v>#N/A</v>
          </cell>
          <cell r="S876" t="str">
            <v>YARIS</v>
          </cell>
          <cell r="T876" t="e">
            <v>#N/A</v>
          </cell>
          <cell r="U876" t="str">
            <v>YARIS S M/T</v>
          </cell>
        </row>
        <row r="877">
          <cell r="D877" t="e">
            <v>#N/A</v>
          </cell>
          <cell r="E877" t="str">
            <v>YARIS</v>
          </cell>
          <cell r="F877" t="str">
            <v>YARIS</v>
          </cell>
          <cell r="G877" t="str">
            <v>YARIS</v>
          </cell>
          <cell r="H877" t="str">
            <v>YARIS S M/T</v>
          </cell>
          <cell r="I877" t="str">
            <v>YARIS S M/T</v>
          </cell>
          <cell r="J877" t="str">
            <v>YARIS S M/T</v>
          </cell>
          <cell r="K877" t="str">
            <v>YARIS</v>
          </cell>
          <cell r="L877" t="str">
            <v>NC91SM/T10DU</v>
          </cell>
          <cell r="M877" t="str">
            <v>YARIS</v>
          </cell>
          <cell r="N877" t="str">
            <v>YARIS</v>
          </cell>
          <cell r="O877" t="e">
            <v>#N/A</v>
          </cell>
          <cell r="P877" t="e">
            <v>#N/A</v>
          </cell>
          <cell r="Q877" t="e">
            <v>#N/A</v>
          </cell>
          <cell r="R877" t="e">
            <v>#N/A</v>
          </cell>
          <cell r="S877" t="str">
            <v>YARIS</v>
          </cell>
          <cell r="T877" t="e">
            <v>#N/A</v>
          </cell>
          <cell r="U877" t="str">
            <v>YARIS S M/T</v>
          </cell>
        </row>
        <row r="878">
          <cell r="D878" t="e">
            <v>#N/A</v>
          </cell>
          <cell r="E878" t="str">
            <v>YARIS</v>
          </cell>
          <cell r="F878" t="str">
            <v>YARIS</v>
          </cell>
          <cell r="G878" t="str">
            <v>YARIS</v>
          </cell>
          <cell r="H878" t="str">
            <v>YARIS S M/T</v>
          </cell>
          <cell r="I878" t="str">
            <v>YARIS S M/T</v>
          </cell>
          <cell r="J878" t="str">
            <v>YARIS S M/T</v>
          </cell>
          <cell r="K878" t="str">
            <v>YARIS</v>
          </cell>
          <cell r="L878" t="str">
            <v>NC91SM/T10M</v>
          </cell>
          <cell r="M878" t="str">
            <v>YARIS</v>
          </cell>
          <cell r="N878" t="str">
            <v>YARIS</v>
          </cell>
          <cell r="O878" t="e">
            <v>#N/A</v>
          </cell>
          <cell r="P878" t="e">
            <v>#N/A</v>
          </cell>
          <cell r="Q878" t="e">
            <v>#N/A</v>
          </cell>
          <cell r="R878" t="e">
            <v>#N/A</v>
          </cell>
          <cell r="S878" t="str">
            <v>YARIS</v>
          </cell>
          <cell r="T878" t="e">
            <v>#N/A</v>
          </cell>
          <cell r="U878" t="str">
            <v>YARIS S M/T</v>
          </cell>
        </row>
        <row r="879">
          <cell r="D879" t="e">
            <v>#N/A</v>
          </cell>
          <cell r="E879" t="str">
            <v>YARIS</v>
          </cell>
          <cell r="F879" t="str">
            <v>YARIS</v>
          </cell>
          <cell r="G879" t="str">
            <v>YARIS</v>
          </cell>
          <cell r="H879" t="str">
            <v>YARIS S M/T</v>
          </cell>
          <cell r="I879" t="str">
            <v>YARIS S M/T</v>
          </cell>
          <cell r="J879" t="str">
            <v>YARIS S M/T</v>
          </cell>
          <cell r="K879" t="str">
            <v>YARIS</v>
          </cell>
          <cell r="L879" t="str">
            <v>NC91SM/T20TRDM</v>
          </cell>
          <cell r="M879" t="str">
            <v>YARIS</v>
          </cell>
          <cell r="N879" t="str">
            <v>YARIS</v>
          </cell>
          <cell r="O879" t="e">
            <v>#N/A</v>
          </cell>
          <cell r="P879" t="e">
            <v>#N/A</v>
          </cell>
          <cell r="Q879" t="e">
            <v>#N/A</v>
          </cell>
          <cell r="R879" t="e">
            <v>#N/A</v>
          </cell>
          <cell r="S879" t="str">
            <v>YARIS</v>
          </cell>
          <cell r="T879" t="e">
            <v>#N/A</v>
          </cell>
          <cell r="U879" t="str">
            <v>YARIS S M/T</v>
          </cell>
        </row>
        <row r="880">
          <cell r="D880" t="e">
            <v>#N/A</v>
          </cell>
          <cell r="E880" t="str">
            <v>YARIS</v>
          </cell>
          <cell r="F880" t="str">
            <v>YARIS</v>
          </cell>
          <cell r="G880" t="str">
            <v>YARIS</v>
          </cell>
          <cell r="H880" t="str">
            <v>YARIS S M/T</v>
          </cell>
          <cell r="I880" t="str">
            <v>YARIS S M/T</v>
          </cell>
          <cell r="J880" t="str">
            <v>YARIS S M/T</v>
          </cell>
          <cell r="K880" t="str">
            <v>YARIS</v>
          </cell>
          <cell r="L880" t="str">
            <v>NR15SM/TM/TRD</v>
          </cell>
          <cell r="M880" t="str">
            <v>YARIS</v>
          </cell>
          <cell r="N880" t="str">
            <v>YARIS</v>
          </cell>
          <cell r="O880" t="e">
            <v>#N/A</v>
          </cell>
          <cell r="P880" t="e">
            <v>#N/A</v>
          </cell>
          <cell r="Q880" t="e">
            <v>#N/A</v>
          </cell>
          <cell r="R880" t="e">
            <v>#N/A</v>
          </cell>
          <cell r="S880" t="str">
            <v>YARIS</v>
          </cell>
          <cell r="T880" t="e">
            <v>#N/A</v>
          </cell>
          <cell r="U880" t="str">
            <v>YARIS S M/T</v>
          </cell>
        </row>
        <row r="881">
          <cell r="D881" t="str">
            <v>NCP150R-CHMVKD-00</v>
          </cell>
          <cell r="E881" t="str">
            <v>YARIS</v>
          </cell>
          <cell r="F881" t="str">
            <v>YARIS</v>
          </cell>
          <cell r="G881" t="str">
            <v>YARIS</v>
          </cell>
          <cell r="H881" t="str">
            <v>YARIS S M/T</v>
          </cell>
          <cell r="I881" t="str">
            <v>YARIS S M/T</v>
          </cell>
          <cell r="J881" t="str">
            <v>YARIS S M/T</v>
          </cell>
          <cell r="K881" t="str">
            <v>YARIS</v>
          </cell>
          <cell r="L881" t="str">
            <v>NR15SM/TTRDM</v>
          </cell>
          <cell r="M881" t="str">
            <v>YARIS</v>
          </cell>
          <cell r="N881" t="str">
            <v>YARIS</v>
          </cell>
          <cell r="O881" t="str">
            <v>NCP150R-CHMVKD-00</v>
          </cell>
          <cell r="P881" t="e">
            <v>#N/A</v>
          </cell>
          <cell r="Q881" t="e">
            <v>#N/A</v>
          </cell>
          <cell r="R881" t="str">
            <v>NCP150R-CHMVKD-00</v>
          </cell>
          <cell r="S881" t="str">
            <v>YARIS</v>
          </cell>
          <cell r="T881" t="e">
            <v>#N/A</v>
          </cell>
          <cell r="U881" t="str">
            <v>YARIS S M/T</v>
          </cell>
        </row>
        <row r="882">
          <cell r="D882" t="e">
            <v>#N/A</v>
          </cell>
          <cell r="E882" t="str">
            <v>YARIS</v>
          </cell>
          <cell r="F882" t="str">
            <v>YARIS</v>
          </cell>
          <cell r="G882" t="str">
            <v>YARIS</v>
          </cell>
          <cell r="H882" t="str">
            <v>YARIS S M/T</v>
          </cell>
          <cell r="I882" t="str">
            <v>YARIS S M/T</v>
          </cell>
          <cell r="J882" t="str">
            <v>YARIS S M/T</v>
          </cell>
          <cell r="K882" t="str">
            <v>YARIS</v>
          </cell>
          <cell r="L882" t="str">
            <v>NR15SM/TTRDS</v>
          </cell>
          <cell r="M882" t="str">
            <v>YARIS</v>
          </cell>
          <cell r="N882" t="str">
            <v>YARIS</v>
          </cell>
          <cell r="O882" t="e">
            <v>#N/A</v>
          </cell>
          <cell r="P882" t="e">
            <v>#N/A</v>
          </cell>
          <cell r="Q882" t="e">
            <v>#N/A</v>
          </cell>
          <cell r="R882" t="e">
            <v>#N/A</v>
          </cell>
          <cell r="S882" t="str">
            <v>YARIS</v>
          </cell>
          <cell r="T882" t="e">
            <v>#N/A</v>
          </cell>
          <cell r="U882" t="str">
            <v>YARIS S M/T</v>
          </cell>
        </row>
        <row r="883">
          <cell r="D883" t="str">
            <v>NSP151R-CHMVKD-00</v>
          </cell>
          <cell r="E883" t="str">
            <v>YARIS</v>
          </cell>
          <cell r="F883" t="str">
            <v>YARIS</v>
          </cell>
          <cell r="G883" t="str">
            <v>YARIS</v>
          </cell>
          <cell r="H883" t="str">
            <v>YARIS S M/T</v>
          </cell>
          <cell r="I883" t="str">
            <v>YARIS S M/T</v>
          </cell>
          <cell r="J883" t="str">
            <v>YARIS S M/T</v>
          </cell>
          <cell r="K883" t="str">
            <v>YARIS</v>
          </cell>
          <cell r="L883" t="str">
            <v>NS51HMSM/T00M</v>
          </cell>
          <cell r="M883" t="str">
            <v>YARIS</v>
          </cell>
          <cell r="N883" t="str">
            <v>YARIS</v>
          </cell>
          <cell r="O883" t="str">
            <v>NSP151R-CHMVKD-00</v>
          </cell>
          <cell r="P883" t="e">
            <v>#N/A</v>
          </cell>
          <cell r="Q883" t="e">
            <v>#N/A</v>
          </cell>
          <cell r="R883" t="str">
            <v>NSP151R-CHMVKD-00</v>
          </cell>
          <cell r="S883" t="str">
            <v>YARIS</v>
          </cell>
          <cell r="T883" t="e">
            <v>#N/A</v>
          </cell>
          <cell r="U883" t="str">
            <v>YARIS S M/T</v>
          </cell>
        </row>
        <row r="884">
          <cell r="D884" t="str">
            <v>NSP151R-CHMVKD-02</v>
          </cell>
          <cell r="E884" t="str">
            <v>YARIS</v>
          </cell>
          <cell r="F884" t="str">
            <v>YARIS</v>
          </cell>
          <cell r="G884" t="str">
            <v>YARIS</v>
          </cell>
          <cell r="H884" t="str">
            <v>YARIS S M/T</v>
          </cell>
          <cell r="I884" t="str">
            <v>YARIS S M/T</v>
          </cell>
          <cell r="J884" t="str">
            <v>YARIS S M/T</v>
          </cell>
          <cell r="K884" t="str">
            <v>YARIS</v>
          </cell>
          <cell r="L884" t="str">
            <v>NS51HMSM/T02M</v>
          </cell>
          <cell r="M884" t="str">
            <v>YARIS</v>
          </cell>
          <cell r="N884" t="str">
            <v>YARIS</v>
          </cell>
          <cell r="O884" t="str">
            <v>NSP151R-CHMVKD-02</v>
          </cell>
          <cell r="P884" t="e">
            <v>#N/A</v>
          </cell>
          <cell r="Q884" t="e">
            <v>#N/A</v>
          </cell>
          <cell r="R884" t="str">
            <v>NSP151R-CHMVKD-02</v>
          </cell>
          <cell r="S884" t="str">
            <v>YARIS</v>
          </cell>
          <cell r="T884" t="e">
            <v>#N/A</v>
          </cell>
          <cell r="U884" t="str">
            <v>YARIS S M/T</v>
          </cell>
        </row>
        <row r="885">
          <cell r="D885" t="str">
            <v>NSP151R-CHMVKD-03</v>
          </cell>
          <cell r="E885" t="str">
            <v>YARIS</v>
          </cell>
          <cell r="F885" t="str">
            <v>YARIS</v>
          </cell>
          <cell r="G885" t="str">
            <v>YARIS</v>
          </cell>
          <cell r="H885" t="str">
            <v>YARIS S M/T</v>
          </cell>
          <cell r="I885" t="str">
            <v>YARIS S M/T</v>
          </cell>
          <cell r="J885" t="str">
            <v>YARIS S M/T</v>
          </cell>
          <cell r="K885" t="str">
            <v>YARIS</v>
          </cell>
          <cell r="L885" t="str">
            <v>NS51HMSM/T03M</v>
          </cell>
          <cell r="M885" t="str">
            <v>YARIS</v>
          </cell>
          <cell r="N885" t="str">
            <v>YARIS</v>
          </cell>
          <cell r="O885" t="str">
            <v>NSP151R-CHMVKD-03</v>
          </cell>
          <cell r="P885" t="e">
            <v>#N/A</v>
          </cell>
          <cell r="Q885" t="e">
            <v>#N/A</v>
          </cell>
          <cell r="R885" t="str">
            <v>NSP151R-CHMVKD-03</v>
          </cell>
          <cell r="S885" t="str">
            <v>YARIS</v>
          </cell>
          <cell r="T885" t="e">
            <v>#N/A</v>
          </cell>
          <cell r="U885" t="str">
            <v>YARIS S M/T</v>
          </cell>
        </row>
        <row r="886">
          <cell r="D886" t="str">
            <v>NSP151R-CHMVKD-D0</v>
          </cell>
          <cell r="E886" t="str">
            <v>YARIS</v>
          </cell>
          <cell r="F886" t="str">
            <v>YARIS</v>
          </cell>
          <cell r="G886" t="str">
            <v>YARIS</v>
          </cell>
          <cell r="H886" t="str">
            <v>YARIS S M/T</v>
          </cell>
          <cell r="I886" t="str">
            <v>YARIS S M/T</v>
          </cell>
          <cell r="J886" t="str">
            <v>YARIS S M/T</v>
          </cell>
          <cell r="K886" t="str">
            <v>YARIS</v>
          </cell>
          <cell r="L886" t="str">
            <v>NS51HMSM/TD0M</v>
          </cell>
          <cell r="M886" t="str">
            <v>YARIS</v>
          </cell>
          <cell r="N886" t="str">
            <v>YARIS</v>
          </cell>
          <cell r="O886" t="str">
            <v>NSP151R-CHMVKD-D0</v>
          </cell>
          <cell r="P886" t="e">
            <v>#N/A</v>
          </cell>
          <cell r="Q886" t="e">
            <v>#N/A</v>
          </cell>
          <cell r="R886" t="str">
            <v>NSP151R-CHMVKD-D0</v>
          </cell>
          <cell r="S886" t="str">
            <v>YARIS</v>
          </cell>
          <cell r="T886" t="e">
            <v>#N/A</v>
          </cell>
          <cell r="U886" t="str">
            <v>YARIS S M/T</v>
          </cell>
        </row>
        <row r="887">
          <cell r="D887" t="str">
            <v>NSP151R-CHMVKD-D1</v>
          </cell>
          <cell r="E887" t="str">
            <v>YARIS</v>
          </cell>
          <cell r="F887" t="str">
            <v>YARIS</v>
          </cell>
          <cell r="G887" t="str">
            <v>YARIS</v>
          </cell>
          <cell r="H887" t="str">
            <v>YARIS S M/T</v>
          </cell>
          <cell r="I887" t="str">
            <v>YARIS S M/T</v>
          </cell>
          <cell r="J887" t="str">
            <v>YARIS S M/T</v>
          </cell>
          <cell r="K887" t="str">
            <v>YARIS</v>
          </cell>
          <cell r="L887" t="str">
            <v>NS51HMSM/TD1M</v>
          </cell>
          <cell r="M887" t="str">
            <v>YARIS</v>
          </cell>
          <cell r="N887" t="str">
            <v>YARIS</v>
          </cell>
          <cell r="O887" t="str">
            <v>NSP151R-CHMVKD-D1</v>
          </cell>
          <cell r="P887" t="e">
            <v>#N/A</v>
          </cell>
          <cell r="Q887" t="e">
            <v>#N/A</v>
          </cell>
          <cell r="R887" t="str">
            <v>NSP151R-CHMVKD-D1</v>
          </cell>
          <cell r="S887" t="str">
            <v>YARIS</v>
          </cell>
          <cell r="T887" t="e">
            <v>#N/A</v>
          </cell>
          <cell r="U887" t="str">
            <v>YARIS S M/T</v>
          </cell>
        </row>
        <row r="888">
          <cell r="D888" t="str">
            <v>KDH222R-LEMDY-15</v>
          </cell>
          <cell r="E888" t="str">
            <v>HIACE</v>
          </cell>
          <cell r="F888" t="str">
            <v>HIACE</v>
          </cell>
          <cell r="G888" t="str">
            <v>HIACE</v>
          </cell>
          <cell r="H888" t="str">
            <v>HIACE COMM</v>
          </cell>
          <cell r="I888" t="str">
            <v>HIACE COMM</v>
          </cell>
          <cell r="J888" t="str">
            <v>HIACE COMM</v>
          </cell>
          <cell r="K888" t="str">
            <v>HIACE COMM</v>
          </cell>
          <cell r="L888" t="str">
            <v>KD22M/T01STD15</v>
          </cell>
          <cell r="M888" t="str">
            <v>HIACE</v>
          </cell>
          <cell r="N888" t="str">
            <v>HIACE COMM</v>
          </cell>
          <cell r="O888" t="str">
            <v>KDH222R-LEMDY-15</v>
          </cell>
          <cell r="P888" t="e">
            <v>#N/A</v>
          </cell>
          <cell r="Q888" t="e">
            <v>#N/A</v>
          </cell>
          <cell r="R888" t="str">
            <v>KDH222R-LEMDY-15</v>
          </cell>
          <cell r="S888" t="str">
            <v>HIACE</v>
          </cell>
          <cell r="T888" t="e">
            <v>#N/A</v>
          </cell>
          <cell r="U888" t="str">
            <v>HIACE COMM</v>
          </cell>
        </row>
        <row r="889">
          <cell r="D889" t="str">
            <v>GUN125R-DTTMHD-00</v>
          </cell>
          <cell r="E889" t="str">
            <v>HILUX</v>
          </cell>
          <cell r="F889" t="str">
            <v>HILUX DC</v>
          </cell>
          <cell r="G889" t="str">
            <v>HILUX DC</v>
          </cell>
          <cell r="H889" t="str">
            <v>HILUX DC V A/T DIESEL</v>
          </cell>
          <cell r="I889" t="str">
            <v>HILUX DC V A/T DIESEL</v>
          </cell>
          <cell r="J889" t="str">
            <v>HILUX DC V A/T DIESEL</v>
          </cell>
          <cell r="K889" t="str">
            <v>HILUX DC</v>
          </cell>
          <cell r="L889" t="str">
            <v>GUN25DVA/T00M</v>
          </cell>
          <cell r="M889" t="str">
            <v>HILUX</v>
          </cell>
          <cell r="N889" t="str">
            <v>HILUX DC</v>
          </cell>
          <cell r="O889" t="str">
            <v>GUN125R-DTTMHD-00</v>
          </cell>
          <cell r="P889" t="e">
            <v>#N/A</v>
          </cell>
          <cell r="Q889" t="e">
            <v>#N/A</v>
          </cell>
          <cell r="R889" t="str">
            <v>GUN125R-DTTMHD-00</v>
          </cell>
          <cell r="S889" t="str">
            <v>HILUX</v>
          </cell>
          <cell r="T889" t="e">
            <v>#N/A</v>
          </cell>
          <cell r="U889" t="str">
            <v>HILUX DC V A/T DIESEL</v>
          </cell>
        </row>
        <row r="890">
          <cell r="D890" t="str">
            <v>-</v>
          </cell>
          <cell r="E890" t="str">
            <v>HILUX</v>
          </cell>
          <cell r="F890" t="str">
            <v>HILUX DC</v>
          </cell>
          <cell r="G890" t="str">
            <v>HILUX DC</v>
          </cell>
          <cell r="H890" t="str">
            <v>HILUX DC E M/T DIESEL</v>
          </cell>
          <cell r="I890" t="str">
            <v>HILUX DC E M/T DIESEL</v>
          </cell>
          <cell r="J890" t="str">
            <v>HILUX DC E M/T DIESEL</v>
          </cell>
          <cell r="K890" t="str">
            <v>HILUX DC</v>
          </cell>
          <cell r="L890" t="str">
            <v>GUN25DEM/T01M</v>
          </cell>
          <cell r="M890" t="str">
            <v>HILUX</v>
          </cell>
          <cell r="N890" t="str">
            <v>HILUX DC</v>
          </cell>
          <cell r="O890" t="str">
            <v>-</v>
          </cell>
          <cell r="P890" t="e">
            <v>#N/A</v>
          </cell>
          <cell r="Q890" t="e">
            <v>#N/A</v>
          </cell>
          <cell r="R890" t="str">
            <v>-</v>
          </cell>
          <cell r="S890" t="str">
            <v>HILUX</v>
          </cell>
          <cell r="T890" t="e">
            <v>#N/A</v>
          </cell>
          <cell r="U890" t="str">
            <v>HILUX DC E M/T DIESEL</v>
          </cell>
        </row>
        <row r="891">
          <cell r="D891" t="str">
            <v>ZGX11R-CHXEGD-01</v>
          </cell>
          <cell r="E891" t="str">
            <v>CHR</v>
          </cell>
          <cell r="F891" t="str">
            <v>CHR</v>
          </cell>
          <cell r="G891" t="str">
            <v>CHR</v>
          </cell>
          <cell r="H891" t="str">
            <v>CHR DUAL TONE A/T</v>
          </cell>
          <cell r="I891" t="str">
            <v>CHR DUAL TONE A/T</v>
          </cell>
          <cell r="J891" t="str">
            <v>CHR DUAL TONE A/T</v>
          </cell>
          <cell r="K891" t="str">
            <v>CHR</v>
          </cell>
          <cell r="L891" t="str">
            <v>ZGX11A/T01M</v>
          </cell>
          <cell r="M891" t="str">
            <v>CHR</v>
          </cell>
          <cell r="N891" t="str">
            <v>CHR</v>
          </cell>
          <cell r="O891" t="str">
            <v>ZGX11R-CHXEGD-01</v>
          </cell>
          <cell r="P891" t="e">
            <v>#N/A</v>
          </cell>
          <cell r="Q891" t="e">
            <v>#N/A</v>
          </cell>
          <cell r="R891" t="str">
            <v>ZGX11R-CHXEGD-01</v>
          </cell>
          <cell r="S891" t="str">
            <v>CHR</v>
          </cell>
          <cell r="T891" t="e">
            <v>#N/A</v>
          </cell>
          <cell r="U891" t="str">
            <v>CHR DUAL TONE A/T</v>
          </cell>
        </row>
        <row r="892">
          <cell r="D892" t="str">
            <v>NSP151R-CEMGKD-10</v>
          </cell>
          <cell r="E892" t="str">
            <v>VIOS</v>
          </cell>
          <cell r="F892" t="str">
            <v>VIOS</v>
          </cell>
          <cell r="G892" t="str">
            <v>VIOS</v>
          </cell>
          <cell r="H892" t="str">
            <v>VIOS G M/T</v>
          </cell>
          <cell r="I892" t="str">
            <v>VIOS G M/T</v>
          </cell>
          <cell r="J892" t="str">
            <v>VIOS G M/T</v>
          </cell>
          <cell r="K892" t="str">
            <v>VIOS</v>
          </cell>
          <cell r="L892" t="str">
            <v>NS15MGGM/T10M</v>
          </cell>
          <cell r="M892" t="str">
            <v>VIOS</v>
          </cell>
          <cell r="N892" t="str">
            <v>VIOS</v>
          </cell>
          <cell r="O892" t="str">
            <v>NSP151R-CEMGKD-10</v>
          </cell>
          <cell r="P892" t="e">
            <v>#N/A</v>
          </cell>
          <cell r="Q892" t="e">
            <v>#N/A</v>
          </cell>
          <cell r="R892" t="str">
            <v>NSP151R-CEMGKD-10</v>
          </cell>
          <cell r="S892" t="str">
            <v>VIOS</v>
          </cell>
          <cell r="T892" t="e">
            <v>#N/A</v>
          </cell>
          <cell r="U892" t="str">
            <v>VIOS G M/T</v>
          </cell>
        </row>
        <row r="893">
          <cell r="D893" t="str">
            <v>AGH30R-PFXGK-10</v>
          </cell>
          <cell r="E893" t="str">
            <v>ALPHARD</v>
          </cell>
          <cell r="F893" t="str">
            <v>ALPHARD</v>
          </cell>
          <cell r="G893" t="str">
            <v>ALPHARD</v>
          </cell>
          <cell r="H893" t="str">
            <v>ALPHARD X A/T</v>
          </cell>
          <cell r="I893" t="str">
            <v>ALPHARD X A/T</v>
          </cell>
          <cell r="J893" t="str">
            <v>ALPHARD X A/T</v>
          </cell>
          <cell r="K893" t="str">
            <v>ALPHARD</v>
          </cell>
          <cell r="L893" t="str">
            <v>AL30XA/T10M</v>
          </cell>
          <cell r="M893" t="str">
            <v>ALPHARD</v>
          </cell>
          <cell r="N893" t="str">
            <v>ALPHARD</v>
          </cell>
          <cell r="O893" t="str">
            <v>AGH30R-PFXGK-10</v>
          </cell>
          <cell r="P893" t="e">
            <v>#N/A</v>
          </cell>
          <cell r="Q893" t="e">
            <v>#N/A</v>
          </cell>
          <cell r="R893" t="str">
            <v>AGH30R-PFXGK-10</v>
          </cell>
          <cell r="S893" t="str">
            <v>ALPHARD</v>
          </cell>
          <cell r="T893" t="e">
            <v>#N/A</v>
          </cell>
          <cell r="U893" t="str">
            <v>ALPHARD X A/T</v>
          </cell>
        </row>
        <row r="894">
          <cell r="D894" t="str">
            <v>NSP170R-MWFQKD-E0</v>
          </cell>
          <cell r="E894" t="str">
            <v>SIENTA</v>
          </cell>
          <cell r="F894" t="str">
            <v>SIENTA</v>
          </cell>
          <cell r="G894" t="str">
            <v>SIENTA</v>
          </cell>
          <cell r="H894" t="str">
            <v>SIENTA V M/T</v>
          </cell>
          <cell r="I894" t="str">
            <v>SIENTA V M/T</v>
          </cell>
          <cell r="J894" t="str">
            <v>SIENTA V M/T</v>
          </cell>
          <cell r="K894" t="str">
            <v>SIENTA</v>
          </cell>
          <cell r="L894" t="str">
            <v>NP17VM/TE0M</v>
          </cell>
          <cell r="M894" t="str">
            <v>SIENTA</v>
          </cell>
          <cell r="N894" t="str">
            <v>SIENTA</v>
          </cell>
          <cell r="O894" t="str">
            <v>NSP170R-MWFQKD-E0</v>
          </cell>
          <cell r="P894" t="e">
            <v>#N/A</v>
          </cell>
          <cell r="Q894" t="e">
            <v>#N/A</v>
          </cell>
          <cell r="R894" t="str">
            <v>NSP170R-MWFQKD-E0</v>
          </cell>
          <cell r="S894" t="str">
            <v>SIENTA</v>
          </cell>
          <cell r="T894" t="e">
            <v>#N/A</v>
          </cell>
          <cell r="U894" t="str">
            <v>SIENTA V M/T</v>
          </cell>
        </row>
        <row r="895">
          <cell r="D895" t="str">
            <v>GGH30R-PFZVK-00</v>
          </cell>
          <cell r="E895" t="str">
            <v>ALPHARD</v>
          </cell>
          <cell r="F895" t="str">
            <v>ALPHARD</v>
          </cell>
          <cell r="G895" t="str">
            <v>ALPHARD</v>
          </cell>
          <cell r="H895" t="str">
            <v>ALPHARD Q A/T</v>
          </cell>
          <cell r="I895" t="str">
            <v>ALPHARD Q A/T</v>
          </cell>
          <cell r="J895" t="str">
            <v>ALPHARD Q A/T</v>
          </cell>
          <cell r="K895" t="str">
            <v>ALPHARD</v>
          </cell>
          <cell r="L895" t="str">
            <v>GG30ZQA/T00M</v>
          </cell>
          <cell r="M895" t="str">
            <v>ALPHARD</v>
          </cell>
          <cell r="N895" t="str">
            <v>ALPHARD</v>
          </cell>
          <cell r="O895" t="str">
            <v>GGH30R-PFZVK-00</v>
          </cell>
          <cell r="P895" t="e">
            <v>#N/A</v>
          </cell>
          <cell r="Q895" t="e">
            <v>#N/A</v>
          </cell>
          <cell r="R895" t="str">
            <v>GGH30R-PFZVK-00</v>
          </cell>
          <cell r="S895" t="str">
            <v>ALPHARD</v>
          </cell>
          <cell r="T895" t="e">
            <v>#N/A</v>
          </cell>
          <cell r="U895" t="str">
            <v>ALPHARD Q A/T</v>
          </cell>
        </row>
        <row r="896">
          <cell r="D896" t="str">
            <v>GGH30R-PFZVK-01</v>
          </cell>
          <cell r="E896" t="str">
            <v>ALPHARD</v>
          </cell>
          <cell r="F896" t="str">
            <v>ALPHARD</v>
          </cell>
          <cell r="G896" t="str">
            <v>ALPHARD</v>
          </cell>
          <cell r="H896" t="str">
            <v>ALPHARD Q A/T</v>
          </cell>
          <cell r="I896" t="str">
            <v>ALPHARD Q A/T</v>
          </cell>
          <cell r="J896" t="str">
            <v>ALPHARD Q A/T</v>
          </cell>
          <cell r="K896" t="str">
            <v>ALPHARD</v>
          </cell>
          <cell r="L896" t="str">
            <v>GG30ZQA/T01M</v>
          </cell>
          <cell r="M896" t="str">
            <v>ALPHARD</v>
          </cell>
          <cell r="N896" t="str">
            <v>ALPHARD</v>
          </cell>
          <cell r="O896" t="str">
            <v>GGH30R-PFZVK-01</v>
          </cell>
          <cell r="P896" t="e">
            <v>#N/A</v>
          </cell>
          <cell r="Q896" t="e">
            <v>#N/A</v>
          </cell>
          <cell r="R896" t="str">
            <v>GGH30R-PFZVK-01</v>
          </cell>
          <cell r="S896" t="str">
            <v>ALPHARD</v>
          </cell>
          <cell r="T896" t="e">
            <v>#N/A</v>
          </cell>
          <cell r="U896" t="str">
            <v>ALPHARD Q A/T</v>
          </cell>
        </row>
        <row r="897">
          <cell r="D897" t="e">
            <v>#N/A</v>
          </cell>
          <cell r="E897" t="str">
            <v>INNOVA</v>
          </cell>
          <cell r="F897" t="str">
            <v>INNOVA</v>
          </cell>
          <cell r="G897" t="str">
            <v>INNOVA</v>
          </cell>
          <cell r="H897" t="str">
            <v>INNOVA V M/T</v>
          </cell>
          <cell r="I897" t="str">
            <v>INNOVA V M/T</v>
          </cell>
          <cell r="J897" t="str">
            <v>INNOVA V M/T</v>
          </cell>
          <cell r="K897" t="str">
            <v>INNOVA REBORN</v>
          </cell>
          <cell r="L897" t="str">
            <v>TG40VM/T22M</v>
          </cell>
          <cell r="M897" t="str">
            <v>INNOVA</v>
          </cell>
          <cell r="N897" t="str">
            <v>INNOVA REBORN</v>
          </cell>
          <cell r="O897" t="e">
            <v>#N/A</v>
          </cell>
          <cell r="P897" t="e">
            <v>#N/A</v>
          </cell>
          <cell r="Q897" t="e">
            <v>#N/A</v>
          </cell>
          <cell r="R897" t="e">
            <v>#N/A</v>
          </cell>
          <cell r="S897" t="str">
            <v>INNOVA</v>
          </cell>
          <cell r="T897" t="str">
            <v>INV REBORN</v>
          </cell>
          <cell r="U897" t="str">
            <v>INNOVA V M/T</v>
          </cell>
        </row>
        <row r="898">
          <cell r="D898" t="str">
            <v>GUN125R-CTFLHD-01</v>
          </cell>
          <cell r="E898" t="str">
            <v>HILUX</v>
          </cell>
          <cell r="F898" t="str">
            <v>HILUX EC</v>
          </cell>
          <cell r="G898" t="str">
            <v>HILUX EC</v>
          </cell>
          <cell r="H898" t="str">
            <v>HILUX EC M/T DIESEL</v>
          </cell>
          <cell r="I898" t="str">
            <v>HILUX EC M/T DIESEL</v>
          </cell>
          <cell r="J898" t="str">
            <v>HILUX EC M/T DIESEL</v>
          </cell>
          <cell r="K898" t="str">
            <v>HILUX EC</v>
          </cell>
          <cell r="L898" t="str">
            <v>GUN25CEM/T01M</v>
          </cell>
          <cell r="M898" t="str">
            <v>HILUX</v>
          </cell>
          <cell r="N898" t="str">
            <v>HILUX EC</v>
          </cell>
          <cell r="O898" t="str">
            <v>GUN125R-CTFLHD-01</v>
          </cell>
          <cell r="P898" t="e">
            <v>#N/A</v>
          </cell>
          <cell r="Q898" t="e">
            <v>#N/A</v>
          </cell>
          <cell r="R898" t="str">
            <v>GUN125R-CTFLHD-01</v>
          </cell>
          <cell r="S898" t="str">
            <v>HILUX</v>
          </cell>
          <cell r="T898" t="e">
            <v>#N/A</v>
          </cell>
          <cell r="U898" t="str">
            <v>HILUX EC M/T DIESEL</v>
          </cell>
        </row>
        <row r="899">
          <cell r="D899" t="str">
            <v>NSP151R-CEXGKD-10</v>
          </cell>
          <cell r="E899" t="str">
            <v>VIOS</v>
          </cell>
          <cell r="F899" t="str">
            <v>VIOS</v>
          </cell>
          <cell r="G899" t="str">
            <v>VIOS</v>
          </cell>
          <cell r="H899" t="str">
            <v>VIOS G A/T</v>
          </cell>
          <cell r="I899" t="str">
            <v>VIOS G A/T</v>
          </cell>
          <cell r="J899" t="str">
            <v>VIOS G A/T</v>
          </cell>
          <cell r="K899" t="str">
            <v>VIOS</v>
          </cell>
          <cell r="L899" t="str">
            <v>NS15XGGA/T10M</v>
          </cell>
          <cell r="M899" t="str">
            <v>VIOS</v>
          </cell>
          <cell r="N899" t="str">
            <v>VIOS</v>
          </cell>
          <cell r="O899" t="str">
            <v>NSP151R-CEXGKD-10</v>
          </cell>
          <cell r="P899" t="e">
            <v>#N/A</v>
          </cell>
          <cell r="Q899" t="e">
            <v>#N/A</v>
          </cell>
          <cell r="R899" t="str">
            <v>NSP151R-CEXGKD-10</v>
          </cell>
          <cell r="S899" t="str">
            <v>VIOS</v>
          </cell>
          <cell r="T899" t="e">
            <v>#N/A</v>
          </cell>
          <cell r="U899" t="str">
            <v>VIOS G A/T</v>
          </cell>
        </row>
        <row r="900">
          <cell r="D900" t="str">
            <v>NSP170R-MWFQKD-07</v>
          </cell>
          <cell r="E900" t="str">
            <v>SIENTA</v>
          </cell>
          <cell r="F900" t="str">
            <v>SIENTA</v>
          </cell>
          <cell r="G900" t="str">
            <v>SIENTA</v>
          </cell>
          <cell r="H900" t="str">
            <v>SIENTA V M/T</v>
          </cell>
          <cell r="I900" t="str">
            <v>SIENTA V M/T</v>
          </cell>
          <cell r="J900" t="str">
            <v>SIENTA V M/T</v>
          </cell>
          <cell r="K900" t="str">
            <v>SIENTA</v>
          </cell>
          <cell r="L900" t="str">
            <v>NP17VM/T07M</v>
          </cell>
          <cell r="M900" t="str">
            <v>SIENTA</v>
          </cell>
          <cell r="N900" t="str">
            <v>SIENTA</v>
          </cell>
          <cell r="O900" t="str">
            <v>NSP170R-MWFQKD-07</v>
          </cell>
          <cell r="P900" t="e">
            <v>#N/A</v>
          </cell>
          <cell r="Q900" t="e">
            <v>#N/A</v>
          </cell>
          <cell r="R900" t="str">
            <v>NSP170R-MWFQKD-07</v>
          </cell>
          <cell r="S900" t="str">
            <v>SIENTA</v>
          </cell>
          <cell r="T900" t="e">
            <v>#N/A</v>
          </cell>
          <cell r="U900" t="str">
            <v>SIENTA V M/T</v>
          </cell>
        </row>
        <row r="901">
          <cell r="D901" t="str">
            <v>GUN165R-SDTMHD-22</v>
          </cell>
          <cell r="E901" t="str">
            <v>FORTUNER</v>
          </cell>
          <cell r="F901" t="str">
            <v>FORTUNER 4X2</v>
          </cell>
          <cell r="G901" t="str">
            <v>FORTUNER 4X2</v>
          </cell>
          <cell r="H901" t="str">
            <v>FORTUNER 4X2 VRZ A/T DIESEL</v>
          </cell>
          <cell r="I901" t="str">
            <v>FORTUNER 4X2 VRZ A/T DIESEL</v>
          </cell>
          <cell r="J901" t="str">
            <v>FORTUNER 4X2 VRZ A/T DIESEL</v>
          </cell>
          <cell r="K901" t="str">
            <v>FORTUNER 4X2</v>
          </cell>
          <cell r="L901" t="str">
            <v>GUN65VRZA/T22M</v>
          </cell>
          <cell r="M901" t="str">
            <v>FORTUNER</v>
          </cell>
          <cell r="N901" t="str">
            <v>FORTUNER 4X2</v>
          </cell>
          <cell r="O901" t="str">
            <v>GUN165R-SDTMHD-22</v>
          </cell>
          <cell r="P901" t="e">
            <v>#N/A</v>
          </cell>
          <cell r="Q901" t="e">
            <v>#N/A</v>
          </cell>
          <cell r="R901" t="str">
            <v>GUN165R-SDTMHD-22</v>
          </cell>
          <cell r="S901" t="str">
            <v>FORTUNER</v>
          </cell>
          <cell r="T901" t="e">
            <v>#N/A</v>
          </cell>
          <cell r="U901" t="str">
            <v>FORTUNER 4X2 VRZ TRD DIESEL</v>
          </cell>
        </row>
        <row r="902">
          <cell r="D902" t="str">
            <v>GUN165R-SDTMHD-20</v>
          </cell>
          <cell r="E902" t="str">
            <v>FORTUNER</v>
          </cell>
          <cell r="F902" t="str">
            <v>FORTUNER 4X2</v>
          </cell>
          <cell r="G902" t="str">
            <v>FORTUNER 4X2</v>
          </cell>
          <cell r="H902" t="str">
            <v>FORTUNER 4X2 VRZ A/T DIESEL</v>
          </cell>
          <cell r="I902" t="str">
            <v>FORTUNER 4X2 VRZ A/T DIESEL</v>
          </cell>
          <cell r="J902" t="str">
            <v>FORTUNER 4X2 VRZ A/T DIESEL</v>
          </cell>
          <cell r="K902" t="str">
            <v>FORTUNER 4X2</v>
          </cell>
          <cell r="L902" t="str">
            <v>GUN65VRZA/T20M</v>
          </cell>
          <cell r="M902" t="str">
            <v>FORTUNER</v>
          </cell>
          <cell r="N902" t="str">
            <v>FORTUNER 4X2</v>
          </cell>
          <cell r="O902" t="str">
            <v>GUN165R-SDTMHD-20</v>
          </cell>
          <cell r="P902" t="e">
            <v>#N/A</v>
          </cell>
          <cell r="Q902" t="e">
            <v>#N/A</v>
          </cell>
          <cell r="R902" t="str">
            <v>GUN165R-SDTMHD-20</v>
          </cell>
          <cell r="S902" t="str">
            <v>FORTUNER</v>
          </cell>
          <cell r="T902" t="e">
            <v>#N/A</v>
          </cell>
          <cell r="U902" t="str">
            <v>FORTUNER 4X2 VRZ A/T DIESEL</v>
          </cell>
        </row>
        <row r="903">
          <cell r="D903" t="str">
            <v>GUN125R-DTFLHD-11</v>
          </cell>
          <cell r="E903" t="str">
            <v>HILUX</v>
          </cell>
          <cell r="F903" t="str">
            <v>HILUX DC</v>
          </cell>
          <cell r="G903" t="str">
            <v>HILUX DC</v>
          </cell>
          <cell r="H903" t="str">
            <v>HILUX DC E M/T DIESEL</v>
          </cell>
          <cell r="I903" t="str">
            <v>HILUX DC E M/T DIESEL</v>
          </cell>
          <cell r="J903" t="str">
            <v>HILUX DC E M/T DIESEL</v>
          </cell>
          <cell r="K903" t="str">
            <v>HILUX DC</v>
          </cell>
          <cell r="L903" t="str">
            <v>GUN25DEM/T11M</v>
          </cell>
          <cell r="M903" t="str">
            <v>HILUX</v>
          </cell>
          <cell r="N903" t="str">
            <v>HILUX DC</v>
          </cell>
          <cell r="O903" t="str">
            <v>GUN125R-DTFLHD-11</v>
          </cell>
          <cell r="P903" t="e">
            <v>#N/A</v>
          </cell>
          <cell r="Q903" t="e">
            <v>#N/A</v>
          </cell>
          <cell r="R903" t="str">
            <v>GUN125R-DTFLHD-11</v>
          </cell>
          <cell r="S903" t="str">
            <v>HILUX</v>
          </cell>
          <cell r="T903" t="e">
            <v>#N/A</v>
          </cell>
          <cell r="U903" t="str">
            <v>HILUX DC E M/T DIESEL</v>
          </cell>
        </row>
        <row r="904">
          <cell r="D904" t="str">
            <v>GUN125R-DTTMHD-11</v>
          </cell>
          <cell r="E904" t="str">
            <v>HILUX</v>
          </cell>
          <cell r="F904" t="str">
            <v>HILUX DC</v>
          </cell>
          <cell r="G904" t="str">
            <v>HILUX DC</v>
          </cell>
          <cell r="H904" t="str">
            <v>HILUX DC V A/T DIESEL</v>
          </cell>
          <cell r="I904" t="str">
            <v>HILUX DC V A/T DIESEL</v>
          </cell>
          <cell r="J904" t="str">
            <v>HILUX DC V A/T DIESEL</v>
          </cell>
          <cell r="K904" t="str">
            <v>HILUX DC</v>
          </cell>
          <cell r="L904" t="str">
            <v>GUN25DVA/T11M</v>
          </cell>
          <cell r="M904" t="str">
            <v>HILUX</v>
          </cell>
          <cell r="N904" t="str">
            <v>HILUX DC</v>
          </cell>
          <cell r="O904" t="str">
            <v>GUN125R-DTTMHD-11</v>
          </cell>
          <cell r="P904" t="e">
            <v>#N/A</v>
          </cell>
          <cell r="Q904" t="e">
            <v>#N/A</v>
          </cell>
          <cell r="R904" t="str">
            <v>GUN125R-DTTMHD-11</v>
          </cell>
          <cell r="S904" t="str">
            <v>HILUX</v>
          </cell>
          <cell r="T904" t="e">
            <v>#N/A</v>
          </cell>
          <cell r="U904" t="str">
            <v>HILUX DC V A/T DIESEL</v>
          </cell>
        </row>
        <row r="905">
          <cell r="D905" t="str">
            <v>GUN125R-DTFLHD-01</v>
          </cell>
          <cell r="E905" t="str">
            <v>HILUX</v>
          </cell>
          <cell r="F905" t="str">
            <v>HILUX DC</v>
          </cell>
          <cell r="G905" t="str">
            <v>HILUX DC</v>
          </cell>
          <cell r="H905" t="str">
            <v>HILUX DC E M/T DIESEL</v>
          </cell>
          <cell r="I905" t="str">
            <v>HILUX DC E M/T DIESEL</v>
          </cell>
          <cell r="J905" t="str">
            <v>HILUX DC E M/T DIESEL</v>
          </cell>
          <cell r="K905" t="str">
            <v>HILUX DC</v>
          </cell>
          <cell r="L905" t="str">
            <v>GUN25DEM/T01M</v>
          </cell>
          <cell r="M905" t="str">
            <v>HILUX</v>
          </cell>
          <cell r="N905" t="str">
            <v>HILUX DC</v>
          </cell>
          <cell r="O905" t="str">
            <v>GUN125R-DTFLHD-01</v>
          </cell>
          <cell r="P905" t="e">
            <v>#N/A</v>
          </cell>
          <cell r="Q905" t="e">
            <v>#N/A</v>
          </cell>
          <cell r="R905" t="str">
            <v>GUN125R-DTFLHD-01</v>
          </cell>
          <cell r="S905" t="str">
            <v>HILUX</v>
          </cell>
          <cell r="T905" t="e">
            <v>#N/A</v>
          </cell>
          <cell r="U905" t="str">
            <v>HILUX DC E M/T DIESEL</v>
          </cell>
        </row>
        <row r="906">
          <cell r="D906" t="e">
            <v>#N/A</v>
          </cell>
          <cell r="E906" t="str">
            <v>INNOVA</v>
          </cell>
          <cell r="F906" t="str">
            <v>INNOVA</v>
          </cell>
          <cell r="G906" t="str">
            <v>INNOVA</v>
          </cell>
          <cell r="H906" t="str">
            <v>INNOVA V M/T</v>
          </cell>
          <cell r="I906" t="str">
            <v>INNOVA V M/T</v>
          </cell>
          <cell r="J906" t="str">
            <v>INNOVA V M/T</v>
          </cell>
          <cell r="K906" t="str">
            <v>INNOVA REBORN</v>
          </cell>
          <cell r="L906" t="str">
            <v>TG40VM/T30</v>
          </cell>
          <cell r="M906" t="str">
            <v>INNOVA</v>
          </cell>
          <cell r="N906" t="str">
            <v>INNOVA REBORN</v>
          </cell>
          <cell r="O906" t="e">
            <v>#N/A</v>
          </cell>
          <cell r="P906" t="e">
            <v>#N/A</v>
          </cell>
          <cell r="Q906" t="e">
            <v>#N/A</v>
          </cell>
          <cell r="R906" t="e">
            <v>#N/A</v>
          </cell>
          <cell r="S906" t="str">
            <v>INNOVA</v>
          </cell>
          <cell r="T906" t="str">
            <v>INV REBORN</v>
          </cell>
          <cell r="U906" t="str">
            <v>INNOVA V M/T</v>
          </cell>
        </row>
        <row r="907">
          <cell r="D907" t="str">
            <v>NSP170R-MWFNKD-07</v>
          </cell>
          <cell r="E907" t="str">
            <v>SIENTA</v>
          </cell>
          <cell r="F907" t="str">
            <v>SIENTA</v>
          </cell>
          <cell r="G907" t="str">
            <v>SIENTA</v>
          </cell>
          <cell r="H907" t="str">
            <v>SIENTA G M/T</v>
          </cell>
          <cell r="I907" t="str">
            <v>SIENTA G M/T</v>
          </cell>
          <cell r="J907" t="str">
            <v>SIENTA G M/T</v>
          </cell>
          <cell r="K907" t="str">
            <v>SIENTA</v>
          </cell>
          <cell r="L907" t="str">
            <v>NP17GM/T07M</v>
          </cell>
          <cell r="M907" t="str">
            <v>SIENTA</v>
          </cell>
          <cell r="N907" t="str">
            <v>SIENTA</v>
          </cell>
          <cell r="O907" t="str">
            <v>NSP170R-MWFNKD-07</v>
          </cell>
          <cell r="P907" t="e">
            <v>#N/A</v>
          </cell>
          <cell r="Q907" t="e">
            <v>#N/A</v>
          </cell>
          <cell r="R907" t="str">
            <v>NSP170R-MWFNKD-07</v>
          </cell>
          <cell r="S907" t="str">
            <v>SIENTA</v>
          </cell>
          <cell r="T907" t="e">
            <v>#N/A</v>
          </cell>
          <cell r="U907" t="str">
            <v>SIENTA G M/T</v>
          </cell>
        </row>
        <row r="908">
          <cell r="D908" t="str">
            <v>NSP170R-MWYNKD-07</v>
          </cell>
          <cell r="E908" t="str">
            <v>SIENTA</v>
          </cell>
          <cell r="F908" t="str">
            <v>SIENTA</v>
          </cell>
          <cell r="G908" t="str">
            <v>SIENTA</v>
          </cell>
          <cell r="H908" t="str">
            <v>SIENTA G A/T</v>
          </cell>
          <cell r="I908" t="str">
            <v>SIENTA G A/T</v>
          </cell>
          <cell r="J908" t="str">
            <v>SIENTA G A/T</v>
          </cell>
          <cell r="K908" t="str">
            <v>SIENTA</v>
          </cell>
          <cell r="L908" t="str">
            <v>NP17GA/T07M</v>
          </cell>
          <cell r="M908" t="str">
            <v>SIENTA</v>
          </cell>
          <cell r="N908" t="str">
            <v>SIENTA</v>
          </cell>
          <cell r="O908" t="str">
            <v>NSP170R-MWYNKD-07</v>
          </cell>
          <cell r="P908" t="e">
            <v>#N/A</v>
          </cell>
          <cell r="Q908" t="e">
            <v>#N/A</v>
          </cell>
          <cell r="R908" t="str">
            <v>NSP170R-MWYNKD-07</v>
          </cell>
          <cell r="S908" t="str">
            <v>SIENTA</v>
          </cell>
          <cell r="T908" t="e">
            <v>#N/A</v>
          </cell>
          <cell r="U908" t="str">
            <v>SIENTA G A/T</v>
          </cell>
        </row>
        <row r="909">
          <cell r="D909" t="str">
            <v>NSP151R-CEMRKD-10</v>
          </cell>
          <cell r="E909" t="str">
            <v>VIOS</v>
          </cell>
          <cell r="F909" t="str">
            <v>VIOS</v>
          </cell>
          <cell r="G909" t="str">
            <v>VIOS</v>
          </cell>
          <cell r="H909" t="str">
            <v>VIOS E M/T</v>
          </cell>
          <cell r="I909" t="str">
            <v>VIOS E M/T</v>
          </cell>
          <cell r="J909" t="str">
            <v>VIOS E M/T</v>
          </cell>
          <cell r="K909" t="str">
            <v>VIOS</v>
          </cell>
          <cell r="L909" t="str">
            <v>NS15MREM/T10M</v>
          </cell>
          <cell r="M909" t="str">
            <v>VIOS</v>
          </cell>
          <cell r="N909" t="str">
            <v>VIOS</v>
          </cell>
          <cell r="O909" t="str">
            <v>NSP151R-CEMRKD-10</v>
          </cell>
          <cell r="P909" t="e">
            <v>#N/A</v>
          </cell>
          <cell r="Q909" t="e">
            <v>#N/A</v>
          </cell>
          <cell r="R909" t="str">
            <v>NSP151R-CEMRKD-10</v>
          </cell>
          <cell r="S909" t="str">
            <v>VIOS</v>
          </cell>
          <cell r="T909" t="e">
            <v>#N/A</v>
          </cell>
          <cell r="U909" t="str">
            <v>VIOS E M/T</v>
          </cell>
        </row>
        <row r="910">
          <cell r="D910" t="str">
            <v>GUN165R-SDTMHD-F0</v>
          </cell>
          <cell r="E910" t="str">
            <v>FORTUNER</v>
          </cell>
          <cell r="F910" t="str">
            <v>FORTUNER 4X2</v>
          </cell>
          <cell r="G910" t="str">
            <v>FORTUNER 4X2</v>
          </cell>
          <cell r="H910" t="str">
            <v>FORTUNER 4X2 VRZ A/T DIESEL</v>
          </cell>
          <cell r="I910" t="str">
            <v>FORTUNER 4X2 VRZ A/T DIESEL</v>
          </cell>
          <cell r="J910" t="str">
            <v>FORTUNER 4X2 VRZ A/T DIESEL</v>
          </cell>
          <cell r="K910" t="str">
            <v>FORTUNER 4X2</v>
          </cell>
          <cell r="L910" t="str">
            <v>GUN65VRZA/TF0M</v>
          </cell>
          <cell r="M910" t="str">
            <v>FORTUNER</v>
          </cell>
          <cell r="N910" t="str">
            <v>FORTUNER 4X2</v>
          </cell>
          <cell r="O910" t="str">
            <v>GUN165R-SDTMHD-F0</v>
          </cell>
          <cell r="P910" t="e">
            <v>#N/A</v>
          </cell>
          <cell r="Q910" t="e">
            <v>#N/A</v>
          </cell>
          <cell r="R910" t="str">
            <v>GUN165R-SDTMHD-F0</v>
          </cell>
          <cell r="S910" t="str">
            <v>FORTUNER</v>
          </cell>
          <cell r="T910" t="e">
            <v>#N/A</v>
          </cell>
          <cell r="U910" t="str">
            <v>FORTUNER 4X2 VRZ A/T DIESEL</v>
          </cell>
        </row>
        <row r="911">
          <cell r="D911" t="str">
            <v>NSP170R-MWYUKD-E5</v>
          </cell>
          <cell r="E911" t="str">
            <v>SIENTA</v>
          </cell>
          <cell r="F911" t="str">
            <v>SIENTA</v>
          </cell>
          <cell r="G911" t="str">
            <v>SIENTA</v>
          </cell>
          <cell r="H911" t="str">
            <v>SIENTA Q A/T</v>
          </cell>
          <cell r="I911" t="str">
            <v>SIENTA Q A/T</v>
          </cell>
          <cell r="J911" t="str">
            <v>SIENTA Q A/T</v>
          </cell>
          <cell r="K911" t="str">
            <v>SIENTA</v>
          </cell>
          <cell r="L911" t="str">
            <v>NP17QA/TE5M</v>
          </cell>
          <cell r="M911" t="str">
            <v>SIENTA</v>
          </cell>
          <cell r="N911" t="str">
            <v>SIENTA</v>
          </cell>
          <cell r="O911" t="str">
            <v>NSP170R-MWYUKD-E5</v>
          </cell>
          <cell r="P911" t="e">
            <v>#N/A</v>
          </cell>
          <cell r="Q911" t="e">
            <v>#N/A</v>
          </cell>
          <cell r="R911" t="str">
            <v>NSP170R-MWYUKD-E5</v>
          </cell>
          <cell r="S911" t="str">
            <v>SIENTA</v>
          </cell>
          <cell r="T911" t="e">
            <v>#N/A</v>
          </cell>
          <cell r="U911" t="str">
            <v>SIENTA Q A/T</v>
          </cell>
        </row>
        <row r="912">
          <cell r="D912" t="str">
            <v>NSP170R-MWYQKD-08</v>
          </cell>
          <cell r="E912" t="str">
            <v>SIENTA</v>
          </cell>
          <cell r="F912" t="str">
            <v>SIENTA</v>
          </cell>
          <cell r="G912" t="str">
            <v>SIENTA</v>
          </cell>
          <cell r="H912" t="str">
            <v>SIENTA V A/T</v>
          </cell>
          <cell r="I912" t="str">
            <v>SIENTA V A/T</v>
          </cell>
          <cell r="J912" t="str">
            <v>SIENTA V A/T</v>
          </cell>
          <cell r="K912" t="str">
            <v>SIENTA</v>
          </cell>
          <cell r="L912" t="str">
            <v>NP17VA/T08M</v>
          </cell>
          <cell r="M912" t="str">
            <v>SIENTA</v>
          </cell>
          <cell r="N912" t="str">
            <v>SIENTA</v>
          </cell>
          <cell r="O912" t="str">
            <v>NSP170R-MWYQKD-08</v>
          </cell>
          <cell r="P912" t="e">
            <v>#N/A</v>
          </cell>
          <cell r="Q912" t="e">
            <v>#N/A</v>
          </cell>
          <cell r="R912" t="str">
            <v>NSP170R-MWYQKD-08</v>
          </cell>
          <cell r="S912" t="str">
            <v>SIENTA</v>
          </cell>
          <cell r="T912" t="e">
            <v>#N/A</v>
          </cell>
          <cell r="U912" t="str">
            <v>SIENTA V A/T</v>
          </cell>
        </row>
        <row r="913">
          <cell r="D913" t="str">
            <v>NSP170R-MWYUKD-08</v>
          </cell>
          <cell r="E913" t="str">
            <v>SIENTA</v>
          </cell>
          <cell r="F913" t="str">
            <v>SIENTA</v>
          </cell>
          <cell r="G913" t="str">
            <v>SIENTA</v>
          </cell>
          <cell r="H913" t="str">
            <v>SIENTA Q A/T</v>
          </cell>
          <cell r="I913" t="str">
            <v>SIENTA Q A/T</v>
          </cell>
          <cell r="J913" t="str">
            <v>SIENTA Q A/T</v>
          </cell>
          <cell r="K913" t="str">
            <v>SIENTA</v>
          </cell>
          <cell r="L913" t="str">
            <v>NP17QA/T08M</v>
          </cell>
          <cell r="M913" t="str">
            <v>SIENTA</v>
          </cell>
          <cell r="N913" t="str">
            <v>SIENTA</v>
          </cell>
          <cell r="O913" t="str">
            <v>NSP170R-MWYUKD-08</v>
          </cell>
          <cell r="P913" t="e">
            <v>#N/A</v>
          </cell>
          <cell r="Q913" t="e">
            <v>#N/A</v>
          </cell>
          <cell r="R913" t="str">
            <v>NSP170R-MWYUKD-08</v>
          </cell>
          <cell r="S913" t="str">
            <v>SIENTA</v>
          </cell>
          <cell r="T913" t="e">
            <v>#N/A</v>
          </cell>
          <cell r="U913" t="str">
            <v>SIENTA Q A/T</v>
          </cell>
        </row>
        <row r="914">
          <cell r="D914" t="str">
            <v>NSP170R-MWFQKD-E2</v>
          </cell>
          <cell r="E914" t="str">
            <v>SIENTA</v>
          </cell>
          <cell r="F914" t="str">
            <v>SIENTA</v>
          </cell>
          <cell r="G914" t="str">
            <v>SIENTA</v>
          </cell>
          <cell r="H914" t="str">
            <v>SIENTA V M/T</v>
          </cell>
          <cell r="I914" t="str">
            <v>SIENTA V M/T</v>
          </cell>
          <cell r="J914" t="str">
            <v>SIENTA V M/T</v>
          </cell>
          <cell r="K914" t="str">
            <v>SIENTA</v>
          </cell>
          <cell r="L914" t="str">
            <v>NP17VM/TE2M</v>
          </cell>
          <cell r="M914" t="str">
            <v>SIENTA</v>
          </cell>
          <cell r="N914" t="str">
            <v>SIENTA</v>
          </cell>
          <cell r="O914" t="str">
            <v>NSP170R-MWFQKD-E2</v>
          </cell>
          <cell r="P914" t="e">
            <v>#N/A</v>
          </cell>
          <cell r="Q914" t="e">
            <v>#N/A</v>
          </cell>
          <cell r="R914" t="str">
            <v>NSP170R-MWFQKD-E2</v>
          </cell>
          <cell r="S914" t="str">
            <v>SIENTA</v>
          </cell>
          <cell r="T914" t="e">
            <v>#N/A</v>
          </cell>
          <cell r="U914" t="str">
            <v>SIENTA V M/T</v>
          </cell>
        </row>
        <row r="915">
          <cell r="D915" t="str">
            <v>F653RM-GMDFJ-11</v>
          </cell>
          <cell r="E915" t="str">
            <v>AVANZA</v>
          </cell>
          <cell r="F915" t="str">
            <v>AVANZA</v>
          </cell>
          <cell r="G915" t="str">
            <v>AVANZA</v>
          </cell>
          <cell r="H915" t="str">
            <v>AVANZA E M/T</v>
          </cell>
          <cell r="I915" t="str">
            <v>AVANZA E M/T</v>
          </cell>
          <cell r="J915" t="str">
            <v>AVANZA E M/T</v>
          </cell>
          <cell r="K915" t="str">
            <v>AVANZA</v>
          </cell>
          <cell r="L915" t="str">
            <v>F53EM/T11M</v>
          </cell>
          <cell r="M915" t="str">
            <v>AVANZA</v>
          </cell>
          <cell r="N915" t="str">
            <v>AVANZA</v>
          </cell>
          <cell r="O915" t="str">
            <v>F653RM-GMDFJ-11</v>
          </cell>
          <cell r="P915" t="e">
            <v>#N/A</v>
          </cell>
          <cell r="Q915" t="e">
            <v>#N/A</v>
          </cell>
          <cell r="R915" t="str">
            <v>F653RM-GMDFJ-11</v>
          </cell>
          <cell r="S915" t="str">
            <v>AVANZA</v>
          </cell>
          <cell r="T915" t="e">
            <v>#N/A</v>
          </cell>
          <cell r="U915" t="str">
            <v>AVANZA E M/T</v>
          </cell>
        </row>
        <row r="916">
          <cell r="D916" t="str">
            <v>F653RM-GMSFJ-11</v>
          </cell>
          <cell r="E916" t="str">
            <v>AVANZA</v>
          </cell>
          <cell r="F916" t="str">
            <v>AVANZA</v>
          </cell>
          <cell r="G916" t="str">
            <v>AVANZA</v>
          </cell>
          <cell r="H916" t="str">
            <v>AVANZA VELOZ 1.3 M/T</v>
          </cell>
          <cell r="I916" t="str">
            <v>AVANZA VELOZ 1.3 M/T</v>
          </cell>
          <cell r="J916" t="str">
            <v>AVANZA VELOZ 1.3 M/T</v>
          </cell>
          <cell r="K916" t="str">
            <v>AVANZA</v>
          </cell>
          <cell r="L916" t="str">
            <v>F53VM/T11M</v>
          </cell>
          <cell r="M916" t="str">
            <v>AVANZA</v>
          </cell>
          <cell r="N916" t="str">
            <v>AVANZA</v>
          </cell>
          <cell r="O916" t="str">
            <v>F653RM-GMSFJ-11</v>
          </cell>
          <cell r="P916" t="e">
            <v>#N/A</v>
          </cell>
          <cell r="Q916" t="e">
            <v>#N/A</v>
          </cell>
          <cell r="R916" t="str">
            <v>F653RM-GMSFJ-11</v>
          </cell>
          <cell r="S916" t="str">
            <v>AVANZA</v>
          </cell>
          <cell r="T916" t="e">
            <v>#N/A</v>
          </cell>
          <cell r="U916" t="str">
            <v>AVANZA VELOZ 1.3 M/T</v>
          </cell>
        </row>
        <row r="917">
          <cell r="D917" t="str">
            <v>F653RM-GQMFJ-11</v>
          </cell>
          <cell r="E917" t="str">
            <v>AVANZA</v>
          </cell>
          <cell r="F917" t="str">
            <v>AVANZA</v>
          </cell>
          <cell r="G917" t="str">
            <v>AVANZA</v>
          </cell>
          <cell r="H917" t="str">
            <v>AVANZA G A/T</v>
          </cell>
          <cell r="I917" t="str">
            <v>AVANZA G A/T</v>
          </cell>
          <cell r="J917" t="str">
            <v>AVANZA G A/T</v>
          </cell>
          <cell r="K917" t="str">
            <v>AVANZA</v>
          </cell>
          <cell r="L917" t="str">
            <v>F53GA/T11M</v>
          </cell>
          <cell r="M917" t="str">
            <v>AVANZA</v>
          </cell>
          <cell r="N917" t="str">
            <v>AVANZA</v>
          </cell>
          <cell r="O917" t="str">
            <v>F653RM-GQMFJ-11</v>
          </cell>
          <cell r="P917" t="e">
            <v>#N/A</v>
          </cell>
          <cell r="Q917" t="e">
            <v>#N/A</v>
          </cell>
          <cell r="R917" t="str">
            <v>F653RM-GQMFJ-11</v>
          </cell>
          <cell r="S917" t="str">
            <v>AVANZA</v>
          </cell>
          <cell r="T917" t="e">
            <v>#N/A</v>
          </cell>
          <cell r="U917" t="str">
            <v>AVANZA G A/T</v>
          </cell>
        </row>
        <row r="918">
          <cell r="D918" t="str">
            <v>F653RM-GQDFJ-11</v>
          </cell>
          <cell r="E918" t="str">
            <v>AVANZA</v>
          </cell>
          <cell r="F918" t="str">
            <v>AVANZA</v>
          </cell>
          <cell r="G918" t="str">
            <v>AVANZA</v>
          </cell>
          <cell r="H918" t="str">
            <v>AVANZA E A/T</v>
          </cell>
          <cell r="I918" t="str">
            <v>AVANZA E A/T</v>
          </cell>
          <cell r="J918" t="str">
            <v>AVANZA E A/T</v>
          </cell>
          <cell r="K918" t="str">
            <v>AVANZA</v>
          </cell>
          <cell r="L918" t="str">
            <v>F53EA/T11M</v>
          </cell>
          <cell r="M918" t="str">
            <v>AVANZA</v>
          </cell>
          <cell r="N918" t="str">
            <v>AVANZA</v>
          </cell>
          <cell r="O918" t="str">
            <v>F653RM-GQDFJ-11</v>
          </cell>
          <cell r="P918" t="e">
            <v>#N/A</v>
          </cell>
          <cell r="Q918" t="e">
            <v>#N/A</v>
          </cell>
          <cell r="R918" t="str">
            <v>F653RM-GQDFJ-11</v>
          </cell>
          <cell r="S918" t="str">
            <v>AVANZA</v>
          </cell>
          <cell r="T918" t="e">
            <v>#N/A</v>
          </cell>
          <cell r="U918" t="str">
            <v>AVANZA E A/T</v>
          </cell>
        </row>
        <row r="919">
          <cell r="D919" t="str">
            <v>F654RM-GMSFJ-11</v>
          </cell>
          <cell r="E919" t="str">
            <v>AVANZA</v>
          </cell>
          <cell r="F919" t="str">
            <v>AVANZA</v>
          </cell>
          <cell r="G919" t="str">
            <v>AVANZA</v>
          </cell>
          <cell r="H919" t="str">
            <v>AVANZA VELOZ 1.5 M/T</v>
          </cell>
          <cell r="I919" t="str">
            <v>AVANZA VELOZ 1.5 M/T</v>
          </cell>
          <cell r="J919" t="str">
            <v>AVANZA VELOZ 1.5 M/T</v>
          </cell>
          <cell r="K919" t="str">
            <v>AVANZA</v>
          </cell>
          <cell r="L919" t="str">
            <v>F54VM/T11M</v>
          </cell>
          <cell r="M919" t="str">
            <v>AVANZA</v>
          </cell>
          <cell r="N919" t="str">
            <v>AVANZA</v>
          </cell>
          <cell r="O919" t="str">
            <v>F654RM-GMSFJ-11</v>
          </cell>
          <cell r="P919" t="e">
            <v>#N/A</v>
          </cell>
          <cell r="Q919" t="e">
            <v>#N/A</v>
          </cell>
          <cell r="R919" t="str">
            <v>F654RM-GMSFJ-11</v>
          </cell>
          <cell r="S919" t="str">
            <v>AVANZA</v>
          </cell>
          <cell r="T919" t="e">
            <v>#N/A</v>
          </cell>
          <cell r="U919" t="str">
            <v>AVANZA VELOZ 1.5 M/T</v>
          </cell>
        </row>
        <row r="920">
          <cell r="D920" t="str">
            <v>F653RM-GQSFJ-11</v>
          </cell>
          <cell r="E920" t="str">
            <v>AVANZA</v>
          </cell>
          <cell r="F920" t="str">
            <v>AVANZA</v>
          </cell>
          <cell r="G920" t="str">
            <v>AVANZA</v>
          </cell>
          <cell r="H920" t="str">
            <v>AVANZA VELOZ 1.3 A/T</v>
          </cell>
          <cell r="I920" t="str">
            <v>AVANZA VELOZ 1.3 A/T</v>
          </cell>
          <cell r="J920" t="str">
            <v>AVANZA VELOZ 1.3 A/T</v>
          </cell>
          <cell r="K920" t="str">
            <v>AVANZA</v>
          </cell>
          <cell r="L920" t="str">
            <v>F53VA/T11M</v>
          </cell>
          <cell r="M920" t="str">
            <v>AVANZA</v>
          </cell>
          <cell r="N920" t="str">
            <v>AVANZA</v>
          </cell>
          <cell r="O920" t="str">
            <v>F653RM-GQSFJ-11</v>
          </cell>
          <cell r="P920" t="e">
            <v>#N/A</v>
          </cell>
          <cell r="Q920" t="e">
            <v>#N/A</v>
          </cell>
          <cell r="R920" t="str">
            <v>F653RM-GQSFJ-11</v>
          </cell>
          <cell r="S920" t="str">
            <v>AVANZA</v>
          </cell>
          <cell r="T920" t="e">
            <v>#N/A</v>
          </cell>
          <cell r="U920" t="str">
            <v>AVANZA VELOZ 1.3 A/T</v>
          </cell>
        </row>
        <row r="921">
          <cell r="D921" t="str">
            <v>F654RM-GMMFJ-11</v>
          </cell>
          <cell r="E921" t="str">
            <v>AVANZA</v>
          </cell>
          <cell r="F921" t="str">
            <v>AVANZA</v>
          </cell>
          <cell r="G921" t="str">
            <v>AVANZA</v>
          </cell>
          <cell r="H921" t="str">
            <v>AVANZA G M/T</v>
          </cell>
          <cell r="I921" t="str">
            <v>AVANZA G M/T 1.5</v>
          </cell>
          <cell r="J921" t="str">
            <v>AVANZA G M/T 1.5</v>
          </cell>
          <cell r="K921" t="str">
            <v>AVANZA</v>
          </cell>
          <cell r="L921" t="str">
            <v>F54GM/T11M</v>
          </cell>
          <cell r="M921" t="str">
            <v>AVANZA</v>
          </cell>
          <cell r="N921" t="str">
            <v>AVANZA</v>
          </cell>
          <cell r="O921" t="str">
            <v>F654RM-GMMFJ-11</v>
          </cell>
          <cell r="P921" t="e">
            <v>#N/A</v>
          </cell>
          <cell r="Q921" t="e">
            <v>#N/A</v>
          </cell>
          <cell r="R921" t="str">
            <v>F654RM-GMMFJ-11</v>
          </cell>
          <cell r="S921" t="str">
            <v>AVANZA</v>
          </cell>
          <cell r="T921" t="e">
            <v>#N/A</v>
          </cell>
          <cell r="U921" t="str">
            <v>AVANZA G M/T</v>
          </cell>
        </row>
        <row r="922">
          <cell r="D922" t="e">
            <v>#N/A</v>
          </cell>
          <cell r="E922" t="str">
            <v>INNOVA</v>
          </cell>
          <cell r="F922" t="str">
            <v>INNOVA</v>
          </cell>
          <cell r="G922" t="str">
            <v>INNOVA</v>
          </cell>
          <cell r="H922" t="str">
            <v>INNOVA V M/T</v>
          </cell>
          <cell r="I922" t="str">
            <v>INNOVA V M/T</v>
          </cell>
          <cell r="J922" t="str">
            <v>INNOVA V M/T</v>
          </cell>
          <cell r="K922" t="str">
            <v>INNOVA REBORN</v>
          </cell>
          <cell r="L922" t="str">
            <v>TG40VM/T30M</v>
          </cell>
          <cell r="M922" t="str">
            <v>INNOVA</v>
          </cell>
          <cell r="N922" t="str">
            <v>INNOVA REBORN</v>
          </cell>
          <cell r="O922" t="e">
            <v>#N/A</v>
          </cell>
          <cell r="P922" t="e">
            <v>#N/A</v>
          </cell>
          <cell r="Q922" t="e">
            <v>#N/A</v>
          </cell>
          <cell r="R922" t="e">
            <v>#N/A</v>
          </cell>
          <cell r="S922" t="str">
            <v>INNOVA</v>
          </cell>
          <cell r="T922" t="str">
            <v>INV REBORN</v>
          </cell>
          <cell r="U922" t="str">
            <v>INNOVA V M/T</v>
          </cell>
        </row>
        <row r="923">
          <cell r="D923" t="str">
            <v>TGN140R-MDMHKD-22</v>
          </cell>
          <cell r="E923" t="str">
            <v>INNOVA</v>
          </cell>
          <cell r="F923" t="str">
            <v>INNOVA</v>
          </cell>
          <cell r="G923" t="str">
            <v>INNOVA</v>
          </cell>
          <cell r="H923" t="str">
            <v>VENTURER M/T</v>
          </cell>
          <cell r="I923" t="str">
            <v>VENTURER M/T</v>
          </cell>
          <cell r="J923" t="str">
            <v>VENTURER M/T</v>
          </cell>
          <cell r="K923" t="str">
            <v>INNOVA REBORN</v>
          </cell>
          <cell r="L923" t="str">
            <v>TGN40QM/T22M</v>
          </cell>
          <cell r="M923" t="str">
            <v>INNOVA</v>
          </cell>
          <cell r="N923" t="str">
            <v>INNOVA REBORN</v>
          </cell>
          <cell r="O923" t="str">
            <v>TGN140R-MDMHKD-22</v>
          </cell>
          <cell r="P923" t="e">
            <v>#N/A</v>
          </cell>
          <cell r="Q923" t="e">
            <v>#N/A</v>
          </cell>
          <cell r="R923" t="str">
            <v>TGN140R-MDMHKD-22</v>
          </cell>
          <cell r="S923" t="str">
            <v>INNOVA</v>
          </cell>
          <cell r="T923" t="e">
            <v>#N/A</v>
          </cell>
          <cell r="U923" t="str">
            <v>VENTURER M/T</v>
          </cell>
        </row>
        <row r="924">
          <cell r="D924" t="str">
            <v>VDJ200R-GNTVZ-60</v>
          </cell>
          <cell r="E924" t="str">
            <v>LANDCRUISER</v>
          </cell>
          <cell r="F924" t="str">
            <v>LANDCRUISER</v>
          </cell>
          <cell r="G924" t="str">
            <v>LANDCRUISER</v>
          </cell>
          <cell r="H924" t="str">
            <v>LANDCRUISER</v>
          </cell>
          <cell r="I924" t="str">
            <v>LANDCRUISER</v>
          </cell>
          <cell r="J924" t="str">
            <v>LANDCRUISER</v>
          </cell>
          <cell r="K924" t="str">
            <v>LANDCRUISER</v>
          </cell>
          <cell r="L924" t="str">
            <v>VJ200EZA/T60M</v>
          </cell>
          <cell r="M924" t="str">
            <v>LANDCRUISER</v>
          </cell>
          <cell r="N924" t="str">
            <v>LANDCRUISER</v>
          </cell>
          <cell r="O924" t="str">
            <v>VDJ200R-GNTVZ-60</v>
          </cell>
          <cell r="P924" t="e">
            <v>#N/A</v>
          </cell>
          <cell r="Q924" t="e">
            <v>#N/A</v>
          </cell>
          <cell r="R924" t="str">
            <v>VDJ200R-GNTVZ-60</v>
          </cell>
          <cell r="S924" t="str">
            <v>LANDCRUISER</v>
          </cell>
          <cell r="T924" t="e">
            <v>#N/A</v>
          </cell>
          <cell r="U924" t="str">
            <v>LANDCRUISER</v>
          </cell>
        </row>
        <row r="925">
          <cell r="D925" t="str">
            <v>NSP170R-MWYDKD-07</v>
          </cell>
          <cell r="E925" t="str">
            <v>SIENTA</v>
          </cell>
          <cell r="F925" t="str">
            <v>SIENTA</v>
          </cell>
          <cell r="G925" t="str">
            <v>SIENTA</v>
          </cell>
          <cell r="H925" t="str">
            <v>SIENTA E A/T</v>
          </cell>
          <cell r="I925" t="str">
            <v>SIENTA E A/T</v>
          </cell>
          <cell r="J925" t="str">
            <v>SIENTA E A/T</v>
          </cell>
          <cell r="K925" t="str">
            <v>SIENTA</v>
          </cell>
          <cell r="L925" t="str">
            <v>NP17EA/T07M</v>
          </cell>
          <cell r="M925" t="str">
            <v>SIENTA</v>
          </cell>
          <cell r="N925" t="str">
            <v>SIENTA</v>
          </cell>
          <cell r="O925" t="str">
            <v>NSP170R-MWYDKD-07</v>
          </cell>
          <cell r="P925" t="e">
            <v>#N/A</v>
          </cell>
          <cell r="Q925" t="e">
            <v>#N/A</v>
          </cell>
          <cell r="R925" t="str">
            <v>NSP170R-MWYDKD-07</v>
          </cell>
          <cell r="S925" t="str">
            <v>SIENTA</v>
          </cell>
          <cell r="T925" t="e">
            <v>#N/A</v>
          </cell>
          <cell r="U925" t="str">
            <v>SIENTA E A/T</v>
          </cell>
        </row>
        <row r="926">
          <cell r="D926" t="str">
            <v>F653RM-GMDFJ-12</v>
          </cell>
          <cell r="E926" t="str">
            <v>AVANZA</v>
          </cell>
          <cell r="F926" t="str">
            <v>AVANZA</v>
          </cell>
          <cell r="G926" t="str">
            <v>AVANZA</v>
          </cell>
          <cell r="H926" t="str">
            <v>AVANZA E M/T</v>
          </cell>
          <cell r="I926" t="str">
            <v>AVANZA E M/T</v>
          </cell>
          <cell r="J926" t="str">
            <v>AVANZA E M/T</v>
          </cell>
          <cell r="K926" t="str">
            <v>AVANZA</v>
          </cell>
          <cell r="L926" t="str">
            <v>F53EM/T12M</v>
          </cell>
          <cell r="M926" t="str">
            <v>AVANZA</v>
          </cell>
          <cell r="N926" t="str">
            <v>AVANZA</v>
          </cell>
          <cell r="O926" t="str">
            <v>F653RM-GMDFJ-12</v>
          </cell>
          <cell r="P926" t="e">
            <v>#N/A</v>
          </cell>
          <cell r="Q926" t="e">
            <v>#N/A</v>
          </cell>
          <cell r="R926" t="str">
            <v>F653RM-GMDFJ-12</v>
          </cell>
          <cell r="S926" t="str">
            <v>AVANZA</v>
          </cell>
          <cell r="T926" t="e">
            <v>#N/A</v>
          </cell>
          <cell r="U926" t="str">
            <v>AVANZA E M/T</v>
          </cell>
        </row>
        <row r="927">
          <cell r="D927" t="str">
            <v>NSP151R-CHMRKD-10</v>
          </cell>
          <cell r="E927" t="str">
            <v>YARIS</v>
          </cell>
          <cell r="F927" t="str">
            <v>YARIS</v>
          </cell>
          <cell r="G927" t="str">
            <v>YARIS</v>
          </cell>
          <cell r="H927" t="str">
            <v>YARIS E M/T</v>
          </cell>
          <cell r="I927" t="str">
            <v>YARIS E M/T</v>
          </cell>
          <cell r="J927" t="str">
            <v>YARIS E M/T</v>
          </cell>
          <cell r="K927" t="str">
            <v>YARIS</v>
          </cell>
          <cell r="L927" t="str">
            <v>NS51HMEM/T10M</v>
          </cell>
          <cell r="M927" t="str">
            <v>YARIS</v>
          </cell>
          <cell r="N927" t="str">
            <v>YARIS</v>
          </cell>
          <cell r="O927" t="str">
            <v>NSP151R-CHMRKD-10</v>
          </cell>
          <cell r="P927" t="e">
            <v>#N/A</v>
          </cell>
          <cell r="Q927" t="e">
            <v>#N/A</v>
          </cell>
          <cell r="R927" t="str">
            <v>NSP151R-CHMRKD-10</v>
          </cell>
          <cell r="S927" t="str">
            <v>YARIS</v>
          </cell>
          <cell r="T927" t="e">
            <v>#N/A</v>
          </cell>
          <cell r="U927" t="str">
            <v>YARIS E M/T</v>
          </cell>
        </row>
        <row r="928">
          <cell r="D928" t="e">
            <v>#N/A</v>
          </cell>
          <cell r="E928" t="str">
            <v>INNOVA</v>
          </cell>
          <cell r="F928" t="str">
            <v>INNOVA</v>
          </cell>
          <cell r="G928" t="str">
            <v>INNOVA</v>
          </cell>
          <cell r="H928" t="str">
            <v>INNOVA V M/T</v>
          </cell>
          <cell r="I928" t="str">
            <v>INNOVA V M/T</v>
          </cell>
          <cell r="J928" t="str">
            <v>INNOVA V M/T</v>
          </cell>
          <cell r="K928" t="str">
            <v>INNOVA REBORN</v>
          </cell>
          <cell r="L928" t="str">
            <v>TG40VM/T31</v>
          </cell>
          <cell r="M928" t="str">
            <v>INNOVA</v>
          </cell>
          <cell r="N928" t="str">
            <v>INNOVA REBORN</v>
          </cell>
          <cell r="O928" t="e">
            <v>#N/A</v>
          </cell>
          <cell r="P928" t="e">
            <v>#N/A</v>
          </cell>
          <cell r="Q928" t="e">
            <v>#N/A</v>
          </cell>
          <cell r="R928" t="e">
            <v>#N/A</v>
          </cell>
          <cell r="S928" t="str">
            <v>INNOVA</v>
          </cell>
          <cell r="T928" t="str">
            <v>INV REBORN</v>
          </cell>
          <cell r="U928" t="str">
            <v>INNOVA V M/T</v>
          </cell>
        </row>
        <row r="929">
          <cell r="D929" t="str">
            <v>NSP170R-MWFDKD-07</v>
          </cell>
          <cell r="E929" t="str">
            <v>SIENTA</v>
          </cell>
          <cell r="F929" t="str">
            <v>SIENTA</v>
          </cell>
          <cell r="G929" t="str">
            <v>SIENTA</v>
          </cell>
          <cell r="H929" t="str">
            <v>SIENTA E M/T</v>
          </cell>
          <cell r="I929" t="str">
            <v>SIENTA E M/T</v>
          </cell>
          <cell r="J929" t="str">
            <v>SIENTA E M/T</v>
          </cell>
          <cell r="K929" t="str">
            <v>SIENTA</v>
          </cell>
          <cell r="L929" t="str">
            <v>NP17EM/T07M</v>
          </cell>
          <cell r="M929" t="str">
            <v>SIENTA</v>
          </cell>
          <cell r="N929" t="str">
            <v>SIENTA</v>
          </cell>
          <cell r="O929" t="str">
            <v>NSP170R-MWFDKD-07</v>
          </cell>
          <cell r="P929" t="e">
            <v>#N/A</v>
          </cell>
          <cell r="Q929" t="e">
            <v>#N/A</v>
          </cell>
          <cell r="R929" t="str">
            <v>NSP170R-MWFDKD-07</v>
          </cell>
          <cell r="S929" t="str">
            <v>SIENTA</v>
          </cell>
          <cell r="T929" t="e">
            <v>#N/A</v>
          </cell>
          <cell r="U929" t="str">
            <v>SIENTA E M/T</v>
          </cell>
        </row>
        <row r="930">
          <cell r="D930" t="str">
            <v>GUN125R-CTFLHD-11</v>
          </cell>
          <cell r="E930" t="str">
            <v>HILUX</v>
          </cell>
          <cell r="F930" t="str">
            <v>HILUX EC</v>
          </cell>
          <cell r="G930" t="str">
            <v>HILUX EC</v>
          </cell>
          <cell r="H930" t="str">
            <v>HILUX EC M/T DIESEL</v>
          </cell>
          <cell r="I930" t="str">
            <v>HILUX EC M/T DIESEL</v>
          </cell>
          <cell r="J930" t="str">
            <v>HILUX EC M/T DIESEL</v>
          </cell>
          <cell r="K930" t="str">
            <v>HILUX EC</v>
          </cell>
          <cell r="L930" t="str">
            <v>GUN25CEM/T11M</v>
          </cell>
          <cell r="M930" t="str">
            <v>HILUX</v>
          </cell>
          <cell r="N930" t="str">
            <v>HILUX EC</v>
          </cell>
          <cell r="O930" t="str">
            <v>GUN125R-CTFLHD-11</v>
          </cell>
          <cell r="P930" t="e">
            <v>#N/A</v>
          </cell>
          <cell r="Q930" t="e">
            <v>#N/A</v>
          </cell>
          <cell r="R930" t="str">
            <v>GUN125R-CTFLHD-11</v>
          </cell>
          <cell r="S930" t="str">
            <v>HILUX</v>
          </cell>
          <cell r="T930" t="e">
            <v>#N/A</v>
          </cell>
          <cell r="U930" t="str">
            <v>HILUX EC M/T DIESEL</v>
          </cell>
        </row>
        <row r="931">
          <cell r="D931" t="str">
            <v>NSP170R-MWFQKD-08</v>
          </cell>
          <cell r="E931" t="str">
            <v>SIENTA</v>
          </cell>
          <cell r="F931" t="str">
            <v>SIENTA</v>
          </cell>
          <cell r="G931" t="str">
            <v>SIENTA</v>
          </cell>
          <cell r="H931" t="str">
            <v>SIENTA V M/T</v>
          </cell>
          <cell r="I931" t="str">
            <v>SIENTA V M/T</v>
          </cell>
          <cell r="J931" t="str">
            <v>SIENTA V M/T</v>
          </cell>
          <cell r="K931" t="str">
            <v>SIENTA</v>
          </cell>
          <cell r="L931" t="str">
            <v>NP17VM/T08M</v>
          </cell>
          <cell r="M931" t="str">
            <v>SIENTA</v>
          </cell>
          <cell r="N931" t="str">
            <v>SIENTA</v>
          </cell>
          <cell r="O931" t="str">
            <v>NSP170R-MWFQKD-08</v>
          </cell>
          <cell r="P931" t="e">
            <v>#N/A</v>
          </cell>
          <cell r="Q931" t="e">
            <v>#N/A</v>
          </cell>
          <cell r="R931" t="str">
            <v>NSP170R-MWFQKD-08</v>
          </cell>
          <cell r="S931" t="str">
            <v>SIENTA</v>
          </cell>
          <cell r="T931" t="e">
            <v>#N/A</v>
          </cell>
          <cell r="U931" t="str">
            <v>SIENTA V M/T</v>
          </cell>
        </row>
        <row r="932">
          <cell r="D932" t="e">
            <v>#N/A</v>
          </cell>
          <cell r="E932" t="str">
            <v>INNOVA</v>
          </cell>
          <cell r="F932" t="str">
            <v>INNOVA</v>
          </cell>
          <cell r="G932" t="str">
            <v>INNOVA</v>
          </cell>
          <cell r="H932" t="str">
            <v>INNOVA V M/T</v>
          </cell>
          <cell r="I932" t="str">
            <v>INNOVA V M/T</v>
          </cell>
          <cell r="J932" t="str">
            <v>INNOVA V M/T</v>
          </cell>
          <cell r="K932" t="str">
            <v>INNOVA REBORN</v>
          </cell>
          <cell r="L932" t="str">
            <v>TG40VM/T31m</v>
          </cell>
          <cell r="M932" t="str">
            <v>INNOVA</v>
          </cell>
          <cell r="N932" t="str">
            <v>INNOVA REBORN</v>
          </cell>
          <cell r="O932" t="e">
            <v>#N/A</v>
          </cell>
          <cell r="P932" t="e">
            <v>#N/A</v>
          </cell>
          <cell r="Q932" t="e">
            <v>#N/A</v>
          </cell>
          <cell r="R932" t="e">
            <v>#N/A</v>
          </cell>
          <cell r="S932" t="str">
            <v>INNOVA</v>
          </cell>
          <cell r="T932" t="str">
            <v>INV REBORN</v>
          </cell>
          <cell r="U932" t="str">
            <v>INNOVA V M/T</v>
          </cell>
        </row>
        <row r="933">
          <cell r="D933" t="str">
            <v>GUN165R-SDTMHD-E0</v>
          </cell>
          <cell r="E933" t="str">
            <v>FORTUNER</v>
          </cell>
          <cell r="F933" t="str">
            <v>FORTUNER 4x2</v>
          </cell>
          <cell r="G933" t="str">
            <v>FORTUNER 4x2</v>
          </cell>
          <cell r="H933" t="str">
            <v>FORTUNER 4X2 VRZ A/T DIESEL</v>
          </cell>
          <cell r="I933" t="str">
            <v>FORTUNER 4X2 VRZ A/T DIESEL</v>
          </cell>
          <cell r="J933" t="str">
            <v>FORTUNER 4X2 VRZ A/T DIESEL</v>
          </cell>
          <cell r="K933" t="str">
            <v>FORTUNER 4x2</v>
          </cell>
          <cell r="L933" t="str">
            <v>GUN65VRZA/TE0M</v>
          </cell>
          <cell r="M933" t="str">
            <v>FORTUNER</v>
          </cell>
          <cell r="N933" t="str">
            <v>FORTUNER 4x2</v>
          </cell>
          <cell r="O933" t="str">
            <v>GUN165R-SDTMHD-E0</v>
          </cell>
          <cell r="P933" t="e">
            <v>#N/A</v>
          </cell>
          <cell r="Q933" t="e">
            <v>#N/A</v>
          </cell>
          <cell r="R933" t="str">
            <v>GUN165R-SDTMHD-E0</v>
          </cell>
          <cell r="S933" t="str">
            <v>FORTUNER</v>
          </cell>
          <cell r="T933" t="e">
            <v>#N/A</v>
          </cell>
          <cell r="U933" t="str">
            <v>FORTUNER 4X2 VRZ A/T DIESEL</v>
          </cell>
        </row>
        <row r="934">
          <cell r="D934" t="e">
            <v>#N/A</v>
          </cell>
          <cell r="E934" t="str">
            <v>INNOVA</v>
          </cell>
          <cell r="F934" t="str">
            <v>INNOVA</v>
          </cell>
          <cell r="G934" t="str">
            <v>INNOVA</v>
          </cell>
          <cell r="H934" t="str">
            <v>INNOVA V M/T</v>
          </cell>
          <cell r="I934" t="str">
            <v>INNOVA V M/T</v>
          </cell>
          <cell r="J934" t="str">
            <v>INNOVA V M/T</v>
          </cell>
          <cell r="K934" t="str">
            <v>INNOVA REBORN</v>
          </cell>
          <cell r="L934" t="str">
            <v>TG40VM/T40M</v>
          </cell>
          <cell r="M934" t="str">
            <v>INNOVA</v>
          </cell>
          <cell r="N934" t="str">
            <v>INNOVA REBORN</v>
          </cell>
          <cell r="O934" t="e">
            <v>#N/A</v>
          </cell>
          <cell r="P934" t="e">
            <v>#N/A</v>
          </cell>
          <cell r="Q934" t="e">
            <v>#N/A</v>
          </cell>
          <cell r="R934" t="e">
            <v>#N/A</v>
          </cell>
          <cell r="S934" t="str">
            <v>INNOVA</v>
          </cell>
          <cell r="T934" t="str">
            <v>INV REBORN</v>
          </cell>
          <cell r="U934" t="str">
            <v>INNOVA V M/T</v>
          </cell>
        </row>
        <row r="935">
          <cell r="D935" t="e">
            <v>#N/A</v>
          </cell>
          <cell r="E935" t="str">
            <v>INNOVA</v>
          </cell>
          <cell r="F935" t="str">
            <v>INNOVA</v>
          </cell>
          <cell r="G935" t="str">
            <v>INNOVA</v>
          </cell>
          <cell r="H935" t="str">
            <v>INNOVA V M/T</v>
          </cell>
          <cell r="I935" t="str">
            <v>INNOVA V M/T</v>
          </cell>
          <cell r="J935" t="str">
            <v>INNOVA V M/T</v>
          </cell>
          <cell r="K935" t="str">
            <v>INNOVA REBORN</v>
          </cell>
          <cell r="L935" t="str">
            <v>TG40VM/T41M</v>
          </cell>
          <cell r="M935" t="str">
            <v>INNOVA</v>
          </cell>
          <cell r="N935" t="str">
            <v>INNOVA REBORN</v>
          </cell>
          <cell r="O935" t="e">
            <v>#N/A</v>
          </cell>
          <cell r="P935" t="e">
            <v>#N/A</v>
          </cell>
          <cell r="Q935" t="e">
            <v>#N/A</v>
          </cell>
          <cell r="R935" t="e">
            <v>#N/A</v>
          </cell>
          <cell r="S935" t="str">
            <v>INNOVA</v>
          </cell>
          <cell r="T935" t="str">
            <v>INV REBORN</v>
          </cell>
          <cell r="U935" t="str">
            <v>INNOVA V M/T</v>
          </cell>
        </row>
        <row r="936">
          <cell r="D936" t="str">
            <v>TGN140R-MDMHKD-F2</v>
          </cell>
          <cell r="E936" t="str">
            <v>INNOVA</v>
          </cell>
          <cell r="F936" t="str">
            <v>INNOVA</v>
          </cell>
          <cell r="G936" t="str">
            <v>INNOVA</v>
          </cell>
          <cell r="H936" t="str">
            <v>VENTURER M/T</v>
          </cell>
          <cell r="I936" t="str">
            <v>VENTURER M/T</v>
          </cell>
          <cell r="J936" t="str">
            <v>VENTURER M/T</v>
          </cell>
          <cell r="K936" t="str">
            <v>INNOVA REBORN</v>
          </cell>
          <cell r="L936" t="str">
            <v>TGN40QM/TF2M</v>
          </cell>
          <cell r="M936" t="str">
            <v>INNOVA</v>
          </cell>
          <cell r="N936" t="str">
            <v>INNOVA REBORN</v>
          </cell>
          <cell r="O936" t="str">
            <v>TGN140R-MDMHKD-F2</v>
          </cell>
          <cell r="P936" t="e">
            <v>#N/A</v>
          </cell>
          <cell r="Q936" t="e">
            <v>#N/A</v>
          </cell>
          <cell r="R936" t="str">
            <v>TGN140R-MDMHKD-F2</v>
          </cell>
          <cell r="S936" t="str">
            <v>INNOVA</v>
          </cell>
          <cell r="T936" t="e">
            <v>#N/A</v>
          </cell>
          <cell r="U936" t="str">
            <v>VENTURER M/T</v>
          </cell>
        </row>
        <row r="937">
          <cell r="D937" t="e">
            <v>#N/A</v>
          </cell>
          <cell r="E937" t="str">
            <v>INNOVA</v>
          </cell>
          <cell r="F937" t="str">
            <v>INNOVA</v>
          </cell>
          <cell r="G937" t="str">
            <v>INNOVA</v>
          </cell>
          <cell r="H937" t="str">
            <v>INNOVA V M/T</v>
          </cell>
          <cell r="I937" t="str">
            <v>INNOVA V M/T</v>
          </cell>
          <cell r="J937" t="str">
            <v>INNOVA V M/T</v>
          </cell>
          <cell r="K937" t="str">
            <v>INNOVA REBORN</v>
          </cell>
          <cell r="L937" t="str">
            <v>TG40VM/T50M</v>
          </cell>
          <cell r="M937" t="str">
            <v>INNOVA</v>
          </cell>
          <cell r="N937" t="str">
            <v>INNOVA REBORN</v>
          </cell>
          <cell r="O937" t="e">
            <v>#N/A</v>
          </cell>
          <cell r="P937" t="e">
            <v>#N/A</v>
          </cell>
          <cell r="Q937" t="e">
            <v>#N/A</v>
          </cell>
          <cell r="R937" t="e">
            <v>#N/A</v>
          </cell>
          <cell r="S937" t="str">
            <v>INNOVA</v>
          </cell>
          <cell r="T937" t="str">
            <v>INV REBORN</v>
          </cell>
          <cell r="U937" t="str">
            <v>INNOVA V M/T</v>
          </cell>
        </row>
        <row r="938">
          <cell r="D938" t="str">
            <v>ASV70R-JETGKD-00</v>
          </cell>
          <cell r="E938" t="str">
            <v>CAMRY</v>
          </cell>
          <cell r="F938" t="str">
            <v>CAMRY</v>
          </cell>
          <cell r="G938" t="str">
            <v>CAMRY</v>
          </cell>
          <cell r="H938" t="str">
            <v>CAMRY G A/T</v>
          </cell>
          <cell r="I938" t="str">
            <v>CAMRY G A/T</v>
          </cell>
          <cell r="J938" t="str">
            <v>CAMRY G A/T</v>
          </cell>
          <cell r="K938" t="str">
            <v>CAMRY</v>
          </cell>
          <cell r="L938" t="str">
            <v>AS70GA/T00M</v>
          </cell>
          <cell r="M938" t="str">
            <v>CAMRY</v>
          </cell>
          <cell r="N938" t="str">
            <v>CAMRY</v>
          </cell>
          <cell r="O938" t="str">
            <v>ASV70R-JETGKD-00</v>
          </cell>
          <cell r="P938" t="e">
            <v>#N/A</v>
          </cell>
          <cell r="Q938" t="e">
            <v>#N/A</v>
          </cell>
          <cell r="R938" t="str">
            <v>ASV70R-JETGKD-00</v>
          </cell>
          <cell r="S938" t="str">
            <v>CAMRY</v>
          </cell>
          <cell r="T938" t="e">
            <v>#N/A</v>
          </cell>
          <cell r="U938" t="str">
            <v>CAMRY G A/T</v>
          </cell>
        </row>
        <row r="939">
          <cell r="D939" t="str">
            <v>ASV70R-JETVKD-00</v>
          </cell>
          <cell r="E939" t="str">
            <v>CAMRY</v>
          </cell>
          <cell r="F939" t="str">
            <v>CAMRY</v>
          </cell>
          <cell r="G939" t="str">
            <v>CAMRY</v>
          </cell>
          <cell r="H939" t="str">
            <v>CAMRY V A/T</v>
          </cell>
          <cell r="I939" t="str">
            <v>CAMRY V A/T</v>
          </cell>
          <cell r="J939" t="str">
            <v>CAMRY V A/T</v>
          </cell>
          <cell r="K939" t="str">
            <v>CAMRY</v>
          </cell>
          <cell r="L939" t="str">
            <v>AS70VA/T00M</v>
          </cell>
          <cell r="M939" t="str">
            <v>CAMRY</v>
          </cell>
          <cell r="N939" t="str">
            <v>CAMRY</v>
          </cell>
          <cell r="O939" t="str">
            <v>ASV70R-JETVKD-00</v>
          </cell>
          <cell r="P939" t="e">
            <v>#N/A</v>
          </cell>
          <cell r="Q939" t="e">
            <v>#N/A</v>
          </cell>
          <cell r="R939" t="str">
            <v>ASV70R-JETVKD-00</v>
          </cell>
          <cell r="S939" t="str">
            <v>CAMRY</v>
          </cell>
          <cell r="T939" t="e">
            <v>#N/A</v>
          </cell>
          <cell r="U939" t="str">
            <v>CAMRY V A/T</v>
          </cell>
        </row>
        <row r="940">
          <cell r="D940" t="str">
            <v>GUN165R-SDTMHD-E1</v>
          </cell>
          <cell r="E940" t="str">
            <v>FORTUNER</v>
          </cell>
          <cell r="F940" t="str">
            <v>FORTUNER 4X2</v>
          </cell>
          <cell r="G940" t="str">
            <v>FORTUNER 4X2</v>
          </cell>
          <cell r="H940" t="str">
            <v>FORTUNER 4X2 VRZ A/T DIESEL</v>
          </cell>
          <cell r="I940" t="str">
            <v>FORTUNER 4X2 VRZ A/T DIESEL</v>
          </cell>
          <cell r="J940" t="str">
            <v>FORTUNER 4X2 VRZ A/T DIESEL</v>
          </cell>
          <cell r="K940" t="str">
            <v>FORTUNER 4X2</v>
          </cell>
          <cell r="L940" t="str">
            <v>GUN65VRZA/TE1M</v>
          </cell>
          <cell r="M940" t="str">
            <v>FORTUNER</v>
          </cell>
          <cell r="N940" t="str">
            <v>FORTUNER 4X2</v>
          </cell>
          <cell r="O940" t="str">
            <v>GUN165R-SDTMHD-E1</v>
          </cell>
          <cell r="P940" t="e">
            <v>#N/A</v>
          </cell>
          <cell r="Q940" t="e">
            <v>#N/A</v>
          </cell>
          <cell r="R940" t="str">
            <v>GUN165R-SDTMHD-E1</v>
          </cell>
          <cell r="S940" t="str">
            <v>FORTUNER</v>
          </cell>
          <cell r="T940" t="e">
            <v>#N/A</v>
          </cell>
          <cell r="U940" t="str">
            <v>FORTUNER 4X2 VRZ A/T DIESEL</v>
          </cell>
        </row>
        <row r="941">
          <cell r="D941" t="str">
            <v>NSP170R-MWFQKD-F7</v>
          </cell>
          <cell r="E941" t="str">
            <v>SIENTA</v>
          </cell>
          <cell r="F941" t="str">
            <v>SIENTA</v>
          </cell>
          <cell r="G941" t="str">
            <v>SIENTA</v>
          </cell>
          <cell r="H941" t="str">
            <v>SIENTA V M/T</v>
          </cell>
          <cell r="I941" t="str">
            <v>SIENTA V M/T</v>
          </cell>
          <cell r="J941" t="str">
            <v>SIENTA V M/T</v>
          </cell>
          <cell r="K941" t="str">
            <v>SIENTA</v>
          </cell>
          <cell r="L941" t="str">
            <v>NP17VM/TF7M</v>
          </cell>
          <cell r="M941" t="str">
            <v>SIENTA</v>
          </cell>
          <cell r="N941" t="str">
            <v>SIENTA</v>
          </cell>
          <cell r="O941" t="str">
            <v>NSP170R-MWFQKD-F7</v>
          </cell>
          <cell r="P941" t="e">
            <v>#N/A</v>
          </cell>
          <cell r="Q941" t="e">
            <v>#N/A</v>
          </cell>
          <cell r="R941" t="str">
            <v>NSP170R-MWFQKD-F7</v>
          </cell>
          <cell r="S941" t="str">
            <v>SIENTA</v>
          </cell>
          <cell r="T941" t="e">
            <v>#N/A</v>
          </cell>
          <cell r="U941" t="str">
            <v>SIENTA V M/T</v>
          </cell>
        </row>
        <row r="942">
          <cell r="D942" t="str">
            <v>NSP151R-CHMVKD-F0</v>
          </cell>
          <cell r="E942" t="str">
            <v>YARIS</v>
          </cell>
          <cell r="F942" t="str">
            <v>YARIS</v>
          </cell>
          <cell r="G942" t="str">
            <v>YARIS</v>
          </cell>
          <cell r="H942" t="str">
            <v>YARIS S M/T</v>
          </cell>
          <cell r="I942" t="str">
            <v>YARIS S M/T</v>
          </cell>
          <cell r="J942" t="str">
            <v>YARIS S M/T</v>
          </cell>
          <cell r="K942" t="str">
            <v>YARIS</v>
          </cell>
          <cell r="L942" t="str">
            <v>NS51HMSM/TF0M</v>
          </cell>
          <cell r="M942" t="str">
            <v>YARIS</v>
          </cell>
          <cell r="N942" t="str">
            <v>YARIS</v>
          </cell>
          <cell r="O942" t="str">
            <v>NSP151R-CHMVKD-F0</v>
          </cell>
          <cell r="P942" t="e">
            <v>#N/A</v>
          </cell>
          <cell r="Q942" t="e">
            <v>#N/A</v>
          </cell>
          <cell r="R942" t="str">
            <v>NSP151R-CHMVKD-F0</v>
          </cell>
          <cell r="S942" t="str">
            <v>YARIS</v>
          </cell>
          <cell r="T942" t="e">
            <v>#N/A</v>
          </cell>
          <cell r="U942" t="str">
            <v>YARIS S M/T</v>
          </cell>
        </row>
        <row r="943">
          <cell r="D943" t="str">
            <v>KDH222R-LEMDY-21</v>
          </cell>
          <cell r="E943" t="str">
            <v>HIACE</v>
          </cell>
          <cell r="F943" t="str">
            <v>HIACE</v>
          </cell>
          <cell r="G943" t="str">
            <v>HIACE</v>
          </cell>
          <cell r="H943" t="str">
            <v>HIACE STD</v>
          </cell>
          <cell r="I943" t="str">
            <v>HIACE STD</v>
          </cell>
          <cell r="J943" t="str">
            <v>HIACE STD</v>
          </cell>
          <cell r="K943" t="str">
            <v>HIACE STD</v>
          </cell>
          <cell r="L943" t="str">
            <v>KD22M/T21STDS</v>
          </cell>
          <cell r="M943" t="str">
            <v>HIACE</v>
          </cell>
          <cell r="N943" t="str">
            <v>HIACE STD</v>
          </cell>
          <cell r="O943" t="str">
            <v>KDH222R-LEMDY-21</v>
          </cell>
          <cell r="P943" t="e">
            <v>#N/A</v>
          </cell>
          <cell r="Q943" t="e">
            <v>#N/A</v>
          </cell>
          <cell r="R943" t="str">
            <v>KDH222R-LEMDY-21</v>
          </cell>
          <cell r="S943" t="str">
            <v>HIACE</v>
          </cell>
          <cell r="T943" t="e">
            <v>#N/A</v>
          </cell>
          <cell r="U943" t="str">
            <v>HIACE STD</v>
          </cell>
        </row>
        <row r="944">
          <cell r="D944" t="str">
            <v>ASV70R-JETGKD-01</v>
          </cell>
          <cell r="E944" t="str">
            <v>CAMRY</v>
          </cell>
          <cell r="F944" t="str">
            <v>CAMRY</v>
          </cell>
          <cell r="G944" t="str">
            <v>CAMRY</v>
          </cell>
          <cell r="H944" t="str">
            <v>CAMRY G A/T</v>
          </cell>
          <cell r="I944" t="str">
            <v>CAMRY G A/T</v>
          </cell>
          <cell r="J944" t="str">
            <v>CAMRY G A/T</v>
          </cell>
          <cell r="K944" t="str">
            <v>CAMRY</v>
          </cell>
          <cell r="L944" t="str">
            <v>AS70GA/T01M</v>
          </cell>
          <cell r="M944" t="str">
            <v>CAMRY</v>
          </cell>
          <cell r="N944" t="str">
            <v>CAMRY</v>
          </cell>
          <cell r="O944" t="str">
            <v>ASV70R-JETGKD-01</v>
          </cell>
          <cell r="P944" t="e">
            <v>#N/A</v>
          </cell>
          <cell r="Q944" t="e">
            <v>#N/A</v>
          </cell>
          <cell r="R944" t="str">
            <v>ASV70R-JETGKD-01</v>
          </cell>
          <cell r="S944" t="str">
            <v>CAMRY</v>
          </cell>
          <cell r="T944" t="e">
            <v>#N/A</v>
          </cell>
          <cell r="U944" t="str">
            <v>CAMRY G A/T</v>
          </cell>
        </row>
        <row r="945">
          <cell r="D945" t="str">
            <v>ZGX11R-CHXEGD-10</v>
          </cell>
          <cell r="E945" t="str">
            <v>CHR</v>
          </cell>
          <cell r="F945" t="str">
            <v>CHR</v>
          </cell>
          <cell r="G945" t="str">
            <v>CHR</v>
          </cell>
          <cell r="H945" t="str">
            <v>CHR SINGLE TONE A/T</v>
          </cell>
          <cell r="I945" t="str">
            <v>CHR SINGLE TONE A/T</v>
          </cell>
          <cell r="J945" t="str">
            <v>CHR SINGLE TONE A/T</v>
          </cell>
          <cell r="K945" t="str">
            <v>CHR</v>
          </cell>
          <cell r="L945" t="str">
            <v>ZGX11A/T10M</v>
          </cell>
          <cell r="M945" t="str">
            <v>CHR</v>
          </cell>
          <cell r="N945" t="str">
            <v>CHR</v>
          </cell>
          <cell r="O945" t="str">
            <v>ZGX11R-CHXEGD-10</v>
          </cell>
          <cell r="P945" t="e">
            <v>#N/A</v>
          </cell>
          <cell r="Q945" t="e">
            <v>#N/A</v>
          </cell>
          <cell r="R945" t="str">
            <v>ZGX11R-CHXEGD-10</v>
          </cell>
          <cell r="S945" t="str">
            <v>CHR</v>
          </cell>
          <cell r="T945" t="e">
            <v>#N/A</v>
          </cell>
          <cell r="U945" t="str">
            <v>CHR SINGLE TONE A/T</v>
          </cell>
        </row>
        <row r="946">
          <cell r="D946" t="str">
            <v>AXVH71R-JEXVBD-01</v>
          </cell>
          <cell r="E946" t="str">
            <v>CAMRY</v>
          </cell>
          <cell r="F946" t="str">
            <v>CAMRY</v>
          </cell>
          <cell r="G946" t="str">
            <v>CAMRY</v>
          </cell>
          <cell r="H946" t="str">
            <v>CAMRY HYBRID A/T</v>
          </cell>
          <cell r="I946" t="str">
            <v>CAMRY HYBRID A/T</v>
          </cell>
          <cell r="J946" t="str">
            <v>CAMRY HYBRID A/T</v>
          </cell>
          <cell r="K946" t="str">
            <v>CAMRY</v>
          </cell>
          <cell r="L946" t="str">
            <v>AS70HA/T01M</v>
          </cell>
          <cell r="M946" t="str">
            <v>CAMRY</v>
          </cell>
          <cell r="N946" t="str">
            <v>CAMRY</v>
          </cell>
          <cell r="O946" t="str">
            <v>AXVH71R-JEXVBD-01</v>
          </cell>
          <cell r="P946" t="e">
            <v>#N/A</v>
          </cell>
          <cell r="Q946" t="e">
            <v>#N/A</v>
          </cell>
          <cell r="R946" t="str">
            <v>AXVH71R-JEXVBD-01</v>
          </cell>
          <cell r="S946" t="str">
            <v>CAMRY</v>
          </cell>
          <cell r="T946" t="e">
            <v>#N/A</v>
          </cell>
          <cell r="U946" t="str">
            <v>CAMRY HYBRID A/T</v>
          </cell>
        </row>
        <row r="947">
          <cell r="D947" t="str">
            <v>GUN112R-BTMXYD-00</v>
          </cell>
          <cell r="E947" t="str">
            <v>HILUX</v>
          </cell>
          <cell r="F947" t="str">
            <v>HILUX SC</v>
          </cell>
          <cell r="G947" t="str">
            <v>HILUX SC</v>
          </cell>
          <cell r="H947" t="str">
            <v>HILUX SC M/T DIESEL</v>
          </cell>
          <cell r="I947" t="str">
            <v>HILUX SC M/T DIESEL</v>
          </cell>
          <cell r="J947" t="str">
            <v>HILUX SC M/T DIESEL</v>
          </cell>
          <cell r="K947" t="str">
            <v>HILUX SC</v>
          </cell>
          <cell r="L947" t="str">
            <v>GUN12SCM/T00M</v>
          </cell>
          <cell r="M947" t="str">
            <v>HILUX</v>
          </cell>
          <cell r="N947" t="str">
            <v>HILUX SC</v>
          </cell>
          <cell r="O947" t="str">
            <v>GUN112R-BTMXYD-00</v>
          </cell>
          <cell r="P947" t="e">
            <v>#N/A</v>
          </cell>
          <cell r="Q947" t="e">
            <v>#N/A</v>
          </cell>
          <cell r="R947" t="str">
            <v>GUN112R-BTMXYD-00</v>
          </cell>
          <cell r="S947" t="str">
            <v>HILUX</v>
          </cell>
          <cell r="T947" t="e">
            <v>#N/A</v>
          </cell>
          <cell r="U947" t="str">
            <v>HILUX SC M/T DIESEL</v>
          </cell>
        </row>
        <row r="948">
          <cell r="D948" t="str">
            <v>GUN165R-SDTMHD-D0</v>
          </cell>
          <cell r="E948" t="str">
            <v>FORTUNER</v>
          </cell>
          <cell r="F948" t="str">
            <v>FORTUNER 4X2</v>
          </cell>
          <cell r="G948" t="str">
            <v>FORTUNER 4X2</v>
          </cell>
          <cell r="H948" t="str">
            <v>FORTUNER 4X2 VRZ A/T DIESEL</v>
          </cell>
          <cell r="I948" t="str">
            <v>FORTUNER 4X2 VRZ A/T DIESEL</v>
          </cell>
          <cell r="J948" t="str">
            <v>FORTUNER 4X2 VRZ A/T DIESEL</v>
          </cell>
          <cell r="K948" t="str">
            <v>FORTUNER 4X2</v>
          </cell>
          <cell r="L948" t="str">
            <v>GUN65VA/TD0M</v>
          </cell>
          <cell r="M948" t="str">
            <v>FORTUNER</v>
          </cell>
          <cell r="N948" t="str">
            <v>FORTUNER 4X2</v>
          </cell>
          <cell r="O948" t="str">
            <v>GUN165R-SDTMHD-D0</v>
          </cell>
          <cell r="P948" t="e">
            <v>#N/A</v>
          </cell>
          <cell r="Q948" t="e">
            <v>#N/A</v>
          </cell>
          <cell r="R948" t="str">
            <v>GUN165R-SDTMHD-D0</v>
          </cell>
          <cell r="S948" t="str">
            <v>FORTUNER</v>
          </cell>
          <cell r="T948" t="e">
            <v>#N/A</v>
          </cell>
          <cell r="U948" t="str">
            <v>FORTUNER 4X2 VRZ A/T DIESEL</v>
          </cell>
        </row>
        <row r="949">
          <cell r="D949" t="str">
            <v>GUN165R-SDTMHD-22</v>
          </cell>
          <cell r="E949" t="str">
            <v>FORTUNER</v>
          </cell>
          <cell r="F949" t="str">
            <v>FORTUNER 4X2</v>
          </cell>
          <cell r="G949" t="str">
            <v>FORTUNER 4X2</v>
          </cell>
          <cell r="H949" t="str">
            <v>FORTUNER 4X4 VRZ A/T DIESEL</v>
          </cell>
          <cell r="I949" t="str">
            <v>FORTUNER 4X2 VRZ A/T DIESEL</v>
          </cell>
          <cell r="J949" t="str">
            <v>FORTUNER 4X2 VRZ A/T DIESEL</v>
          </cell>
          <cell r="K949" t="str">
            <v>FORTUNER 4X2</v>
          </cell>
          <cell r="L949" t="str">
            <v>GUN65VRZA/T22M</v>
          </cell>
          <cell r="M949" t="str">
            <v>FORTUNER</v>
          </cell>
          <cell r="N949" t="str">
            <v>FORTUNER 4X2</v>
          </cell>
          <cell r="O949" t="str">
            <v>GUN165R-SDTMHD-22</v>
          </cell>
          <cell r="P949" t="e">
            <v>#N/A</v>
          </cell>
          <cell r="Q949" t="e">
            <v>#N/A</v>
          </cell>
          <cell r="R949" t="str">
            <v>GUN165R-SDTMHD-22</v>
          </cell>
          <cell r="S949" t="str">
            <v>FORTUNER</v>
          </cell>
          <cell r="T949" t="e">
            <v>#N/A</v>
          </cell>
          <cell r="U949" t="str">
            <v>FORTUNER 4X2 VRZ A/T DIESEL</v>
          </cell>
        </row>
        <row r="950">
          <cell r="D950" t="str">
            <v>F653RM-GMDFJ-25</v>
          </cell>
          <cell r="E950" t="str">
            <v>TRANSMOVER</v>
          </cell>
          <cell r="F950" t="str">
            <v>TRANSMOVER</v>
          </cell>
          <cell r="G950" t="str">
            <v>TRANSMOVER</v>
          </cell>
          <cell r="H950" t="str">
            <v>TRANSMOVER M/T</v>
          </cell>
          <cell r="I950" t="str">
            <v>TRANSMOVER M/T</v>
          </cell>
          <cell r="J950" t="str">
            <v>TRANSMOVER M/T</v>
          </cell>
          <cell r="K950" t="str">
            <v>TRANSMOVER</v>
          </cell>
          <cell r="L950" t="str">
            <v>F53EM/T25M</v>
          </cell>
          <cell r="M950" t="str">
            <v>TRANSMOVER</v>
          </cell>
          <cell r="N950" t="str">
            <v>TRANSMOVER</v>
          </cell>
          <cell r="O950" t="str">
            <v>F653RM-GMDFJ-25</v>
          </cell>
          <cell r="P950" t="e">
            <v>#N/A</v>
          </cell>
          <cell r="Q950" t="e">
            <v>#N/A</v>
          </cell>
          <cell r="R950" t="str">
            <v>F653RM-GMDFJ-25</v>
          </cell>
          <cell r="S950" t="str">
            <v>TRANSMOVER</v>
          </cell>
          <cell r="T950" t="e">
            <v>#N/A</v>
          </cell>
          <cell r="U950" t="str">
            <v>TRANSMOVER M/T</v>
          </cell>
        </row>
        <row r="951">
          <cell r="D951" t="str">
            <v>ZGX11R-CHXEGD-11</v>
          </cell>
          <cell r="E951" t="str">
            <v>CHR</v>
          </cell>
          <cell r="F951" t="str">
            <v>CHR</v>
          </cell>
          <cell r="G951" t="str">
            <v>CHR</v>
          </cell>
          <cell r="H951" t="str">
            <v>CHR DUAL TONE A/T</v>
          </cell>
          <cell r="I951" t="str">
            <v>CHR DUAL TONE A/T</v>
          </cell>
          <cell r="J951" t="str">
            <v>CHR DUAL TONE A/T</v>
          </cell>
          <cell r="K951" t="str">
            <v>CHR</v>
          </cell>
          <cell r="L951" t="str">
            <v>ZGX11A/T11M</v>
          </cell>
          <cell r="M951" t="str">
            <v>CHR</v>
          </cell>
          <cell r="N951" t="str">
            <v>CHR</v>
          </cell>
          <cell r="O951" t="str">
            <v>ZGX11R-CHXEGD-11</v>
          </cell>
          <cell r="P951" t="e">
            <v>#N/A</v>
          </cell>
          <cell r="Q951" t="e">
            <v>#N/A</v>
          </cell>
          <cell r="R951" t="str">
            <v>ZGX11R-CHXEGD-11</v>
          </cell>
          <cell r="S951" t="str">
            <v>CHR</v>
          </cell>
          <cell r="T951" t="e">
            <v>#N/A</v>
          </cell>
          <cell r="U951" t="str">
            <v>CHR DUAL TONE A/T</v>
          </cell>
        </row>
        <row r="952">
          <cell r="D952" t="str">
            <v>ZYX10R-CHXGBT-10</v>
          </cell>
          <cell r="E952" t="str">
            <v>CHR</v>
          </cell>
          <cell r="F952" t="str">
            <v>CHR</v>
          </cell>
          <cell r="G952" t="str">
            <v>CHR</v>
          </cell>
          <cell r="H952" t="str">
            <v>CHR HYBRID</v>
          </cell>
          <cell r="I952" t="str">
            <v>CHR HYBRID SINGLE TONE A/T</v>
          </cell>
          <cell r="J952" t="str">
            <v>CHR HYBRID SINGLE TONE A/T</v>
          </cell>
          <cell r="K952" t="str">
            <v>CHR</v>
          </cell>
          <cell r="L952" t="str">
            <v>ZYX10A/T10M</v>
          </cell>
          <cell r="M952" t="str">
            <v>CHR</v>
          </cell>
          <cell r="N952" t="str">
            <v>CHR</v>
          </cell>
          <cell r="O952" t="str">
            <v>ZYX10R-CHXGBT-10</v>
          </cell>
          <cell r="P952" t="e">
            <v>#N/A</v>
          </cell>
          <cell r="Q952" t="e">
            <v>#N/A</v>
          </cell>
          <cell r="R952" t="str">
            <v>ZYX10R-CHXGBT-10</v>
          </cell>
          <cell r="S952" t="str">
            <v>CHR</v>
          </cell>
          <cell r="T952" t="e">
            <v>#N/A</v>
          </cell>
          <cell r="U952" t="str">
            <v>CHR HYBRID</v>
          </cell>
        </row>
        <row r="953">
          <cell r="D953" t="str">
            <v>ZYX10R-CHXGBT-11</v>
          </cell>
          <cell r="E953" t="str">
            <v>CHR</v>
          </cell>
          <cell r="F953" t="str">
            <v>CHR</v>
          </cell>
          <cell r="G953" t="str">
            <v>CHR</v>
          </cell>
          <cell r="H953" t="str">
            <v>CHR HYBRID</v>
          </cell>
          <cell r="I953" t="str">
            <v>CHR HYBRID DUAL TONE A/T</v>
          </cell>
          <cell r="J953" t="str">
            <v>CHR HYBRID DUAL TONE A/T</v>
          </cell>
          <cell r="K953" t="str">
            <v>CHR</v>
          </cell>
          <cell r="L953" t="str">
            <v>ZYX10A/T11M</v>
          </cell>
          <cell r="M953" t="str">
            <v>CHR</v>
          </cell>
          <cell r="N953" t="str">
            <v>CHR</v>
          </cell>
          <cell r="O953" t="str">
            <v>ZYX10R-CHXGBT-11</v>
          </cell>
          <cell r="P953" t="e">
            <v>#N/A</v>
          </cell>
          <cell r="Q953" t="e">
            <v>#N/A</v>
          </cell>
          <cell r="R953" t="str">
            <v>ZYX10R-CHXGBT-11</v>
          </cell>
          <cell r="S953" t="str">
            <v>CHR</v>
          </cell>
          <cell r="T953" t="e">
            <v>#N/A</v>
          </cell>
          <cell r="U953" t="str">
            <v>CHR HYBRID</v>
          </cell>
        </row>
        <row r="954">
          <cell r="D954" t="str">
            <v>GDH322R-EDFPY-01</v>
          </cell>
          <cell r="E954" t="str">
            <v>HIACE</v>
          </cell>
          <cell r="F954" t="str">
            <v>HIACE</v>
          </cell>
          <cell r="G954" t="str">
            <v>HIACE</v>
          </cell>
          <cell r="H954" t="str">
            <v>HIACE PREMIO</v>
          </cell>
          <cell r="I954" t="str">
            <v>HIACE PREMIO</v>
          </cell>
          <cell r="J954" t="str">
            <v>HIACE PREMIO</v>
          </cell>
          <cell r="K954" t="str">
            <v>HIACE PREMIO</v>
          </cell>
          <cell r="L954" t="str">
            <v>GDH32M/T01</v>
          </cell>
          <cell r="M954" t="str">
            <v>HIACE</v>
          </cell>
          <cell r="N954" t="str">
            <v>HIACE PREMIO</v>
          </cell>
          <cell r="O954" t="str">
            <v>GDH322R-EDFPY-01</v>
          </cell>
          <cell r="P954" t="e">
            <v>#N/A</v>
          </cell>
          <cell r="Q954" t="e">
            <v>#N/A</v>
          </cell>
          <cell r="R954" t="str">
            <v>GDH322R-EDFPY-01</v>
          </cell>
          <cell r="S954" t="str">
            <v>HIACE</v>
          </cell>
          <cell r="T954" t="e">
            <v>#N/A</v>
          </cell>
          <cell r="U954" t="str">
            <v>HIACE PREMIO</v>
          </cell>
        </row>
        <row r="955">
          <cell r="D955" t="str">
            <v>NSP151R-CHMGKD-F0</v>
          </cell>
          <cell r="E955" t="str">
            <v>YARIS</v>
          </cell>
          <cell r="F955" t="str">
            <v>YARIS</v>
          </cell>
          <cell r="G955" t="str">
            <v>YARIS</v>
          </cell>
          <cell r="H955" t="str">
            <v>YARIS G M/T</v>
          </cell>
          <cell r="I955" t="str">
            <v>YARIS G M/T</v>
          </cell>
          <cell r="J955" t="str">
            <v>YARIS G M/T</v>
          </cell>
          <cell r="K955" t="str">
            <v>YARIS</v>
          </cell>
          <cell r="L955" t="str">
            <v>NS51HMGM/TF0M</v>
          </cell>
          <cell r="M955" t="str">
            <v>YARIS</v>
          </cell>
          <cell r="N955" t="str">
            <v>YARIS</v>
          </cell>
          <cell r="O955" t="str">
            <v>NSP151R-CHMGKD-F0</v>
          </cell>
          <cell r="P955" t="e">
            <v>#N/A</v>
          </cell>
          <cell r="Q955" t="e">
            <v>#N/A</v>
          </cell>
          <cell r="R955" t="str">
            <v>NSP151R-CHMGKD-F0</v>
          </cell>
          <cell r="S955" t="str">
            <v>YARIS</v>
          </cell>
          <cell r="T955" t="e">
            <v>#N/A</v>
          </cell>
          <cell r="U955" t="str">
            <v>YARIS G M/T</v>
          </cell>
        </row>
        <row r="956">
          <cell r="D956" t="str">
            <v>F653RM-GQDFJ-22</v>
          </cell>
          <cell r="E956" t="str">
            <v>AVANZA</v>
          </cell>
          <cell r="F956" t="str">
            <v>AVANZA</v>
          </cell>
          <cell r="G956" t="str">
            <v>AVANZA</v>
          </cell>
          <cell r="H956" t="str">
            <v>AVANZA E A/T</v>
          </cell>
          <cell r="I956" t="str">
            <v>AVANZA E A/T</v>
          </cell>
          <cell r="J956" t="str">
            <v>AVANZA E A/T</v>
          </cell>
          <cell r="K956" t="str">
            <v>AVANZA</v>
          </cell>
          <cell r="L956" t="str">
            <v>F53EA/T22M</v>
          </cell>
          <cell r="M956" t="str">
            <v>AVANZA</v>
          </cell>
          <cell r="N956" t="str">
            <v>AVANZA</v>
          </cell>
          <cell r="O956" t="str">
            <v>F653RM-GQDFJ-22</v>
          </cell>
          <cell r="P956" t="e">
            <v>#N/A</v>
          </cell>
          <cell r="Q956" t="e">
            <v>#N/A</v>
          </cell>
          <cell r="R956" t="str">
            <v>F653RM-GQDFJ-22</v>
          </cell>
          <cell r="S956" t="str">
            <v>AVANZA</v>
          </cell>
          <cell r="T956" t="e">
            <v>#N/A</v>
          </cell>
          <cell r="U956" t="str">
            <v>AVANZA E A/T</v>
          </cell>
        </row>
        <row r="957">
          <cell r="D957" t="str">
            <v>B401RA-GMZFJ-10</v>
          </cell>
          <cell r="E957" t="str">
            <v>CALYA</v>
          </cell>
          <cell r="F957" t="str">
            <v>CALYA</v>
          </cell>
          <cell r="G957" t="str">
            <v>CALYA</v>
          </cell>
          <cell r="H957" t="str">
            <v>CALYA G M/T</v>
          </cell>
          <cell r="I957" t="str">
            <v>CALYA G M/T</v>
          </cell>
          <cell r="J957" t="str">
            <v>CALYA G M/T</v>
          </cell>
          <cell r="K957" t="str">
            <v>CALYA</v>
          </cell>
          <cell r="L957" t="str">
            <v>B401GM/T10M</v>
          </cell>
          <cell r="M957" t="str">
            <v>CALYA</v>
          </cell>
          <cell r="N957" t="str">
            <v>CALYA</v>
          </cell>
          <cell r="O957" t="str">
            <v>B401RA-GMZFJ-10</v>
          </cell>
          <cell r="P957" t="e">
            <v>#N/A</v>
          </cell>
          <cell r="Q957" t="e">
            <v>#N/A</v>
          </cell>
          <cell r="R957" t="str">
            <v>B401RA-GMZFJ-10</v>
          </cell>
          <cell r="S957" t="str">
            <v>CALYA</v>
          </cell>
          <cell r="T957" t="e">
            <v>#N/A</v>
          </cell>
          <cell r="U957" t="str">
            <v>CALYA G M/T</v>
          </cell>
        </row>
        <row r="958">
          <cell r="D958" t="str">
            <v>B401RA-GQZFJ-10</v>
          </cell>
          <cell r="E958" t="str">
            <v>CALYA</v>
          </cell>
          <cell r="F958" t="str">
            <v>CALYA</v>
          </cell>
          <cell r="G958" t="str">
            <v>CALYA</v>
          </cell>
          <cell r="H958" t="str">
            <v>CALYA G A/T</v>
          </cell>
          <cell r="I958" t="str">
            <v>CALYA G A/T</v>
          </cell>
          <cell r="J958" t="str">
            <v>CALYA G A/T</v>
          </cell>
          <cell r="K958" t="str">
            <v>CALYA</v>
          </cell>
          <cell r="L958" t="str">
            <v>B401GA/T10M</v>
          </cell>
          <cell r="M958" t="str">
            <v>CALYA</v>
          </cell>
          <cell r="N958" t="str">
            <v>CALYA</v>
          </cell>
          <cell r="O958" t="str">
            <v>B401RA-GQZFJ-10</v>
          </cell>
          <cell r="P958" t="e">
            <v>#N/A</v>
          </cell>
          <cell r="Q958" t="e">
            <v>#N/A</v>
          </cell>
          <cell r="R958" t="str">
            <v>B401RA-GQZFJ-10</v>
          </cell>
          <cell r="S958" t="str">
            <v>CALYA</v>
          </cell>
          <cell r="T958" t="e">
            <v>#N/A</v>
          </cell>
          <cell r="U958" t="str">
            <v>CALYA G A/T</v>
          </cell>
        </row>
        <row r="959">
          <cell r="D959" t="str">
            <v>NSP170R-MWYQKD-17</v>
          </cell>
          <cell r="E959" t="str">
            <v>SIENTA</v>
          </cell>
          <cell r="F959" t="str">
            <v>SIENTA</v>
          </cell>
          <cell r="G959" t="str">
            <v>SIENTA</v>
          </cell>
          <cell r="H959" t="str">
            <v>SIENTA V A/T</v>
          </cell>
          <cell r="I959" t="str">
            <v>SIENTA V A/T</v>
          </cell>
          <cell r="J959" t="str">
            <v>SIENTA V A/T</v>
          </cell>
          <cell r="K959" t="str">
            <v>SIENTA</v>
          </cell>
          <cell r="L959" t="str">
            <v>NP17VA/T17M</v>
          </cell>
          <cell r="M959" t="str">
            <v>SIENTA</v>
          </cell>
          <cell r="N959" t="str">
            <v>SIENTA</v>
          </cell>
          <cell r="O959" t="str">
            <v>NSP170R-MWYQKD-17</v>
          </cell>
          <cell r="P959" t="e">
            <v>#N/A</v>
          </cell>
          <cell r="Q959" t="e">
            <v>#N/A</v>
          </cell>
          <cell r="R959" t="str">
            <v>NSP170R-MWYQKD-17</v>
          </cell>
          <cell r="S959" t="str">
            <v>SIENTA</v>
          </cell>
          <cell r="T959" t="e">
            <v>#N/A</v>
          </cell>
          <cell r="U959" t="str">
            <v>SIENTA V A/T</v>
          </cell>
        </row>
        <row r="960">
          <cell r="D960" t="str">
            <v>NSP170R-MWYQKD-18</v>
          </cell>
          <cell r="E960" t="str">
            <v>SIENTA</v>
          </cell>
          <cell r="F960" t="str">
            <v>SIENTA</v>
          </cell>
          <cell r="G960" t="str">
            <v>SIENTA</v>
          </cell>
          <cell r="H960" t="str">
            <v>SIENTA V A/T WELLCAB</v>
          </cell>
          <cell r="I960" t="str">
            <v>SIENTA V A/T WELLCAB</v>
          </cell>
          <cell r="J960" t="str">
            <v>SIENTA V A/T</v>
          </cell>
          <cell r="K960" t="str">
            <v>SIENTA</v>
          </cell>
          <cell r="L960" t="str">
            <v>NP17VA/T18M</v>
          </cell>
          <cell r="M960" t="str">
            <v>SIENTA</v>
          </cell>
          <cell r="N960" t="str">
            <v>SIENTA</v>
          </cell>
          <cell r="O960" t="str">
            <v>NSP170R-MWYQKD-18</v>
          </cell>
          <cell r="P960" t="e">
            <v>#N/A</v>
          </cell>
          <cell r="Q960" t="e">
            <v>#N/A</v>
          </cell>
          <cell r="R960" t="str">
            <v>NSP170R-MWYQKD-18</v>
          </cell>
          <cell r="S960" t="str">
            <v>SIENTA</v>
          </cell>
          <cell r="T960" t="e">
            <v>#N/A</v>
          </cell>
          <cell r="U960" t="str">
            <v>SIENTA V A/T WELLCAB</v>
          </cell>
        </row>
        <row r="961">
          <cell r="D961" t="str">
            <v>NSP170R-MWYUKD-17</v>
          </cell>
          <cell r="E961" t="str">
            <v>SIENTA</v>
          </cell>
          <cell r="F961" t="str">
            <v>SIENTA</v>
          </cell>
          <cell r="G961" t="str">
            <v>SIENTA</v>
          </cell>
          <cell r="H961" t="str">
            <v>SIENTA Q A/T</v>
          </cell>
          <cell r="I961" t="str">
            <v>SIENTA Q A/T</v>
          </cell>
          <cell r="J961" t="str">
            <v>SIENTA Q A/T</v>
          </cell>
          <cell r="K961" t="str">
            <v>SIENTA</v>
          </cell>
          <cell r="L961" t="str">
            <v>NP17QA/T17M</v>
          </cell>
          <cell r="M961" t="str">
            <v>SIENTA</v>
          </cell>
          <cell r="N961" t="str">
            <v>SIENTA</v>
          </cell>
          <cell r="O961" t="str">
            <v>NSP170R-MWYUKD-17</v>
          </cell>
          <cell r="P961" t="e">
            <v>#N/A</v>
          </cell>
          <cell r="Q961" t="e">
            <v>#N/A</v>
          </cell>
          <cell r="R961" t="str">
            <v>NSP170R-MWYUKD-17</v>
          </cell>
          <cell r="S961" t="str">
            <v>SIENTA</v>
          </cell>
          <cell r="T961" t="e">
            <v>#N/A</v>
          </cell>
          <cell r="U961" t="str">
            <v>SIENTA Q A/T</v>
          </cell>
        </row>
        <row r="962">
          <cell r="D962" t="str">
            <v>ZRE211R-GEXGKD-01</v>
          </cell>
          <cell r="E962" t="str">
            <v>COROLLA</v>
          </cell>
          <cell r="F962" t="str">
            <v>COROLLA ALTIS</v>
          </cell>
          <cell r="G962" t="str">
            <v>COROLLA ALTIS</v>
          </cell>
          <cell r="H962" t="str">
            <v>COROLLA ALTIS V A/T</v>
          </cell>
          <cell r="I962" t="str">
            <v>COROLLA ALTIS V A/T</v>
          </cell>
          <cell r="J962" t="str">
            <v>COROLLA ALTIS V A/T</v>
          </cell>
          <cell r="K962" t="str">
            <v>COROLLA ALTIS</v>
          </cell>
          <cell r="L962" t="str">
            <v>ZRE211RM/T01M</v>
          </cell>
          <cell r="M962" t="str">
            <v>COROLLA ALTIS</v>
          </cell>
          <cell r="N962" t="str">
            <v>COROLLA ALTIS</v>
          </cell>
          <cell r="O962" t="str">
            <v>ZRE211R-GEXGKD-01</v>
          </cell>
          <cell r="P962" t="e">
            <v>#N/A</v>
          </cell>
          <cell r="Q962" t="e">
            <v>#N/A</v>
          </cell>
          <cell r="R962" t="str">
            <v>ZRE211R-GEXGKD-01</v>
          </cell>
          <cell r="S962" t="str">
            <v>COROLLA</v>
          </cell>
          <cell r="T962" t="e">
            <v>#N/A</v>
          </cell>
          <cell r="U962" t="str">
            <v>COROLLA ALTIS V A/T</v>
          </cell>
        </row>
        <row r="963">
          <cell r="D963" t="str">
            <v>B401RA-GMQFJ-10</v>
          </cell>
          <cell r="E963" t="str">
            <v>CALYA</v>
          </cell>
          <cell r="F963" t="str">
            <v>CALYA</v>
          </cell>
          <cell r="G963" t="str">
            <v>CALYA</v>
          </cell>
          <cell r="H963" t="str">
            <v>CALYA E M/T</v>
          </cell>
          <cell r="I963" t="str">
            <v>CALYA E M/T</v>
          </cell>
          <cell r="J963" t="str">
            <v>CALYA E M/T</v>
          </cell>
          <cell r="K963" t="str">
            <v>CALYA</v>
          </cell>
          <cell r="L963" t="str">
            <v>B401EM/T10M</v>
          </cell>
          <cell r="M963" t="str">
            <v>CALYA</v>
          </cell>
          <cell r="N963" t="str">
            <v>CALYA</v>
          </cell>
          <cell r="O963" t="str">
            <v>B401RA-GMQFJ-10</v>
          </cell>
          <cell r="P963" t="e">
            <v>#N/A</v>
          </cell>
          <cell r="Q963" t="e">
            <v>#N/A</v>
          </cell>
          <cell r="R963" t="str">
            <v>B401RA-GMQFJ-10</v>
          </cell>
          <cell r="S963" t="str">
            <v>CALYA</v>
          </cell>
          <cell r="T963" t="e">
            <v>#N/A</v>
          </cell>
          <cell r="U963" t="str">
            <v>CALYA E M/T</v>
          </cell>
        </row>
        <row r="964">
          <cell r="D964" t="str">
            <v>B401RA-GMQFJ-11</v>
          </cell>
          <cell r="E964" t="str">
            <v>CALYA</v>
          </cell>
          <cell r="F964" t="str">
            <v>CALYA</v>
          </cell>
          <cell r="G964" t="str">
            <v>CALYA</v>
          </cell>
          <cell r="H964" t="str">
            <v>CALYA E M/T</v>
          </cell>
          <cell r="I964" t="str">
            <v>CALYA E M/T</v>
          </cell>
          <cell r="J964" t="str">
            <v>CALYA E M/T</v>
          </cell>
          <cell r="K964" t="str">
            <v>CALYA</v>
          </cell>
          <cell r="L964" t="str">
            <v>B401EM/T11M</v>
          </cell>
          <cell r="M964" t="str">
            <v>CALYA</v>
          </cell>
          <cell r="N964" t="str">
            <v>CALYA</v>
          </cell>
          <cell r="O964" t="str">
            <v>B401RA-GMQFJ-11</v>
          </cell>
          <cell r="P964" t="e">
            <v>#N/A</v>
          </cell>
          <cell r="Q964" t="e">
            <v>#N/A</v>
          </cell>
          <cell r="R964" t="str">
            <v>B401RA-GMQFJ-11</v>
          </cell>
          <cell r="S964" t="str">
            <v>CALYA</v>
          </cell>
          <cell r="T964" t="e">
            <v>#N/A</v>
          </cell>
          <cell r="U964" t="str">
            <v>CALYA E M/T</v>
          </cell>
        </row>
        <row r="965">
          <cell r="D965" t="str">
            <v>NSP170R-MWFNKD-17</v>
          </cell>
          <cell r="E965" t="str">
            <v>SIENTA</v>
          </cell>
          <cell r="F965" t="str">
            <v>SIENTA</v>
          </cell>
          <cell r="G965" t="str">
            <v>SIENTA</v>
          </cell>
          <cell r="H965" t="str">
            <v>SIENTA G M/T</v>
          </cell>
          <cell r="I965" t="str">
            <v>SIENTA G M/T</v>
          </cell>
          <cell r="J965" t="str">
            <v>SIENTA G M/T</v>
          </cell>
          <cell r="K965" t="str">
            <v>SIENTA</v>
          </cell>
          <cell r="L965" t="str">
            <v>NP17GM/T17M</v>
          </cell>
          <cell r="M965" t="str">
            <v>SIENTA</v>
          </cell>
          <cell r="N965" t="str">
            <v>SIENTA</v>
          </cell>
          <cell r="O965" t="str">
            <v>NSP170R-MWFNKD-17</v>
          </cell>
          <cell r="P965" t="e">
            <v>#N/A</v>
          </cell>
          <cell r="Q965" t="e">
            <v>#N/A</v>
          </cell>
          <cell r="R965" t="str">
            <v>NSP170R-MWFNKD-17</v>
          </cell>
          <cell r="S965" t="str">
            <v>SIENTA</v>
          </cell>
          <cell r="T965" t="e">
            <v>#N/A</v>
          </cell>
          <cell r="U965" t="str">
            <v>SIENTA G M/T</v>
          </cell>
        </row>
        <row r="966">
          <cell r="D966" t="str">
            <v>NSP170R-MWFQKD-17</v>
          </cell>
          <cell r="E966" t="str">
            <v>SIENTA</v>
          </cell>
          <cell r="F966" t="str">
            <v>SIENTA</v>
          </cell>
          <cell r="G966" t="str">
            <v>SIENTA</v>
          </cell>
          <cell r="H966" t="str">
            <v>SIENTA V M/T</v>
          </cell>
          <cell r="I966" t="str">
            <v>SIENTA V M/T</v>
          </cell>
          <cell r="J966" t="str">
            <v>SIENTA V M/T</v>
          </cell>
          <cell r="K966" t="str">
            <v>SIENTA</v>
          </cell>
          <cell r="L966" t="str">
            <v>NP17VM/T17M</v>
          </cell>
          <cell r="M966" t="str">
            <v>SIENTA</v>
          </cell>
          <cell r="N966" t="str">
            <v>SIENTA</v>
          </cell>
          <cell r="O966" t="str">
            <v>NSP170R-MWFQKD-17</v>
          </cell>
          <cell r="P966" t="e">
            <v>#N/A</v>
          </cell>
          <cell r="Q966" t="e">
            <v>#N/A</v>
          </cell>
          <cell r="R966" t="str">
            <v>NSP170R-MWFQKD-17</v>
          </cell>
          <cell r="S966" t="str">
            <v>SIENTA</v>
          </cell>
          <cell r="T966" t="e">
            <v>#N/A</v>
          </cell>
          <cell r="U966" t="str">
            <v>SIENTA V M/T</v>
          </cell>
        </row>
        <row r="967">
          <cell r="D967" t="str">
            <v>GUN125R-BTFXHD-00</v>
          </cell>
          <cell r="E967" t="str">
            <v>HILUX</v>
          </cell>
          <cell r="F967" t="str">
            <v>HILUX SC</v>
          </cell>
          <cell r="G967" t="str">
            <v>HILUX SC</v>
          </cell>
          <cell r="H967" t="str">
            <v>HILUX SC M/T DIESEL</v>
          </cell>
          <cell r="I967" t="str">
            <v>HILUX SC M/T DIESEL</v>
          </cell>
          <cell r="J967" t="str">
            <v>HILUX SC M/T DIESEL</v>
          </cell>
          <cell r="K967" t="str">
            <v>HILUX SC</v>
          </cell>
          <cell r="L967" t="str">
            <v>GUN25SCM/T00M</v>
          </cell>
          <cell r="M967" t="str">
            <v>HILUX</v>
          </cell>
          <cell r="N967" t="str">
            <v>HILUX SC</v>
          </cell>
          <cell r="O967" t="str">
            <v>GUN125R-BTFXHD-00</v>
          </cell>
          <cell r="P967" t="e">
            <v>#N/A</v>
          </cell>
          <cell r="Q967" t="e">
            <v>#N/A</v>
          </cell>
          <cell r="R967" t="str">
            <v>GUN125R-BTFXHD-00</v>
          </cell>
          <cell r="S967" t="str">
            <v>HILUX</v>
          </cell>
          <cell r="T967" t="e">
            <v>#N/A</v>
          </cell>
          <cell r="U967" t="str">
            <v>HILUX SC M/T DIESEL</v>
          </cell>
        </row>
        <row r="968">
          <cell r="D968" t="str">
            <v>GDH322R-EDFPY-00</v>
          </cell>
          <cell r="E968" t="str">
            <v>HIACE</v>
          </cell>
          <cell r="F968" t="str">
            <v>HIACE</v>
          </cell>
          <cell r="G968" t="str">
            <v>HIACE</v>
          </cell>
          <cell r="H968" t="str">
            <v>HIACE PREMIO</v>
          </cell>
          <cell r="I968" t="str">
            <v>HIACE PREMIO</v>
          </cell>
          <cell r="J968" t="str">
            <v>HIACE PREMIO</v>
          </cell>
          <cell r="K968" t="str">
            <v>HIACE PREMIO</v>
          </cell>
          <cell r="L968" t="str">
            <v>GDH32M/T00</v>
          </cell>
          <cell r="M968" t="str">
            <v>HIACE</v>
          </cell>
          <cell r="N968" t="str">
            <v>HIACE PREMIO</v>
          </cell>
          <cell r="O968" t="str">
            <v>GDH322R-EDFPY-00</v>
          </cell>
          <cell r="P968" t="e">
            <v>#N/A</v>
          </cell>
          <cell r="Q968" t="e">
            <v>#N/A</v>
          </cell>
          <cell r="R968" t="str">
            <v>GDH322R-EDFPY-00</v>
          </cell>
          <cell r="S968" t="str">
            <v>HIACE</v>
          </cell>
          <cell r="T968" t="e">
            <v>#N/A</v>
          </cell>
          <cell r="U968" t="str">
            <v>HIACE PREMIO</v>
          </cell>
        </row>
        <row r="969">
          <cell r="D969" t="str">
            <v>ZRE211R-GEXGKD-00</v>
          </cell>
          <cell r="E969" t="str">
            <v>COROLLA</v>
          </cell>
          <cell r="F969" t="str">
            <v>COROLLA ALTIS</v>
          </cell>
          <cell r="G969" t="str">
            <v>COROLLA ALTIS</v>
          </cell>
          <cell r="H969" t="str">
            <v>COROLLA ALTIS G A/T</v>
          </cell>
          <cell r="I969" t="str">
            <v>COROLLA ALTIS G A/T</v>
          </cell>
          <cell r="J969" t="str">
            <v>COROLLA ALTIS G A/T</v>
          </cell>
          <cell r="K969" t="str">
            <v>COROLLA ALTIS</v>
          </cell>
          <cell r="L969" t="str">
            <v>ZRE211RM/T00M</v>
          </cell>
          <cell r="M969" t="str">
            <v>COROLLA ALTIS</v>
          </cell>
          <cell r="N969" t="str">
            <v>COROLLA ALTIS</v>
          </cell>
          <cell r="O969" t="str">
            <v>ZRE211R-GEXGKD-00</v>
          </cell>
          <cell r="P969" t="e">
            <v>#N/A</v>
          </cell>
          <cell r="Q969" t="e">
            <v>#N/A</v>
          </cell>
          <cell r="R969" t="str">
            <v>ZRE211R-GEXGKD-00</v>
          </cell>
          <cell r="S969" t="str">
            <v>COROLLA</v>
          </cell>
          <cell r="T969" t="e">
            <v>#N/A</v>
          </cell>
          <cell r="U969" t="str">
            <v>COROLLA ALTIS G A/T</v>
          </cell>
        </row>
        <row r="970">
          <cell r="D970" t="str">
            <v>ZWE211R-GEXVBD-00</v>
          </cell>
          <cell r="E970" t="str">
            <v>COROLLA</v>
          </cell>
          <cell r="F970" t="str">
            <v>COROLLA ALTIS</v>
          </cell>
          <cell r="G970" t="str">
            <v>COROLLA ALTIS</v>
          </cell>
          <cell r="H970" t="str">
            <v>COROLLA ALTIS HYBRID A/T</v>
          </cell>
          <cell r="I970" t="str">
            <v>COROLLA ALTIS HYBRID A/T</v>
          </cell>
          <cell r="J970" t="str">
            <v>COROLLA ALTIS HYBRID A/T</v>
          </cell>
          <cell r="K970" t="str">
            <v>COROLLA ALTIS</v>
          </cell>
          <cell r="L970" t="str">
            <v>ZWE211HA/T00M</v>
          </cell>
          <cell r="M970" t="str">
            <v>COROLLA ALTIS</v>
          </cell>
          <cell r="N970" t="str">
            <v>COROLLA ALTIS</v>
          </cell>
          <cell r="O970" t="str">
            <v>ZWE211R-GEXVBD-00</v>
          </cell>
          <cell r="P970" t="e">
            <v>#N/A</v>
          </cell>
          <cell r="Q970" t="e">
            <v>#N/A</v>
          </cell>
          <cell r="R970" t="str">
            <v>ZWE211R-GEXVBD-00</v>
          </cell>
          <cell r="S970" t="str">
            <v>COROLLA</v>
          </cell>
          <cell r="T970" t="e">
            <v>#N/A</v>
          </cell>
          <cell r="U970" t="str">
            <v>COROLLA ALTIS HYBRID A/T</v>
          </cell>
        </row>
        <row r="971">
          <cell r="D971" t="str">
            <v>F654RM-GMSFJ-H1</v>
          </cell>
          <cell r="E971" t="str">
            <v>AVANZA</v>
          </cell>
          <cell r="F971" t="str">
            <v>AVANZA</v>
          </cell>
          <cell r="G971" t="str">
            <v>AVANZA</v>
          </cell>
          <cell r="H971" t="str">
            <v>AVANZA VELOZ 1.5 M/T</v>
          </cell>
          <cell r="I971" t="str">
            <v>AVANZA VELOZ 1.5 M/T</v>
          </cell>
          <cell r="J971" t="str">
            <v>AVANZA VELOZ 1.5 M/T</v>
          </cell>
          <cell r="K971" t="str">
            <v>AVANZA</v>
          </cell>
          <cell r="L971" t="str">
            <v>F54VM/TH1M</v>
          </cell>
          <cell r="M971" t="str">
            <v>AVANZA</v>
          </cell>
          <cell r="N971" t="str">
            <v>AVANZA</v>
          </cell>
          <cell r="O971" t="str">
            <v>F654RM-GMSFJ-H1</v>
          </cell>
          <cell r="P971" t="e">
            <v>#N/A</v>
          </cell>
          <cell r="Q971" t="e">
            <v>#N/A</v>
          </cell>
          <cell r="R971" t="str">
            <v>F654RM-GMSFJ-H1</v>
          </cell>
          <cell r="S971" t="str">
            <v>AVANZA</v>
          </cell>
          <cell r="T971" t="e">
            <v>#N/A</v>
          </cell>
          <cell r="U971" t="str">
            <v>AVANZA VELOZ 1.5 M/T</v>
          </cell>
        </row>
        <row r="972">
          <cell r="D972" t="str">
            <v>F654RM-GQSFJ-H1</v>
          </cell>
          <cell r="E972" t="str">
            <v>AVANZA</v>
          </cell>
          <cell r="F972" t="str">
            <v>AVANZA</v>
          </cell>
          <cell r="G972" t="str">
            <v>AVANZA</v>
          </cell>
          <cell r="H972" t="str">
            <v>AVANZA VELOZ 1.5 A/T</v>
          </cell>
          <cell r="I972" t="str">
            <v>AVANZA VELOZ 1.5 A/T</v>
          </cell>
          <cell r="J972" t="str">
            <v>AVANZA VELOZ 1.5 A/T</v>
          </cell>
          <cell r="K972" t="str">
            <v>AVANZA</v>
          </cell>
          <cell r="L972" t="str">
            <v>F54VA/TH1M</v>
          </cell>
          <cell r="M972" t="str">
            <v>AVANZA</v>
          </cell>
          <cell r="N972" t="str">
            <v>AVANZA</v>
          </cell>
          <cell r="O972" t="str">
            <v>F654RM-GQSFJ-H1</v>
          </cell>
          <cell r="P972" t="e">
            <v>#N/A</v>
          </cell>
          <cell r="Q972" t="e">
            <v>#N/A</v>
          </cell>
          <cell r="R972" t="str">
            <v>F654RM-GQSFJ-H1</v>
          </cell>
          <cell r="S972" t="str">
            <v>AVANZA</v>
          </cell>
          <cell r="T972" t="e">
            <v>#N/A</v>
          </cell>
          <cell r="U972" t="str">
            <v>AVANZA VELOZ 1.5 A/T</v>
          </cell>
        </row>
        <row r="973">
          <cell r="D973" t="str">
            <v>F800RE-GMMFJ-H0</v>
          </cell>
          <cell r="E973" t="str">
            <v>RUSH</v>
          </cell>
          <cell r="F973" t="str">
            <v>RUSH</v>
          </cell>
          <cell r="G973" t="str">
            <v>RUSH</v>
          </cell>
          <cell r="H973" t="str">
            <v>RUSH G M/T</v>
          </cell>
          <cell r="I973" t="str">
            <v>RUSH G M/T</v>
          </cell>
          <cell r="J973" t="str">
            <v>RUSH G M/T</v>
          </cell>
          <cell r="K973" t="str">
            <v>RUSH</v>
          </cell>
          <cell r="L973" t="str">
            <v>F80GM/TH0M</v>
          </cell>
          <cell r="M973" t="str">
            <v>RUSH</v>
          </cell>
          <cell r="N973" t="str">
            <v>RUSH</v>
          </cell>
          <cell r="O973" t="str">
            <v>F800RE-GMMFJ-H0</v>
          </cell>
          <cell r="P973" t="e">
            <v>#N/A</v>
          </cell>
          <cell r="Q973" t="e">
            <v>#N/A</v>
          </cell>
          <cell r="R973" t="str">
            <v>F800RE-GMMFJ-H0</v>
          </cell>
          <cell r="S973" t="str">
            <v>RUSH</v>
          </cell>
          <cell r="T973" t="e">
            <v>#N/A</v>
          </cell>
          <cell r="U973" t="str">
            <v>RUSH G M/T</v>
          </cell>
        </row>
        <row r="974">
          <cell r="D974" t="str">
            <v>F800RE-GQGFJ-H0</v>
          </cell>
          <cell r="E974" t="str">
            <v>RUSH</v>
          </cell>
          <cell r="F974" t="str">
            <v>RUSH</v>
          </cell>
          <cell r="G974" t="str">
            <v>RUSH</v>
          </cell>
          <cell r="H974" t="str">
            <v>RUSH S A/T</v>
          </cell>
          <cell r="I974" t="str">
            <v>RUSH S A/T</v>
          </cell>
          <cell r="J974" t="str">
            <v>RUSH S A/T</v>
          </cell>
          <cell r="K974" t="str">
            <v>RUSH</v>
          </cell>
          <cell r="L974" t="str">
            <v>F80SA/TH0M</v>
          </cell>
          <cell r="M974" t="str">
            <v>RUSH</v>
          </cell>
          <cell r="N974" t="str">
            <v>RUSH</v>
          </cell>
          <cell r="O974" t="str">
            <v>F800RE-GQGFJ-H0</v>
          </cell>
          <cell r="P974" t="e">
            <v>#N/A</v>
          </cell>
          <cell r="Q974" t="e">
            <v>#N/A</v>
          </cell>
          <cell r="R974" t="str">
            <v>F800RE-GQGFJ-H0</v>
          </cell>
          <cell r="S974" t="str">
            <v>RUSH</v>
          </cell>
          <cell r="T974" t="e">
            <v>#N/A</v>
          </cell>
          <cell r="U974" t="str">
            <v>RUSH S A/T</v>
          </cell>
        </row>
        <row r="975">
          <cell r="D975" t="str">
            <v>F800RE-GQMFJ-H0</v>
          </cell>
          <cell r="E975" t="str">
            <v>RUSH</v>
          </cell>
          <cell r="F975" t="str">
            <v>RUSH</v>
          </cell>
          <cell r="G975" t="str">
            <v>RUSH</v>
          </cell>
          <cell r="H975" t="str">
            <v>RUSH G A/T</v>
          </cell>
          <cell r="I975" t="str">
            <v>RUSH G A/T</v>
          </cell>
          <cell r="J975" t="str">
            <v>RUSH G A/T</v>
          </cell>
          <cell r="K975" t="str">
            <v>RUSH</v>
          </cell>
          <cell r="L975" t="str">
            <v>F80GA/TH0M</v>
          </cell>
          <cell r="M975" t="str">
            <v>RUSH</v>
          </cell>
          <cell r="N975" t="str">
            <v>RUSH</v>
          </cell>
          <cell r="O975" t="str">
            <v>F800RE-GQMFJ-H0</v>
          </cell>
          <cell r="P975" t="e">
            <v>#N/A</v>
          </cell>
          <cell r="Q975" t="e">
            <v>#N/A</v>
          </cell>
          <cell r="R975" t="str">
            <v>F800RE-GQMFJ-H0</v>
          </cell>
          <cell r="S975" t="str">
            <v>RUSH</v>
          </cell>
          <cell r="T975" t="e">
            <v>#N/A</v>
          </cell>
          <cell r="U975" t="str">
            <v>RUSH G A/T</v>
          </cell>
        </row>
        <row r="976">
          <cell r="D976" t="e">
            <v>#N/A</v>
          </cell>
          <cell r="E976" t="str">
            <v>INNOVA</v>
          </cell>
          <cell r="F976" t="str">
            <v>INNOVA</v>
          </cell>
          <cell r="G976" t="str">
            <v>INNOVA</v>
          </cell>
          <cell r="H976" t="str">
            <v>INNOVA V M/T</v>
          </cell>
          <cell r="I976" t="str">
            <v>INNOVA V M/T</v>
          </cell>
          <cell r="J976" t="str">
            <v>INNOVA V M/T</v>
          </cell>
          <cell r="K976" t="str">
            <v>INNOVA REBORN</v>
          </cell>
          <cell r="L976" t="str">
            <v>TG40VM/T51M</v>
          </cell>
          <cell r="M976" t="str">
            <v>INNOVA</v>
          </cell>
          <cell r="N976" t="str">
            <v>INNOVA REBORN</v>
          </cell>
          <cell r="O976" t="e">
            <v>#N/A</v>
          </cell>
          <cell r="P976" t="e">
            <v>#N/A</v>
          </cell>
          <cell r="Q976" t="e">
            <v>#N/A</v>
          </cell>
          <cell r="R976" t="e">
            <v>#N/A</v>
          </cell>
          <cell r="S976" t="str">
            <v>INNOVA</v>
          </cell>
          <cell r="T976" t="str">
            <v>INV REBORN</v>
          </cell>
          <cell r="U976" t="str">
            <v>INNOVA V M/T</v>
          </cell>
        </row>
        <row r="977">
          <cell r="D977" t="str">
            <v>TGN140R-MDMMKD-00</v>
          </cell>
          <cell r="E977" t="str">
            <v>INNOVA</v>
          </cell>
          <cell r="F977" t="str">
            <v>INNOVA</v>
          </cell>
          <cell r="G977" t="str">
            <v>INNOVA</v>
          </cell>
          <cell r="H977" t="str">
            <v>INNOVA V M/T</v>
          </cell>
          <cell r="I977" t="str">
            <v>INNOVA V M/T</v>
          </cell>
          <cell r="J977" t="str">
            <v>INNOVA V M/T</v>
          </cell>
          <cell r="K977" t="str">
            <v>INNOVA REBORN</v>
          </cell>
          <cell r="L977" t="str">
            <v>TGN40VM/T</v>
          </cell>
          <cell r="M977" t="str">
            <v>INNOVA</v>
          </cell>
          <cell r="N977" t="str">
            <v>INNOVA REBORN</v>
          </cell>
          <cell r="O977" t="str">
            <v>TGN140R-MDMMKD-00</v>
          </cell>
          <cell r="P977" t="e">
            <v>#N/A</v>
          </cell>
          <cell r="Q977" t="e">
            <v>#N/A</v>
          </cell>
          <cell r="R977" t="str">
            <v>TGN140R-MDMMKD-00</v>
          </cell>
          <cell r="S977" t="str">
            <v>INNOVA</v>
          </cell>
          <cell r="T977" t="str">
            <v>INV REBORN</v>
          </cell>
          <cell r="U977" t="str">
            <v>INNOVA V M/T</v>
          </cell>
        </row>
        <row r="978">
          <cell r="D978" t="str">
            <v>GUN165R-SDTMHD-H0</v>
          </cell>
          <cell r="E978" t="str">
            <v>FORTUNER</v>
          </cell>
          <cell r="F978" t="str">
            <v>FORTUNER 4X2</v>
          </cell>
          <cell r="G978" t="str">
            <v>FORTUNER 4X2</v>
          </cell>
          <cell r="H978" t="str">
            <v>FORTUNER 4X2 VRZ A/T DIESEL</v>
          </cell>
          <cell r="I978" t="str">
            <v>FORTUNER 4X2 VRZ A/T DIESEL</v>
          </cell>
          <cell r="J978" t="str">
            <v>FORTUNER 4X2 VRZ A/T DIESEL</v>
          </cell>
          <cell r="K978" t="str">
            <v>FORTUNER 4X2</v>
          </cell>
          <cell r="L978" t="str">
            <v>GUN65VRZA/TH0M</v>
          </cell>
          <cell r="M978" t="str">
            <v>FORTUNER</v>
          </cell>
          <cell r="N978" t="str">
            <v>FORTUNER 4X2</v>
          </cell>
          <cell r="O978" t="str">
            <v>GUN165R-SDTMHD-H0</v>
          </cell>
          <cell r="P978" t="e">
            <v>#N/A</v>
          </cell>
          <cell r="Q978" t="e">
            <v>#N/A</v>
          </cell>
          <cell r="R978" t="str">
            <v>GUN165R-SDTMHD-H0</v>
          </cell>
          <cell r="S978" t="str">
            <v>FORTUNER</v>
          </cell>
          <cell r="T978" t="e">
            <v>#N/A</v>
          </cell>
          <cell r="U978" t="str">
            <v>FORTUNER 4X2 VRZ A/T DIESEL</v>
          </cell>
        </row>
        <row r="979">
          <cell r="D979" t="str">
            <v>GUN165R-SDTMHD-H2</v>
          </cell>
          <cell r="E979" t="str">
            <v>FORTUNER</v>
          </cell>
          <cell r="F979" t="str">
            <v>FORTUNER 4X2</v>
          </cell>
          <cell r="G979" t="str">
            <v>FORTUNER 4X2</v>
          </cell>
          <cell r="H979" t="str">
            <v>FORTUNER 4X2 VRZ A/T DIESEL</v>
          </cell>
          <cell r="I979" t="str">
            <v>FORTUNER 4X2 VRZ A/T DIESEL</v>
          </cell>
          <cell r="J979" t="str">
            <v>FORTUNER 4X2 VRZ A/T DIESEL</v>
          </cell>
          <cell r="K979" t="str">
            <v>FORTUNER 4X2</v>
          </cell>
          <cell r="L979" t="str">
            <v>GUN65VRZA/TH2M</v>
          </cell>
          <cell r="M979" t="str">
            <v>FORTUNER</v>
          </cell>
          <cell r="N979" t="str">
            <v>FORTUNER 4X2</v>
          </cell>
          <cell r="O979" t="str">
            <v>GUN165R-SDTMHD-H2</v>
          </cell>
          <cell r="P979" t="e">
            <v>#N/A</v>
          </cell>
          <cell r="Q979" t="e">
            <v>#N/A</v>
          </cell>
          <cell r="R979" t="str">
            <v>GUN165R-SDTMHD-H2</v>
          </cell>
          <cell r="S979" t="str">
            <v>FORTUNER</v>
          </cell>
          <cell r="T979" t="e">
            <v>#N/A</v>
          </cell>
          <cell r="U979" t="str">
            <v>FORTUNER 4X2 VRZ TRD DIESEL</v>
          </cell>
        </row>
        <row r="980">
          <cell r="D980" t="e">
            <v>#N/A</v>
          </cell>
          <cell r="E980" t="str">
            <v>INNOVA</v>
          </cell>
          <cell r="F980" t="str">
            <v>INNOVA</v>
          </cell>
          <cell r="G980" t="str">
            <v>INNOVA</v>
          </cell>
          <cell r="H980" t="str">
            <v>INNOVA V M/T</v>
          </cell>
          <cell r="I980" t="str">
            <v>INNOVA V M/T</v>
          </cell>
          <cell r="J980" t="str">
            <v>INNOVA V M/T</v>
          </cell>
          <cell r="K980" t="str">
            <v>INNOVA REBORN</v>
          </cell>
          <cell r="L980" t="str">
            <v>TGN40VM/T01M</v>
          </cell>
          <cell r="M980" t="str">
            <v>INNOVA</v>
          </cell>
          <cell r="N980" t="str">
            <v>INNOVA REBORN</v>
          </cell>
          <cell r="O980" t="e">
            <v>#N/A</v>
          </cell>
          <cell r="P980" t="e">
            <v>#N/A</v>
          </cell>
          <cell r="Q980" t="e">
            <v>#N/A</v>
          </cell>
          <cell r="R980" t="e">
            <v>#N/A</v>
          </cell>
          <cell r="S980" t="str">
            <v>INNOVA</v>
          </cell>
          <cell r="T980" t="str">
            <v>INV REBORN</v>
          </cell>
          <cell r="U980" t="str">
            <v>INNOVA V M/T</v>
          </cell>
        </row>
        <row r="981">
          <cell r="D981" t="e">
            <v>#N/A</v>
          </cell>
          <cell r="E981" t="str">
            <v>INNOVA</v>
          </cell>
          <cell r="F981" t="str">
            <v>INNOVA</v>
          </cell>
          <cell r="G981" t="str">
            <v>INNOVA</v>
          </cell>
          <cell r="H981" t="str">
            <v>INNOVA V M/T</v>
          </cell>
          <cell r="I981" t="str">
            <v>INNOVA V M/T</v>
          </cell>
          <cell r="J981" t="str">
            <v>INNOVA V M/T</v>
          </cell>
          <cell r="K981" t="str">
            <v>INNOVA REBORN</v>
          </cell>
          <cell r="L981" t="str">
            <v>TGN40VM/TL</v>
          </cell>
          <cell r="M981" t="str">
            <v>INNOVA</v>
          </cell>
          <cell r="N981" t="str">
            <v>INNOVA REBORN</v>
          </cell>
          <cell r="O981" t="e">
            <v>#N/A</v>
          </cell>
          <cell r="P981" t="e">
            <v>#N/A</v>
          </cell>
          <cell r="Q981" t="e">
            <v>#N/A</v>
          </cell>
          <cell r="R981" t="e">
            <v>#N/A</v>
          </cell>
          <cell r="S981" t="str">
            <v>INNOVA</v>
          </cell>
          <cell r="T981" t="str">
            <v>INV REBORN</v>
          </cell>
          <cell r="U981" t="str">
            <v>INNOVA V M/T</v>
          </cell>
        </row>
        <row r="982">
          <cell r="D982" t="e">
            <v>#N/A</v>
          </cell>
          <cell r="E982" t="str">
            <v>INNOVA</v>
          </cell>
          <cell r="F982" t="str">
            <v>INNOVA</v>
          </cell>
          <cell r="G982" t="str">
            <v>INNOVA</v>
          </cell>
          <cell r="H982" t="str">
            <v>INNOVA V M/T</v>
          </cell>
          <cell r="I982" t="str">
            <v>INNOVA V M/T</v>
          </cell>
          <cell r="J982" t="str">
            <v>INNOVA V M/T</v>
          </cell>
          <cell r="K982" t="str">
            <v>INNOVA REBORN</v>
          </cell>
          <cell r="L982" t="str">
            <v>TG40VM/T11M</v>
          </cell>
          <cell r="M982" t="str">
            <v>INNOVA</v>
          </cell>
          <cell r="N982" t="str">
            <v>INNOVA REBORN</v>
          </cell>
          <cell r="O982" t="e">
            <v>#N/A</v>
          </cell>
          <cell r="P982" t="e">
            <v>#N/A</v>
          </cell>
          <cell r="Q982" t="e">
            <v>#N/A</v>
          </cell>
          <cell r="R982" t="e">
            <v>#N/A</v>
          </cell>
          <cell r="S982" t="str">
            <v>INNOVA</v>
          </cell>
          <cell r="T982" t="str">
            <v>INV REBORN</v>
          </cell>
          <cell r="U982" t="str">
            <v>INNOVA V M/T</v>
          </cell>
        </row>
        <row r="983">
          <cell r="D983" t="e">
            <v>#N/A</v>
          </cell>
          <cell r="E983" t="str">
            <v>INNOVA</v>
          </cell>
          <cell r="F983" t="str">
            <v>INNOVA</v>
          </cell>
          <cell r="G983" t="str">
            <v>INNOVA</v>
          </cell>
          <cell r="H983" t="str">
            <v>INNOVA V M/T</v>
          </cell>
          <cell r="I983" t="str">
            <v>INNOVA V M/T</v>
          </cell>
          <cell r="J983" t="str">
            <v>INNOVA V M/T</v>
          </cell>
          <cell r="K983" t="str">
            <v>INNOVA REBORN</v>
          </cell>
          <cell r="L983" t="str">
            <v>TG40VM/T23M</v>
          </cell>
          <cell r="M983" t="str">
            <v>INNOVA</v>
          </cell>
          <cell r="N983" t="str">
            <v>INNOVA REBORN</v>
          </cell>
          <cell r="O983" t="e">
            <v>#N/A</v>
          </cell>
          <cell r="P983" t="e">
            <v>#N/A</v>
          </cell>
          <cell r="Q983" t="e">
            <v>#N/A</v>
          </cell>
          <cell r="R983" t="e">
            <v>#N/A</v>
          </cell>
          <cell r="S983" t="str">
            <v>INNOVA</v>
          </cell>
          <cell r="T983" t="str">
            <v>INV REBORN</v>
          </cell>
          <cell r="U983" t="str">
            <v>INNOVA V M/T</v>
          </cell>
        </row>
        <row r="984">
          <cell r="D984" t="str">
            <v>B101RA-GMSGJ-H3</v>
          </cell>
          <cell r="E984" t="str">
            <v>AGYA</v>
          </cell>
          <cell r="F984" t="str">
            <v>AGYA</v>
          </cell>
          <cell r="G984" t="str">
            <v>AGYA</v>
          </cell>
          <cell r="H984" t="str">
            <v>AGYA G M/T</v>
          </cell>
          <cell r="I984" t="str">
            <v>AGYA G M/T TRD</v>
          </cell>
          <cell r="J984" t="str">
            <v xml:space="preserve">AGYA G M/T TRD </v>
          </cell>
          <cell r="K984" t="str">
            <v>AGYA</v>
          </cell>
          <cell r="L984" t="str">
            <v>B101GM/TH3M</v>
          </cell>
          <cell r="M984" t="str">
            <v>AGYA</v>
          </cell>
          <cell r="N984" t="str">
            <v>AGYA</v>
          </cell>
          <cell r="O984" t="str">
            <v>B101RA-GMSGJ-H3</v>
          </cell>
          <cell r="P984" t="e">
            <v>#N/A</v>
          </cell>
          <cell r="Q984" t="e">
            <v>#N/A</v>
          </cell>
          <cell r="R984" t="str">
            <v>B101RA-GMSGJ-H3</v>
          </cell>
          <cell r="S984" t="str">
            <v>AGYA</v>
          </cell>
          <cell r="T984" t="e">
            <v>#N/A</v>
          </cell>
          <cell r="U984" t="str">
            <v>AGYA G M/T</v>
          </cell>
        </row>
        <row r="985">
          <cell r="D985" t="str">
            <v>B101RA-GMSGJ-H4</v>
          </cell>
          <cell r="E985" t="str">
            <v>AGYA</v>
          </cell>
          <cell r="F985" t="str">
            <v>AGYA</v>
          </cell>
          <cell r="G985" t="str">
            <v>AGYA</v>
          </cell>
          <cell r="H985" t="str">
            <v>AGYA G M/T</v>
          </cell>
          <cell r="I985" t="str">
            <v>AGYA G M/T STD</v>
          </cell>
          <cell r="J985" t="str">
            <v xml:space="preserve">AGYA G M/T STD </v>
          </cell>
          <cell r="K985" t="str">
            <v>AGYA</v>
          </cell>
          <cell r="L985" t="str">
            <v>B101GM/TH4M</v>
          </cell>
          <cell r="M985" t="str">
            <v>AGYA</v>
          </cell>
          <cell r="N985" t="str">
            <v>AGYA</v>
          </cell>
          <cell r="O985" t="str">
            <v>B101RA-GMSGJ-H4</v>
          </cell>
          <cell r="P985" t="e">
            <v>#N/A</v>
          </cell>
          <cell r="Q985" t="e">
            <v>#N/A</v>
          </cell>
          <cell r="R985" t="str">
            <v>B101RA-GMSGJ-H4</v>
          </cell>
          <cell r="S985" t="str">
            <v>AGYA</v>
          </cell>
          <cell r="T985" t="e">
            <v>#N/A</v>
          </cell>
          <cell r="U985" t="str">
            <v>AGYA G M/T</v>
          </cell>
        </row>
        <row r="986">
          <cell r="D986" t="str">
            <v>B101RA-GQSGJ-H4</v>
          </cell>
          <cell r="E986" t="str">
            <v>AGYA</v>
          </cell>
          <cell r="F986" t="str">
            <v>AGYA</v>
          </cell>
          <cell r="G986" t="str">
            <v>AGYA</v>
          </cell>
          <cell r="H986" t="str">
            <v>AGYA G A/T</v>
          </cell>
          <cell r="I986" t="str">
            <v>AGYA G A/T STD</v>
          </cell>
          <cell r="J986" t="str">
            <v xml:space="preserve">AGYA G A/T STD </v>
          </cell>
          <cell r="K986" t="str">
            <v>AGYA</v>
          </cell>
          <cell r="L986" t="str">
            <v>B101GA/TH4M</v>
          </cell>
          <cell r="M986" t="str">
            <v>AGYA</v>
          </cell>
          <cell r="N986" t="str">
            <v>AGYA</v>
          </cell>
          <cell r="O986" t="str">
            <v>B101RA-GQSGJ-H4</v>
          </cell>
          <cell r="P986" t="e">
            <v>#N/A</v>
          </cell>
          <cell r="Q986" t="e">
            <v>#N/A</v>
          </cell>
          <cell r="R986" t="str">
            <v>B101RA-GQSGJ-H4</v>
          </cell>
          <cell r="S986" t="str">
            <v>AGYA</v>
          </cell>
          <cell r="T986" t="e">
            <v>#N/A</v>
          </cell>
          <cell r="U986" t="str">
            <v>AGYA G A/T</v>
          </cell>
        </row>
        <row r="987">
          <cell r="D987" t="str">
            <v>B101RA-GQSGJ-H3</v>
          </cell>
          <cell r="E987" t="str">
            <v>AGYA</v>
          </cell>
          <cell r="F987" t="str">
            <v>AGYA</v>
          </cell>
          <cell r="G987" t="str">
            <v>AGYA</v>
          </cell>
          <cell r="H987" t="str">
            <v>AGYA G A/T</v>
          </cell>
          <cell r="I987" t="str">
            <v>AGYA G A/T TRD</v>
          </cell>
          <cell r="J987" t="str">
            <v xml:space="preserve">AGYA G A/T TRD </v>
          </cell>
          <cell r="K987" t="str">
            <v>AGYA</v>
          </cell>
          <cell r="L987" t="str">
            <v>B101GA/TH3M</v>
          </cell>
          <cell r="M987" t="str">
            <v>AGYA</v>
          </cell>
          <cell r="N987" t="str">
            <v>AGYA</v>
          </cell>
          <cell r="O987" t="str">
            <v>B101RA-GQSGJ-H3</v>
          </cell>
          <cell r="P987" t="e">
            <v>#N/A</v>
          </cell>
          <cell r="Q987" t="e">
            <v>#N/A</v>
          </cell>
          <cell r="R987" t="str">
            <v>B101RA-GQSGJ-H3</v>
          </cell>
          <cell r="S987" t="str">
            <v>AGYA</v>
          </cell>
          <cell r="T987" t="e">
            <v>#N/A</v>
          </cell>
          <cell r="U987" t="str">
            <v>AGYA G A/T</v>
          </cell>
        </row>
        <row r="988">
          <cell r="D988" t="str">
            <v>GUN142R-MDTHYD-H2</v>
          </cell>
          <cell r="E988" t="str">
            <v>INNOVA</v>
          </cell>
          <cell r="F988" t="str">
            <v>INNOVA</v>
          </cell>
          <cell r="G988" t="str">
            <v>INNOVA</v>
          </cell>
          <cell r="H988" t="str">
            <v>VENTURER A/T DIESEL</v>
          </cell>
          <cell r="I988" t="str">
            <v>VENTURER A/T DIESEL</v>
          </cell>
          <cell r="J988" t="str">
            <v>VENTURER A/T DIESEL</v>
          </cell>
          <cell r="K988" t="str">
            <v>INNOVA REBORN</v>
          </cell>
          <cell r="L988" t="str">
            <v>GUN42QA/TH2M</v>
          </cell>
          <cell r="M988" t="str">
            <v>INNOVA</v>
          </cell>
          <cell r="N988" t="str">
            <v>INNOVA REBORN</v>
          </cell>
          <cell r="O988" t="str">
            <v>GUN142R-MDTHYD-H2</v>
          </cell>
          <cell r="P988" t="e">
            <v>#N/A</v>
          </cell>
          <cell r="Q988" t="e">
            <v>#N/A</v>
          </cell>
          <cell r="R988" t="str">
            <v>GUN142R-MDTHYD-H2</v>
          </cell>
          <cell r="S988" t="str">
            <v>INNOVA</v>
          </cell>
          <cell r="T988" t="e">
            <v>#N/A</v>
          </cell>
          <cell r="U988" t="str">
            <v>VENTURER A/T DIESEL</v>
          </cell>
        </row>
        <row r="989">
          <cell r="D989" t="e">
            <v>#N/A</v>
          </cell>
          <cell r="E989" t="str">
            <v>INNOVA</v>
          </cell>
          <cell r="F989" t="str">
            <v>INNOVA</v>
          </cell>
          <cell r="G989" t="str">
            <v>INNOVA</v>
          </cell>
          <cell r="H989" t="str">
            <v>INNOVA V M/T</v>
          </cell>
          <cell r="I989" t="str">
            <v>INNOVA V M/T</v>
          </cell>
          <cell r="J989" t="str">
            <v>INNOVA V M/T</v>
          </cell>
          <cell r="K989" t="str">
            <v>INNOVA REBORN</v>
          </cell>
          <cell r="L989" t="str">
            <v>TG40Vm/T24</v>
          </cell>
          <cell r="M989" t="str">
            <v>INNOVA</v>
          </cell>
          <cell r="N989" t="str">
            <v>INNOVA REBORN</v>
          </cell>
          <cell r="O989" t="e">
            <v>#N/A</v>
          </cell>
          <cell r="P989" t="e">
            <v>#N/A</v>
          </cell>
          <cell r="Q989" t="e">
            <v>#N/A</v>
          </cell>
          <cell r="R989" t="e">
            <v>#N/A</v>
          </cell>
          <cell r="S989" t="str">
            <v>INNOVA</v>
          </cell>
          <cell r="T989" t="str">
            <v>INV REBORN</v>
          </cell>
          <cell r="U989" t="str">
            <v>INNOVA V M/T</v>
          </cell>
        </row>
        <row r="990">
          <cell r="D990" t="str">
            <v>F653RM-GQMFJ-H1</v>
          </cell>
          <cell r="E990" t="str">
            <v>AVANZA</v>
          </cell>
          <cell r="F990" t="str">
            <v>AVANZA</v>
          </cell>
          <cell r="G990" t="str">
            <v>AVANZA</v>
          </cell>
          <cell r="H990" t="str">
            <v>AVANZA G A/T</v>
          </cell>
          <cell r="I990" t="str">
            <v>AVANZA G A/T</v>
          </cell>
          <cell r="J990" t="str">
            <v>AVANZA G A/T</v>
          </cell>
          <cell r="K990" t="str">
            <v>AVANZA</v>
          </cell>
          <cell r="L990" t="str">
            <v>F53GA/TH1M</v>
          </cell>
          <cell r="M990" t="str">
            <v>AVANZA</v>
          </cell>
          <cell r="N990" t="str">
            <v>AVANZA</v>
          </cell>
          <cell r="O990" t="str">
            <v>F653RM-GQMFJ-H1</v>
          </cell>
          <cell r="P990" t="e">
            <v>#N/A</v>
          </cell>
          <cell r="Q990" t="e">
            <v>#N/A</v>
          </cell>
          <cell r="R990" t="str">
            <v>F653RM-GQMFJ-H1</v>
          </cell>
          <cell r="S990" t="str">
            <v>AVANZA</v>
          </cell>
          <cell r="T990" t="e">
            <v>#N/A</v>
          </cell>
          <cell r="U990" t="str">
            <v>AVANZA G A/T</v>
          </cell>
        </row>
        <row r="991">
          <cell r="D991" t="str">
            <v>F653RM-GQSFJ-H1</v>
          </cell>
          <cell r="E991" t="str">
            <v>AVANZA</v>
          </cell>
          <cell r="F991" t="str">
            <v>AVANZA</v>
          </cell>
          <cell r="G991" t="str">
            <v>AVANZA</v>
          </cell>
          <cell r="H991" t="str">
            <v>AVANZA VELOZ 1.3 A/T</v>
          </cell>
          <cell r="I991" t="str">
            <v>AVANZA VELOZ 1.3 A/T</v>
          </cell>
          <cell r="J991" t="str">
            <v>AVANZA VELOZ 1.3 A/T</v>
          </cell>
          <cell r="K991" t="str">
            <v>AVANZA</v>
          </cell>
          <cell r="L991" t="str">
            <v>F53VA/TH1M</v>
          </cell>
          <cell r="M991" t="str">
            <v>AVANZA</v>
          </cell>
          <cell r="N991" t="str">
            <v>AVANZA</v>
          </cell>
          <cell r="O991" t="str">
            <v>F653RM-GQSFJ-H1</v>
          </cell>
          <cell r="P991" t="e">
            <v>#N/A</v>
          </cell>
          <cell r="Q991" t="e">
            <v>#N/A</v>
          </cell>
          <cell r="R991" t="str">
            <v>F653RM-GQSFJ-H1</v>
          </cell>
          <cell r="S991" t="str">
            <v>AVANZA</v>
          </cell>
          <cell r="T991" t="e">
            <v>#N/A</v>
          </cell>
          <cell r="U991" t="str">
            <v>AVANZA VELOZ 1.3 A/T</v>
          </cell>
        </row>
        <row r="992">
          <cell r="D992" t="str">
            <v>F800RE-GMGFJ-H0</v>
          </cell>
          <cell r="E992" t="str">
            <v>RUSH</v>
          </cell>
          <cell r="F992" t="str">
            <v>RUSH</v>
          </cell>
          <cell r="G992" t="str">
            <v>RUSH</v>
          </cell>
          <cell r="H992" t="str">
            <v>RUSH S M/T</v>
          </cell>
          <cell r="I992" t="str">
            <v>RUSH S M/T</v>
          </cell>
          <cell r="J992" t="str">
            <v>RUSH S M/T</v>
          </cell>
          <cell r="K992" t="str">
            <v>RUSH</v>
          </cell>
          <cell r="L992" t="str">
            <v>F80SM/TH0M</v>
          </cell>
          <cell r="M992" t="str">
            <v>RUSH</v>
          </cell>
          <cell r="N992" t="str">
            <v>RUSH</v>
          </cell>
          <cell r="O992" t="str">
            <v>F800RE-GMGFJ-H0</v>
          </cell>
          <cell r="P992" t="e">
            <v>#N/A</v>
          </cell>
          <cell r="Q992" t="e">
            <v>#N/A</v>
          </cell>
          <cell r="R992" t="str">
            <v>F800RE-GMGFJ-H0</v>
          </cell>
          <cell r="S992" t="str">
            <v>RUSH</v>
          </cell>
          <cell r="T992" t="e">
            <v>#N/A</v>
          </cell>
          <cell r="U992" t="str">
            <v>RUSH S M/T</v>
          </cell>
        </row>
        <row r="993">
          <cell r="D993" t="str">
            <v>GUN166R-SDTHXD-00</v>
          </cell>
          <cell r="E993" t="str">
            <v>FORTUNER</v>
          </cell>
          <cell r="F993" t="str">
            <v>FORTUNER 4X2</v>
          </cell>
          <cell r="G993" t="str">
            <v>FORTUNER 4X2</v>
          </cell>
          <cell r="H993" t="str">
            <v>FORTUNER 4X2 VRZ A/T DIESEL</v>
          </cell>
          <cell r="I993" t="str">
            <v>FORTUNER 4X2 VRZ A/T DIESEL</v>
          </cell>
          <cell r="J993" t="str">
            <v>FORTUNER 4X2 VRZ A/T DIESEL</v>
          </cell>
          <cell r="K993" t="str">
            <v>FORTUNER 4X2</v>
          </cell>
          <cell r="L993" t="str">
            <v>GUN66VRXA/T00M</v>
          </cell>
          <cell r="M993" t="str">
            <v>FORTUNER</v>
          </cell>
          <cell r="N993" t="str">
            <v>FORTUNER 4X2</v>
          </cell>
          <cell r="O993" t="str">
            <v>GUN166R-SDTHXD-00</v>
          </cell>
          <cell r="P993" t="e">
            <v>#N/A</v>
          </cell>
          <cell r="Q993" t="e">
            <v>#N/A</v>
          </cell>
          <cell r="R993" t="str">
            <v>GUN166R-SDTHXD-00</v>
          </cell>
          <cell r="S993" t="str">
            <v>FORTUNER</v>
          </cell>
          <cell r="T993" t="e">
            <v>#N/A</v>
          </cell>
          <cell r="U993" t="str">
            <v>FORTUNER 4X2 VRZ A/T DIESEL</v>
          </cell>
        </row>
        <row r="994">
          <cell r="D994" t="str">
            <v>TGN140R-MDTHKD-H2</v>
          </cell>
          <cell r="E994" t="str">
            <v>INNOVA</v>
          </cell>
          <cell r="F994" t="str">
            <v>INNOVA</v>
          </cell>
          <cell r="G994" t="str">
            <v>INNOVA</v>
          </cell>
          <cell r="H994" t="str">
            <v>VENTURER A/T</v>
          </cell>
          <cell r="I994" t="str">
            <v>VENTURER A/T</v>
          </cell>
          <cell r="J994" t="str">
            <v>VENTURER A/T</v>
          </cell>
          <cell r="K994" t="str">
            <v>INNOVA REBORN</v>
          </cell>
          <cell r="L994" t="str">
            <v>TGN40QA/TH2M</v>
          </cell>
          <cell r="M994" t="str">
            <v>INNOVA</v>
          </cell>
          <cell r="N994" t="str">
            <v>INNOVA REBORN</v>
          </cell>
          <cell r="O994" t="str">
            <v>TGN140R-MDTHKD-H2</v>
          </cell>
          <cell r="P994" t="e">
            <v>#N/A</v>
          </cell>
          <cell r="Q994" t="e">
            <v>#N/A</v>
          </cell>
          <cell r="R994" t="str">
            <v>TGN140R-MDTHKD-H2</v>
          </cell>
          <cell r="S994" t="str">
            <v>INNOVA</v>
          </cell>
          <cell r="T994" t="e">
            <v>#N/A</v>
          </cell>
          <cell r="U994" t="str">
            <v>VENTURER A/T</v>
          </cell>
        </row>
        <row r="995">
          <cell r="D995" t="str">
            <v>GUN166R-SDTHXD-10</v>
          </cell>
          <cell r="E995" t="str">
            <v>FORTUNER</v>
          </cell>
          <cell r="F995" t="str">
            <v>FORTUNER 4X2</v>
          </cell>
          <cell r="G995" t="str">
            <v>FORTUNER 4X2</v>
          </cell>
          <cell r="H995" t="str">
            <v>FORTUNER 4X2 VRZ A/T DIESEL</v>
          </cell>
          <cell r="I995" t="str">
            <v>FORTUNER 4X2 VRZ A/T DIESEL</v>
          </cell>
          <cell r="J995" t="str">
            <v>FORTUNER 4X2 VRZ A/T DIESEL</v>
          </cell>
          <cell r="K995" t="str">
            <v>FORTUNER 4X2</v>
          </cell>
          <cell r="L995" t="str">
            <v>GUN66VRXA/T10M</v>
          </cell>
          <cell r="M995" t="str">
            <v>FORTUNER</v>
          </cell>
          <cell r="N995" t="str">
            <v>FORTUNER 4X2</v>
          </cell>
          <cell r="O995" t="str">
            <v>GUN166R-SDTHXD-10</v>
          </cell>
          <cell r="P995" t="str">
            <v>FORTUNER 4X2</v>
          </cell>
          <cell r="Q995" t="e">
            <v>#N/A</v>
          </cell>
          <cell r="R995" t="str">
            <v>GUN166R-SDTHXD-10</v>
          </cell>
          <cell r="S995" t="str">
            <v>FORTUNER</v>
          </cell>
          <cell r="T995" t="e">
            <v>#N/A</v>
          </cell>
          <cell r="U995" t="str">
            <v>FORTUNER 4X2 VRZ A/T DIESEL</v>
          </cell>
        </row>
        <row r="996">
          <cell r="D996" t="str">
            <v>GUN165R-SDTHXD-10</v>
          </cell>
          <cell r="E996" t="str">
            <v>FORTUNER</v>
          </cell>
          <cell r="F996" t="str">
            <v>FORTUNER 4X2</v>
          </cell>
          <cell r="G996" t="str">
            <v>FORTUNER 4X2</v>
          </cell>
          <cell r="H996" t="str">
            <v>FORTUNER 4X2 VRZ A/T DIESEL</v>
          </cell>
          <cell r="I996" t="str">
            <v>FORTUNER 4X2 VRZ A/T DIESEL</v>
          </cell>
          <cell r="J996" t="str">
            <v>FORTUNER 4X2 VRZ A/T DIESEL</v>
          </cell>
          <cell r="K996" t="str">
            <v>FORTUNER 4X2</v>
          </cell>
          <cell r="L996" t="str">
            <v>GUN65VRXA/T10M</v>
          </cell>
          <cell r="M996" t="str">
            <v>FORTUNER</v>
          </cell>
          <cell r="N996" t="str">
            <v>FORTUNER 4X2</v>
          </cell>
          <cell r="O996" t="str">
            <v>GUN165R-SDTHXD-10</v>
          </cell>
          <cell r="P996" t="e">
            <v>#N/A</v>
          </cell>
          <cell r="Q996" t="e">
            <v>#N/A</v>
          </cell>
          <cell r="R996" t="str">
            <v>GUN165R-SDTHXD-10</v>
          </cell>
          <cell r="S996" t="str">
            <v>FORTUNER</v>
          </cell>
          <cell r="T996" t="e">
            <v>#N/A</v>
          </cell>
          <cell r="U996" t="str">
            <v>FORTUNER 4X2 VRZ A/T DIESEL</v>
          </cell>
        </row>
        <row r="997">
          <cell r="D997" t="e">
            <v>#N/A</v>
          </cell>
          <cell r="E997" t="str">
            <v>INNOVA</v>
          </cell>
          <cell r="F997" t="str">
            <v>INNOVA</v>
          </cell>
          <cell r="G997" t="str">
            <v>INNOVA</v>
          </cell>
          <cell r="H997" t="str">
            <v>INNOVA V M/T</v>
          </cell>
          <cell r="I997" t="str">
            <v>INNOVA V M/T</v>
          </cell>
          <cell r="J997" t="str">
            <v>INNOVA V M/T</v>
          </cell>
          <cell r="K997" t="str">
            <v>INNOVA REBORN</v>
          </cell>
          <cell r="L997" t="str">
            <v>TG40VM/TV2M</v>
          </cell>
          <cell r="M997" t="str">
            <v>INNOVA</v>
          </cell>
          <cell r="N997" t="str">
            <v>INNOVA REBORN</v>
          </cell>
          <cell r="O997" t="e">
            <v>#N/A</v>
          </cell>
          <cell r="P997" t="e">
            <v>#N/A</v>
          </cell>
          <cell r="Q997" t="e">
            <v>#N/A</v>
          </cell>
          <cell r="R997" t="e">
            <v>#N/A</v>
          </cell>
          <cell r="S997" t="str">
            <v>INNOVA</v>
          </cell>
          <cell r="T997" t="str">
            <v>INV REBORN</v>
          </cell>
          <cell r="U997" t="str">
            <v>INNOVA V M/T</v>
          </cell>
        </row>
        <row r="998">
          <cell r="D998" t="str">
            <v>GUN166R-SDTHXD-20</v>
          </cell>
          <cell r="E998" t="str">
            <v>FORTUNER</v>
          </cell>
          <cell r="F998" t="str">
            <v>FORTUNER 4X2</v>
          </cell>
          <cell r="G998" t="str">
            <v>FORTUNER 4X2</v>
          </cell>
          <cell r="H998" t="str">
            <v>FORTUNER 4X2 VRZ A/T DIESEL</v>
          </cell>
          <cell r="I998" t="str">
            <v>FORTUNER 4X2 VRZ A/T DIESEL</v>
          </cell>
          <cell r="J998" t="str">
            <v>FORTUNER 4X2 VRZ A/T DIESEL</v>
          </cell>
          <cell r="K998" t="str">
            <v>FORTUNER 4X2</v>
          </cell>
          <cell r="M998" t="str">
            <v>FORTUNER</v>
          </cell>
          <cell r="N998" t="str">
            <v>FORTUNER 4X2</v>
          </cell>
          <cell r="O998" t="str">
            <v>GUN166R-SDTHXD-20</v>
          </cell>
          <cell r="P998" t="str">
            <v>FORTUNER 4X2</v>
          </cell>
          <cell r="Q998" t="e">
            <v>#N/A</v>
          </cell>
          <cell r="R998" t="str">
            <v>GUN166R-SDTHXD-20</v>
          </cell>
          <cell r="S998" t="str">
            <v>FORTUNER</v>
          </cell>
          <cell r="T998" t="str">
            <v>FORTUNER</v>
          </cell>
          <cell r="U998" t="str">
            <v>FORTUNER 4X2 VRZ A/T DIESEL</v>
          </cell>
        </row>
        <row r="999">
          <cell r="D999" t="str">
            <v>B401RA-GMZFJ-H0</v>
          </cell>
          <cell r="E999" t="str">
            <v>CALYA</v>
          </cell>
          <cell r="F999" t="str">
            <v>CALYA</v>
          </cell>
          <cell r="G999" t="str">
            <v>CALYA</v>
          </cell>
          <cell r="H999" t="str">
            <v>CALYA G M/T</v>
          </cell>
          <cell r="I999" t="str">
            <v>CALYA G M/T</v>
          </cell>
          <cell r="J999" t="str">
            <v>CALYA G M/T</v>
          </cell>
          <cell r="K999" t="str">
            <v>CALYA</v>
          </cell>
          <cell r="L999" t="str">
            <v>B401GM/TH0M</v>
          </cell>
          <cell r="M999" t="str">
            <v>CALYA</v>
          </cell>
          <cell r="N999" t="str">
            <v>CALYA</v>
          </cell>
          <cell r="O999" t="str">
            <v>B401RA-GMZFJ-H0</v>
          </cell>
          <cell r="P999" t="e">
            <v>#N/A</v>
          </cell>
          <cell r="Q999" t="e">
            <v>#N/A</v>
          </cell>
          <cell r="R999" t="str">
            <v>B401RA-GMZFJ-H0</v>
          </cell>
          <cell r="S999" t="str">
            <v>CALYA</v>
          </cell>
          <cell r="T999" t="e">
            <v>#N/A</v>
          </cell>
          <cell r="U999" t="str">
            <v>CALYA G M/T</v>
          </cell>
        </row>
        <row r="1000">
          <cell r="D1000" t="str">
            <v>B401RA-GMQFJ-H0</v>
          </cell>
          <cell r="E1000" t="str">
            <v>CALYA</v>
          </cell>
          <cell r="F1000" t="str">
            <v>CALYA</v>
          </cell>
          <cell r="G1000" t="str">
            <v>CALYA</v>
          </cell>
          <cell r="H1000" t="str">
            <v>CALYA E M/T</v>
          </cell>
          <cell r="I1000" t="str">
            <v>CALYA E M/T</v>
          </cell>
          <cell r="J1000" t="str">
            <v>CALYA E M/T</v>
          </cell>
          <cell r="K1000" t="str">
            <v>CALYA</v>
          </cell>
          <cell r="L1000" t="str">
            <v>B401EM/TH0M</v>
          </cell>
          <cell r="M1000" t="str">
            <v>CALYA</v>
          </cell>
          <cell r="N1000" t="str">
            <v>CALYA</v>
          </cell>
          <cell r="O1000" t="str">
            <v>B401RA-GMQFJ-H0</v>
          </cell>
          <cell r="P1000" t="e">
            <v>#N/A</v>
          </cell>
          <cell r="Q1000" t="e">
            <v>#N/A</v>
          </cell>
          <cell r="R1000" t="str">
            <v>B401RA-GMQFJ-H0</v>
          </cell>
          <cell r="S1000" t="str">
            <v>CALYA</v>
          </cell>
          <cell r="T1000" t="e">
            <v>#N/A</v>
          </cell>
          <cell r="U1000" t="str">
            <v>CALYA E M/T</v>
          </cell>
        </row>
        <row r="1001">
          <cell r="D1001" t="str">
            <v>B401RA-GQZFJ-H0</v>
          </cell>
          <cell r="E1001" t="str">
            <v>CALYA</v>
          </cell>
          <cell r="F1001" t="str">
            <v>CALYA</v>
          </cell>
          <cell r="G1001" t="str">
            <v>CALYA</v>
          </cell>
          <cell r="H1001" t="str">
            <v>CALYA G A/T</v>
          </cell>
          <cell r="I1001" t="str">
            <v>CALYA G A/T</v>
          </cell>
          <cell r="J1001" t="str">
            <v>CALYA G A/T</v>
          </cell>
          <cell r="K1001" t="str">
            <v>CALYA</v>
          </cell>
          <cell r="L1001" t="str">
            <v>B401GA/TH0M</v>
          </cell>
          <cell r="M1001" t="str">
            <v>CALYA</v>
          </cell>
          <cell r="N1001" t="str">
            <v>CALYA</v>
          </cell>
          <cell r="O1001" t="str">
            <v>B401RA-GQZFJ-H0</v>
          </cell>
          <cell r="P1001" t="e">
            <v>#N/A</v>
          </cell>
          <cell r="Q1001" t="e">
            <v>#N/A</v>
          </cell>
          <cell r="R1001" t="str">
            <v>B401RA-GQZFJ-H0</v>
          </cell>
          <cell r="S1001" t="str">
            <v>CALYA</v>
          </cell>
          <cell r="T1001" t="e">
            <v>#N/A</v>
          </cell>
          <cell r="U1001" t="str">
            <v>CALYA G A/T</v>
          </cell>
        </row>
        <row r="1002">
          <cell r="D1002" t="str">
            <v>F653RM-GMMFJ-H1</v>
          </cell>
          <cell r="E1002" t="str">
            <v>AVANZA</v>
          </cell>
          <cell r="F1002" t="str">
            <v>AVANZA</v>
          </cell>
          <cell r="G1002" t="str">
            <v>AVANZA</v>
          </cell>
          <cell r="H1002" t="str">
            <v>AVANZA G M/T</v>
          </cell>
          <cell r="I1002" t="str">
            <v>AVANZA G M/T</v>
          </cell>
          <cell r="J1002" t="str">
            <v>AVANZA G M/T</v>
          </cell>
          <cell r="K1002" t="str">
            <v>AVANZA</v>
          </cell>
          <cell r="L1002" t="str">
            <v>F53GM/TH1M</v>
          </cell>
          <cell r="M1002" t="str">
            <v>AVANZA</v>
          </cell>
          <cell r="N1002" t="str">
            <v>AVANZA</v>
          </cell>
          <cell r="O1002" t="str">
            <v>F653RM-GMMFJ-H1</v>
          </cell>
          <cell r="P1002" t="e">
            <v>#N/A</v>
          </cell>
          <cell r="Q1002" t="e">
            <v>#N/A</v>
          </cell>
          <cell r="R1002" t="str">
            <v>F653RM-GMMFJ-H1</v>
          </cell>
          <cell r="S1002" t="str">
            <v>AVANZA</v>
          </cell>
          <cell r="T1002" t="e">
            <v>#N/A</v>
          </cell>
          <cell r="U1002" t="str">
            <v>AVANZA G M/T</v>
          </cell>
        </row>
        <row r="1003">
          <cell r="D1003" t="str">
            <v>TGN140R-MDMHKD-H2</v>
          </cell>
          <cell r="E1003" t="str">
            <v>INNOVA</v>
          </cell>
          <cell r="F1003" t="str">
            <v>INNOVA</v>
          </cell>
          <cell r="G1003" t="str">
            <v>INNOVA</v>
          </cell>
          <cell r="H1003" t="str">
            <v>VENTURER M/T</v>
          </cell>
          <cell r="I1003" t="str">
            <v>VENTURER M/T</v>
          </cell>
          <cell r="J1003" t="str">
            <v>VENTURER M/T</v>
          </cell>
          <cell r="K1003" t="str">
            <v>INNOVA REBORN</v>
          </cell>
          <cell r="L1003" t="str">
            <v>TGN40QM/TH2M</v>
          </cell>
          <cell r="M1003" t="str">
            <v>INNOVA</v>
          </cell>
          <cell r="N1003" t="str">
            <v>INNOVA REBORN</v>
          </cell>
          <cell r="O1003" t="str">
            <v>TGN140R-MDMHKD-H2</v>
          </cell>
          <cell r="P1003" t="e">
            <v>#N/A</v>
          </cell>
          <cell r="Q1003" t="e">
            <v>#N/A</v>
          </cell>
          <cell r="R1003" t="str">
            <v>TGN140R-MDMHKD-H2</v>
          </cell>
          <cell r="S1003" t="str">
            <v>INNOVA</v>
          </cell>
          <cell r="T1003" t="e">
            <v>#N/A</v>
          </cell>
          <cell r="U1003" t="str">
            <v>VENTURER M/T</v>
          </cell>
        </row>
        <row r="1004">
          <cell r="D1004" t="str">
            <v>F653RM-GMSFJ-H1</v>
          </cell>
          <cell r="E1004" t="str">
            <v>AVANZA</v>
          </cell>
          <cell r="F1004" t="str">
            <v>AVANZA</v>
          </cell>
          <cell r="G1004" t="str">
            <v>AVANZA</v>
          </cell>
          <cell r="H1004" t="str">
            <v>AVANZA VELOZ 1.3 M/T</v>
          </cell>
          <cell r="I1004" t="str">
            <v>AVANZA VELOZ 1.3 M/T</v>
          </cell>
          <cell r="J1004" t="str">
            <v>AVANZA VELOZ 1.3 M/T</v>
          </cell>
          <cell r="K1004" t="str">
            <v>AVANZA</v>
          </cell>
          <cell r="L1004" t="str">
            <v>F53VM/TH1M</v>
          </cell>
          <cell r="M1004" t="str">
            <v>AVANZA</v>
          </cell>
          <cell r="N1004" t="str">
            <v>AVANZA</v>
          </cell>
          <cell r="O1004" t="str">
            <v>F653RM-GMSFJ-H1</v>
          </cell>
          <cell r="P1004" t="e">
            <v>#N/A</v>
          </cell>
          <cell r="Q1004" t="e">
            <v>#N/A</v>
          </cell>
          <cell r="R1004" t="str">
            <v>F653RM-GMSFJ-H1</v>
          </cell>
          <cell r="S1004" t="str">
            <v>AVANZA</v>
          </cell>
          <cell r="T1004" t="e">
            <v>#N/A</v>
          </cell>
          <cell r="U1004" t="str">
            <v>AVANZA VELOZ 1.3 M/T</v>
          </cell>
        </row>
        <row r="1005">
          <cell r="D1005" t="str">
            <v>AGH30R-PFXLK-21</v>
          </cell>
          <cell r="E1005" t="str">
            <v>ALPHARD</v>
          </cell>
          <cell r="F1005" t="str">
            <v>ALPHARD</v>
          </cell>
          <cell r="G1005" t="str">
            <v>ALPHARD</v>
          </cell>
          <cell r="H1005" t="str">
            <v>ALPHARD G A/T</v>
          </cell>
          <cell r="I1005" t="str">
            <v>ALPHARD G A/T</v>
          </cell>
          <cell r="J1005" t="str">
            <v>ALPHARD G A/T</v>
          </cell>
          <cell r="K1005" t="str">
            <v>ALPHARD</v>
          </cell>
          <cell r="L1005" t="str">
            <v>AL30GA/T21M</v>
          </cell>
          <cell r="M1005" t="str">
            <v>ALPHARD</v>
          </cell>
          <cell r="N1005" t="str">
            <v>ALPHARD</v>
          </cell>
          <cell r="O1005" t="str">
            <v>AGH30R-PFXLK-21</v>
          </cell>
          <cell r="P1005" t="e">
            <v>#N/A</v>
          </cell>
          <cell r="Q1005" t="e">
            <v>#N/A</v>
          </cell>
          <cell r="R1005" t="str">
            <v>AGH30R-PFXLK-21</v>
          </cell>
          <cell r="S1005" t="str">
            <v>ALPHARD</v>
          </cell>
          <cell r="T1005" t="e">
            <v>#N/A</v>
          </cell>
          <cell r="U1005" t="str">
            <v>ALPHARD G A/T</v>
          </cell>
        </row>
        <row r="1006">
          <cell r="D1006" t="str">
            <v>AGH30R-PFXLK-20</v>
          </cell>
          <cell r="E1006" t="str">
            <v>ALPHARD</v>
          </cell>
          <cell r="F1006" t="str">
            <v>ALPHARD</v>
          </cell>
          <cell r="G1006" t="str">
            <v>ALPHARD</v>
          </cell>
          <cell r="H1006" t="str">
            <v>ALPHARD G A/T</v>
          </cell>
          <cell r="I1006" t="str">
            <v>ALPHARD G A/T</v>
          </cell>
          <cell r="J1006" t="str">
            <v>ALPHARD G A/T</v>
          </cell>
          <cell r="K1006" t="str">
            <v>ALPHARD</v>
          </cell>
          <cell r="L1006" t="str">
            <v>AL30GA/T20M</v>
          </cell>
          <cell r="M1006" t="str">
            <v>ALPHARD</v>
          </cell>
          <cell r="N1006" t="str">
            <v>ALPHARD</v>
          </cell>
          <cell r="O1006" t="str">
            <v>AGH30R-PFXLK-20</v>
          </cell>
          <cell r="P1006" t="e">
            <v>#N/A</v>
          </cell>
          <cell r="Q1006" t="e">
            <v>#N/A</v>
          </cell>
          <cell r="R1006" t="str">
            <v>AGH30R-PFXLK-20</v>
          </cell>
          <cell r="S1006" t="str">
            <v>ALPHARD</v>
          </cell>
          <cell r="T1006" t="e">
            <v>#N/A</v>
          </cell>
          <cell r="U1006" t="str">
            <v>ALPHARD G A/T</v>
          </cell>
        </row>
        <row r="1007">
          <cell r="D1007" t="str">
            <v>AGH30R-NFXLK-21</v>
          </cell>
          <cell r="E1007" t="str">
            <v>VELLFIRE</v>
          </cell>
          <cell r="F1007" t="str">
            <v>VELLFIRE</v>
          </cell>
          <cell r="G1007" t="str">
            <v>VELLFIRE</v>
          </cell>
          <cell r="H1007" t="str">
            <v>VELLFIRE</v>
          </cell>
          <cell r="I1007" t="str">
            <v>VELLFIRE</v>
          </cell>
          <cell r="J1007" t="str">
            <v>VELLFIRE</v>
          </cell>
          <cell r="K1007" t="str">
            <v>VELLFIRE</v>
          </cell>
          <cell r="L1007" t="str">
            <v>VE30GA/T21M</v>
          </cell>
          <cell r="M1007" t="str">
            <v>VELLFIRE</v>
          </cell>
          <cell r="N1007" t="str">
            <v>VELLFIRE</v>
          </cell>
          <cell r="O1007" t="str">
            <v>AGH30R-NFXLK-21</v>
          </cell>
          <cell r="P1007" t="e">
            <v>#N/A</v>
          </cell>
          <cell r="Q1007" t="e">
            <v>#N/A</v>
          </cell>
          <cell r="R1007" t="str">
            <v>AGH30R-NFXLK-21</v>
          </cell>
          <cell r="S1007" t="str">
            <v>VELLFIRE</v>
          </cell>
          <cell r="T1007" t="e">
            <v>#N/A</v>
          </cell>
          <cell r="U1007" t="str">
            <v>VELLFIRE</v>
          </cell>
        </row>
        <row r="1008">
          <cell r="D1008" t="str">
            <v>F653RM-GQDFJ-H1</v>
          </cell>
          <cell r="E1008" t="str">
            <v>AVANZA</v>
          </cell>
          <cell r="F1008" t="str">
            <v>AVANZA</v>
          </cell>
          <cell r="G1008" t="str">
            <v>AVANZA</v>
          </cell>
          <cell r="H1008" t="str">
            <v>AVANZA E A/T</v>
          </cell>
          <cell r="I1008" t="str">
            <v>AVANZA E A/T</v>
          </cell>
          <cell r="J1008" t="str">
            <v>AVANZA E A/T</v>
          </cell>
          <cell r="K1008" t="str">
            <v>AVANZA</v>
          </cell>
          <cell r="L1008" t="str">
            <v>F53EA/TH1M</v>
          </cell>
          <cell r="M1008" t="str">
            <v>AVANZA</v>
          </cell>
          <cell r="N1008" t="str">
            <v>AVANZA</v>
          </cell>
          <cell r="O1008" t="str">
            <v>F653RM-GQDFJ-H1</v>
          </cell>
          <cell r="P1008" t="e">
            <v>#N/A</v>
          </cell>
          <cell r="Q1008" t="e">
            <v>#N/A</v>
          </cell>
          <cell r="R1008" t="str">
            <v>F653RM-GQDFJ-H1</v>
          </cell>
          <cell r="S1008" t="str">
            <v>AVANZA</v>
          </cell>
          <cell r="T1008" t="e">
            <v>#N/A</v>
          </cell>
          <cell r="U1008" t="str">
            <v>AVANZA E A/T</v>
          </cell>
        </row>
        <row r="1009">
          <cell r="D1009" t="str">
            <v>B101RA-GMSGJ-10</v>
          </cell>
          <cell r="E1009" t="str">
            <v>AGYA</v>
          </cell>
          <cell r="F1009" t="str">
            <v>AGYA</v>
          </cell>
          <cell r="G1009" t="str">
            <v>AGYA</v>
          </cell>
          <cell r="H1009" t="str">
            <v>AGYA G M/T</v>
          </cell>
          <cell r="I1009" t="str">
            <v>AGYA G M/T STD</v>
          </cell>
          <cell r="J1009" t="str">
            <v xml:space="preserve">AGYA G M/T STD </v>
          </cell>
          <cell r="K1009" t="str">
            <v>AGYA</v>
          </cell>
          <cell r="L1009" t="str">
            <v>B101GM/T10M</v>
          </cell>
          <cell r="M1009" t="str">
            <v>AGYA</v>
          </cell>
          <cell r="N1009" t="str">
            <v>AGYA</v>
          </cell>
          <cell r="O1009" t="str">
            <v>B101RA-GMSGJ-10</v>
          </cell>
          <cell r="P1009" t="e">
            <v>#N/A</v>
          </cell>
          <cell r="Q1009" t="e">
            <v>#N/A</v>
          </cell>
          <cell r="R1009" t="str">
            <v>B101RA-GMSGJ-10</v>
          </cell>
          <cell r="S1009" t="str">
            <v>AGYA</v>
          </cell>
          <cell r="T1009" t="e">
            <v>#N/A</v>
          </cell>
          <cell r="U1009" t="str">
            <v>AGYA G M/T</v>
          </cell>
        </row>
        <row r="1010">
          <cell r="D1010" t="str">
            <v>B101RA-GQSGJ-11</v>
          </cell>
          <cell r="E1010" t="str">
            <v>AGYA</v>
          </cell>
          <cell r="F1010" t="str">
            <v>AGYA</v>
          </cell>
          <cell r="G1010" t="str">
            <v>AGYA</v>
          </cell>
          <cell r="H1010" t="str">
            <v>AGYA G A/T</v>
          </cell>
          <cell r="I1010" t="str">
            <v>AGYA G A/T TRD</v>
          </cell>
          <cell r="J1010" t="str">
            <v xml:space="preserve">AGYA G A/T TRD </v>
          </cell>
          <cell r="K1010" t="str">
            <v>AGYA</v>
          </cell>
          <cell r="L1010" t="str">
            <v>B101GA/T11M</v>
          </cell>
          <cell r="M1010" t="str">
            <v>AGYA</v>
          </cell>
          <cell r="N1010" t="str">
            <v>AGYA</v>
          </cell>
          <cell r="O1010" t="str">
            <v>B101RA-GQSGJ-11</v>
          </cell>
          <cell r="P1010" t="e">
            <v>#N/A</v>
          </cell>
          <cell r="Q1010" t="e">
            <v>#N/A</v>
          </cell>
          <cell r="R1010" t="str">
            <v>B101RA-GQSGJ-11</v>
          </cell>
          <cell r="S1010" t="str">
            <v>AGYA</v>
          </cell>
          <cell r="T1010" t="e">
            <v>#N/A</v>
          </cell>
          <cell r="U1010" t="str">
            <v>AGYA G A/T</v>
          </cell>
        </row>
        <row r="1011">
          <cell r="D1011" t="str">
            <v>B101RA-GQSGJ-10</v>
          </cell>
          <cell r="E1011" t="str">
            <v>AGYA</v>
          </cell>
          <cell r="F1011" t="str">
            <v>AGYA</v>
          </cell>
          <cell r="G1011" t="str">
            <v>AGYA</v>
          </cell>
          <cell r="H1011" t="str">
            <v>AGYA G A/T</v>
          </cell>
          <cell r="I1011" t="str">
            <v>AGYA G A/T STD</v>
          </cell>
          <cell r="J1011" t="str">
            <v xml:space="preserve">AGYA G A/T STD </v>
          </cell>
          <cell r="K1011" t="str">
            <v>AGYA</v>
          </cell>
          <cell r="L1011" t="str">
            <v>B101GA/T10M</v>
          </cell>
          <cell r="M1011" t="str">
            <v>AGYA</v>
          </cell>
          <cell r="N1011" t="str">
            <v>AGYA</v>
          </cell>
          <cell r="O1011" t="str">
            <v>B101RA-GQSGJ-10</v>
          </cell>
          <cell r="P1011" t="e">
            <v>#N/A</v>
          </cell>
          <cell r="Q1011" t="e">
            <v>#N/A</v>
          </cell>
          <cell r="R1011" t="str">
            <v>B101RA-GQSGJ-10</v>
          </cell>
          <cell r="S1011" t="str">
            <v>AGYA</v>
          </cell>
          <cell r="T1011" t="e">
            <v>#N/A</v>
          </cell>
          <cell r="U1011" t="str">
            <v>AGYA G A/T</v>
          </cell>
        </row>
        <row r="1012">
          <cell r="D1012" t="str">
            <v>B101RA-GMSGJ-11</v>
          </cell>
          <cell r="E1012" t="str">
            <v>AGYA</v>
          </cell>
          <cell r="F1012" t="str">
            <v>AGYA</v>
          </cell>
          <cell r="G1012" t="str">
            <v>AGYA</v>
          </cell>
          <cell r="H1012" t="str">
            <v>AGYA G M/T</v>
          </cell>
          <cell r="I1012" t="str">
            <v>AGYA G M/T TRD</v>
          </cell>
          <cell r="J1012" t="str">
            <v xml:space="preserve">AGYA G M/T TRD </v>
          </cell>
          <cell r="K1012" t="str">
            <v>AGYA</v>
          </cell>
          <cell r="L1012" t="str">
            <v>B101GM/T11M</v>
          </cell>
          <cell r="M1012" t="str">
            <v>AGYA</v>
          </cell>
          <cell r="N1012" t="str">
            <v>AGYA</v>
          </cell>
          <cell r="O1012" t="str">
            <v>B101RA-GMSGJ-11</v>
          </cell>
          <cell r="P1012" t="e">
            <v>#N/A</v>
          </cell>
          <cell r="Q1012" t="e">
            <v>#N/A</v>
          </cell>
          <cell r="R1012" t="str">
            <v>B101RA-GMSGJ-11</v>
          </cell>
          <cell r="S1012" t="str">
            <v>AGYA</v>
          </cell>
          <cell r="T1012" t="e">
            <v>#N/A</v>
          </cell>
          <cell r="U1012" t="str">
            <v>AGYA G M/T</v>
          </cell>
        </row>
        <row r="1013">
          <cell r="D1013" t="str">
            <v>AGH30R-NFXLK-20</v>
          </cell>
          <cell r="E1013" t="str">
            <v>VELLFIRE</v>
          </cell>
          <cell r="F1013" t="str">
            <v>VELLFIRE</v>
          </cell>
          <cell r="G1013" t="str">
            <v>VELLFIRE</v>
          </cell>
          <cell r="H1013" t="str">
            <v>VELLFIRE</v>
          </cell>
          <cell r="I1013" t="str">
            <v>VELLFIRE</v>
          </cell>
          <cell r="J1013" t="str">
            <v>VELLFIRE</v>
          </cell>
          <cell r="K1013" t="str">
            <v>VELLFIRE</v>
          </cell>
          <cell r="L1013" t="str">
            <v>VE30GA/T20M</v>
          </cell>
          <cell r="M1013" t="str">
            <v>VELLFIRE</v>
          </cell>
          <cell r="N1013" t="str">
            <v>VELLFIRE</v>
          </cell>
          <cell r="O1013" t="str">
            <v>AGH30R-NFXLK-20</v>
          </cell>
          <cell r="P1013" t="e">
            <v>#N/A</v>
          </cell>
          <cell r="Q1013" t="e">
            <v>#N/A</v>
          </cell>
          <cell r="R1013" t="str">
            <v>AGH30R-NFXLK-20</v>
          </cell>
          <cell r="S1013" t="str">
            <v>VELLFIRE</v>
          </cell>
          <cell r="T1013" t="e">
            <v>#N/A</v>
          </cell>
          <cell r="U1013" t="str">
            <v>VELLFIRE</v>
          </cell>
        </row>
        <row r="1014">
          <cell r="D1014" t="str">
            <v>GGH30R-PFZVK-10</v>
          </cell>
          <cell r="E1014" t="str">
            <v>ALPHARD</v>
          </cell>
          <cell r="F1014" t="str">
            <v>ALPHARD</v>
          </cell>
          <cell r="G1014" t="str">
            <v>ALPHARD</v>
          </cell>
          <cell r="H1014" t="str">
            <v>ALPHARD Q A/T</v>
          </cell>
          <cell r="I1014" t="str">
            <v>ALPHARD Q A/T</v>
          </cell>
          <cell r="J1014" t="str">
            <v>ALPHARD Q A/T</v>
          </cell>
          <cell r="K1014" t="str">
            <v>ALPHARD</v>
          </cell>
          <cell r="L1014" t="str">
            <v>GG30ZQA/T10M</v>
          </cell>
          <cell r="M1014" t="str">
            <v>ALPHARD</v>
          </cell>
          <cell r="N1014" t="str">
            <v>ALPHARD</v>
          </cell>
          <cell r="O1014" t="str">
            <v>GGH30R-PFZVK-10</v>
          </cell>
          <cell r="P1014" t="e">
            <v>#N/A</v>
          </cell>
          <cell r="Q1014" t="e">
            <v>#N/A</v>
          </cell>
          <cell r="R1014" t="str">
            <v>GGH30R-PFZVK-10</v>
          </cell>
          <cell r="S1014" t="str">
            <v>ALPHARD</v>
          </cell>
          <cell r="T1014" t="e">
            <v>#N/A</v>
          </cell>
          <cell r="U1014" t="str">
            <v>ALPHARD Q A/T</v>
          </cell>
        </row>
        <row r="1015">
          <cell r="D1015" t="str">
            <v>NSP170R-MWYNKD-17</v>
          </cell>
          <cell r="E1015" t="str">
            <v>SIENTA</v>
          </cell>
          <cell r="F1015" t="str">
            <v>SIENTA</v>
          </cell>
          <cell r="G1015" t="str">
            <v>SIENTA</v>
          </cell>
          <cell r="H1015" t="str">
            <v>SIENTA G A/T</v>
          </cell>
          <cell r="I1015" t="str">
            <v>SIENTA G A/T</v>
          </cell>
          <cell r="J1015" t="str">
            <v>SIENTA G A/T</v>
          </cell>
          <cell r="K1015" t="str">
            <v>SIENTA</v>
          </cell>
          <cell r="L1015" t="str">
            <v>NP17GA/T17M</v>
          </cell>
          <cell r="M1015" t="str">
            <v>SIENTA</v>
          </cell>
          <cell r="N1015" t="str">
            <v>SIENTA</v>
          </cell>
          <cell r="O1015" t="str">
            <v>NSP170R-MWYNKD-17</v>
          </cell>
          <cell r="P1015" t="e">
            <v>#N/A</v>
          </cell>
          <cell r="Q1015" t="e">
            <v>#N/A</v>
          </cell>
          <cell r="R1015" t="str">
            <v>NSP170R-MWYNKD-17</v>
          </cell>
          <cell r="S1015" t="str">
            <v>SIENTA</v>
          </cell>
          <cell r="T1015" t="e">
            <v>#N/A</v>
          </cell>
          <cell r="U1015" t="str">
            <v>SIENTA G A/T</v>
          </cell>
        </row>
        <row r="1016">
          <cell r="D1016" t="str">
            <v>TGN140R-MDMMKD-D0</v>
          </cell>
          <cell r="E1016" t="str">
            <v>INNOVA</v>
          </cell>
          <cell r="F1016" t="str">
            <v>INNOVA</v>
          </cell>
          <cell r="G1016" t="str">
            <v>INNOVA</v>
          </cell>
          <cell r="H1016" t="str">
            <v>INNOVA V M/T</v>
          </cell>
          <cell r="I1016" t="str">
            <v>INNOVA V M/T</v>
          </cell>
          <cell r="J1016" t="str">
            <v>INNOVA V M/T</v>
          </cell>
          <cell r="K1016" t="str">
            <v>INNOVA REBORN</v>
          </cell>
          <cell r="L1016" t="str">
            <v>TGN40VM/TD0M</v>
          </cell>
          <cell r="M1016" t="str">
            <v>INNOVA</v>
          </cell>
          <cell r="N1016" t="str">
            <v>INNOVA REBORN</v>
          </cell>
          <cell r="O1016" t="str">
            <v>TGN140R-MDMMKD-D0</v>
          </cell>
          <cell r="P1016" t="e">
            <v>#N/A</v>
          </cell>
          <cell r="Q1016" t="e">
            <v>#N/A</v>
          </cell>
          <cell r="R1016" t="str">
            <v>TGN140R-MDMMKD-D0</v>
          </cell>
          <cell r="S1016" t="str">
            <v>INNOVA</v>
          </cell>
          <cell r="T1016" t="str">
            <v>INV REBORN</v>
          </cell>
          <cell r="U1016" t="str">
            <v>INNOVA V M/T</v>
          </cell>
        </row>
        <row r="1017">
          <cell r="D1017" t="str">
            <v>TGN140R-MDMMKD-10</v>
          </cell>
          <cell r="E1017" t="str">
            <v>INNOVA</v>
          </cell>
          <cell r="F1017" t="str">
            <v>INNOVA</v>
          </cell>
          <cell r="G1017" t="str">
            <v>INNOVA</v>
          </cell>
          <cell r="H1017" t="str">
            <v>INNOVA V M/T</v>
          </cell>
          <cell r="I1017" t="str">
            <v>INNOVA V M/T</v>
          </cell>
          <cell r="J1017" t="str">
            <v>INNOVA V M/T</v>
          </cell>
          <cell r="K1017" t="str">
            <v>INNOVA REBORN</v>
          </cell>
          <cell r="L1017" t="str">
            <v>TGN40VM/T10M</v>
          </cell>
          <cell r="M1017" t="str">
            <v>INNOVA</v>
          </cell>
          <cell r="N1017" t="str">
            <v>INNOVA REBORN</v>
          </cell>
          <cell r="O1017" t="str">
            <v>TGN140R-MDMMKD-10</v>
          </cell>
          <cell r="P1017" t="e">
            <v>#N/A</v>
          </cell>
          <cell r="Q1017" t="e">
            <v>#N/A</v>
          </cell>
          <cell r="R1017" t="str">
            <v>TGN140R-MDMMKD-10</v>
          </cell>
          <cell r="S1017" t="str">
            <v>INNOVA</v>
          </cell>
          <cell r="T1017" t="str">
            <v>INV REBORN</v>
          </cell>
          <cell r="U1017" t="str">
            <v>INNOVA V M/T</v>
          </cell>
        </row>
        <row r="1018">
          <cell r="D1018" t="str">
            <v>TGN140R-MDMMKD-11</v>
          </cell>
          <cell r="E1018" t="str">
            <v>INNOVA</v>
          </cell>
          <cell r="F1018" t="str">
            <v>INNOVA</v>
          </cell>
          <cell r="G1018" t="str">
            <v>INNOVA</v>
          </cell>
          <cell r="H1018" t="str">
            <v>INNOVA V M/T</v>
          </cell>
          <cell r="I1018" t="str">
            <v>INNOVA V M/T</v>
          </cell>
          <cell r="J1018" t="str">
            <v>INNOVA V M/T</v>
          </cell>
          <cell r="K1018" t="str">
            <v>INNOVA REBORN</v>
          </cell>
          <cell r="L1018" t="str">
            <v>TGN40VM/T11M</v>
          </cell>
          <cell r="M1018" t="str">
            <v>INNOVA</v>
          </cell>
          <cell r="N1018" t="str">
            <v>INNOVA REBORN</v>
          </cell>
          <cell r="O1018" t="str">
            <v>TGN140R-MDMMKD-11</v>
          </cell>
          <cell r="P1018" t="e">
            <v>#N/A</v>
          </cell>
          <cell r="Q1018" t="e">
            <v>#N/A</v>
          </cell>
          <cell r="R1018" t="str">
            <v>TGN140R-MDMMKD-11</v>
          </cell>
          <cell r="S1018" t="str">
            <v>INNOVA</v>
          </cell>
          <cell r="T1018" t="str">
            <v>INV REBORN</v>
          </cell>
          <cell r="U1018" t="str">
            <v>INNOVA V M/T</v>
          </cell>
        </row>
        <row r="1019">
          <cell r="D1019" t="str">
            <v>TGN140R-MDMMKD-11</v>
          </cell>
          <cell r="E1019" t="str">
            <v>INNOVA</v>
          </cell>
          <cell r="F1019" t="str">
            <v>INNOVA</v>
          </cell>
          <cell r="G1019" t="str">
            <v>INNOVA</v>
          </cell>
          <cell r="H1019" t="str">
            <v>INNOVA V M/T</v>
          </cell>
          <cell r="I1019" t="str">
            <v>INNOVA V M/T</v>
          </cell>
          <cell r="J1019" t="str">
            <v>INNOVA V M/T</v>
          </cell>
          <cell r="K1019" t="str">
            <v>INNOVA REBORN</v>
          </cell>
          <cell r="L1019" t="str">
            <v>TGN40VM/T11M</v>
          </cell>
          <cell r="M1019" t="str">
            <v>INNOVA</v>
          </cell>
          <cell r="N1019" t="str">
            <v>INNOVA REBORN</v>
          </cell>
          <cell r="O1019" t="str">
            <v>TGN140R-MDMMKD-11</v>
          </cell>
          <cell r="P1019" t="e">
            <v>#N/A</v>
          </cell>
          <cell r="Q1019" t="e">
            <v>#N/A</v>
          </cell>
          <cell r="R1019" t="str">
            <v>TGN140R-MDMMKD-11</v>
          </cell>
          <cell r="S1019" t="str">
            <v>INNOVA</v>
          </cell>
          <cell r="T1019" t="str">
            <v>INV REBORN</v>
          </cell>
          <cell r="U1019" t="str">
            <v>INNOVA V M/T</v>
          </cell>
        </row>
        <row r="1020">
          <cell r="D1020" t="str">
            <v>ZSG10R-DHXEKD-00</v>
          </cell>
          <cell r="E1020" t="str">
            <v>COROLLA CROSS</v>
          </cell>
          <cell r="F1020" t="str">
            <v>COROLLA CROSS</v>
          </cell>
          <cell r="G1020" t="str">
            <v>COROLLA CROSS</v>
          </cell>
          <cell r="H1020" t="str">
            <v>COROLLA CROSS A/T</v>
          </cell>
          <cell r="I1020" t="str">
            <v>COROLLA CROSS A/T</v>
          </cell>
          <cell r="J1020" t="str">
            <v>COROLLA CROSS A/T</v>
          </cell>
          <cell r="K1020" t="str">
            <v>COROLLA CROSS</v>
          </cell>
          <cell r="L1020" t="str">
            <v>ZSG10A/T00M</v>
          </cell>
          <cell r="M1020" t="str">
            <v>COROLLA CROSS</v>
          </cell>
          <cell r="N1020" t="str">
            <v>COROLLA CROSS</v>
          </cell>
          <cell r="O1020" t="str">
            <v>ZSG10R-DHXEKD-00</v>
          </cell>
          <cell r="P1020" t="e">
            <v>#N/A</v>
          </cell>
          <cell r="Q1020" t="e">
            <v>#N/A</v>
          </cell>
          <cell r="R1020" t="str">
            <v>ZSG10R-DHXEKD-00</v>
          </cell>
          <cell r="S1020" t="str">
            <v>COROLLA CROSS</v>
          </cell>
          <cell r="T1020" t="e">
            <v>#N/A</v>
          </cell>
          <cell r="U1020" t="str">
            <v>COROLLA CROSS A/T</v>
          </cell>
        </row>
        <row r="1021">
          <cell r="D1021" t="str">
            <v>ZVG10R-DHXGBD-00</v>
          </cell>
          <cell r="E1021" t="str">
            <v>COROLLA CROSS</v>
          </cell>
          <cell r="F1021" t="str">
            <v>COROLLA CROSS HYBRID</v>
          </cell>
          <cell r="G1021" t="str">
            <v>COROLLA CROSS HYBRID</v>
          </cell>
          <cell r="H1021" t="str">
            <v>COROLLA CROSS A/T HYBRID</v>
          </cell>
          <cell r="I1021" t="str">
            <v>COROLLA CROSS A/T HYBRID</v>
          </cell>
          <cell r="J1021" t="str">
            <v>COROLLA CROSS A/T HYBRID</v>
          </cell>
          <cell r="K1021" t="str">
            <v>COROLLA CROSS HYBRID</v>
          </cell>
          <cell r="L1021" t="str">
            <v>ZVG10A/T00M</v>
          </cell>
          <cell r="M1021" t="str">
            <v>COROLLA CROSS</v>
          </cell>
          <cell r="N1021" t="str">
            <v>COROLLA CROSS HYBRID</v>
          </cell>
          <cell r="O1021" t="str">
            <v>ZVG10R-DHXGBD-00</v>
          </cell>
          <cell r="P1021" t="e">
            <v>#N/A</v>
          </cell>
          <cell r="Q1021" t="e">
            <v>#N/A</v>
          </cell>
          <cell r="R1021" t="str">
            <v>ZVG10R-DHXGBD-00</v>
          </cell>
          <cell r="S1021" t="str">
            <v>COROLLA CROSS</v>
          </cell>
          <cell r="T1021" t="e">
            <v>#N/A</v>
          </cell>
          <cell r="U1021" t="str">
            <v>COROLLA CROSS A/T HYBRID</v>
          </cell>
        </row>
        <row r="1022">
          <cell r="D1022" t="str">
            <v>KDH222R-LEMDY-16</v>
          </cell>
          <cell r="E1022" t="str">
            <v>HIACE</v>
          </cell>
          <cell r="F1022" t="str">
            <v>HIACE</v>
          </cell>
          <cell r="G1022" t="str">
            <v>HIACE</v>
          </cell>
          <cell r="H1022" t="str">
            <v>HIACE COMM</v>
          </cell>
          <cell r="I1022" t="str">
            <v>HIACE COMM</v>
          </cell>
          <cell r="J1022" t="str">
            <v>HIACE COMM</v>
          </cell>
          <cell r="K1022" t="str">
            <v>HIACE COMM</v>
          </cell>
          <cell r="L1022" t="str">
            <v>KD22M/T01STD16</v>
          </cell>
          <cell r="M1022" t="str">
            <v>HIACE</v>
          </cell>
          <cell r="N1022" t="str">
            <v>HIACE COMM</v>
          </cell>
          <cell r="O1022" t="str">
            <v>KDH222R-LEMDY-16</v>
          </cell>
          <cell r="P1022" t="e">
            <v>#N/A</v>
          </cell>
          <cell r="Q1022" t="e">
            <v>#N/A</v>
          </cell>
          <cell r="R1022" t="str">
            <v>KDH222R-LEMDY-16</v>
          </cell>
          <cell r="S1022" t="str">
            <v>HIACE</v>
          </cell>
          <cell r="T1022" t="e">
            <v>#N/A</v>
          </cell>
          <cell r="U1022" t="str">
            <v>HIACE COMM</v>
          </cell>
        </row>
        <row r="1023">
          <cell r="D1023" t="str">
            <v>KDH222R-LEMDY-17</v>
          </cell>
          <cell r="E1023" t="str">
            <v>HIACE</v>
          </cell>
          <cell r="F1023" t="str">
            <v>HIACE</v>
          </cell>
          <cell r="G1023" t="str">
            <v>HIACE</v>
          </cell>
          <cell r="H1023" t="str">
            <v>HIACE COMM</v>
          </cell>
          <cell r="I1023" t="str">
            <v>HIACE COMM</v>
          </cell>
          <cell r="J1023" t="str">
            <v>HIACE COMM</v>
          </cell>
          <cell r="K1023" t="str">
            <v>HIACE COMM</v>
          </cell>
          <cell r="L1023" t="str">
            <v>KD22M/T01STD17</v>
          </cell>
          <cell r="M1023" t="str">
            <v>HIACE</v>
          </cell>
          <cell r="N1023" t="str">
            <v>HIACE COMM</v>
          </cell>
          <cell r="O1023" t="str">
            <v>KDH222R-LEMDY-17</v>
          </cell>
          <cell r="P1023" t="e">
            <v>#N/A</v>
          </cell>
          <cell r="Q1023" t="e">
            <v>#N/A</v>
          </cell>
          <cell r="R1023" t="str">
            <v>KDH222R-LEMDY-17</v>
          </cell>
          <cell r="S1023" t="str">
            <v>HIACE</v>
          </cell>
          <cell r="T1023" t="e">
            <v>#N/A</v>
          </cell>
          <cell r="U1023" t="str">
            <v>HIACE COMM</v>
          </cell>
        </row>
        <row r="1024">
          <cell r="D1024" t="str">
            <v>NSP151R-CHXVKD-21</v>
          </cell>
          <cell r="E1024" t="str">
            <v>YARIS</v>
          </cell>
          <cell r="F1024" t="str">
            <v>YARIS</v>
          </cell>
          <cell r="G1024" t="str">
            <v>YARIS</v>
          </cell>
          <cell r="H1024" t="str">
            <v>YARIS S A/T</v>
          </cell>
          <cell r="I1024" t="str">
            <v>YARIS S A/T</v>
          </cell>
          <cell r="J1024" t="str">
            <v>YARIS S A/T 3 AIRBAGS</v>
          </cell>
          <cell r="K1024" t="str">
            <v>YARIS</v>
          </cell>
          <cell r="L1024" t="str">
            <v>NS51HXSA/T21M</v>
          </cell>
          <cell r="M1024" t="str">
            <v>YARIS</v>
          </cell>
          <cell r="N1024" t="str">
            <v>YARIS</v>
          </cell>
          <cell r="O1024" t="str">
            <v>NSP151R-CHXVKD-21</v>
          </cell>
          <cell r="P1024" t="e">
            <v>#N/A</v>
          </cell>
          <cell r="Q1024" t="e">
            <v>#N/A</v>
          </cell>
          <cell r="R1024" t="str">
            <v>NSP151R-CHXVKD-21</v>
          </cell>
          <cell r="S1024" t="str">
            <v>YARIS</v>
          </cell>
          <cell r="T1024" t="e">
            <v>#N/A</v>
          </cell>
          <cell r="U1024" t="str">
            <v>YARIS S A/T</v>
          </cell>
        </row>
        <row r="1025">
          <cell r="D1025" t="str">
            <v>NSP151R-CHMVKD-21</v>
          </cell>
          <cell r="E1025" t="str">
            <v>YARIS</v>
          </cell>
          <cell r="F1025" t="str">
            <v>YARIS</v>
          </cell>
          <cell r="G1025" t="str">
            <v>YARIS</v>
          </cell>
          <cell r="H1025" t="str">
            <v>YARIS S M/T</v>
          </cell>
          <cell r="I1025" t="str">
            <v>YARIS S M/T</v>
          </cell>
          <cell r="J1025" t="str">
            <v>YARIS S M/T 3 AIRBAGS</v>
          </cell>
          <cell r="K1025" t="str">
            <v>YARIS</v>
          </cell>
          <cell r="L1025" t="str">
            <v>NS51HMSM/T21M</v>
          </cell>
          <cell r="M1025" t="str">
            <v>YARIS</v>
          </cell>
          <cell r="N1025" t="str">
            <v>YARIS</v>
          </cell>
          <cell r="O1025" t="str">
            <v>NSP151R-CHMVKD-21</v>
          </cell>
          <cell r="P1025" t="e">
            <v>#N/A</v>
          </cell>
          <cell r="Q1025" t="e">
            <v>#N/A</v>
          </cell>
          <cell r="R1025" t="str">
            <v>NSP151R-CHMVKD-21</v>
          </cell>
          <cell r="S1025" t="str">
            <v>YARIS</v>
          </cell>
          <cell r="T1025" t="e">
            <v>#N/A</v>
          </cell>
          <cell r="U1025" t="str">
            <v>YARIS S M/T</v>
          </cell>
        </row>
        <row r="1026">
          <cell r="D1026" t="str">
            <v>GUN125R-DTFSXD-00</v>
          </cell>
          <cell r="E1026" t="str">
            <v>HILUX</v>
          </cell>
          <cell r="F1026" t="str">
            <v>HILUX DC</v>
          </cell>
          <cell r="G1026" t="str">
            <v>HILUX DC</v>
          </cell>
          <cell r="H1026" t="str">
            <v>HILUX DC G M/T DIESEL</v>
          </cell>
          <cell r="I1026" t="str">
            <v>HILUX DC G M/T DIESEL</v>
          </cell>
          <cell r="J1026" t="str">
            <v>HILUX DC G M/T DIESEL</v>
          </cell>
          <cell r="K1026" t="str">
            <v>HILUX DC</v>
          </cell>
          <cell r="L1026" t="str">
            <v>GUN25DXGM/T00M</v>
          </cell>
          <cell r="M1026" t="str">
            <v>HILUX</v>
          </cell>
          <cell r="N1026" t="str">
            <v>HILUX DC</v>
          </cell>
          <cell r="O1026" t="str">
            <v>GUN125R-DTFSXD-00</v>
          </cell>
          <cell r="P1026" t="e">
            <v>#N/A</v>
          </cell>
          <cell r="Q1026" t="e">
            <v>#N/A</v>
          </cell>
          <cell r="R1026" t="str">
            <v>GUN125R-DTFSXD-00</v>
          </cell>
          <cell r="S1026" t="str">
            <v>HILUX</v>
          </cell>
          <cell r="T1026" t="e">
            <v>#N/A</v>
          </cell>
          <cell r="U1026" t="str">
            <v>HILUX DC G M/T DIESEL</v>
          </cell>
        </row>
        <row r="1027">
          <cell r="D1027" t="str">
            <v>TGN110R-BTMLKD-00</v>
          </cell>
          <cell r="E1027" t="str">
            <v>HILUX</v>
          </cell>
          <cell r="F1027" t="str">
            <v>HILUX SC</v>
          </cell>
          <cell r="G1027" t="str">
            <v>HILUX SC</v>
          </cell>
          <cell r="H1027" t="str">
            <v>HILUX SC PU</v>
          </cell>
          <cell r="I1027" t="str">
            <v>HILUX SC PU</v>
          </cell>
          <cell r="J1027" t="str">
            <v>HILUX SC PU</v>
          </cell>
          <cell r="K1027" t="str">
            <v>HILUX SC</v>
          </cell>
          <cell r="L1027" t="str">
            <v>TG11SXCM/T00M</v>
          </cell>
          <cell r="M1027" t="str">
            <v>HILUX</v>
          </cell>
          <cell r="N1027" t="str">
            <v>HILUX SC</v>
          </cell>
          <cell r="O1027" t="str">
            <v>TGN110R-BTMLKD-00</v>
          </cell>
          <cell r="P1027" t="e">
            <v>#N/A</v>
          </cell>
          <cell r="Q1027" t="e">
            <v>#N/A</v>
          </cell>
          <cell r="R1027" t="str">
            <v>TGN110R-BTMLKD-00</v>
          </cell>
          <cell r="S1027" t="str">
            <v>HILUX</v>
          </cell>
          <cell r="T1027" t="e">
            <v>#N/A</v>
          </cell>
          <cell r="U1027" t="str">
            <v>HILUX SC PU</v>
          </cell>
        </row>
        <row r="1028">
          <cell r="D1028" t="str">
            <v>GUN112R-BTMLXD-00</v>
          </cell>
          <cell r="E1028" t="str">
            <v>HILUX</v>
          </cell>
          <cell r="F1028" t="str">
            <v>HILUX SC</v>
          </cell>
          <cell r="G1028" t="str">
            <v>HILUX SC</v>
          </cell>
          <cell r="H1028" t="str">
            <v>HILUX SC M/T DIESEL</v>
          </cell>
          <cell r="I1028" t="str">
            <v>HILUX SC M/T DIESEL</v>
          </cell>
          <cell r="J1028" t="str">
            <v>HILUX SC M/T DIESEL</v>
          </cell>
          <cell r="K1028" t="str">
            <v>HILUX SC</v>
          </cell>
          <cell r="L1028" t="str">
            <v>GUN12SXCM/T00M</v>
          </cell>
          <cell r="M1028" t="str">
            <v>HILUX</v>
          </cell>
          <cell r="N1028" t="str">
            <v>HILUX SC</v>
          </cell>
          <cell r="O1028" t="str">
            <v>GUN112R-BTMLXD-00</v>
          </cell>
          <cell r="P1028" t="e">
            <v>#N/A</v>
          </cell>
          <cell r="Q1028" t="e">
            <v>#N/A</v>
          </cell>
          <cell r="R1028" t="str">
            <v>GUN112R-BTMLXD-00</v>
          </cell>
          <cell r="S1028" t="str">
            <v>HILUX</v>
          </cell>
          <cell r="T1028" t="e">
            <v>#N/A</v>
          </cell>
          <cell r="U1028" t="str">
            <v>HILUX SC M/T DIESEL</v>
          </cell>
        </row>
        <row r="1029">
          <cell r="D1029" t="str">
            <v>NSP151R-CHXGKD-21</v>
          </cell>
          <cell r="E1029" t="str">
            <v>YARIS</v>
          </cell>
          <cell r="F1029" t="str">
            <v>YARIS</v>
          </cell>
          <cell r="G1029" t="str">
            <v>YARIS</v>
          </cell>
          <cell r="H1029" t="str">
            <v>YARIS G A/T</v>
          </cell>
          <cell r="I1029" t="str">
            <v>YARIS G A/T</v>
          </cell>
          <cell r="J1029" t="str">
            <v>YARIS G A/T 3 AIRBAGS</v>
          </cell>
          <cell r="K1029" t="str">
            <v>YARIS</v>
          </cell>
          <cell r="L1029" t="str">
            <v>NS51HXGA/T21M</v>
          </cell>
          <cell r="M1029" t="str">
            <v>YARIS</v>
          </cell>
          <cell r="N1029" t="str">
            <v>YARIS</v>
          </cell>
          <cell r="O1029" t="str">
            <v>NSP151R-CHXGKD-21</v>
          </cell>
          <cell r="P1029" t="e">
            <v>#N/A</v>
          </cell>
          <cell r="Q1029" t="e">
            <v>#N/A</v>
          </cell>
          <cell r="R1029" t="str">
            <v>NSP151R-CHXGKD-21</v>
          </cell>
          <cell r="S1029" t="str">
            <v>YARIS</v>
          </cell>
          <cell r="T1029" t="e">
            <v>#N/A</v>
          </cell>
          <cell r="U1029" t="str">
            <v>YARIS G A/T</v>
          </cell>
        </row>
        <row r="1030">
          <cell r="D1030" t="str">
            <v>GUN125R-DTFLXD-00</v>
          </cell>
          <cell r="E1030" t="str">
            <v>HILUX</v>
          </cell>
          <cell r="F1030" t="str">
            <v>HILUX DC</v>
          </cell>
          <cell r="G1030" t="str">
            <v>HILUX DC</v>
          </cell>
          <cell r="H1030" t="str">
            <v>HILUX DC E M/T DIESEL</v>
          </cell>
          <cell r="I1030" t="str">
            <v>HILUX DC E M/T DIESEL</v>
          </cell>
          <cell r="J1030" t="str">
            <v>HILUX DC E M/T DIESEL</v>
          </cell>
          <cell r="K1030" t="str">
            <v>HILUX DC</v>
          </cell>
          <cell r="L1030" t="str">
            <v>GUN25DXEM/T00M</v>
          </cell>
          <cell r="M1030" t="str">
            <v>HILUX</v>
          </cell>
          <cell r="N1030" t="str">
            <v>HILUX DC</v>
          </cell>
          <cell r="O1030" t="str">
            <v>GUN125R-DTFLXD-00</v>
          </cell>
          <cell r="P1030" t="e">
            <v>#N/A</v>
          </cell>
          <cell r="Q1030" t="e">
            <v>#N/A</v>
          </cell>
          <cell r="R1030" t="str">
            <v>GUN125R-DTFLXD-00</v>
          </cell>
          <cell r="S1030" t="str">
            <v>HILUX</v>
          </cell>
          <cell r="T1030" t="e">
            <v>#N/A</v>
          </cell>
          <cell r="U1030" t="str">
            <v>HILUX DC E M/T DIESEL</v>
          </cell>
        </row>
        <row r="1031">
          <cell r="D1031" t="str">
            <v>GUN125R-DTTHXD-00</v>
          </cell>
          <cell r="E1031" t="str">
            <v>HILUX</v>
          </cell>
          <cell r="F1031" t="str">
            <v>HILUX DC</v>
          </cell>
          <cell r="G1031" t="str">
            <v>HILUX DC</v>
          </cell>
          <cell r="H1031" t="str">
            <v>HILUX DC V A/T DIESEL</v>
          </cell>
          <cell r="I1031" t="str">
            <v>HILUX DC V A/T DIESEL</v>
          </cell>
          <cell r="J1031" t="str">
            <v>HILUX DC V A/T DIESEL</v>
          </cell>
          <cell r="K1031" t="str">
            <v>HILUX DC</v>
          </cell>
          <cell r="L1031" t="str">
            <v>GUN25DXVA/T00M</v>
          </cell>
          <cell r="M1031" t="str">
            <v>HILUX</v>
          </cell>
          <cell r="N1031" t="str">
            <v>HILUX DC</v>
          </cell>
          <cell r="O1031" t="str">
            <v>GUN125R-DTTHXD-00</v>
          </cell>
          <cell r="P1031" t="e">
            <v>#N/A</v>
          </cell>
          <cell r="Q1031" t="e">
            <v>#N/A</v>
          </cell>
          <cell r="R1031" t="str">
            <v>GUN125R-DTTHXD-00</v>
          </cell>
          <cell r="S1031" t="str">
            <v>HILUX</v>
          </cell>
          <cell r="T1031" t="e">
            <v>#N/A</v>
          </cell>
          <cell r="U1031" t="str">
            <v>HILUX DC V A/T DIESEL</v>
          </cell>
        </row>
        <row r="1032">
          <cell r="D1032" t="str">
            <v>NSP151R-CHXGKD-20</v>
          </cell>
          <cell r="E1032" t="str">
            <v>YARIS</v>
          </cell>
          <cell r="F1032" t="str">
            <v>YARIS</v>
          </cell>
          <cell r="G1032" t="str">
            <v>YARIS</v>
          </cell>
          <cell r="H1032" t="str">
            <v>YARIS G A/T</v>
          </cell>
          <cell r="I1032" t="str">
            <v>YARIS G A/T</v>
          </cell>
          <cell r="J1032" t="str">
            <v>YARIS G A/T 7 AIRBAGS</v>
          </cell>
          <cell r="K1032" t="str">
            <v>YARIS</v>
          </cell>
          <cell r="L1032" t="str">
            <v>NS51HXGA/T20M</v>
          </cell>
          <cell r="M1032" t="str">
            <v>YARIS</v>
          </cell>
          <cell r="N1032" t="str">
            <v>YARIS</v>
          </cell>
          <cell r="O1032" t="str">
            <v>NSP151R-CHXGKD-20</v>
          </cell>
          <cell r="P1032" t="e">
            <v>#N/A</v>
          </cell>
          <cell r="Q1032" t="e">
            <v>#N/A</v>
          </cell>
          <cell r="R1032" t="str">
            <v>NSP151R-CHXGKD-20</v>
          </cell>
          <cell r="S1032" t="str">
            <v>YARIS</v>
          </cell>
          <cell r="T1032" t="e">
            <v>#N/A</v>
          </cell>
          <cell r="U1032" t="str">
            <v>YARIS G A/T</v>
          </cell>
        </row>
        <row r="1033">
          <cell r="D1033" t="str">
            <v>NSP151R-CHXVKD-20</v>
          </cell>
          <cell r="E1033" t="str">
            <v>YARIS</v>
          </cell>
          <cell r="F1033" t="str">
            <v>YARIS</v>
          </cell>
          <cell r="G1033" t="str">
            <v>YARIS</v>
          </cell>
          <cell r="H1033" t="str">
            <v>YARIS S A/T</v>
          </cell>
          <cell r="I1033" t="str">
            <v>YARIS S A/T</v>
          </cell>
          <cell r="J1033" t="str">
            <v>YARIS S A/T 7 AIRBAGS</v>
          </cell>
          <cell r="K1033" t="str">
            <v>YARIS</v>
          </cell>
          <cell r="L1033" t="str">
            <v>NS51HXSA/T20M</v>
          </cell>
          <cell r="M1033" t="str">
            <v>YARIS</v>
          </cell>
          <cell r="N1033" t="str">
            <v>YARIS</v>
          </cell>
          <cell r="O1033" t="str">
            <v>NSP151R-CHXVKD-20</v>
          </cell>
          <cell r="P1033" t="e">
            <v>#N/A</v>
          </cell>
          <cell r="Q1033" t="e">
            <v>#N/A</v>
          </cell>
          <cell r="R1033" t="str">
            <v>NSP151R-CHXVKD-20</v>
          </cell>
          <cell r="S1033" t="str">
            <v>YARIS</v>
          </cell>
          <cell r="T1033" t="e">
            <v>#N/A</v>
          </cell>
          <cell r="U1033" t="str">
            <v>YARIS S A/T</v>
          </cell>
        </row>
        <row r="1034">
          <cell r="D1034" t="str">
            <v>NSP151R-CHMVKD-20</v>
          </cell>
          <cell r="E1034" t="str">
            <v>YARIS</v>
          </cell>
          <cell r="F1034" t="str">
            <v>YARIS</v>
          </cell>
          <cell r="G1034" t="str">
            <v>YARIS</v>
          </cell>
          <cell r="H1034" t="str">
            <v>YARIS S M/T</v>
          </cell>
          <cell r="I1034" t="str">
            <v>YARIS S M/T</v>
          </cell>
          <cell r="J1034" t="str">
            <v>YARIS S M/T 7 AIRBAGS</v>
          </cell>
          <cell r="K1034" t="str">
            <v>YARIS</v>
          </cell>
          <cell r="L1034" t="str">
            <v>NS51HMSM/T20M</v>
          </cell>
          <cell r="M1034" t="str">
            <v>YARIS</v>
          </cell>
          <cell r="N1034" t="str">
            <v>YARIS</v>
          </cell>
          <cell r="O1034" t="str">
            <v>NSP151R-CHMVKD-20</v>
          </cell>
          <cell r="P1034" t="e">
            <v>#N/A</v>
          </cell>
          <cell r="Q1034" t="e">
            <v>#N/A</v>
          </cell>
          <cell r="R1034" t="str">
            <v>NSP151R-CHMVKD-20</v>
          </cell>
          <cell r="S1034" t="str">
            <v>YARIS</v>
          </cell>
          <cell r="T1034" t="e">
            <v>#N/A</v>
          </cell>
          <cell r="U1034" t="str">
            <v>YARIS S M/T</v>
          </cell>
        </row>
        <row r="1035">
          <cell r="D1035" t="str">
            <v>GUN165R-SDTHXD-00</v>
          </cell>
          <cell r="E1035" t="str">
            <v>FORTUNER</v>
          </cell>
          <cell r="F1035" t="str">
            <v>FORTUNER 4X2</v>
          </cell>
          <cell r="G1035" t="str">
            <v>FORTUNER 4X2</v>
          </cell>
          <cell r="H1035" t="str">
            <v>FORTUNER 4X2 VRZ A/T DIESEL</v>
          </cell>
          <cell r="I1035" t="str">
            <v xml:space="preserve">FORTUNER 4X2 VRZ A/T DIESEL </v>
          </cell>
          <cell r="J1035" t="str">
            <v xml:space="preserve">FORTUNER 4X2 VRZ A/T DIESEL </v>
          </cell>
          <cell r="K1035" t="str">
            <v>FORTUNER 4X2</v>
          </cell>
          <cell r="L1035" t="str">
            <v>GUN65VRXA/T00M</v>
          </cell>
          <cell r="M1035" t="str">
            <v>FORTUNER</v>
          </cell>
          <cell r="N1035" t="str">
            <v>FORTUNER 4X2</v>
          </cell>
          <cell r="O1035" t="str">
            <v>GUN165R-SDTHXD-00</v>
          </cell>
          <cell r="P1035" t="e">
            <v>#N/A</v>
          </cell>
          <cell r="Q1035" t="e">
            <v>#N/A</v>
          </cell>
          <cell r="R1035" t="str">
            <v>GUN165R-SDTHXD-00</v>
          </cell>
          <cell r="S1035" t="str">
            <v>FORTUNER</v>
          </cell>
          <cell r="T1035" t="e">
            <v>#N/A</v>
          </cell>
          <cell r="U1035" t="str">
            <v>FORTUNER 4X2 VRZ A/T DIESEL</v>
          </cell>
        </row>
        <row r="1036">
          <cell r="D1036" t="str">
            <v>GUN165R-SDTHXD-11</v>
          </cell>
          <cell r="E1036" t="str">
            <v>FORTUNER</v>
          </cell>
          <cell r="F1036" t="str">
            <v>FORTUNER 4X2</v>
          </cell>
          <cell r="G1036" t="str">
            <v>FORTUNER 4X2</v>
          </cell>
          <cell r="H1036" t="str">
            <v>FORTUNER 4X2 VRZ A/T DIESEL</v>
          </cell>
          <cell r="I1036" t="str">
            <v>FORTUNER 4X2 VRZ A/T DIESEL GR</v>
          </cell>
          <cell r="J1036" t="str">
            <v>FORTUNER 4X2 VRZ A/T DIESEL GR</v>
          </cell>
          <cell r="K1036" t="str">
            <v>FORTUNER 4X2</v>
          </cell>
          <cell r="L1036" t="str">
            <v>GUN65VRXA/T11M</v>
          </cell>
          <cell r="M1036" t="str">
            <v>FORTUNER</v>
          </cell>
          <cell r="N1036" t="str">
            <v>FORTUNER 4X2</v>
          </cell>
          <cell r="O1036" t="str">
            <v>GUN165R-SDTHXD-11</v>
          </cell>
          <cell r="P1036" t="e">
            <v>#N/A</v>
          </cell>
          <cell r="Q1036" t="e">
            <v>#N/A</v>
          </cell>
          <cell r="R1036" t="str">
            <v>GUN165R-SDTHXD-11</v>
          </cell>
          <cell r="S1036" t="str">
            <v>FORTUNER</v>
          </cell>
          <cell r="T1036" t="e">
            <v>#N/A</v>
          </cell>
          <cell r="U1036" t="str">
            <v>FORTUNER 4X2 VRZ A/T DIESEL</v>
          </cell>
        </row>
        <row r="1037">
          <cell r="D1037" t="str">
            <v>GUN165R-SDTHXD-21</v>
          </cell>
          <cell r="E1037" t="str">
            <v>FORTUNER</v>
          </cell>
          <cell r="F1037" t="str">
            <v>FORTUNER 4X2</v>
          </cell>
          <cell r="G1037" t="str">
            <v>FORTUNER 4X2</v>
          </cell>
          <cell r="H1037" t="str">
            <v>FORTUNER 4X2 VRZ A/T DIESEL</v>
          </cell>
          <cell r="I1037" t="str">
            <v>FORTUNER 4X2 VRZ A/T DIESEL GR</v>
          </cell>
          <cell r="J1037" t="str">
            <v>FORTUNER 4X2 VRZ A/T DIESEL GR</v>
          </cell>
          <cell r="K1037" t="str">
            <v>FORTUNER 4X2</v>
          </cell>
          <cell r="L1037" t="str">
            <v>GUN65VRXA/T21M</v>
          </cell>
          <cell r="M1037" t="str">
            <v>FORTUNER</v>
          </cell>
          <cell r="N1037" t="str">
            <v>FORTUNER 4X2</v>
          </cell>
          <cell r="O1037" t="str">
            <v>GUN165R-SDTHXD-21</v>
          </cell>
          <cell r="P1037" t="e">
            <v>#N/A</v>
          </cell>
          <cell r="Q1037" t="e">
            <v>#N/A</v>
          </cell>
          <cell r="R1037" t="str">
            <v>GUN165R-SDTHXD-21</v>
          </cell>
          <cell r="S1037" t="str">
            <v>FORTUNER</v>
          </cell>
          <cell r="T1037" t="e">
            <v>#N/A</v>
          </cell>
          <cell r="U1037" t="str">
            <v>FORTUNER 4X2 VRZ A/T DIESEL</v>
          </cell>
        </row>
        <row r="1038">
          <cell r="D1038" t="e">
            <v>#N/A</v>
          </cell>
          <cell r="E1038" t="str">
            <v>INNOVA</v>
          </cell>
          <cell r="F1038" t="str">
            <v>INNOVA</v>
          </cell>
          <cell r="G1038" t="str">
            <v>INNOVA</v>
          </cell>
          <cell r="H1038" t="str">
            <v>INNOVA V M/T</v>
          </cell>
          <cell r="I1038" t="str">
            <v>INNOVA V M/T</v>
          </cell>
          <cell r="J1038" t="str">
            <v>INNOVA V M/T</v>
          </cell>
          <cell r="K1038" t="str">
            <v>INNOVA REBORN</v>
          </cell>
          <cell r="L1038" t="str">
            <v>TG40VM/T20M</v>
          </cell>
          <cell r="M1038" t="str">
            <v>INNOVA</v>
          </cell>
          <cell r="N1038" t="str">
            <v>INNOVA REBORN</v>
          </cell>
          <cell r="O1038" t="e">
            <v>#N/A</v>
          </cell>
          <cell r="P1038" t="e">
            <v>#N/A</v>
          </cell>
          <cell r="Q1038" t="e">
            <v>#N/A</v>
          </cell>
          <cell r="R1038" t="e">
            <v>#N/A</v>
          </cell>
          <cell r="S1038" t="str">
            <v>INNOVA</v>
          </cell>
          <cell r="T1038" t="str">
            <v>INV REBORN</v>
          </cell>
          <cell r="U1038" t="str">
            <v>INNOVA V M/T</v>
          </cell>
        </row>
        <row r="1039">
          <cell r="D1039" t="str">
            <v>TGN140R-MDMMKD-14</v>
          </cell>
          <cell r="E1039" t="str">
            <v>INNOVA</v>
          </cell>
          <cell r="F1039" t="str">
            <v>INNOVA</v>
          </cell>
          <cell r="G1039" t="str">
            <v>INNOVA</v>
          </cell>
          <cell r="H1039" t="str">
            <v>INNOVA V M/T</v>
          </cell>
          <cell r="I1039" t="str">
            <v>INNOVA V M/T</v>
          </cell>
          <cell r="J1039" t="str">
            <v>INNOVA V M/T</v>
          </cell>
          <cell r="K1039" t="str">
            <v>INNOVA REBORN</v>
          </cell>
          <cell r="L1039" t="str">
            <v>TGN40VM/T14M</v>
          </cell>
          <cell r="M1039" t="str">
            <v>INNOVA</v>
          </cell>
          <cell r="N1039" t="str">
            <v>INNOVA REBORN</v>
          </cell>
          <cell r="O1039" t="str">
            <v>TGN140R-MDMMKD-14</v>
          </cell>
          <cell r="P1039" t="e">
            <v>#N/A</v>
          </cell>
          <cell r="Q1039" t="e">
            <v>#N/A</v>
          </cell>
          <cell r="R1039" t="str">
            <v>TGN140R-MDMMKD-14</v>
          </cell>
          <cell r="S1039" t="str">
            <v>INNOVA</v>
          </cell>
          <cell r="T1039" t="str">
            <v>INV REBORN</v>
          </cell>
          <cell r="U1039" t="str">
            <v>INNOVA V M/T</v>
          </cell>
        </row>
        <row r="1040">
          <cell r="D1040" t="str">
            <v>TGN140R-MDMMKD-F3</v>
          </cell>
          <cell r="E1040" t="str">
            <v>INNOVA</v>
          </cell>
          <cell r="F1040" t="str">
            <v>INNOVA</v>
          </cell>
          <cell r="G1040" t="str">
            <v>INNOVA</v>
          </cell>
          <cell r="H1040" t="str">
            <v>INNOVA V M/T</v>
          </cell>
          <cell r="I1040" t="str">
            <v>INNOVA V M/T</v>
          </cell>
          <cell r="J1040" t="str">
            <v>INNOVA V M/T</v>
          </cell>
          <cell r="K1040" t="str">
            <v>INNOVA REBORN</v>
          </cell>
          <cell r="L1040" t="str">
            <v>TGN40VM/TF3M</v>
          </cell>
          <cell r="M1040" t="str">
            <v>INNOVA</v>
          </cell>
          <cell r="N1040" t="str">
            <v>INNOVA REBORN</v>
          </cell>
          <cell r="O1040" t="str">
            <v>TGN140R-MDMMKD-F3</v>
          </cell>
          <cell r="P1040" t="e">
            <v>#N/A</v>
          </cell>
          <cell r="Q1040" t="e">
            <v>#N/A</v>
          </cell>
          <cell r="R1040" t="str">
            <v>TGN140R-MDMMKD-F3</v>
          </cell>
          <cell r="S1040" t="str">
            <v>INNOVA</v>
          </cell>
          <cell r="T1040" t="str">
            <v>INV REBORN</v>
          </cell>
          <cell r="U1040" t="str">
            <v>INNOVA V M/T</v>
          </cell>
        </row>
        <row r="1041">
          <cell r="D1041" t="str">
            <v>TGN140R-MDMMKD-H3</v>
          </cell>
          <cell r="E1041" t="str">
            <v>INNOVA</v>
          </cell>
          <cell r="F1041" t="str">
            <v>INNOVA</v>
          </cell>
          <cell r="G1041" t="str">
            <v>INNOVA</v>
          </cell>
          <cell r="H1041" t="str">
            <v>INNOVA V M/T</v>
          </cell>
          <cell r="I1041" t="str">
            <v>INNOVA V M/T</v>
          </cell>
          <cell r="J1041" t="str">
            <v>INNOVA V M/T</v>
          </cell>
          <cell r="K1041" t="str">
            <v>INNOVA REBORN</v>
          </cell>
          <cell r="L1041" t="str">
            <v>TGN40VM/TH3M</v>
          </cell>
          <cell r="M1041" t="str">
            <v>INNOVA</v>
          </cell>
          <cell r="N1041" t="str">
            <v>INNOVA REBORN</v>
          </cell>
          <cell r="O1041" t="str">
            <v>TGN140R-MDMMKD-H3</v>
          </cell>
          <cell r="P1041" t="e">
            <v>#N/A</v>
          </cell>
          <cell r="Q1041" t="e">
            <v>#N/A</v>
          </cell>
          <cell r="R1041" t="str">
            <v>TGN140R-MDMMKD-H3</v>
          </cell>
          <cell r="S1041" t="str">
            <v>INNOVA</v>
          </cell>
          <cell r="T1041" t="str">
            <v>INV REBORN</v>
          </cell>
          <cell r="U1041" t="str">
            <v>INNOVA V M/T</v>
          </cell>
        </row>
        <row r="1042">
          <cell r="D1042" t="str">
            <v>TGN140R-MDMHKD-42</v>
          </cell>
          <cell r="E1042" t="str">
            <v>INNOVA</v>
          </cell>
          <cell r="F1042" t="str">
            <v>INNOVA</v>
          </cell>
          <cell r="G1042" t="str">
            <v>INNOVA</v>
          </cell>
          <cell r="H1042" t="str">
            <v>INNOVA V M/T</v>
          </cell>
          <cell r="I1042" t="str">
            <v>INNOVA V M/T</v>
          </cell>
          <cell r="J1042" t="str">
            <v xml:space="preserve">INNOVA V M/T </v>
          </cell>
          <cell r="K1042" t="str">
            <v>INNOVA REBORN</v>
          </cell>
          <cell r="L1042" t="str">
            <v>TGN40QM/T42M</v>
          </cell>
          <cell r="M1042" t="str">
            <v>INNOVA</v>
          </cell>
          <cell r="N1042" t="str">
            <v>INNOVA REBORN</v>
          </cell>
          <cell r="O1042" t="str">
            <v>TGN140R-MDMHKD-42</v>
          </cell>
          <cell r="P1042" t="e">
            <v>#N/A</v>
          </cell>
          <cell r="Q1042" t="e">
            <v>#N/A</v>
          </cell>
          <cell r="R1042" t="str">
            <v>TGN140R-MDMHKD-42</v>
          </cell>
          <cell r="S1042" t="str">
            <v>INNOVA</v>
          </cell>
          <cell r="T1042" t="str">
            <v>INV REBORN</v>
          </cell>
          <cell r="U1042" t="str">
            <v>INNOVA V M/T</v>
          </cell>
        </row>
        <row r="1043">
          <cell r="D1043" t="str">
            <v>TGN140R-MDMHKD-52</v>
          </cell>
          <cell r="E1043" t="str">
            <v>INNOVA</v>
          </cell>
          <cell r="F1043" t="str">
            <v>INNOVA</v>
          </cell>
          <cell r="G1043" t="str">
            <v>INNOVA</v>
          </cell>
          <cell r="H1043" t="str">
            <v>INNOVA V M/T</v>
          </cell>
          <cell r="I1043" t="str">
            <v>INNOVA V M/T</v>
          </cell>
          <cell r="J1043" t="str">
            <v xml:space="preserve">INNOVA V M/T </v>
          </cell>
          <cell r="K1043" t="str">
            <v>INNOVA REBORN</v>
          </cell>
          <cell r="L1043" t="str">
            <v>TGN40VM/T52M</v>
          </cell>
          <cell r="M1043" t="str">
            <v>INNOVA</v>
          </cell>
          <cell r="N1043" t="str">
            <v>INNOVA REBORN</v>
          </cell>
          <cell r="O1043" t="str">
            <v>TGN140R-MDMHKD-52</v>
          </cell>
          <cell r="P1043" t="e">
            <v>#N/A</v>
          </cell>
          <cell r="Q1043" t="e">
            <v>#N/A</v>
          </cell>
          <cell r="R1043" t="str">
            <v>TGN140R-MDMHKD-52</v>
          </cell>
          <cell r="S1043" t="str">
            <v>INNOVA</v>
          </cell>
          <cell r="T1043" t="str">
            <v>INV REBORN</v>
          </cell>
          <cell r="U1043" t="str">
            <v>INNOVA V M/T</v>
          </cell>
        </row>
        <row r="1044">
          <cell r="D1044" t="str">
            <v>GUN142R-MDMMYD-00</v>
          </cell>
          <cell r="E1044" t="str">
            <v>INNOVA</v>
          </cell>
          <cell r="F1044" t="str">
            <v>INNOVA</v>
          </cell>
          <cell r="G1044" t="str">
            <v>INNOVA</v>
          </cell>
          <cell r="H1044" t="str">
            <v>INNOVA V M/T DIESEL</v>
          </cell>
          <cell r="I1044" t="str">
            <v>INNOVA V M/T DIESEL</v>
          </cell>
          <cell r="J1044" t="str">
            <v>INNOVA V M/T DIESEL</v>
          </cell>
          <cell r="K1044" t="str">
            <v>INNOVA REBORN</v>
          </cell>
          <cell r="L1044" t="str">
            <v>GUN42VM/T</v>
          </cell>
          <cell r="M1044" t="str">
            <v>INNOVA</v>
          </cell>
          <cell r="N1044" t="str">
            <v>INNOVA REBORN</v>
          </cell>
          <cell r="O1044" t="str">
            <v>GUN142R-MDMMYD-00</v>
          </cell>
          <cell r="P1044" t="e">
            <v>#N/A</v>
          </cell>
          <cell r="Q1044" t="e">
            <v>#N/A</v>
          </cell>
          <cell r="R1044" t="str">
            <v>GUN142R-MDMMYD-00</v>
          </cell>
          <cell r="S1044" t="str">
            <v>INNOVA</v>
          </cell>
          <cell r="T1044" t="str">
            <v>INV REBORN</v>
          </cell>
          <cell r="U1044" t="str">
            <v>INNOVA V M/T DIESEL</v>
          </cell>
        </row>
        <row r="1045">
          <cell r="D1045" t="str">
            <v>GUN142R-MDMMYD-23</v>
          </cell>
          <cell r="E1045" t="str">
            <v>INNOVA</v>
          </cell>
          <cell r="F1045" t="str">
            <v>INNOVA</v>
          </cell>
          <cell r="G1045" t="str">
            <v>INNOVA</v>
          </cell>
          <cell r="H1045" t="str">
            <v>INNOVA V M/T DIESEL</v>
          </cell>
          <cell r="I1045" t="str">
            <v>INNOVA V M/T DIESEL</v>
          </cell>
          <cell r="J1045" t="str">
            <v>INNOVA V M/T DIESEL</v>
          </cell>
          <cell r="K1045" t="str">
            <v>INNOVA REBORN</v>
          </cell>
          <cell r="L1045" t="str">
            <v>GUN42VM/T23M</v>
          </cell>
          <cell r="M1045" t="str">
            <v>INNOVA</v>
          </cell>
          <cell r="N1045" t="str">
            <v>INNOVA REBORN</v>
          </cell>
          <cell r="O1045" t="str">
            <v>GUN142R-MDMMYD-23</v>
          </cell>
          <cell r="P1045" t="e">
            <v>#N/A</v>
          </cell>
          <cell r="Q1045" t="e">
            <v>#N/A</v>
          </cell>
          <cell r="R1045" t="str">
            <v>GUN142R-MDMMYD-23</v>
          </cell>
          <cell r="S1045" t="str">
            <v>INNOVA</v>
          </cell>
          <cell r="T1045" t="str">
            <v>INV REBORN</v>
          </cell>
          <cell r="U1045" t="str">
            <v>INNOVA V M/T DIESEL</v>
          </cell>
        </row>
        <row r="1046">
          <cell r="D1046" t="str">
            <v>GUN142R-MDMMYD-F3</v>
          </cell>
          <cell r="E1046" t="str">
            <v>INNOVA</v>
          </cell>
          <cell r="F1046" t="str">
            <v>INNOVA</v>
          </cell>
          <cell r="G1046" t="str">
            <v>INNOVA</v>
          </cell>
          <cell r="H1046" t="str">
            <v>INNOVA V M/T DIESEL</v>
          </cell>
          <cell r="I1046" t="str">
            <v>INNOVA V M/T DIESEL</v>
          </cell>
          <cell r="J1046" t="str">
            <v>INNOVA V M/T DIESEL</v>
          </cell>
          <cell r="K1046" t="str">
            <v>INNOVA REBORN</v>
          </cell>
          <cell r="L1046" t="str">
            <v>GUN42VM/TF3M</v>
          </cell>
          <cell r="M1046" t="str">
            <v>INNOVA</v>
          </cell>
          <cell r="N1046" t="str">
            <v>INNOVA REBORN</v>
          </cell>
          <cell r="O1046" t="str">
            <v>GUN142R-MDMMYD-F3</v>
          </cell>
          <cell r="P1046" t="e">
            <v>#N/A</v>
          </cell>
          <cell r="Q1046" t="e">
            <v>#N/A</v>
          </cell>
          <cell r="R1046" t="str">
            <v>GUN142R-MDMMYD-F3</v>
          </cell>
          <cell r="S1046" t="str">
            <v>INNOVA</v>
          </cell>
          <cell r="T1046" t="str">
            <v>INV REBORN</v>
          </cell>
          <cell r="U1046" t="str">
            <v>INNOVA V M/T DIESEL</v>
          </cell>
        </row>
        <row r="1047">
          <cell r="D1047" t="e">
            <v>#N/A</v>
          </cell>
          <cell r="E1047" t="str">
            <v>INNOVA</v>
          </cell>
          <cell r="F1047" t="str">
            <v>INNOVA</v>
          </cell>
          <cell r="G1047" t="str">
            <v>INNOVA</v>
          </cell>
          <cell r="H1047" t="str">
            <v>INNOVA V M/T DIESEL</v>
          </cell>
          <cell r="I1047" t="str">
            <v>INNOVA V M/T DIESEL</v>
          </cell>
          <cell r="J1047" t="str">
            <v>INNOVA V M/T DIESEL</v>
          </cell>
          <cell r="K1047" t="str">
            <v>INNOVA REBORN</v>
          </cell>
          <cell r="L1047" t="str">
            <v>KU40VM/T10M</v>
          </cell>
          <cell r="M1047" t="str">
            <v>INNOVA</v>
          </cell>
          <cell r="N1047" t="str">
            <v>INNOVA REBORN</v>
          </cell>
          <cell r="O1047" t="e">
            <v>#N/A</v>
          </cell>
          <cell r="P1047" t="e">
            <v>#N/A</v>
          </cell>
          <cell r="Q1047" t="e">
            <v>#N/A</v>
          </cell>
          <cell r="R1047" t="e">
            <v>#N/A</v>
          </cell>
          <cell r="S1047" t="str">
            <v>INNOVA</v>
          </cell>
          <cell r="T1047" t="str">
            <v>INV REBORN</v>
          </cell>
          <cell r="U1047" t="str">
            <v>INNOVA V M/T DIESEL</v>
          </cell>
        </row>
        <row r="1048">
          <cell r="D1048" t="str">
            <v>GUN125R-BTFLXD-00</v>
          </cell>
          <cell r="E1048" t="str">
            <v>HILUX</v>
          </cell>
          <cell r="F1048" t="str">
            <v>HILUX SC</v>
          </cell>
          <cell r="G1048" t="str">
            <v>HILUX SC</v>
          </cell>
          <cell r="H1048" t="str">
            <v>HILUX SC M/T DIESEL</v>
          </cell>
          <cell r="I1048" t="str">
            <v>HILUX SC M/T DIESEL</v>
          </cell>
          <cell r="J1048" t="str">
            <v>HILUX SC M/T DIESEL</v>
          </cell>
          <cell r="K1048" t="str">
            <v>HILUX SC</v>
          </cell>
          <cell r="L1048" t="str">
            <v>GUN25SXCM/T00M</v>
          </cell>
          <cell r="M1048" t="str">
            <v>HILUX</v>
          </cell>
          <cell r="N1048" t="str">
            <v>HILUX SC</v>
          </cell>
          <cell r="O1048" t="str">
            <v>GUN125R-BTFLXD-00</v>
          </cell>
          <cell r="P1048" t="e">
            <v>#N/A</v>
          </cell>
          <cell r="Q1048" t="e">
            <v>#N/A</v>
          </cell>
          <cell r="R1048" t="str">
            <v>GUN125R-BTFLXD-00</v>
          </cell>
          <cell r="S1048" t="str">
            <v>HILUX</v>
          </cell>
          <cell r="T1048" t="e">
            <v>#N/A</v>
          </cell>
          <cell r="U1048" t="str">
            <v>HILUX SC M/T DIESEL</v>
          </cell>
        </row>
        <row r="1049">
          <cell r="D1049" t="str">
            <v>GGH30R-PFZVK-11</v>
          </cell>
          <cell r="E1049" t="str">
            <v>ALPHARD</v>
          </cell>
          <cell r="F1049" t="str">
            <v>ALPHARD</v>
          </cell>
          <cell r="G1049" t="str">
            <v>ALPHARD</v>
          </cell>
          <cell r="H1049" t="str">
            <v>ALPHARD Q A/T</v>
          </cell>
          <cell r="I1049" t="str">
            <v>ALPHARD Q A/T</v>
          </cell>
          <cell r="J1049" t="str">
            <v>ALPHARD Q A/T</v>
          </cell>
          <cell r="K1049" t="str">
            <v>ALPHARD</v>
          </cell>
          <cell r="L1049" t="str">
            <v>GG30ZQA/T11M</v>
          </cell>
          <cell r="M1049" t="str">
            <v>ALPHARD</v>
          </cell>
          <cell r="N1049" t="str">
            <v>ALPHARD</v>
          </cell>
          <cell r="O1049" t="str">
            <v>GGH30R-PFZVK-11</v>
          </cell>
          <cell r="P1049" t="e">
            <v>#N/A</v>
          </cell>
          <cell r="Q1049" t="e">
            <v>#N/A</v>
          </cell>
          <cell r="R1049" t="str">
            <v>GGH30R-PFZVK-11</v>
          </cell>
          <cell r="S1049" t="str">
            <v>ALPHARD</v>
          </cell>
          <cell r="T1049" t="e">
            <v>#N/A</v>
          </cell>
          <cell r="U1049" t="str">
            <v>ALPHARD Q A/T</v>
          </cell>
        </row>
        <row r="1050">
          <cell r="D1050" t="e">
            <v>#N/A</v>
          </cell>
          <cell r="E1050" t="str">
            <v>INNOVA</v>
          </cell>
          <cell r="F1050" t="str">
            <v>INNOVA</v>
          </cell>
          <cell r="G1050" t="str">
            <v>INNOVA</v>
          </cell>
          <cell r="H1050" t="str">
            <v>INNOVA V M/T DIESEL</v>
          </cell>
          <cell r="I1050" t="str">
            <v>INNOVA V M/T DIESEL</v>
          </cell>
          <cell r="J1050" t="str">
            <v>INNOVA V M/T DIESEL</v>
          </cell>
          <cell r="K1050" t="str">
            <v>INNOVA REBORN</v>
          </cell>
          <cell r="L1050" t="str">
            <v>GUN42VM/T01M</v>
          </cell>
          <cell r="M1050" t="str">
            <v>INNOVA</v>
          </cell>
          <cell r="N1050" t="str">
            <v>INNOVA REBORN</v>
          </cell>
          <cell r="O1050" t="e">
            <v>#N/A</v>
          </cell>
          <cell r="P1050" t="e">
            <v>#N/A</v>
          </cell>
          <cell r="Q1050" t="e">
            <v>#N/A</v>
          </cell>
          <cell r="R1050" t="e">
            <v>#N/A</v>
          </cell>
          <cell r="S1050" t="str">
            <v>INNOVA</v>
          </cell>
          <cell r="T1050" t="str">
            <v>INV REBORN</v>
          </cell>
          <cell r="U1050" t="str">
            <v>INNOVA V M/T DIESEL</v>
          </cell>
        </row>
        <row r="1051">
          <cell r="D1051" t="e">
            <v>#N/A</v>
          </cell>
          <cell r="E1051" t="str">
            <v>INNOVA</v>
          </cell>
          <cell r="F1051" t="str">
            <v>INNOVA</v>
          </cell>
          <cell r="G1051" t="str">
            <v>INNOVA</v>
          </cell>
          <cell r="H1051" t="str">
            <v>INNOVA V M/T DIESEL</v>
          </cell>
          <cell r="I1051" t="str">
            <v>INNOVA V M/T DIESEL</v>
          </cell>
          <cell r="J1051" t="str">
            <v>INNOVA V M/T DIESEL</v>
          </cell>
          <cell r="K1051" t="str">
            <v>INNOVA REBORN</v>
          </cell>
          <cell r="L1051" t="str">
            <v>GUN42VM/TL</v>
          </cell>
          <cell r="M1051" t="str">
            <v>INNOVA</v>
          </cell>
          <cell r="N1051" t="str">
            <v>INNOVA REBORN</v>
          </cell>
          <cell r="O1051" t="e">
            <v>#N/A</v>
          </cell>
          <cell r="P1051" t="e">
            <v>#N/A</v>
          </cell>
          <cell r="Q1051" t="e">
            <v>#N/A</v>
          </cell>
          <cell r="R1051" t="e">
            <v>#N/A</v>
          </cell>
          <cell r="S1051" t="str">
            <v>INNOVA</v>
          </cell>
          <cell r="T1051" t="str">
            <v>INV REBORN</v>
          </cell>
          <cell r="U1051" t="str">
            <v>INNOVA V M/T DIESEL</v>
          </cell>
        </row>
        <row r="1052">
          <cell r="D1052" t="str">
            <v>GUN142R-MDMHXD-01</v>
          </cell>
          <cell r="E1052" t="str">
            <v>INNOVA</v>
          </cell>
          <cell r="F1052" t="str">
            <v>INNOVA</v>
          </cell>
          <cell r="G1052" t="str">
            <v>INNOVA</v>
          </cell>
          <cell r="H1052" t="str">
            <v>VENTURER M/T DIESEL</v>
          </cell>
          <cell r="I1052" t="str">
            <v xml:space="preserve">VENTURER M/T DIESEL </v>
          </cell>
          <cell r="J1052" t="str">
            <v xml:space="preserve">VENTURER M/T DIESEL </v>
          </cell>
          <cell r="K1052" t="str">
            <v>INNOVA REBORN</v>
          </cell>
          <cell r="L1052" t="str">
            <v>GUNX42VM/T01M</v>
          </cell>
          <cell r="M1052" t="str">
            <v>INNOVA</v>
          </cell>
          <cell r="N1052" t="str">
            <v>INNOVA REBORN</v>
          </cell>
          <cell r="O1052" t="str">
            <v>GUN142R-MDMHXD-01</v>
          </cell>
          <cell r="P1052" t="e">
            <v>#N/A</v>
          </cell>
          <cell r="Q1052" t="e">
            <v>#N/A</v>
          </cell>
          <cell r="R1052" t="str">
            <v>GUN142R-MDMHXD-01</v>
          </cell>
          <cell r="S1052" t="str">
            <v>INNOVA</v>
          </cell>
          <cell r="T1052" t="e">
            <v>#N/A</v>
          </cell>
          <cell r="U1052" t="str">
            <v>VENTURER M/T DIESEL</v>
          </cell>
        </row>
        <row r="1053">
          <cell r="D1053" t="str">
            <v>GUN142R-MDTHXD-01</v>
          </cell>
          <cell r="E1053" t="str">
            <v>INNOVA</v>
          </cell>
          <cell r="F1053" t="str">
            <v>INNOVA</v>
          </cell>
          <cell r="G1053" t="str">
            <v>INNOVA</v>
          </cell>
          <cell r="H1053" t="str">
            <v>VENTURER A/T DIESEL</v>
          </cell>
          <cell r="I1053" t="str">
            <v xml:space="preserve">VENTURER A/T DIESEL </v>
          </cell>
          <cell r="J1053" t="str">
            <v xml:space="preserve">VENTURER A/T DIESEL </v>
          </cell>
          <cell r="K1053" t="str">
            <v>INNOVA REBORN</v>
          </cell>
          <cell r="L1053" t="str">
            <v>GUNX42VA/T01M</v>
          </cell>
          <cell r="M1053" t="str">
            <v>INNOVA</v>
          </cell>
          <cell r="N1053" t="str">
            <v>INNOVA REBORN</v>
          </cell>
          <cell r="O1053" t="str">
            <v>GUN142R-MDTHXD-01</v>
          </cell>
          <cell r="P1053" t="e">
            <v>#N/A</v>
          </cell>
          <cell r="Q1053" t="e">
            <v>#N/A</v>
          </cell>
          <cell r="R1053" t="str">
            <v>GUN142R-MDTHXD-01</v>
          </cell>
          <cell r="S1053" t="str">
            <v>INNOVA</v>
          </cell>
          <cell r="T1053" t="e">
            <v>#N/A</v>
          </cell>
          <cell r="U1053" t="str">
            <v>VENTURER A/T DIESEL</v>
          </cell>
        </row>
        <row r="1054">
          <cell r="D1054" t="str">
            <v>GUN166R-SDTHXD-01</v>
          </cell>
          <cell r="E1054" t="str">
            <v>FORTUNER</v>
          </cell>
          <cell r="F1054" t="str">
            <v>FORTUNER 4X2</v>
          </cell>
          <cell r="G1054" t="str">
            <v>FORTUNER 4X2</v>
          </cell>
          <cell r="H1054" t="str">
            <v>FORTUNER 4X2 VRZ A/T DIESEL</v>
          </cell>
          <cell r="I1054" t="str">
            <v>FORTUNER 4X2 VRZ A/T DIESEL GR</v>
          </cell>
          <cell r="J1054" t="str">
            <v>FORTUNER 4X2 VRZ A/T DIESEL GR</v>
          </cell>
          <cell r="K1054" t="str">
            <v>FORTUNER 4X2</v>
          </cell>
          <cell r="L1054" t="str">
            <v>GUN66VRXA/T01M</v>
          </cell>
          <cell r="M1054" t="str">
            <v>FORTUNER</v>
          </cell>
          <cell r="N1054" t="str">
            <v>FORTUNER 4X2</v>
          </cell>
          <cell r="O1054" t="str">
            <v>GUN166R-SDTHXD-01</v>
          </cell>
          <cell r="P1054" t="e">
            <v>#N/A</v>
          </cell>
          <cell r="Q1054" t="e">
            <v>#N/A</v>
          </cell>
          <cell r="R1054" t="str">
            <v>GUN166R-SDTHXD-01</v>
          </cell>
          <cell r="S1054" t="str">
            <v>FORTUNER</v>
          </cell>
          <cell r="T1054" t="e">
            <v>#N/A</v>
          </cell>
          <cell r="U1054" t="str">
            <v>FORTUNER 4X2 VRZ A/T DIESEL</v>
          </cell>
        </row>
        <row r="1055">
          <cell r="D1055" t="str">
            <v>TGN140R-MDTHKD-32</v>
          </cell>
          <cell r="E1055" t="str">
            <v>INNOVA</v>
          </cell>
          <cell r="F1055" t="str">
            <v>INNOVA</v>
          </cell>
          <cell r="G1055" t="str">
            <v>INNOVA</v>
          </cell>
          <cell r="H1055" t="str">
            <v>VENTURER A/T</v>
          </cell>
          <cell r="I1055" t="str">
            <v xml:space="preserve">VENTURER A/T </v>
          </cell>
          <cell r="J1055" t="str">
            <v xml:space="preserve">VENTURER A/T </v>
          </cell>
          <cell r="K1055" t="str">
            <v>INNOVA REBORN</v>
          </cell>
          <cell r="L1055" t="str">
            <v>TGN40QA/T32M</v>
          </cell>
          <cell r="M1055" t="str">
            <v>INNOVA</v>
          </cell>
          <cell r="N1055" t="str">
            <v>INNOVA REBORN</v>
          </cell>
          <cell r="O1055" t="str">
            <v>TGN140R-MDTHKD-32</v>
          </cell>
          <cell r="P1055" t="e">
            <v>#N/A</v>
          </cell>
          <cell r="Q1055" t="e">
            <v>#N/A</v>
          </cell>
          <cell r="R1055" t="str">
            <v>TGN140R-MDTHKD-32</v>
          </cell>
          <cell r="S1055" t="str">
            <v>INNOVA</v>
          </cell>
          <cell r="T1055" t="e">
            <v>#N/A</v>
          </cell>
          <cell r="U1055" t="str">
            <v>VENTURER A/T</v>
          </cell>
        </row>
        <row r="1056">
          <cell r="D1056" t="str">
            <v>TGN140R-MDMHKD-32</v>
          </cell>
          <cell r="E1056" t="str">
            <v>INNOVA</v>
          </cell>
          <cell r="F1056" t="str">
            <v>INNOVA</v>
          </cell>
          <cell r="G1056" t="str">
            <v>INNOVA</v>
          </cell>
          <cell r="H1056" t="str">
            <v>VENTURER M/T</v>
          </cell>
          <cell r="I1056" t="str">
            <v xml:space="preserve">VENTURER M/T </v>
          </cell>
          <cell r="J1056" t="str">
            <v xml:space="preserve">VENTURER M/T </v>
          </cell>
          <cell r="K1056" t="str">
            <v>INNOVA REBORN</v>
          </cell>
          <cell r="L1056" t="str">
            <v>TGN40QM/T32M</v>
          </cell>
          <cell r="M1056" t="str">
            <v>INNOVA</v>
          </cell>
          <cell r="N1056" t="str">
            <v>INNOVA REBORN</v>
          </cell>
          <cell r="O1056" t="str">
            <v>TGN140R-MDMHKD-32</v>
          </cell>
          <cell r="P1056" t="e">
            <v>#N/A</v>
          </cell>
          <cell r="Q1056" t="e">
            <v>#N/A</v>
          </cell>
          <cell r="R1056" t="str">
            <v>TGN140R-MDMHKD-32</v>
          </cell>
          <cell r="S1056" t="str">
            <v>INNOVA</v>
          </cell>
          <cell r="T1056" t="e">
            <v>#N/A</v>
          </cell>
          <cell r="U1056" t="str">
            <v>VENTURER M/T</v>
          </cell>
        </row>
        <row r="1057">
          <cell r="D1057" t="str">
            <v>GUN166R-SDTHXD-AA</v>
          </cell>
          <cell r="E1057" t="str">
            <v>FORTUNER</v>
          </cell>
          <cell r="F1057" t="str">
            <v>FORTUNER 4X2</v>
          </cell>
          <cell r="G1057" t="str">
            <v>FORTUNER 4X2</v>
          </cell>
          <cell r="H1057" t="str">
            <v>FORTUNER 4X2 VRZ A/T DIESEL</v>
          </cell>
          <cell r="I1057" t="str">
            <v>FORTUNER 4X2 VRZ A/T DIESEL GR</v>
          </cell>
          <cell r="J1057" t="str">
            <v>FORTUNER 4X2 VRZ A/T DIESEL GR TCO</v>
          </cell>
          <cell r="K1057" t="str">
            <v>FORTUNER 4X2</v>
          </cell>
          <cell r="L1057" t="str">
            <v>GUN66VRXA/TAAM</v>
          </cell>
          <cell r="M1057" t="str">
            <v>FORTUNER</v>
          </cell>
          <cell r="N1057" t="str">
            <v>FORTUNER 4X2</v>
          </cell>
          <cell r="O1057" t="str">
            <v>GUN166R-SDTHXD-AA</v>
          </cell>
          <cell r="P1057" t="str">
            <v>FORTUNER 4X2</v>
          </cell>
          <cell r="Q1057" t="e">
            <v>#N/A</v>
          </cell>
          <cell r="R1057" t="str">
            <v>GUN166R-SDTHXD-AA</v>
          </cell>
          <cell r="S1057" t="str">
            <v>FORTUNER</v>
          </cell>
          <cell r="T1057" t="e">
            <v>#N/A</v>
          </cell>
          <cell r="U1057" t="str">
            <v>FORTUNER 4X2 VRZ A/T DIESEL</v>
          </cell>
        </row>
        <row r="1058">
          <cell r="D1058" t="str">
            <v>GUN166R-SDTHXD-11</v>
          </cell>
          <cell r="E1058" t="str">
            <v>FORTUNER</v>
          </cell>
          <cell r="F1058" t="str">
            <v>FORTUNER 4X2</v>
          </cell>
          <cell r="G1058" t="str">
            <v>FORTUNER 4X2</v>
          </cell>
          <cell r="H1058" t="str">
            <v>FORTUNER 4X2 VRZ A/T DIESEL</v>
          </cell>
          <cell r="I1058" t="str">
            <v>FORTUNER 4X2 VRZ A/T DIESEL GR</v>
          </cell>
          <cell r="J1058" t="str">
            <v>FORTUNER 4X2 VRZ A/T DIESEL GR</v>
          </cell>
          <cell r="K1058" t="str">
            <v>FORTUNER 4X2</v>
          </cell>
          <cell r="L1058" t="str">
            <v>GUN66VRXA/T11M</v>
          </cell>
          <cell r="M1058" t="str">
            <v>FORTUNER</v>
          </cell>
          <cell r="N1058" t="str">
            <v>FORTUNER 4X2</v>
          </cell>
          <cell r="O1058" t="str">
            <v>GUN166R-SDTHXD-11</v>
          </cell>
          <cell r="P1058" t="e">
            <v>#N/A</v>
          </cell>
          <cell r="Q1058" t="e">
            <v>#N/A</v>
          </cell>
          <cell r="R1058" t="str">
            <v>GUN166R-SDTHXD-11</v>
          </cell>
          <cell r="S1058" t="str">
            <v>FORTUNER</v>
          </cell>
          <cell r="T1058" t="e">
            <v>#N/A</v>
          </cell>
          <cell r="U1058" t="str">
            <v>FORTUNER 4X2 VRZ A/T DIESEL</v>
          </cell>
        </row>
        <row r="1059">
          <cell r="D1059" t="str">
            <v>GUN166R-SDTHXD-AB</v>
          </cell>
          <cell r="E1059" t="str">
            <v>FORTUNER</v>
          </cell>
          <cell r="F1059" t="str">
            <v>FORTUNER 4X2</v>
          </cell>
          <cell r="G1059" t="str">
            <v>FORTUNER 4X2</v>
          </cell>
          <cell r="H1059" t="str">
            <v>FORTUNER 4X2 VRZ A/T DIESEL</v>
          </cell>
          <cell r="I1059" t="str">
            <v>FORTUNER 4X2 VRZ A/T DIESEL GR</v>
          </cell>
          <cell r="J1059" t="str">
            <v>FORTUNER 4X2 VRZ A/T DIESEL GR TCO</v>
          </cell>
          <cell r="K1059" t="str">
            <v>FORTUNER 4X2</v>
          </cell>
          <cell r="L1059" t="str">
            <v>GUN66VRXA/TABM</v>
          </cell>
          <cell r="M1059" t="str">
            <v>FORTUNER</v>
          </cell>
          <cell r="N1059" t="str">
            <v>FORTUNER 4X2</v>
          </cell>
          <cell r="O1059" t="str">
            <v>GUN166R-SDTHXD-AB</v>
          </cell>
          <cell r="P1059" t="e">
            <v>#N/A</v>
          </cell>
          <cell r="Q1059" t="e">
            <v>#N/A</v>
          </cell>
          <cell r="R1059" t="str">
            <v>GUN166R-SDTHXD-AB</v>
          </cell>
          <cell r="S1059" t="str">
            <v>FORTUNER</v>
          </cell>
          <cell r="T1059" t="e">
            <v>#N/A</v>
          </cell>
          <cell r="U1059" t="str">
            <v>FORTUNER 4X2 VRZ A/T DIESEL</v>
          </cell>
        </row>
        <row r="1060">
          <cell r="D1060" t="str">
            <v>GUN166R-SDTHXD-21</v>
          </cell>
          <cell r="E1060" t="str">
            <v>FORTUNER</v>
          </cell>
          <cell r="F1060" t="str">
            <v>FORTUNER 4X2</v>
          </cell>
          <cell r="G1060" t="str">
            <v>FORTUNER 4X2</v>
          </cell>
          <cell r="H1060" t="str">
            <v>FORTUNER 4X2 VRZ A/T DIESEL</v>
          </cell>
          <cell r="I1060" t="str">
            <v>FORTUNER 4X2 VRZ A/T DIESEL GR</v>
          </cell>
          <cell r="J1060" t="str">
            <v>FORTUNER 4X2 VRZ A/T DIESEL GR</v>
          </cell>
          <cell r="K1060" t="str">
            <v>FORTUNER 4X2</v>
          </cell>
          <cell r="M1060" t="str">
            <v>FORTUNER</v>
          </cell>
          <cell r="N1060" t="str">
            <v>FORTUNER 4X2</v>
          </cell>
          <cell r="O1060" t="str">
            <v>GUN166R-SDTHXD-21</v>
          </cell>
          <cell r="P1060" t="str">
            <v>FORTUNER 4X2</v>
          </cell>
          <cell r="Q1060" t="e">
            <v>#N/A</v>
          </cell>
          <cell r="R1060" t="str">
            <v>GUN166R-SDTHXD-21</v>
          </cell>
          <cell r="S1060" t="str">
            <v>FORTUNER</v>
          </cell>
          <cell r="T1060" t="e">
            <v>#N/A</v>
          </cell>
          <cell r="U1060" t="str">
            <v>FORTUNER 4X2 VRZ A/T DIESEL</v>
          </cell>
        </row>
        <row r="1061">
          <cell r="D1061" t="str">
            <v>NSP151R-CHMGKD-21</v>
          </cell>
          <cell r="E1061" t="str">
            <v>YARIS</v>
          </cell>
          <cell r="F1061" t="str">
            <v>YARIS</v>
          </cell>
          <cell r="G1061" t="str">
            <v>YARIS</v>
          </cell>
          <cell r="H1061" t="str">
            <v>YARIS G M/T</v>
          </cell>
          <cell r="I1061" t="str">
            <v>YARIS G M/T</v>
          </cell>
          <cell r="J1061" t="str">
            <v>YARIS G M/T 3 AIRBAG</v>
          </cell>
          <cell r="K1061" t="str">
            <v>YARIS</v>
          </cell>
          <cell r="L1061" t="str">
            <v>NS51HMGM/T21M</v>
          </cell>
          <cell r="M1061" t="str">
            <v>YARIS</v>
          </cell>
          <cell r="N1061" t="str">
            <v>YARIS</v>
          </cell>
          <cell r="O1061" t="str">
            <v>NSP151R-CHMGKD-21</v>
          </cell>
          <cell r="P1061" t="e">
            <v>#N/A</v>
          </cell>
          <cell r="Q1061" t="e">
            <v>#N/A</v>
          </cell>
          <cell r="R1061" t="str">
            <v>NSP151R-CHMGKD-21</v>
          </cell>
          <cell r="S1061" t="str">
            <v>YARIS</v>
          </cell>
          <cell r="T1061" t="e">
            <v>#N/A</v>
          </cell>
          <cell r="U1061" t="str">
            <v>YARIS G M/T</v>
          </cell>
        </row>
        <row r="1062">
          <cell r="D1062" t="str">
            <v>NSP151R-CHMGKD-20</v>
          </cell>
          <cell r="E1062" t="str">
            <v>YARIS</v>
          </cell>
          <cell r="F1062" t="str">
            <v>YARIS</v>
          </cell>
          <cell r="G1062" t="str">
            <v>YARIS</v>
          </cell>
          <cell r="H1062" t="str">
            <v>YARIS G M/T</v>
          </cell>
          <cell r="I1062" t="str">
            <v>YARIS G M/T</v>
          </cell>
          <cell r="J1062" t="str">
            <v>YARIS G M/T 7 AIRBAG</v>
          </cell>
          <cell r="K1062" t="str">
            <v>YARIS</v>
          </cell>
          <cell r="L1062" t="str">
            <v>NS51HMGM/T20M</v>
          </cell>
          <cell r="M1062" t="str">
            <v>YARIS</v>
          </cell>
          <cell r="N1062" t="str">
            <v>YARIS</v>
          </cell>
          <cell r="O1062" t="str">
            <v>NSP151R-CHMGKD-20</v>
          </cell>
          <cell r="P1062" t="e">
            <v>#N/A</v>
          </cell>
          <cell r="Q1062" t="e">
            <v>#N/A</v>
          </cell>
          <cell r="R1062" t="str">
            <v>NSP151R-CHMGKD-20</v>
          </cell>
          <cell r="S1062" t="str">
            <v>YARIS</v>
          </cell>
          <cell r="T1062" t="e">
            <v>#N/A</v>
          </cell>
          <cell r="U1062" t="str">
            <v>YARIS G M/T</v>
          </cell>
        </row>
        <row r="1063">
          <cell r="D1063" t="str">
            <v>GUN166R-SDTHXD-AC</v>
          </cell>
          <cell r="E1063" t="str">
            <v>FORTUNER</v>
          </cell>
          <cell r="F1063" t="str">
            <v>FORTUNER 4X2</v>
          </cell>
          <cell r="G1063" t="str">
            <v>FORTUNER 4X2</v>
          </cell>
          <cell r="H1063" t="str">
            <v>FORTUNER 4X2 VRZ A/T DIESEL</v>
          </cell>
          <cell r="I1063" t="str">
            <v>FORTUNER 4X2 VRZ A/T DIESEL GR</v>
          </cell>
          <cell r="J1063" t="str">
            <v>FORTUNER 4X2 VRZ A/T DIESEL GR TCO</v>
          </cell>
          <cell r="K1063" t="str">
            <v>FORTUNER 4X2</v>
          </cell>
          <cell r="M1063" t="str">
            <v>FORTUNER</v>
          </cell>
          <cell r="N1063" t="str">
            <v>FORTUNER 4X2</v>
          </cell>
          <cell r="O1063" t="str">
            <v>GUN166R-SDTHXD-AC</v>
          </cell>
          <cell r="P1063" t="e">
            <v>#N/A</v>
          </cell>
          <cell r="Q1063" t="e">
            <v>#N/A</v>
          </cell>
          <cell r="R1063" t="str">
            <v>GUN166R-SDTHXD-AC</v>
          </cell>
          <cell r="S1063" t="str">
            <v>FORTUNER</v>
          </cell>
          <cell r="T1063" t="e">
            <v>#N/A</v>
          </cell>
          <cell r="U1063" t="str">
            <v>FORTUNER 4X2 VRZ A/T DIESEL</v>
          </cell>
        </row>
        <row r="1064">
          <cell r="D1064" t="str">
            <v>ZYX10R-CHXGBT-13</v>
          </cell>
          <cell r="E1064" t="str">
            <v>CHR</v>
          </cell>
          <cell r="F1064" t="str">
            <v>CHR</v>
          </cell>
          <cell r="G1064" t="str">
            <v>CHR</v>
          </cell>
          <cell r="H1064" t="str">
            <v>CHR HYBRID</v>
          </cell>
          <cell r="I1064" t="str">
            <v>CHR HYBRID DUAL TONE A/T</v>
          </cell>
          <cell r="J1064" t="str">
            <v>CHR HYBRID DUAL TONE A/T</v>
          </cell>
          <cell r="K1064" t="str">
            <v>CHR</v>
          </cell>
          <cell r="L1064" t="str">
            <v>ZYX10A/T13M</v>
          </cell>
          <cell r="M1064" t="str">
            <v>CHR</v>
          </cell>
          <cell r="N1064" t="str">
            <v>CHR</v>
          </cell>
          <cell r="O1064" t="str">
            <v>ZYX10R-CHXGBT-13</v>
          </cell>
          <cell r="P1064" t="e">
            <v>#N/A</v>
          </cell>
          <cell r="Q1064" t="e">
            <v>#N/A</v>
          </cell>
          <cell r="R1064" t="str">
            <v>ZYX10R-CHXGBT-13</v>
          </cell>
          <cell r="S1064" t="str">
            <v>CHR</v>
          </cell>
          <cell r="T1064" t="e">
            <v>#N/A</v>
          </cell>
          <cell r="U1064" t="str">
            <v>CHR HYBRID</v>
          </cell>
        </row>
        <row r="1065">
          <cell r="D1065" t="str">
            <v>GUN166R-SDTHXD-AD</v>
          </cell>
          <cell r="E1065" t="str">
            <v>FORTUNER</v>
          </cell>
          <cell r="F1065" t="str">
            <v>FORTUNER 4X2</v>
          </cell>
          <cell r="G1065" t="str">
            <v>FORTUNER 4X2</v>
          </cell>
          <cell r="H1065" t="str">
            <v>FORTUNER 4X2 VRZ A/T DIESEL</v>
          </cell>
          <cell r="I1065" t="str">
            <v>FORTUNER 4X2 VRZ A/T DIESEL GR</v>
          </cell>
          <cell r="J1065" t="str">
            <v>FORTUNER 4X2 VRZ A/T DIESEL GR TCO</v>
          </cell>
          <cell r="K1065" t="str">
            <v>FORTUNER 4X2</v>
          </cell>
          <cell r="M1065" t="str">
            <v>FORTUNER</v>
          </cell>
          <cell r="N1065" t="str">
            <v>FORTUNER 4X2</v>
          </cell>
          <cell r="O1065" t="str">
            <v>GUN166R-SDTHXD-AD</v>
          </cell>
          <cell r="P1065" t="str">
            <v>FORTUNER 4X2</v>
          </cell>
          <cell r="Q1065" t="e">
            <v>#N/A</v>
          </cell>
          <cell r="R1065" t="str">
            <v>GUN166R-SDTHXD-AD</v>
          </cell>
          <cell r="S1065" t="str">
            <v>FORTUNER</v>
          </cell>
          <cell r="T1065" t="e">
            <v>#N/A</v>
          </cell>
          <cell r="U1065" t="str">
            <v>FORTUNER 4X2 VRZ A/T DIESEL</v>
          </cell>
        </row>
        <row r="1066">
          <cell r="D1066" t="e">
            <v>#N/A</v>
          </cell>
          <cell r="E1066" t="str">
            <v>INNOVA</v>
          </cell>
          <cell r="F1066" t="str">
            <v>INNOVA</v>
          </cell>
          <cell r="G1066" t="str">
            <v>INNOVA</v>
          </cell>
          <cell r="H1066" t="str">
            <v>INNOVA V M/T DIESEL</v>
          </cell>
          <cell r="I1066" t="str">
            <v>INNOVA V M/T DIESEL</v>
          </cell>
          <cell r="J1066" t="str">
            <v>INNOVA V M/T DIESEL</v>
          </cell>
          <cell r="K1066" t="str">
            <v>INNOVA REBORN</v>
          </cell>
          <cell r="L1066" t="str">
            <v>KU40VM/T30</v>
          </cell>
          <cell r="M1066" t="str">
            <v>INNOVA</v>
          </cell>
          <cell r="N1066" t="str">
            <v>INNOVA REBORN</v>
          </cell>
          <cell r="O1066" t="e">
            <v>#N/A</v>
          </cell>
          <cell r="P1066" t="e">
            <v>#N/A</v>
          </cell>
          <cell r="Q1066" t="e">
            <v>#N/A</v>
          </cell>
          <cell r="R1066" t="e">
            <v>#N/A</v>
          </cell>
          <cell r="S1066" t="str">
            <v>INNOVA</v>
          </cell>
          <cell r="T1066" t="str">
            <v>INV REBORN</v>
          </cell>
          <cell r="U1066" t="str">
            <v>INNOVA V M/T DIESEL</v>
          </cell>
        </row>
        <row r="1067">
          <cell r="D1067" t="e">
            <v>#N/A</v>
          </cell>
          <cell r="E1067" t="str">
            <v>INNOVA</v>
          </cell>
          <cell r="F1067" t="str">
            <v>INNOVA</v>
          </cell>
          <cell r="G1067" t="str">
            <v>INNOVA</v>
          </cell>
          <cell r="H1067" t="str">
            <v>INNOVA V M/T DIESEL</v>
          </cell>
          <cell r="I1067" t="str">
            <v>INNOVA V M/T DIESEL</v>
          </cell>
          <cell r="J1067" t="str">
            <v>INNOVA V M/T DIESEL</v>
          </cell>
          <cell r="K1067" t="str">
            <v>INNOVA REBORN</v>
          </cell>
          <cell r="L1067" t="str">
            <v>KU40VM/T30M</v>
          </cell>
          <cell r="M1067" t="str">
            <v>INNOVA</v>
          </cell>
          <cell r="N1067" t="str">
            <v>INNOVA REBORN</v>
          </cell>
          <cell r="O1067" t="e">
            <v>#N/A</v>
          </cell>
          <cell r="P1067" t="e">
            <v>#N/A</v>
          </cell>
          <cell r="Q1067" t="e">
            <v>#N/A</v>
          </cell>
          <cell r="R1067" t="e">
            <v>#N/A</v>
          </cell>
          <cell r="S1067" t="str">
            <v>INNOVA</v>
          </cell>
          <cell r="T1067" t="str">
            <v>INV REBORN</v>
          </cell>
          <cell r="U1067" t="str">
            <v>INNOVA V M/T DIESEL</v>
          </cell>
        </row>
        <row r="1068">
          <cell r="D1068" t="e">
            <v>#N/A</v>
          </cell>
          <cell r="E1068" t="str">
            <v>INNOVA</v>
          </cell>
          <cell r="F1068" t="str">
            <v>INNOVA</v>
          </cell>
          <cell r="G1068" t="str">
            <v>INNOVA</v>
          </cell>
          <cell r="H1068" t="str">
            <v>INNOVA V M/T DIESEL</v>
          </cell>
          <cell r="I1068" t="str">
            <v>INNOVA V M/T DIESEL</v>
          </cell>
          <cell r="J1068" t="str">
            <v>INNOVA V M/T DIESEL</v>
          </cell>
          <cell r="K1068" t="str">
            <v>INNOVA REBORN</v>
          </cell>
          <cell r="L1068" t="str">
            <v>KU40VM/T40M</v>
          </cell>
          <cell r="M1068" t="str">
            <v>INNOVA</v>
          </cell>
          <cell r="N1068" t="str">
            <v>INNOVA REBORN</v>
          </cell>
          <cell r="O1068" t="e">
            <v>#N/A</v>
          </cell>
          <cell r="P1068" t="e">
            <v>#N/A</v>
          </cell>
          <cell r="Q1068" t="e">
            <v>#N/A</v>
          </cell>
          <cell r="R1068" t="e">
            <v>#N/A</v>
          </cell>
          <cell r="S1068" t="str">
            <v>INNOVA</v>
          </cell>
          <cell r="T1068" t="str">
            <v>INV REBORN</v>
          </cell>
          <cell r="U1068" t="str">
            <v>INNOVA V M/T DIESEL</v>
          </cell>
        </row>
        <row r="1069">
          <cell r="D1069" t="e">
            <v>#N/A</v>
          </cell>
          <cell r="E1069" t="str">
            <v>INNOVA</v>
          </cell>
          <cell r="F1069" t="str">
            <v>INNOVA</v>
          </cell>
          <cell r="G1069" t="str">
            <v>INNOVA</v>
          </cell>
          <cell r="H1069" t="str">
            <v>INNOVA V M/T DIESEL</v>
          </cell>
          <cell r="I1069" t="str">
            <v>INNOVA V M/T DIESEL</v>
          </cell>
          <cell r="J1069" t="str">
            <v>INNOVA V M/T DIESEL</v>
          </cell>
          <cell r="K1069" t="str">
            <v>INNOVA REBORN</v>
          </cell>
          <cell r="L1069" t="str">
            <v>KU40VM/T50M</v>
          </cell>
          <cell r="M1069" t="str">
            <v>INNOVA</v>
          </cell>
          <cell r="N1069" t="str">
            <v>INNOVA REBORN</v>
          </cell>
          <cell r="O1069" t="e">
            <v>#N/A</v>
          </cell>
          <cell r="P1069" t="e">
            <v>#N/A</v>
          </cell>
          <cell r="Q1069" t="e">
            <v>#N/A</v>
          </cell>
          <cell r="R1069" t="e">
            <v>#N/A</v>
          </cell>
          <cell r="S1069" t="str">
            <v>INNOVA</v>
          </cell>
          <cell r="T1069" t="str">
            <v>INV REBORN</v>
          </cell>
          <cell r="U1069" t="str">
            <v>INNOVA V M/T DIESEL</v>
          </cell>
        </row>
        <row r="1070">
          <cell r="D1070" t="str">
            <v>TGN140R-MDMHKD-54</v>
          </cell>
          <cell r="E1070" t="str">
            <v>INNOVA</v>
          </cell>
          <cell r="F1070" t="str">
            <v>INNOVA</v>
          </cell>
          <cell r="G1070" t="str">
            <v>INNOVA</v>
          </cell>
          <cell r="H1070" t="str">
            <v>VENTURER M/T</v>
          </cell>
          <cell r="I1070" t="str">
            <v xml:space="preserve">VENTURER M/T </v>
          </cell>
          <cell r="J1070" t="str">
            <v xml:space="preserve">VENTURER M/T </v>
          </cell>
          <cell r="K1070" t="str">
            <v>INNOVA REBORN</v>
          </cell>
          <cell r="L1070" t="str">
            <v>TGN40VM/T54M</v>
          </cell>
          <cell r="M1070" t="str">
            <v>INNOVA</v>
          </cell>
          <cell r="N1070" t="str">
            <v>INNOVA REBORN</v>
          </cell>
          <cell r="O1070" t="str">
            <v>TGN140R-MDMHKD-54</v>
          </cell>
          <cell r="P1070" t="e">
            <v>#N/A</v>
          </cell>
          <cell r="Q1070" t="e">
            <v>#N/A</v>
          </cell>
          <cell r="R1070" t="str">
            <v>TGN140R-MDMHKD-54</v>
          </cell>
          <cell r="S1070" t="str">
            <v>INNOVA</v>
          </cell>
          <cell r="T1070" t="e">
            <v>#N/A</v>
          </cell>
          <cell r="U1070" t="str">
            <v>VENTURER M/T</v>
          </cell>
        </row>
        <row r="1071">
          <cell r="D1071" t="str">
            <v>TGN140R-MDTHKD-54</v>
          </cell>
          <cell r="E1071" t="str">
            <v>INNOVA</v>
          </cell>
          <cell r="F1071" t="str">
            <v>INNOVA</v>
          </cell>
          <cell r="G1071" t="str">
            <v>INNOVA</v>
          </cell>
          <cell r="H1071" t="str">
            <v>VENTURER A/T</v>
          </cell>
          <cell r="I1071" t="str">
            <v xml:space="preserve">VENTURER A/T </v>
          </cell>
          <cell r="J1071" t="str">
            <v xml:space="preserve">VENTURER A/T </v>
          </cell>
          <cell r="K1071" t="str">
            <v>INNOVA REBORN</v>
          </cell>
          <cell r="L1071" t="str">
            <v>TGN40VA/T54M</v>
          </cell>
          <cell r="M1071" t="str">
            <v>INNOVA</v>
          </cell>
          <cell r="N1071" t="str">
            <v>INNOVA REBORN</v>
          </cell>
          <cell r="O1071" t="str">
            <v>TGN140R-MDTHKD-54</v>
          </cell>
          <cell r="P1071" t="e">
            <v>#N/A</v>
          </cell>
          <cell r="Q1071" t="e">
            <v>#N/A</v>
          </cell>
          <cell r="R1071" t="str">
            <v>TGN140R-MDTHKD-54</v>
          </cell>
          <cell r="S1071" t="str">
            <v>INNOVA</v>
          </cell>
          <cell r="T1071" t="e">
            <v>#N/A</v>
          </cell>
          <cell r="U1071" t="str">
            <v>VENTURER A/T</v>
          </cell>
        </row>
        <row r="1072">
          <cell r="D1072" t="str">
            <v>GUN142R-MDMMYD-10</v>
          </cell>
          <cell r="E1072" t="str">
            <v>INNOVA</v>
          </cell>
          <cell r="F1072" t="str">
            <v>INNOVA</v>
          </cell>
          <cell r="G1072" t="str">
            <v>INNOVA</v>
          </cell>
          <cell r="H1072" t="str">
            <v>INNOVA V M/T DIESEL</v>
          </cell>
          <cell r="I1072" t="str">
            <v>INNOVA V M/T DIESEL</v>
          </cell>
          <cell r="J1072" t="str">
            <v>INNOVA V M/T DIESEL</v>
          </cell>
          <cell r="K1072" t="str">
            <v>INNOVA REBORN</v>
          </cell>
          <cell r="L1072" t="str">
            <v>GUN42VM/T10M</v>
          </cell>
          <cell r="M1072" t="str">
            <v>INNOVA</v>
          </cell>
          <cell r="N1072" t="str">
            <v>INNOVA REBORN</v>
          </cell>
          <cell r="O1072" t="str">
            <v>GUN142R-MDMMYD-10</v>
          </cell>
          <cell r="P1072" t="e">
            <v>#N/A</v>
          </cell>
          <cell r="Q1072" t="e">
            <v>#N/A</v>
          </cell>
          <cell r="R1072" t="str">
            <v>GUN142R-MDMMYD-10</v>
          </cell>
          <cell r="S1072" t="str">
            <v>INNOVA</v>
          </cell>
          <cell r="T1072" t="str">
            <v>INV REBORN</v>
          </cell>
          <cell r="U1072" t="str">
            <v>INNOVA V M/T DIESEL</v>
          </cell>
        </row>
        <row r="1073">
          <cell r="D1073" t="str">
            <v>GUN142R-MDMMYD-11</v>
          </cell>
          <cell r="E1073" t="str">
            <v>INNOVA</v>
          </cell>
          <cell r="F1073" t="str">
            <v>INNOVA</v>
          </cell>
          <cell r="G1073" t="str">
            <v>INNOVA</v>
          </cell>
          <cell r="H1073" t="str">
            <v>INNOVA V M/T DIESEL</v>
          </cell>
          <cell r="I1073" t="str">
            <v>INNOVA V M/T DIESEL</v>
          </cell>
          <cell r="J1073" t="str">
            <v>INNOVA V M/T DIESEL</v>
          </cell>
          <cell r="K1073" t="str">
            <v>INNOVA REBORN</v>
          </cell>
          <cell r="L1073" t="str">
            <v>GUN42VM/T11M</v>
          </cell>
          <cell r="M1073" t="str">
            <v>INNOVA</v>
          </cell>
          <cell r="N1073" t="str">
            <v>INNOVA REBORN</v>
          </cell>
          <cell r="O1073" t="str">
            <v>GUN142R-MDMMYD-11</v>
          </cell>
          <cell r="P1073" t="e">
            <v>#N/A</v>
          </cell>
          <cell r="Q1073" t="e">
            <v>#N/A</v>
          </cell>
          <cell r="R1073" t="str">
            <v>GUN142R-MDMMYD-11</v>
          </cell>
          <cell r="S1073" t="str">
            <v>INNOVA</v>
          </cell>
          <cell r="T1073" t="str">
            <v>INV REBORN</v>
          </cell>
          <cell r="U1073" t="str">
            <v>INNOVA V M/T DIESEL</v>
          </cell>
        </row>
        <row r="1074">
          <cell r="D1074" t="str">
            <v>GUN142R-MDMMYD-13</v>
          </cell>
          <cell r="E1074" t="str">
            <v>INNOVA</v>
          </cell>
          <cell r="F1074" t="str">
            <v>INNOVA</v>
          </cell>
          <cell r="G1074" t="str">
            <v>INNOVA</v>
          </cell>
          <cell r="H1074" t="str">
            <v>INNOVA V M/T DIESEL</v>
          </cell>
          <cell r="I1074" t="str">
            <v>INNOVA V M/T DIESEL</v>
          </cell>
          <cell r="J1074" t="str">
            <v>INNOVA V M/T DIESEL</v>
          </cell>
          <cell r="K1074" t="str">
            <v>INNOVA REBORN</v>
          </cell>
          <cell r="L1074" t="str">
            <v>GUN42VM/T13M</v>
          </cell>
          <cell r="M1074" t="str">
            <v>INNOVA</v>
          </cell>
          <cell r="N1074" t="str">
            <v>INNOVA REBORN</v>
          </cell>
          <cell r="O1074" t="str">
            <v>GUN142R-MDMMYD-13</v>
          </cell>
          <cell r="P1074" t="e">
            <v>#N/A</v>
          </cell>
          <cell r="Q1074" t="e">
            <v>#N/A</v>
          </cell>
          <cell r="R1074" t="str">
            <v>GUN142R-MDMMYD-13</v>
          </cell>
          <cell r="S1074" t="str">
            <v>INNOVA</v>
          </cell>
          <cell r="T1074" t="str">
            <v>INV REBORN</v>
          </cell>
          <cell r="U1074" t="str">
            <v>INNOVA V M/T DIESEL</v>
          </cell>
        </row>
        <row r="1075">
          <cell r="D1075" t="e">
            <v>#N/A</v>
          </cell>
          <cell r="E1075" t="str">
            <v>INNOVA</v>
          </cell>
          <cell r="F1075" t="str">
            <v>INNOVA</v>
          </cell>
          <cell r="G1075" t="str">
            <v>INNOVA</v>
          </cell>
          <cell r="H1075" t="str">
            <v>INNOVA V M/T DIESEL</v>
          </cell>
          <cell r="I1075" t="str">
            <v>INNOVA V M/T DIESEL</v>
          </cell>
          <cell r="J1075" t="str">
            <v>INNOVA V M/T DIESEL</v>
          </cell>
          <cell r="K1075" t="str">
            <v>INNOVA REBORN</v>
          </cell>
          <cell r="L1075" t="str">
            <v>KU40VM/T20m</v>
          </cell>
          <cell r="M1075" t="str">
            <v>INNOVA</v>
          </cell>
          <cell r="N1075" t="str">
            <v>INNOVA REBORN</v>
          </cell>
          <cell r="O1075" t="e">
            <v>#N/A</v>
          </cell>
          <cell r="P1075" t="e">
            <v>#N/A</v>
          </cell>
          <cell r="Q1075" t="e">
            <v>#N/A</v>
          </cell>
          <cell r="R1075" t="e">
            <v>#N/A</v>
          </cell>
          <cell r="S1075" t="str">
            <v>INNOVA</v>
          </cell>
          <cell r="T1075" t="str">
            <v>INV REBORN</v>
          </cell>
          <cell r="U1075" t="str">
            <v>INNOVA V M/T DIESEL</v>
          </cell>
        </row>
        <row r="1076">
          <cell r="D1076" t="str">
            <v>GUN142R-MDMHXD-11</v>
          </cell>
          <cell r="E1076" t="str">
            <v>INNOVA</v>
          </cell>
          <cell r="F1076" t="str">
            <v>INNOVA</v>
          </cell>
          <cell r="G1076" t="str">
            <v>INNOVA</v>
          </cell>
          <cell r="H1076" t="str">
            <v>VENTURER M/T DIESEL</v>
          </cell>
          <cell r="I1076" t="str">
            <v xml:space="preserve">VENTURER M/T DIESEL </v>
          </cell>
          <cell r="J1076" t="str">
            <v xml:space="preserve">VENTURER M/T DIESEL </v>
          </cell>
          <cell r="K1076" t="str">
            <v>INNOVA REBORN</v>
          </cell>
          <cell r="L1076" t="str">
            <v>GUNX42VM/T11M</v>
          </cell>
          <cell r="M1076" t="str">
            <v>INNOVA</v>
          </cell>
          <cell r="N1076" t="str">
            <v>INNOVA REBORN</v>
          </cell>
          <cell r="O1076" t="str">
            <v>GUN142R-MDMHXD-11</v>
          </cell>
          <cell r="P1076" t="e">
            <v>#N/A</v>
          </cell>
          <cell r="Q1076" t="e">
            <v>#N/A</v>
          </cell>
          <cell r="R1076" t="str">
            <v>GUN142R-MDMHXD-11</v>
          </cell>
          <cell r="S1076" t="str">
            <v>INNOVA</v>
          </cell>
          <cell r="T1076" t="e">
            <v>#N/A</v>
          </cell>
          <cell r="U1076" t="str">
            <v>VENTURER M/T DIESEL</v>
          </cell>
        </row>
        <row r="1077">
          <cell r="D1077" t="str">
            <v>GUN142R-MDTHXD-11</v>
          </cell>
          <cell r="E1077" t="str">
            <v>INNOVA</v>
          </cell>
          <cell r="F1077" t="str">
            <v>INNOVA</v>
          </cell>
          <cell r="G1077" t="str">
            <v>INNOVA</v>
          </cell>
          <cell r="H1077" t="str">
            <v>VENTURER A/T DIESEL</v>
          </cell>
          <cell r="I1077" t="str">
            <v xml:space="preserve">VENTURER A/T DIESEL </v>
          </cell>
          <cell r="J1077" t="str">
            <v xml:space="preserve">VENTURER A/T DIESEL </v>
          </cell>
          <cell r="K1077" t="str">
            <v>INNOVA REBORN</v>
          </cell>
          <cell r="L1077" t="str">
            <v>GUNX42VA/T11M</v>
          </cell>
          <cell r="M1077" t="str">
            <v>INNOVA</v>
          </cell>
          <cell r="N1077" t="str">
            <v>INNOVA REBORN</v>
          </cell>
          <cell r="O1077" t="str">
            <v>GUN142R-MDTHXD-11</v>
          </cell>
          <cell r="P1077" t="e">
            <v>#N/A</v>
          </cell>
          <cell r="Q1077" t="e">
            <v>#N/A</v>
          </cell>
          <cell r="R1077" t="str">
            <v>GUN142R-MDTHXD-11</v>
          </cell>
          <cell r="S1077" t="str">
            <v>INNOVA</v>
          </cell>
          <cell r="T1077" t="e">
            <v>#N/A</v>
          </cell>
          <cell r="U1077" t="str">
            <v>VENTURER A/T DIESEL</v>
          </cell>
        </row>
        <row r="1078">
          <cell r="D1078" t="str">
            <v>GUN142R-MDMMYD-D0</v>
          </cell>
          <cell r="E1078" t="str">
            <v>INNOVA</v>
          </cell>
          <cell r="F1078" t="str">
            <v>INNOVA</v>
          </cell>
          <cell r="G1078" t="str">
            <v>INNOVA</v>
          </cell>
          <cell r="H1078" t="str">
            <v>INNOVA V M/T DIESEL</v>
          </cell>
          <cell r="I1078" t="str">
            <v>INNOVA V M/T DIESEL</v>
          </cell>
          <cell r="J1078" t="str">
            <v>INNOVA V M/T DIESEL</v>
          </cell>
          <cell r="K1078" t="str">
            <v>INNOVA REBORN</v>
          </cell>
          <cell r="L1078" t="str">
            <v>GUN42VM/TD0M</v>
          </cell>
          <cell r="M1078" t="str">
            <v>INNOVA</v>
          </cell>
          <cell r="N1078" t="str">
            <v>INNOVA REBORN</v>
          </cell>
          <cell r="O1078" t="str">
            <v>GUN142R-MDMMYD-D0</v>
          </cell>
          <cell r="P1078" t="e">
            <v>#N/A</v>
          </cell>
          <cell r="Q1078" t="e">
            <v>#N/A</v>
          </cell>
          <cell r="R1078" t="str">
            <v>GUN142R-MDMMYD-D0</v>
          </cell>
          <cell r="S1078" t="str">
            <v>INNOVA</v>
          </cell>
          <cell r="T1078" t="str">
            <v>INV REBORN</v>
          </cell>
          <cell r="U1078" t="str">
            <v>INNOVA V M/T DIESEL</v>
          </cell>
        </row>
        <row r="1079">
          <cell r="D1079" t="str">
            <v>GUN142R-MDMMYD-24</v>
          </cell>
          <cell r="E1079" t="str">
            <v>INNOVA</v>
          </cell>
          <cell r="F1079" t="str">
            <v>INNOVA</v>
          </cell>
          <cell r="G1079" t="str">
            <v>INNOVA</v>
          </cell>
          <cell r="H1079" t="str">
            <v>INNOVA V M/T DIESEL</v>
          </cell>
          <cell r="I1079" t="str">
            <v>INNOVA V M/T DIESEL</v>
          </cell>
          <cell r="J1079" t="str">
            <v>INNOVA V M/T DIESEL</v>
          </cell>
          <cell r="K1079" t="str">
            <v>INNOVA REBORN</v>
          </cell>
          <cell r="L1079" t="str">
            <v>GUN42VM/T24M</v>
          </cell>
          <cell r="M1079" t="str">
            <v>INNOVA</v>
          </cell>
          <cell r="N1079" t="str">
            <v>INNOVA REBORN</v>
          </cell>
          <cell r="O1079" t="str">
            <v>GUN142R-MDMMYD-24</v>
          </cell>
          <cell r="P1079" t="e">
            <v>#N/A</v>
          </cell>
          <cell r="Q1079" t="e">
            <v>#N/A</v>
          </cell>
          <cell r="R1079" t="str">
            <v>GUN142R-MDMMYD-24</v>
          </cell>
          <cell r="S1079" t="str">
            <v>INNOVA</v>
          </cell>
          <cell r="T1079" t="str">
            <v>INV REBORN</v>
          </cell>
          <cell r="U1079" t="str">
            <v>INNOVA V M/T DIESEL</v>
          </cell>
        </row>
        <row r="1080">
          <cell r="D1080" t="str">
            <v>GUN142R-MDMMYD-H3</v>
          </cell>
          <cell r="E1080" t="str">
            <v>INNOVA</v>
          </cell>
          <cell r="F1080" t="str">
            <v>INNOVA</v>
          </cell>
          <cell r="G1080" t="str">
            <v>INNOVA</v>
          </cell>
          <cell r="H1080" t="str">
            <v>INNOVA V M/T DIESEL</v>
          </cell>
          <cell r="I1080" t="str">
            <v>INNOVA V M/T DIESEL</v>
          </cell>
          <cell r="J1080" t="str">
            <v>INNOVA V M/T DIESEL</v>
          </cell>
          <cell r="K1080" t="str">
            <v>INNOVA REBORN</v>
          </cell>
          <cell r="L1080" t="str">
            <v>GUN42VM/TH3M</v>
          </cell>
          <cell r="M1080" t="str">
            <v>INNOVA</v>
          </cell>
          <cell r="N1080" t="str">
            <v>INNOVA REBORN</v>
          </cell>
          <cell r="O1080" t="str">
            <v>GUN142R-MDMMYD-H3</v>
          </cell>
          <cell r="P1080" t="e">
            <v>#N/A</v>
          </cell>
          <cell r="Q1080" t="e">
            <v>#N/A</v>
          </cell>
          <cell r="R1080" t="str">
            <v>GUN142R-MDMMYD-H3</v>
          </cell>
          <cell r="S1080" t="str">
            <v>INNOVA</v>
          </cell>
          <cell r="T1080" t="str">
            <v>INV REBORN</v>
          </cell>
          <cell r="U1080" t="str">
            <v>INNOVA V M/T DIESEL</v>
          </cell>
        </row>
        <row r="1081">
          <cell r="D1081" t="str">
            <v>GUN142R-MDMHXD-00</v>
          </cell>
          <cell r="E1081" t="str">
            <v>INNOVA</v>
          </cell>
          <cell r="F1081" t="str">
            <v>INNOVA</v>
          </cell>
          <cell r="G1081" t="str">
            <v>INNOVA</v>
          </cell>
          <cell r="H1081" t="str">
            <v>INNOVA V M/T DIESEL</v>
          </cell>
          <cell r="I1081" t="str">
            <v>INNOVA V M/T DIESEL</v>
          </cell>
          <cell r="J1081" t="str">
            <v xml:space="preserve">INNOVA V M/T DIESEL </v>
          </cell>
          <cell r="K1081" t="str">
            <v>INNOVA REBORN</v>
          </cell>
          <cell r="L1081" t="str">
            <v>GUNX42VM/T00M</v>
          </cell>
          <cell r="M1081" t="str">
            <v>INNOVA</v>
          </cell>
          <cell r="N1081" t="str">
            <v>INNOVA REBORN</v>
          </cell>
          <cell r="O1081" t="str">
            <v>GUN142R-MDMHXD-00</v>
          </cell>
          <cell r="P1081" t="e">
            <v>#N/A</v>
          </cell>
          <cell r="Q1081" t="e">
            <v>#N/A</v>
          </cell>
          <cell r="R1081" t="str">
            <v>GUN142R-MDMHXD-00</v>
          </cell>
          <cell r="S1081" t="str">
            <v>INNOVA</v>
          </cell>
          <cell r="T1081" t="str">
            <v>INV REBORN</v>
          </cell>
          <cell r="U1081" t="str">
            <v>INNOVA V M/T DIESEL</v>
          </cell>
        </row>
        <row r="1082">
          <cell r="D1082" t="str">
            <v>AXVH71R-JEXVBD-02</v>
          </cell>
          <cell r="E1082" t="str">
            <v>CAMRY</v>
          </cell>
          <cell r="F1082" t="str">
            <v>CAMRY</v>
          </cell>
          <cell r="G1082" t="str">
            <v>CAMRY</v>
          </cell>
          <cell r="H1082" t="str">
            <v>CAMRY HYBRID A/T</v>
          </cell>
          <cell r="I1082" t="str">
            <v>CAMRY HYBRID A/T</v>
          </cell>
          <cell r="J1082" t="str">
            <v>CAMRY HYBRID A/T</v>
          </cell>
          <cell r="K1082" t="str">
            <v>CAMRY</v>
          </cell>
          <cell r="L1082" t="str">
            <v>AS70HA/T02M</v>
          </cell>
          <cell r="M1082" t="str">
            <v>CAMRY</v>
          </cell>
          <cell r="N1082" t="str">
            <v>CAMRY</v>
          </cell>
          <cell r="O1082" t="str">
            <v>AXVH71R-JEXVBD-02</v>
          </cell>
          <cell r="P1082" t="e">
            <v>#N/A</v>
          </cell>
          <cell r="Q1082" t="e">
            <v>#N/A</v>
          </cell>
          <cell r="R1082" t="str">
            <v>AXVH71R-JEXVBD-02</v>
          </cell>
          <cell r="S1082" t="str">
            <v>CAMRY</v>
          </cell>
          <cell r="T1082" t="e">
            <v>#N/A</v>
          </cell>
          <cell r="U1082" t="str">
            <v>CAMRY HYBRID A/T</v>
          </cell>
        </row>
        <row r="1083">
          <cell r="D1083" t="str">
            <v>AXVH71R-JEXVBD-03</v>
          </cell>
          <cell r="E1083" t="str">
            <v>CAMRY</v>
          </cell>
          <cell r="F1083" t="str">
            <v>CAMRY</v>
          </cell>
          <cell r="G1083" t="str">
            <v>CAMRY</v>
          </cell>
          <cell r="H1083" t="str">
            <v>CAMRY HYBRID A/T</v>
          </cell>
          <cell r="I1083" t="str">
            <v>CAMRY HYBRID A/T</v>
          </cell>
          <cell r="J1083" t="str">
            <v>CAMRY HYBRID A/T</v>
          </cell>
          <cell r="K1083" t="str">
            <v>CAMRY</v>
          </cell>
          <cell r="L1083" t="str">
            <v>AS70HA/T03M</v>
          </cell>
          <cell r="M1083" t="str">
            <v>CAMRY</v>
          </cell>
          <cell r="N1083" t="str">
            <v>CAMRY</v>
          </cell>
          <cell r="O1083" t="str">
            <v>AXVH71R-JEXVBD-03</v>
          </cell>
          <cell r="P1083" t="e">
            <v>#N/A</v>
          </cell>
          <cell r="Q1083" t="e">
            <v>#N/A</v>
          </cell>
          <cell r="R1083" t="str">
            <v>AXVH71R-JEXVBD-03</v>
          </cell>
          <cell r="S1083" t="str">
            <v>CAMRY</v>
          </cell>
          <cell r="T1083" t="e">
            <v>#N/A</v>
          </cell>
          <cell r="U1083" t="str">
            <v>CAMRY HYBRID A/T</v>
          </cell>
        </row>
        <row r="1084">
          <cell r="D1084" t="str">
            <v>ZRR80R-BPXSP-10</v>
          </cell>
          <cell r="E1084" t="str">
            <v>VOXY</v>
          </cell>
          <cell r="F1084" t="str">
            <v>VOXY</v>
          </cell>
          <cell r="G1084" t="str">
            <v>VOXY</v>
          </cell>
          <cell r="H1084" t="str">
            <v>VOXY 2.0 A/T</v>
          </cell>
          <cell r="I1084" t="str">
            <v>VOXY 2.0 A/T</v>
          </cell>
          <cell r="J1084" t="str">
            <v>VOXY 2.0 A/T</v>
          </cell>
          <cell r="K1084" t="str">
            <v>VOXY</v>
          </cell>
          <cell r="L1084" t="str">
            <v>ZRR80SPA/T10M</v>
          </cell>
          <cell r="M1084" t="str">
            <v>VOXY</v>
          </cell>
          <cell r="N1084" t="str">
            <v>VOXY</v>
          </cell>
          <cell r="O1084" t="str">
            <v>ZRR80R-BPXSP-10</v>
          </cell>
          <cell r="P1084" t="e">
            <v>#N/A</v>
          </cell>
          <cell r="Q1084" t="e">
            <v>#N/A</v>
          </cell>
          <cell r="R1084" t="str">
            <v>ZRR80R-BPXSP-10</v>
          </cell>
          <cell r="S1084" t="str">
            <v>VOXY</v>
          </cell>
          <cell r="T1084" t="e">
            <v>#N/A</v>
          </cell>
          <cell r="U1084" t="str">
            <v>VOXY 2.0 A/T</v>
          </cell>
        </row>
        <row r="1085">
          <cell r="D1085" t="str">
            <v>A250RA-GBVVJ-00</v>
          </cell>
          <cell r="E1085" t="str">
            <v>RAIZE</v>
          </cell>
          <cell r="F1085" t="str">
            <v>RAIZE</v>
          </cell>
          <cell r="G1085" t="str">
            <v>RAIZE</v>
          </cell>
          <cell r="H1085" t="str">
            <v>RAIZE S A/T</v>
          </cell>
          <cell r="I1085" t="str">
            <v>RAIZE 1.0T S A/T</v>
          </cell>
          <cell r="J1085" t="str">
            <v>RAIZE 1.0T S A/T ONE TONE</v>
          </cell>
          <cell r="K1085" t="str">
            <v>RAIZE</v>
          </cell>
          <cell r="L1085" t="str">
            <v>A250RSA/T00M</v>
          </cell>
          <cell r="M1085" t="str">
            <v>RAIZE</v>
          </cell>
          <cell r="N1085" t="str">
            <v>RAIZE</v>
          </cell>
          <cell r="O1085" t="str">
            <v>A250RA-GBVVJ-00</v>
          </cell>
          <cell r="P1085" t="e">
            <v>#N/A</v>
          </cell>
          <cell r="Q1085" t="e">
            <v>#N/A</v>
          </cell>
          <cell r="R1085" t="str">
            <v>A250RA-GBVVJ-00</v>
          </cell>
          <cell r="S1085" t="str">
            <v>RAIZE</v>
          </cell>
          <cell r="T1085" t="e">
            <v>#N/A</v>
          </cell>
          <cell r="U1085" t="str">
            <v>RAIZE S A/T</v>
          </cell>
        </row>
        <row r="1086">
          <cell r="D1086" t="str">
            <v>A250RA-GBVVJ-01</v>
          </cell>
          <cell r="E1086" t="str">
            <v>RAIZE</v>
          </cell>
          <cell r="F1086" t="str">
            <v>RAIZE</v>
          </cell>
          <cell r="G1086" t="str">
            <v>RAIZE</v>
          </cell>
          <cell r="H1086" t="str">
            <v>RAIZE S A/T</v>
          </cell>
          <cell r="I1086" t="str">
            <v>RAIZE 1.0T S A/T</v>
          </cell>
          <cell r="J1086" t="str">
            <v>RAIZE 1.0T S A/T TWO TONE</v>
          </cell>
          <cell r="K1086" t="str">
            <v>RAIZE</v>
          </cell>
          <cell r="L1086" t="str">
            <v>A250RSA/T01M</v>
          </cell>
          <cell r="M1086" t="str">
            <v>RAIZE</v>
          </cell>
          <cell r="N1086" t="str">
            <v>RAIZE</v>
          </cell>
          <cell r="O1086" t="str">
            <v>A250RA-GBVVJ-01</v>
          </cell>
          <cell r="P1086" t="e">
            <v>#N/A</v>
          </cell>
          <cell r="Q1086" t="e">
            <v>#N/A</v>
          </cell>
          <cell r="R1086" t="str">
            <v>A250RA-GBVVJ-01</v>
          </cell>
          <cell r="S1086" t="str">
            <v>RAIZE</v>
          </cell>
          <cell r="T1086" t="e">
            <v>#N/A</v>
          </cell>
          <cell r="U1086" t="str">
            <v>RAIZE S A/T</v>
          </cell>
        </row>
        <row r="1087">
          <cell r="D1087" t="str">
            <v>A250RA-GBVVJ-02</v>
          </cell>
          <cell r="E1087" t="str">
            <v>RAIZE</v>
          </cell>
          <cell r="F1087" t="str">
            <v>RAIZE</v>
          </cell>
          <cell r="G1087" t="str">
            <v>RAIZE</v>
          </cell>
          <cell r="H1087" t="str">
            <v>RAIZE S A/T</v>
          </cell>
          <cell r="I1087" t="str">
            <v>RAIZE 1.0T S A/T TSS</v>
          </cell>
          <cell r="J1087" t="str">
            <v>RAIZE 1.0T S A/T TSS ONE TONE</v>
          </cell>
          <cell r="K1087" t="str">
            <v>RAIZE</v>
          </cell>
          <cell r="L1087" t="str">
            <v>A250RSA/T02M</v>
          </cell>
          <cell r="M1087" t="str">
            <v>RAIZE</v>
          </cell>
          <cell r="N1087" t="str">
            <v>RAIZE</v>
          </cell>
          <cell r="O1087" t="str">
            <v>A250RA-GBVVJ-02</v>
          </cell>
          <cell r="P1087" t="e">
            <v>#N/A</v>
          </cell>
          <cell r="Q1087" t="e">
            <v>#N/A</v>
          </cell>
          <cell r="R1087" t="str">
            <v>A250RA-GBVVJ-02</v>
          </cell>
          <cell r="S1087" t="str">
            <v>RAIZE</v>
          </cell>
          <cell r="T1087" t="e">
            <v>#N/A</v>
          </cell>
          <cell r="U1087" t="str">
            <v>RAIZE S A/T</v>
          </cell>
        </row>
        <row r="1088">
          <cell r="D1088" t="str">
            <v>A250RA-GBVVJ-03</v>
          </cell>
          <cell r="E1088" t="str">
            <v>RAIZE</v>
          </cell>
          <cell r="F1088" t="str">
            <v>RAIZE</v>
          </cell>
          <cell r="G1088" t="str">
            <v>RAIZE</v>
          </cell>
          <cell r="H1088" t="str">
            <v>RAIZE S A/T</v>
          </cell>
          <cell r="I1088" t="str">
            <v>RAIZE 1.0T S A/T TSS</v>
          </cell>
          <cell r="J1088" t="str">
            <v>RAIZE 1.0T S A/T TSS TWO TONE</v>
          </cell>
          <cell r="K1088" t="str">
            <v>RAIZE</v>
          </cell>
          <cell r="L1088" t="str">
            <v>A250RSA/T03M</v>
          </cell>
          <cell r="M1088" t="str">
            <v>RAIZE</v>
          </cell>
          <cell r="N1088" t="str">
            <v>RAIZE</v>
          </cell>
          <cell r="O1088" t="str">
            <v>A250RA-GBVVJ-03</v>
          </cell>
          <cell r="P1088" t="e">
            <v>#N/A</v>
          </cell>
          <cell r="Q1088" t="e">
            <v>#N/A</v>
          </cell>
          <cell r="R1088" t="str">
            <v>A250RA-GBVVJ-03</v>
          </cell>
          <cell r="S1088" t="str">
            <v>RAIZE</v>
          </cell>
          <cell r="T1088" t="e">
            <v>#N/A</v>
          </cell>
          <cell r="U1088" t="str">
            <v>RAIZE S A/T</v>
          </cell>
        </row>
        <row r="1089">
          <cell r="D1089" t="str">
            <v>A250RA-GBXVJ-00</v>
          </cell>
          <cell r="E1089" t="str">
            <v>RAIZE</v>
          </cell>
          <cell r="F1089" t="str">
            <v>RAIZE</v>
          </cell>
          <cell r="G1089" t="str">
            <v>RAIZE</v>
          </cell>
          <cell r="H1089" t="str">
            <v>RAIZE G A/T</v>
          </cell>
          <cell r="I1089" t="str">
            <v>RAIZE 1.0T G A/T</v>
          </cell>
          <cell r="J1089" t="str">
            <v>RAIZE 1.0T G A/T ONE TONE</v>
          </cell>
          <cell r="K1089" t="str">
            <v>RAIZE</v>
          </cell>
          <cell r="L1089" t="str">
            <v>A250RGA/T00M</v>
          </cell>
          <cell r="M1089" t="str">
            <v>RAIZE</v>
          </cell>
          <cell r="N1089" t="str">
            <v>RAIZE</v>
          </cell>
          <cell r="O1089" t="str">
            <v>A250RA-GBXVJ-00</v>
          </cell>
          <cell r="P1089" t="str">
            <v>RAIZE</v>
          </cell>
          <cell r="Q1089" t="e">
            <v>#N/A</v>
          </cell>
          <cell r="R1089" t="str">
            <v>A250RA-GBXVJ-00</v>
          </cell>
          <cell r="S1089" t="str">
            <v>RAIZE</v>
          </cell>
          <cell r="T1089" t="str">
            <v>RAIZE</v>
          </cell>
          <cell r="U1089" t="str">
            <v>RAIZE G A/T</v>
          </cell>
        </row>
        <row r="1090">
          <cell r="D1090" t="str">
            <v>A250RA-GBXVJ-01</v>
          </cell>
          <cell r="E1090" t="str">
            <v>RAIZE</v>
          </cell>
          <cell r="F1090" t="str">
            <v>RAIZE</v>
          </cell>
          <cell r="G1090" t="str">
            <v>RAIZE</v>
          </cell>
          <cell r="H1090" t="str">
            <v>RAIZE G A/T</v>
          </cell>
          <cell r="I1090" t="str">
            <v>RAIZE 1.0T G A/T</v>
          </cell>
          <cell r="J1090" t="str">
            <v>RAIZE 1.0T G A/T TWO TONE</v>
          </cell>
          <cell r="K1090" t="str">
            <v>RAIZE</v>
          </cell>
          <cell r="L1090" t="str">
            <v>A250RGA/T01M</v>
          </cell>
          <cell r="M1090" t="str">
            <v>RAIZE</v>
          </cell>
          <cell r="N1090" t="str">
            <v>RAIZE</v>
          </cell>
          <cell r="O1090" t="str">
            <v>A250RA-GBXVJ-01</v>
          </cell>
          <cell r="P1090" t="str">
            <v>RAIZE</v>
          </cell>
          <cell r="Q1090" t="e">
            <v>#N/A</v>
          </cell>
          <cell r="R1090" t="str">
            <v>A250RA-GBXVJ-01</v>
          </cell>
          <cell r="S1090" t="str">
            <v>RAIZE</v>
          </cell>
          <cell r="T1090" t="e">
            <v>#N/A</v>
          </cell>
          <cell r="U1090" t="str">
            <v>RAIZE G A/T</v>
          </cell>
        </row>
        <row r="1091">
          <cell r="D1091" t="str">
            <v>A250RA-GMXVJ-00</v>
          </cell>
          <cell r="E1091" t="str">
            <v>RAIZE</v>
          </cell>
          <cell r="F1091" t="str">
            <v>RAIZE</v>
          </cell>
          <cell r="G1091" t="str">
            <v>RAIZE</v>
          </cell>
          <cell r="H1091" t="str">
            <v>RAIZE G M/T</v>
          </cell>
          <cell r="I1091" t="str">
            <v>RAIZE 1.0T G M/T</v>
          </cell>
          <cell r="J1091" t="str">
            <v>RAIZE 1.0T G M/T ONE TONE</v>
          </cell>
          <cell r="K1091" t="str">
            <v>RAIZE</v>
          </cell>
          <cell r="L1091" t="str">
            <v>A250RGM/T00M</v>
          </cell>
          <cell r="M1091" t="str">
            <v>RAIZE</v>
          </cell>
          <cell r="N1091" t="str">
            <v>RAIZE</v>
          </cell>
          <cell r="O1091" t="str">
            <v>A250RA-GMXVJ-00</v>
          </cell>
          <cell r="P1091" t="str">
            <v>RAIZE</v>
          </cell>
          <cell r="Q1091" t="e">
            <v>#N/A</v>
          </cell>
          <cell r="R1091" t="str">
            <v>A250RA-GMXVJ-00</v>
          </cell>
          <cell r="S1091" t="str">
            <v>RAIZE</v>
          </cell>
          <cell r="T1091" t="e">
            <v>#N/A</v>
          </cell>
          <cell r="U1091" t="str">
            <v>RAIZE G M/T</v>
          </cell>
        </row>
        <row r="1092">
          <cell r="D1092" t="str">
            <v>A250RA-GMXVJ-01</v>
          </cell>
          <cell r="E1092" t="str">
            <v>RAIZE</v>
          </cell>
          <cell r="F1092" t="str">
            <v>RAIZE</v>
          </cell>
          <cell r="G1092" t="str">
            <v>RAIZE</v>
          </cell>
          <cell r="H1092" t="str">
            <v>RAIZE G M/T</v>
          </cell>
          <cell r="I1092" t="str">
            <v>RAIZE 1.0T G M/T</v>
          </cell>
          <cell r="J1092" t="str">
            <v>RAIZE 1.0T G M/T TWO TONE</v>
          </cell>
          <cell r="K1092" t="str">
            <v>RAIZE</v>
          </cell>
          <cell r="L1092" t="str">
            <v>A250RGM/T01M</v>
          </cell>
          <cell r="M1092" t="str">
            <v>RAIZE</v>
          </cell>
          <cell r="N1092" t="str">
            <v>RAIZE</v>
          </cell>
          <cell r="O1092" t="str">
            <v>A250RA-GMXVJ-01</v>
          </cell>
          <cell r="P1092" t="e">
            <v>#N/A</v>
          </cell>
          <cell r="Q1092" t="e">
            <v>#N/A</v>
          </cell>
          <cell r="R1092" t="str">
            <v>A250RA-GMXVJ-01</v>
          </cell>
          <cell r="S1092" t="str">
            <v>RAIZE</v>
          </cell>
          <cell r="T1092" t="e">
            <v>#N/A</v>
          </cell>
          <cell r="U1092" t="str">
            <v>RAIZE G M/T</v>
          </cell>
        </row>
        <row r="1093">
          <cell r="D1093" t="str">
            <v>A251RA-GMXFJ-00</v>
          </cell>
          <cell r="E1093" t="str">
            <v>RAIZE</v>
          </cell>
          <cell r="F1093" t="str">
            <v>RAIZE</v>
          </cell>
          <cell r="G1093" t="str">
            <v>RAIZE</v>
          </cell>
          <cell r="H1093" t="str">
            <v>RAIZE G M/T</v>
          </cell>
          <cell r="I1093" t="str">
            <v>RAIZE 1.2 G M/T</v>
          </cell>
          <cell r="J1093" t="str">
            <v>RAIZE 1.2 G M/T ONE TONE</v>
          </cell>
          <cell r="K1093" t="str">
            <v>RAIZE</v>
          </cell>
          <cell r="L1093" t="str">
            <v>A251RGM/T00M</v>
          </cell>
          <cell r="M1093" t="str">
            <v>RAIZE</v>
          </cell>
          <cell r="N1093" t="str">
            <v>RAIZE</v>
          </cell>
          <cell r="O1093" t="str">
            <v>A251RA-GMXFJ-00</v>
          </cell>
          <cell r="P1093" t="str">
            <v>RAIZE</v>
          </cell>
          <cell r="Q1093" t="e">
            <v>#N/A</v>
          </cell>
          <cell r="R1093" t="str">
            <v>A251RA-GMXFJ-00</v>
          </cell>
          <cell r="S1093" t="str">
            <v>RAIZE</v>
          </cell>
          <cell r="T1093" t="e">
            <v>#N/A</v>
          </cell>
          <cell r="U1093" t="str">
            <v>RAIZE G M/T</v>
          </cell>
        </row>
        <row r="1094">
          <cell r="D1094" t="str">
            <v>DB02R-ZURW-00</v>
          </cell>
          <cell r="E1094" t="str">
            <v>SUPRA</v>
          </cell>
          <cell r="F1094" t="str">
            <v>SUPRA</v>
          </cell>
          <cell r="G1094" t="str">
            <v>SUPRA</v>
          </cell>
          <cell r="H1094" t="str">
            <v>SUPRA L A/T</v>
          </cell>
          <cell r="I1094" t="str">
            <v>SUPRA L A/T</v>
          </cell>
          <cell r="J1094" t="str">
            <v>SUPRA L A/T</v>
          </cell>
          <cell r="K1094" t="str">
            <v>SUPRA</v>
          </cell>
          <cell r="L1094" t="str">
            <v>DB02RWA/T00M</v>
          </cell>
          <cell r="M1094" t="str">
            <v>SUPRA</v>
          </cell>
          <cell r="N1094" t="str">
            <v>SUPRA</v>
          </cell>
          <cell r="O1094" t="str">
            <v>DB02R-ZURW-00</v>
          </cell>
          <cell r="P1094" t="e">
            <v>#N/A</v>
          </cell>
          <cell r="Q1094" t="e">
            <v>#N/A</v>
          </cell>
          <cell r="R1094" t="str">
            <v>DB02R-ZURW-00</v>
          </cell>
          <cell r="S1094" t="str">
            <v>SUPRA</v>
          </cell>
          <cell r="T1094" t="e">
            <v>#N/A</v>
          </cell>
          <cell r="U1094" t="str">
            <v>SUPRA L A/T</v>
          </cell>
        </row>
        <row r="1095">
          <cell r="D1095" t="str">
            <v>GUN142R-MDMHXD-10</v>
          </cell>
          <cell r="E1095" t="str">
            <v>INNOVA</v>
          </cell>
          <cell r="F1095" t="str">
            <v>INNOVA</v>
          </cell>
          <cell r="G1095" t="str">
            <v>INNOVA</v>
          </cell>
          <cell r="H1095" t="str">
            <v>INNOVA V M/T DIESEL</v>
          </cell>
          <cell r="I1095" t="str">
            <v>INNOVA V M/T DIESEL</v>
          </cell>
          <cell r="J1095" t="str">
            <v xml:space="preserve">INNOVA V M/T DIESEL </v>
          </cell>
          <cell r="K1095" t="str">
            <v>INNOVA REBORN</v>
          </cell>
          <cell r="L1095" t="str">
            <v>GUNX42VM/T10M</v>
          </cell>
          <cell r="M1095" t="str">
            <v>INNOVA</v>
          </cell>
          <cell r="N1095" t="str">
            <v>INNOVA REBORN</v>
          </cell>
          <cell r="O1095" t="str">
            <v>GUN142R-MDMHXD-10</v>
          </cell>
          <cell r="P1095" t="e">
            <v>#N/A</v>
          </cell>
          <cell r="Q1095" t="e">
            <v>#N/A</v>
          </cell>
          <cell r="R1095" t="str">
            <v>GUN142R-MDMHXD-10</v>
          </cell>
          <cell r="S1095" t="str">
            <v>INNOVA</v>
          </cell>
          <cell r="T1095" t="str">
            <v>INV REBORN</v>
          </cell>
          <cell r="U1095" t="str">
            <v>INNOVA V M/T DIESEL</v>
          </cell>
        </row>
        <row r="1096">
          <cell r="D1096" t="str">
            <v>ASV70R-JETVKD-02</v>
          </cell>
          <cell r="E1096" t="str">
            <v>CAMRY</v>
          </cell>
          <cell r="F1096" t="str">
            <v>CAMRY</v>
          </cell>
          <cell r="G1096" t="str">
            <v>CAMRY</v>
          </cell>
          <cell r="H1096" t="str">
            <v>CAMRY V A/T</v>
          </cell>
          <cell r="I1096" t="str">
            <v>CAMRY V A/T</v>
          </cell>
          <cell r="J1096" t="str">
            <v>CAMRY V A/T</v>
          </cell>
          <cell r="K1096" t="str">
            <v>CAMRY</v>
          </cell>
          <cell r="L1096" t="str">
            <v>AS70VA/T02M</v>
          </cell>
          <cell r="M1096" t="str">
            <v>CAMRY</v>
          </cell>
          <cell r="N1096" t="str">
            <v>CAMRY</v>
          </cell>
          <cell r="O1096" t="str">
            <v>ASV70R-JETVKD-02</v>
          </cell>
          <cell r="P1096" t="e">
            <v>#N/A</v>
          </cell>
          <cell r="Q1096" t="e">
            <v>#N/A</v>
          </cell>
          <cell r="R1096" t="str">
            <v>ASV70R-JETVKD-02</v>
          </cell>
          <cell r="S1096" t="str">
            <v>CAMRY</v>
          </cell>
          <cell r="T1096" t="e">
            <v>#N/A</v>
          </cell>
          <cell r="U1096" t="str">
            <v>CAMRY V A/T</v>
          </cell>
        </row>
        <row r="1097">
          <cell r="D1097" t="str">
            <v>ZRR80R-BPXSP-11</v>
          </cell>
          <cell r="E1097" t="str">
            <v>VOXY</v>
          </cell>
          <cell r="F1097" t="str">
            <v>VOXY</v>
          </cell>
          <cell r="G1097" t="str">
            <v>VOXY</v>
          </cell>
          <cell r="H1097" t="str">
            <v>VOXY 2.0 A/T</v>
          </cell>
          <cell r="I1097" t="str">
            <v>VOXY 2.0 A/T</v>
          </cell>
          <cell r="J1097" t="str">
            <v>VOXY 2.0 A/T</v>
          </cell>
          <cell r="K1097" t="str">
            <v>VOXY</v>
          </cell>
          <cell r="L1097" t="str">
            <v>ZRR80SPA/T11M</v>
          </cell>
          <cell r="M1097" t="str">
            <v>VOXY</v>
          </cell>
          <cell r="N1097" t="str">
            <v>VOXY</v>
          </cell>
          <cell r="O1097" t="str">
            <v>ZRR80R-BPXSP-11</v>
          </cell>
          <cell r="P1097" t="e">
            <v>#N/A</v>
          </cell>
          <cell r="Q1097" t="e">
            <v>#N/A</v>
          </cell>
          <cell r="R1097" t="str">
            <v>ZRR80R-BPXSP-11</v>
          </cell>
          <cell r="S1097" t="str">
            <v>VOXY</v>
          </cell>
          <cell r="T1097" t="e">
            <v>#N/A</v>
          </cell>
          <cell r="U1097" t="str">
            <v>VOXY 2.0 A/T</v>
          </cell>
        </row>
        <row r="1098">
          <cell r="D1098" t="str">
            <v>ZVG10R-DHXGBD-01</v>
          </cell>
          <cell r="E1098" t="str">
            <v>COROLLA CROSS</v>
          </cell>
          <cell r="F1098" t="str">
            <v>COROLLA CROSS HYBRID</v>
          </cell>
          <cell r="G1098" t="str">
            <v>COROLLA CROSS HYBRID</v>
          </cell>
          <cell r="H1098" t="str">
            <v>COROLLA CROSS A/T HYBRID</v>
          </cell>
          <cell r="I1098" t="str">
            <v>COROLLA CROSS A/T HYBRID</v>
          </cell>
          <cell r="J1098" t="str">
            <v>COROLLA CROSS A/T HYBRID</v>
          </cell>
          <cell r="K1098" t="str">
            <v>COROLLA CROSS HYBRID</v>
          </cell>
          <cell r="L1098" t="str">
            <v>ZVG10A/T01M</v>
          </cell>
          <cell r="M1098" t="str">
            <v>COROLLA CROSS</v>
          </cell>
          <cell r="N1098" t="str">
            <v>COROLLA CROSS HYBRID</v>
          </cell>
          <cell r="O1098" t="str">
            <v>ZVG10R-DHXGBD-01</v>
          </cell>
          <cell r="P1098" t="e">
            <v>#N/A</v>
          </cell>
          <cell r="Q1098" t="e">
            <v>#N/A</v>
          </cell>
          <cell r="R1098" t="str">
            <v>ZVG10R-DHXGBD-01</v>
          </cell>
          <cell r="S1098" t="str">
            <v>COROLLA CROSS</v>
          </cell>
          <cell r="T1098" t="e">
            <v>#N/A</v>
          </cell>
          <cell r="U1098" t="str">
            <v>COROLLA CROSS A/T HYBRID</v>
          </cell>
        </row>
        <row r="1099">
          <cell r="D1099" t="str">
            <v>ZRR80R-BPXSP-12</v>
          </cell>
          <cell r="E1099" t="str">
            <v>VOXY</v>
          </cell>
          <cell r="F1099" t="str">
            <v>VOXY</v>
          </cell>
          <cell r="G1099" t="str">
            <v>VOXY</v>
          </cell>
          <cell r="H1099" t="str">
            <v>VOXY 2.0 A/T</v>
          </cell>
          <cell r="I1099" t="str">
            <v>VOXY 2.0 A/T</v>
          </cell>
          <cell r="J1099" t="str">
            <v>VOXY 2.0 A/T</v>
          </cell>
          <cell r="K1099" t="str">
            <v>VOXY</v>
          </cell>
          <cell r="L1099" t="str">
            <v>ZRR80SPA/T12M</v>
          </cell>
          <cell r="M1099" t="str">
            <v>VOXY</v>
          </cell>
          <cell r="N1099" t="str">
            <v>VOXY</v>
          </cell>
          <cell r="O1099" t="str">
            <v>ZRR80R-BPXSP-12</v>
          </cell>
          <cell r="P1099" t="e">
            <v>#N/A</v>
          </cell>
          <cell r="Q1099" t="e">
            <v>#N/A</v>
          </cell>
          <cell r="R1099" t="str">
            <v>ZRR80R-BPXSP-12</v>
          </cell>
          <cell r="S1099" t="str">
            <v>VOXY</v>
          </cell>
          <cell r="T1099" t="e">
            <v>#N/A</v>
          </cell>
          <cell r="U1099" t="str">
            <v>VOXY 2.0 A/T</v>
          </cell>
        </row>
        <row r="1100">
          <cell r="D1100" t="str">
            <v>ASV70R-JETGKD-02</v>
          </cell>
          <cell r="E1100" t="str">
            <v>CAMRY</v>
          </cell>
          <cell r="F1100" t="str">
            <v>CAMRY</v>
          </cell>
          <cell r="G1100" t="str">
            <v>CAMRY</v>
          </cell>
          <cell r="H1100" t="str">
            <v>CAMRY G A/T</v>
          </cell>
          <cell r="I1100" t="str">
            <v>CAMRY G A/T</v>
          </cell>
          <cell r="J1100" t="str">
            <v>CAMRY G A/T</v>
          </cell>
          <cell r="K1100" t="str">
            <v>CAMRY</v>
          </cell>
          <cell r="L1100" t="str">
            <v>AS70GA/T02M</v>
          </cell>
          <cell r="M1100" t="str">
            <v>CAMRY</v>
          </cell>
          <cell r="N1100" t="str">
            <v>CAMRY</v>
          </cell>
          <cell r="O1100" t="str">
            <v>ASV70R-JETGKD-02</v>
          </cell>
          <cell r="P1100" t="e">
            <v>#N/A</v>
          </cell>
          <cell r="Q1100" t="e">
            <v>#N/A</v>
          </cell>
          <cell r="R1100" t="str">
            <v>ASV70R-JETGKD-02</v>
          </cell>
          <cell r="S1100" t="str">
            <v>CAMRY</v>
          </cell>
          <cell r="T1100" t="e">
            <v>#N/A</v>
          </cell>
          <cell r="U1100" t="str">
            <v>CAMRY G A/T</v>
          </cell>
        </row>
        <row r="1101">
          <cell r="D1101" t="str">
            <v>AGH30R-NFXRK-00</v>
          </cell>
          <cell r="E1101" t="str">
            <v>VELLFIRE</v>
          </cell>
          <cell r="F1101" t="str">
            <v>VELLFIRE</v>
          </cell>
          <cell r="G1101" t="str">
            <v>VELLFIRE</v>
          </cell>
          <cell r="H1101" t="str">
            <v>VELLFIRE</v>
          </cell>
          <cell r="I1101" t="str">
            <v>VELLFIRE</v>
          </cell>
          <cell r="J1101" t="str">
            <v>VELLFIRE</v>
          </cell>
          <cell r="K1101" t="str">
            <v>VELLFIRE</v>
          </cell>
          <cell r="L1101" t="str">
            <v>VEX30GA/T00M</v>
          </cell>
          <cell r="M1101" t="str">
            <v>VELLFIRE</v>
          </cell>
          <cell r="N1101" t="str">
            <v>VELLFIRE</v>
          </cell>
          <cell r="O1101" t="str">
            <v>AGH30R-NFXRK-00</v>
          </cell>
          <cell r="P1101" t="e">
            <v>#N/A</v>
          </cell>
          <cell r="Q1101" t="e">
            <v>#N/A</v>
          </cell>
          <cell r="R1101" t="str">
            <v>AGH30R-NFXRK-00</v>
          </cell>
          <cell r="S1101" t="str">
            <v>VELLFIRE</v>
          </cell>
          <cell r="T1101" t="e">
            <v>#N/A</v>
          </cell>
          <cell r="U1101" t="str">
            <v>VELLFIRE</v>
          </cell>
        </row>
        <row r="1102">
          <cell r="D1102" t="str">
            <v>AGH30R-NFXRK-01</v>
          </cell>
          <cell r="E1102" t="str">
            <v>VELLFIRE</v>
          </cell>
          <cell r="F1102" t="str">
            <v>VELLFIRE</v>
          </cell>
          <cell r="G1102" t="str">
            <v>VELLFIRE</v>
          </cell>
          <cell r="H1102" t="str">
            <v>VELLFIRE</v>
          </cell>
          <cell r="I1102" t="str">
            <v>VELLFIRE</v>
          </cell>
          <cell r="J1102" t="str">
            <v>VELLFIRE</v>
          </cell>
          <cell r="K1102" t="str">
            <v>VELLFIRE</v>
          </cell>
          <cell r="L1102" t="str">
            <v>VEX30GA/T01M</v>
          </cell>
          <cell r="M1102" t="str">
            <v>VELLFIRE</v>
          </cell>
          <cell r="N1102" t="str">
            <v>VELLFIRE</v>
          </cell>
          <cell r="O1102" t="str">
            <v>AGH30R-NFXRK-01</v>
          </cell>
          <cell r="P1102" t="e">
            <v>#N/A</v>
          </cell>
          <cell r="Q1102" t="e">
            <v>#N/A</v>
          </cell>
          <cell r="R1102" t="str">
            <v>AGH30R-NFXRK-01</v>
          </cell>
          <cell r="S1102" t="str">
            <v>VELLFIRE</v>
          </cell>
          <cell r="T1102" t="e">
            <v>#N/A</v>
          </cell>
          <cell r="U1102" t="str">
            <v>VELLFIRE</v>
          </cell>
        </row>
        <row r="1103">
          <cell r="D1103" t="str">
            <v>AGH30R-PFXLK-30</v>
          </cell>
          <cell r="E1103" t="str">
            <v>ALPHARD</v>
          </cell>
          <cell r="F1103" t="str">
            <v>ALPHARD</v>
          </cell>
          <cell r="G1103" t="str">
            <v>ALPHARD</v>
          </cell>
          <cell r="H1103" t="str">
            <v>ALPHARD G A/T</v>
          </cell>
          <cell r="I1103" t="str">
            <v>ALPHARD G A/T</v>
          </cell>
          <cell r="J1103" t="str">
            <v>ALPHARD G A/T</v>
          </cell>
          <cell r="K1103" t="str">
            <v>ALPHARD</v>
          </cell>
          <cell r="L1103" t="str">
            <v>AL30GA/T30M</v>
          </cell>
          <cell r="M1103" t="str">
            <v>ALPHARD</v>
          </cell>
          <cell r="N1103" t="str">
            <v>ALPHARD</v>
          </cell>
          <cell r="O1103" t="str">
            <v>AGH30R-PFXLK-30</v>
          </cell>
          <cell r="P1103" t="e">
            <v>#N/A</v>
          </cell>
          <cell r="Q1103" t="e">
            <v>#N/A</v>
          </cell>
          <cell r="R1103" t="str">
            <v>AGH30R-PFXLK-30</v>
          </cell>
          <cell r="S1103" t="str">
            <v>ALPHARD</v>
          </cell>
          <cell r="T1103" t="e">
            <v>#N/A</v>
          </cell>
          <cell r="U1103" t="str">
            <v>ALPHARD G A/T</v>
          </cell>
        </row>
        <row r="1104">
          <cell r="D1104" t="str">
            <v>AGH30R-PFXLK-31</v>
          </cell>
          <cell r="E1104" t="str">
            <v>ALPHARD</v>
          </cell>
          <cell r="F1104" t="str">
            <v>ALPHARD</v>
          </cell>
          <cell r="G1104" t="str">
            <v>ALPHARD</v>
          </cell>
          <cell r="H1104" t="str">
            <v>ALPHARD G A/T</v>
          </cell>
          <cell r="I1104" t="str">
            <v>ALPHARD G A/T</v>
          </cell>
          <cell r="J1104" t="str">
            <v>ALPHARD G A/T</v>
          </cell>
          <cell r="K1104" t="str">
            <v>ALPHARD</v>
          </cell>
          <cell r="L1104" t="str">
            <v>AL30GA/T31M</v>
          </cell>
          <cell r="M1104" t="str">
            <v>ALPHARD</v>
          </cell>
          <cell r="N1104" t="str">
            <v>ALPHARD</v>
          </cell>
          <cell r="O1104" t="str">
            <v>AGH30R-PFXLK-31</v>
          </cell>
          <cell r="P1104" t="e">
            <v>#N/A</v>
          </cell>
          <cell r="Q1104" t="e">
            <v>#N/A</v>
          </cell>
          <cell r="R1104" t="str">
            <v>AGH30R-PFXLK-31</v>
          </cell>
          <cell r="S1104" t="str">
            <v>ALPHARD</v>
          </cell>
          <cell r="T1104" t="e">
            <v>#N/A</v>
          </cell>
          <cell r="U1104" t="str">
            <v>ALPHARD G A/T</v>
          </cell>
        </row>
        <row r="1105">
          <cell r="D1105" t="str">
            <v>F800RE-GMGFJ-1A</v>
          </cell>
          <cell r="E1105" t="str">
            <v>RUSH</v>
          </cell>
          <cell r="F1105" t="str">
            <v>RUSH</v>
          </cell>
          <cell r="G1105" t="str">
            <v>RUSH</v>
          </cell>
          <cell r="H1105" t="str">
            <v>RUSH S M/T</v>
          </cell>
          <cell r="I1105" t="str">
            <v>RUSH S M/T</v>
          </cell>
          <cell r="J1105" t="str">
            <v>RUSH S M/T</v>
          </cell>
          <cell r="K1105" t="str">
            <v>RUSH</v>
          </cell>
          <cell r="L1105" t="str">
            <v>F80SM/T1AM</v>
          </cell>
          <cell r="M1105" t="str">
            <v>RUSH</v>
          </cell>
          <cell r="N1105" t="str">
            <v>RUSH</v>
          </cell>
          <cell r="O1105" t="str">
            <v>F800RE-GMGFJ-1A</v>
          </cell>
          <cell r="P1105" t="e">
            <v>#N/A</v>
          </cell>
          <cell r="Q1105" t="e">
            <v>#N/A</v>
          </cell>
          <cell r="R1105" t="str">
            <v>F800RE-GMGFJ-1A</v>
          </cell>
          <cell r="S1105" t="str">
            <v>RUSH</v>
          </cell>
          <cell r="T1105" t="e">
            <v>#N/A</v>
          </cell>
          <cell r="U1105" t="str">
            <v>RUSH S M/T</v>
          </cell>
        </row>
        <row r="1106">
          <cell r="D1106" t="str">
            <v>F800RE-GQGFJ-1A</v>
          </cell>
          <cell r="E1106" t="str">
            <v>RUSH</v>
          </cell>
          <cell r="F1106" t="str">
            <v>RUSH</v>
          </cell>
          <cell r="G1106" t="str">
            <v>RUSH</v>
          </cell>
          <cell r="H1106" t="str">
            <v>RUSH S A/T</v>
          </cell>
          <cell r="I1106" t="str">
            <v>RUSH S A/T</v>
          </cell>
          <cell r="J1106" t="str">
            <v>RUSH S A/T</v>
          </cell>
          <cell r="K1106" t="str">
            <v>RUSH</v>
          </cell>
          <cell r="L1106" t="str">
            <v>F80SA/T1AM</v>
          </cell>
          <cell r="M1106" t="str">
            <v>RUSH</v>
          </cell>
          <cell r="N1106" t="str">
            <v>RUSH</v>
          </cell>
          <cell r="O1106" t="str">
            <v>F800RE-GQGFJ-1A</v>
          </cell>
          <cell r="P1106" t="e">
            <v>#N/A</v>
          </cell>
          <cell r="Q1106" t="e">
            <v>#N/A</v>
          </cell>
          <cell r="R1106" t="str">
            <v>F800RE-GQGFJ-1A</v>
          </cell>
          <cell r="S1106" t="str">
            <v>RUSH</v>
          </cell>
          <cell r="T1106" t="e">
            <v>#N/A</v>
          </cell>
          <cell r="U1106" t="str">
            <v>RUSH S A/T</v>
          </cell>
        </row>
        <row r="1107">
          <cell r="D1107" t="str">
            <v>F800RE-GQMFJ-20</v>
          </cell>
          <cell r="E1107" t="str">
            <v>RUSH</v>
          </cell>
          <cell r="F1107" t="str">
            <v>RUSH</v>
          </cell>
          <cell r="G1107" t="str">
            <v>RUSH</v>
          </cell>
          <cell r="H1107" t="str">
            <v>RUSH G A/T</v>
          </cell>
          <cell r="I1107" t="str">
            <v>RUSH G A/T</v>
          </cell>
          <cell r="J1107" t="str">
            <v>RUSH G A/T</v>
          </cell>
          <cell r="K1107" t="str">
            <v>RUSH</v>
          </cell>
          <cell r="L1107" t="str">
            <v>F80GA/T20M</v>
          </cell>
          <cell r="M1107" t="str">
            <v>RUSH</v>
          </cell>
          <cell r="N1107" t="str">
            <v>RUSH</v>
          </cell>
          <cell r="O1107" t="str">
            <v>F800RE-GQMFJ-20</v>
          </cell>
          <cell r="P1107" t="str">
            <v>RUSH</v>
          </cell>
          <cell r="Q1107" t="e">
            <v>#N/A</v>
          </cell>
          <cell r="R1107" t="str">
            <v>F800RE-GQMFJ-20</v>
          </cell>
          <cell r="S1107" t="str">
            <v>RUSH</v>
          </cell>
          <cell r="T1107" t="e">
            <v>#N/A</v>
          </cell>
          <cell r="U1107" t="str">
            <v>RUSH G A/T</v>
          </cell>
        </row>
        <row r="1108">
          <cell r="D1108" t="str">
            <v>F800RE-GMMFJ-20</v>
          </cell>
          <cell r="E1108" t="str">
            <v>RUSH</v>
          </cell>
          <cell r="F1108" t="str">
            <v>RUSH</v>
          </cell>
          <cell r="G1108" t="str">
            <v>RUSH</v>
          </cell>
          <cell r="H1108" t="str">
            <v>RUSH G M/T</v>
          </cell>
          <cell r="I1108" t="str">
            <v>RUSH G M/T</v>
          </cell>
          <cell r="J1108" t="str">
            <v>RUSH G M/T</v>
          </cell>
          <cell r="K1108" t="str">
            <v>RUSH</v>
          </cell>
          <cell r="L1108" t="str">
            <v>F80GM/T20M</v>
          </cell>
          <cell r="M1108" t="str">
            <v>RUSH</v>
          </cell>
          <cell r="N1108" t="str">
            <v>RUSH</v>
          </cell>
          <cell r="O1108" t="str">
            <v>F800RE-GMMFJ-20</v>
          </cell>
          <cell r="P1108" t="str">
            <v>RUSH</v>
          </cell>
          <cell r="Q1108" t="e">
            <v>#N/A</v>
          </cell>
          <cell r="R1108" t="str">
            <v>F800RE-GMMFJ-20</v>
          </cell>
          <cell r="S1108" t="str">
            <v>RUSH</v>
          </cell>
          <cell r="T1108" t="e">
            <v>#N/A</v>
          </cell>
          <cell r="U1108" t="str">
            <v>RUSH G M/T</v>
          </cell>
        </row>
        <row r="1109">
          <cell r="D1109" t="str">
            <v>F800RE-GQGFJ-20</v>
          </cell>
          <cell r="E1109" t="str">
            <v>RUSH</v>
          </cell>
          <cell r="F1109" t="str">
            <v>RUSH</v>
          </cell>
          <cell r="G1109" t="str">
            <v>RUSH</v>
          </cell>
          <cell r="H1109" t="str">
            <v>RUSH S A/T</v>
          </cell>
          <cell r="I1109" t="str">
            <v>RUSH S A/T GR</v>
          </cell>
          <cell r="J1109" t="str">
            <v>RUSH S A/T</v>
          </cell>
          <cell r="K1109" t="str">
            <v>RUSH</v>
          </cell>
          <cell r="L1109" t="str">
            <v>F80SA/T20M</v>
          </cell>
          <cell r="M1109" t="str">
            <v>RUSH</v>
          </cell>
          <cell r="N1109" t="str">
            <v>RUSH</v>
          </cell>
          <cell r="O1109" t="str">
            <v>F800RE-GQGFJ-20</v>
          </cell>
          <cell r="P1109" t="e">
            <v>#N/A</v>
          </cell>
          <cell r="Q1109" t="e">
            <v>#N/A</v>
          </cell>
          <cell r="R1109" t="str">
            <v>F800RE-GQGFJ-20</v>
          </cell>
          <cell r="S1109" t="str">
            <v>RUSH</v>
          </cell>
          <cell r="T1109" t="e">
            <v>#N/A</v>
          </cell>
          <cell r="U1109" t="str">
            <v>RUSH S A/T</v>
          </cell>
        </row>
        <row r="1110">
          <cell r="D1110" t="str">
            <v>F800RE-GMGFJ-20</v>
          </cell>
          <cell r="E1110" t="str">
            <v>RUSH</v>
          </cell>
          <cell r="F1110" t="str">
            <v>RUSH</v>
          </cell>
          <cell r="G1110" t="str">
            <v>RUSH</v>
          </cell>
          <cell r="H1110" t="str">
            <v>RUSH S M/T</v>
          </cell>
          <cell r="I1110" t="str">
            <v>RUSH S M/T GR</v>
          </cell>
          <cell r="J1110" t="str">
            <v>RUSH S M/T</v>
          </cell>
          <cell r="K1110" t="str">
            <v>RUSH</v>
          </cell>
          <cell r="L1110" t="str">
            <v>F80SM/T20M</v>
          </cell>
          <cell r="M1110" t="str">
            <v>RUSH</v>
          </cell>
          <cell r="N1110" t="str">
            <v>RUSH</v>
          </cell>
          <cell r="O1110" t="str">
            <v>F800RE-GMGFJ-20</v>
          </cell>
          <cell r="P1110" t="e">
            <v>#N/A</v>
          </cell>
          <cell r="Q1110" t="e">
            <v>#N/A</v>
          </cell>
          <cell r="R1110" t="str">
            <v>F800RE-GMGFJ-20</v>
          </cell>
          <cell r="S1110" t="str">
            <v>RUSH</v>
          </cell>
          <cell r="T1110" t="e">
            <v>#N/A</v>
          </cell>
          <cell r="U1110" t="str">
            <v>RUSH S M/T</v>
          </cell>
        </row>
        <row r="1111">
          <cell r="D1111" t="str">
            <v>F800RE-GQMFJ-1A</v>
          </cell>
          <cell r="E1111" t="str">
            <v>RUSH</v>
          </cell>
          <cell r="F1111" t="str">
            <v>RUSH</v>
          </cell>
          <cell r="G1111" t="str">
            <v>RUSH</v>
          </cell>
          <cell r="H1111" t="str">
            <v>RUSH G A/T</v>
          </cell>
          <cell r="I1111" t="str">
            <v>RUSH G A/T</v>
          </cell>
          <cell r="J1111" t="str">
            <v>RUSH G A/T</v>
          </cell>
          <cell r="K1111" t="str">
            <v>RUSH</v>
          </cell>
          <cell r="L1111" t="str">
            <v>F80GA/T1AM</v>
          </cell>
          <cell r="M1111" t="str">
            <v>RUSH</v>
          </cell>
          <cell r="N1111" t="str">
            <v>RUSH</v>
          </cell>
          <cell r="O1111" t="str">
            <v>F800RE-GQMFJ-1A</v>
          </cell>
          <cell r="P1111" t="e">
            <v>#N/A</v>
          </cell>
          <cell r="Q1111" t="e">
            <v>#N/A</v>
          </cell>
          <cell r="R1111" t="str">
            <v>F800RE-GQMFJ-1A</v>
          </cell>
          <cell r="S1111" t="str">
            <v>RUSH</v>
          </cell>
          <cell r="T1111" t="e">
            <v>#N/A</v>
          </cell>
          <cell r="U1111" t="str">
            <v>RUSH G A/T</v>
          </cell>
        </row>
        <row r="1112">
          <cell r="D1112" t="str">
            <v>F800RE-GMMFJ-1A</v>
          </cell>
          <cell r="E1112" t="str">
            <v>RUSH</v>
          </cell>
          <cell r="F1112" t="str">
            <v>RUSH</v>
          </cell>
          <cell r="G1112" t="str">
            <v>RUSH</v>
          </cell>
          <cell r="H1112" t="str">
            <v>RUSH G M/T</v>
          </cell>
          <cell r="I1112" t="str">
            <v>RUSH G M/T</v>
          </cell>
          <cell r="J1112" t="str">
            <v>RUSH G M/T</v>
          </cell>
          <cell r="K1112" t="str">
            <v>RUSH</v>
          </cell>
          <cell r="L1112" t="str">
            <v>F80GM/T1AM</v>
          </cell>
          <cell r="M1112" t="str">
            <v>RUSH</v>
          </cell>
          <cell r="N1112" t="str">
            <v>RUSH</v>
          </cell>
          <cell r="O1112" t="str">
            <v>F800RE-GMMFJ-1A</v>
          </cell>
          <cell r="P1112" t="e">
            <v>#N/A</v>
          </cell>
          <cell r="Q1112" t="e">
            <v>#N/A</v>
          </cell>
          <cell r="R1112" t="str">
            <v>F800RE-GMMFJ-1A</v>
          </cell>
          <cell r="S1112" t="str">
            <v>RUSH</v>
          </cell>
          <cell r="T1112" t="e">
            <v>#N/A</v>
          </cell>
          <cell r="U1112" t="str">
            <v>RUSH G M/T</v>
          </cell>
        </row>
        <row r="1113">
          <cell r="D1113" t="str">
            <v>B101RA-GMSGJ-21</v>
          </cell>
          <cell r="E1113" t="str">
            <v>AGYA</v>
          </cell>
          <cell r="F1113" t="str">
            <v>AGYA</v>
          </cell>
          <cell r="G1113" t="str">
            <v>AGYA</v>
          </cell>
          <cell r="H1113" t="str">
            <v>AGYA G M/T</v>
          </cell>
          <cell r="I1113" t="str">
            <v>AGYA G M/T GR</v>
          </cell>
          <cell r="J1113" t="str">
            <v>AGYA G M/T GR</v>
          </cell>
          <cell r="K1113" t="str">
            <v>AGYA GR</v>
          </cell>
          <cell r="L1113" t="str">
            <v>B101GM/T21M</v>
          </cell>
          <cell r="M1113" t="str">
            <v>AGYA</v>
          </cell>
          <cell r="N1113" t="str">
            <v>AGYA GR</v>
          </cell>
          <cell r="O1113" t="str">
            <v>B101RA-GMSGJ-21</v>
          </cell>
          <cell r="P1113" t="e">
            <v>#N/A</v>
          </cell>
          <cell r="Q1113" t="e">
            <v>#N/A</v>
          </cell>
          <cell r="R1113" t="str">
            <v>B101RA-GMSGJ-21</v>
          </cell>
          <cell r="S1113" t="str">
            <v>AGYA</v>
          </cell>
          <cell r="T1113" t="e">
            <v>#N/A</v>
          </cell>
          <cell r="U1113" t="str">
            <v>AGYA G M/T</v>
          </cell>
        </row>
        <row r="1114">
          <cell r="D1114" t="str">
            <v>B101RA-GQSGJ-21</v>
          </cell>
          <cell r="E1114" t="str">
            <v>AGYA</v>
          </cell>
          <cell r="F1114" t="str">
            <v>AGYA</v>
          </cell>
          <cell r="G1114" t="str">
            <v>AGYA</v>
          </cell>
          <cell r="H1114" t="str">
            <v>AGYA G A/T</v>
          </cell>
          <cell r="I1114" t="str">
            <v>AGYA G A/T GR</v>
          </cell>
          <cell r="J1114" t="str">
            <v>AGYA G A/T GR</v>
          </cell>
          <cell r="K1114" t="str">
            <v>AGYA GR</v>
          </cell>
          <cell r="L1114" t="str">
            <v>B101GA/T21M</v>
          </cell>
          <cell r="M1114" t="str">
            <v>AGYA</v>
          </cell>
          <cell r="N1114" t="str">
            <v>AGYA GR</v>
          </cell>
          <cell r="O1114" t="str">
            <v>B101RA-GQSGJ-21</v>
          </cell>
          <cell r="P1114" t="e">
            <v>#N/A</v>
          </cell>
          <cell r="Q1114" t="e">
            <v>#N/A</v>
          </cell>
          <cell r="R1114" t="str">
            <v>B101RA-GQSGJ-21</v>
          </cell>
          <cell r="S1114" t="str">
            <v>AGYA</v>
          </cell>
          <cell r="T1114" t="e">
            <v>#N/A</v>
          </cell>
          <cell r="U1114" t="str">
            <v>AGYA G A/T</v>
          </cell>
        </row>
        <row r="1115">
          <cell r="D1115" t="str">
            <v>F653RM-GQSFJ-31</v>
          </cell>
          <cell r="E1115" t="str">
            <v>AVANZA</v>
          </cell>
          <cell r="F1115" t="str">
            <v>AVANZA</v>
          </cell>
          <cell r="G1115" t="str">
            <v>AVANZA</v>
          </cell>
          <cell r="H1115" t="str">
            <v>AVANZA VELOZ 1.3 A/T</v>
          </cell>
          <cell r="I1115" t="str">
            <v>AVANZA VELOZ 1.3 A/T GR</v>
          </cell>
          <cell r="J1115" t="str">
            <v>AVANZA VELOZ 1.3 A/T GR</v>
          </cell>
          <cell r="K1115" t="str">
            <v>AVANZA</v>
          </cell>
          <cell r="L1115" t="str">
            <v>F53VA/T31M</v>
          </cell>
          <cell r="M1115" t="str">
            <v>AVANZA</v>
          </cell>
          <cell r="N1115" t="str">
            <v>AVANZA</v>
          </cell>
          <cell r="O1115" t="str">
            <v>F653RM-GQSFJ-31</v>
          </cell>
          <cell r="P1115" t="e">
            <v>#N/A</v>
          </cell>
          <cell r="Q1115" t="e">
            <v>#N/A</v>
          </cell>
          <cell r="R1115" t="str">
            <v>F653RM-GQSFJ-31</v>
          </cell>
          <cell r="S1115" t="str">
            <v>AVANZA</v>
          </cell>
          <cell r="T1115" t="e">
            <v>#N/A</v>
          </cell>
          <cell r="U1115" t="str">
            <v>AVANZA VELOZ 1.3 A/T</v>
          </cell>
        </row>
        <row r="1116">
          <cell r="D1116" t="str">
            <v>F653RM-GMSFJ-31</v>
          </cell>
          <cell r="E1116" t="str">
            <v>AVANZA</v>
          </cell>
          <cell r="F1116" t="str">
            <v>AVANZA</v>
          </cell>
          <cell r="G1116" t="str">
            <v>AVANZA</v>
          </cell>
          <cell r="H1116" t="str">
            <v>AVANZA VELOZ 1.3 M/T</v>
          </cell>
          <cell r="I1116" t="str">
            <v>AVANZA VELOZ 1.3 M/T GR</v>
          </cell>
          <cell r="J1116" t="str">
            <v>AVANZA VELOZ 1.3 M/T GR</v>
          </cell>
          <cell r="K1116" t="str">
            <v>AVANZA</v>
          </cell>
          <cell r="L1116" t="str">
            <v>F53VM/T31M</v>
          </cell>
          <cell r="M1116" t="str">
            <v>AVANZA</v>
          </cell>
          <cell r="N1116" t="str">
            <v>AVANZA</v>
          </cell>
          <cell r="O1116" t="str">
            <v>F653RM-GMSFJ-31</v>
          </cell>
          <cell r="P1116" t="e">
            <v>#N/A</v>
          </cell>
          <cell r="Q1116" t="e">
            <v>#N/A</v>
          </cell>
          <cell r="R1116" t="str">
            <v>F653RM-GMSFJ-31</v>
          </cell>
          <cell r="S1116" t="str">
            <v>AVANZA</v>
          </cell>
          <cell r="T1116" t="e">
            <v>#N/A</v>
          </cell>
          <cell r="U1116" t="str">
            <v>AVANZA VELOZ 1.3 M/T</v>
          </cell>
        </row>
        <row r="1117">
          <cell r="D1117" t="str">
            <v>F654RM-GMSFJ-31</v>
          </cell>
          <cell r="E1117" t="str">
            <v>AVANZA</v>
          </cell>
          <cell r="F1117" t="str">
            <v>AVANZA</v>
          </cell>
          <cell r="G1117" t="str">
            <v>AVANZA</v>
          </cell>
          <cell r="H1117" t="str">
            <v>AVANZA VELOZ 1.5 M/T</v>
          </cell>
          <cell r="I1117" t="str">
            <v>AVANZA VELOZ 1.5 M/T GR</v>
          </cell>
          <cell r="J1117" t="str">
            <v>AVANZA VELOZ 1.5 M/T GR</v>
          </cell>
          <cell r="K1117" t="str">
            <v>AVANZA</v>
          </cell>
          <cell r="L1117" t="str">
            <v>F54VM/T31M</v>
          </cell>
          <cell r="M1117" t="str">
            <v>AVANZA</v>
          </cell>
          <cell r="N1117" t="str">
            <v>AVANZA</v>
          </cell>
          <cell r="O1117" t="str">
            <v>F654RM-GMSFJ-31</v>
          </cell>
          <cell r="P1117" t="e">
            <v>#N/A</v>
          </cell>
          <cell r="Q1117" t="e">
            <v>#N/A</v>
          </cell>
          <cell r="R1117" t="str">
            <v>F654RM-GMSFJ-31</v>
          </cell>
          <cell r="S1117" t="str">
            <v>AVANZA</v>
          </cell>
          <cell r="T1117" t="e">
            <v>#N/A</v>
          </cell>
          <cell r="U1117" t="str">
            <v>AVANZA VELOZ 1.5 M/T</v>
          </cell>
        </row>
        <row r="1118">
          <cell r="D1118" t="str">
            <v>F654RM-GQSFJ-31</v>
          </cell>
          <cell r="E1118" t="str">
            <v>AVANZA</v>
          </cell>
          <cell r="F1118" t="str">
            <v>AVANZA</v>
          </cell>
          <cell r="G1118" t="str">
            <v>AVANZA</v>
          </cell>
          <cell r="H1118" t="str">
            <v>AVANZA VELOZ 1.5 A/T</v>
          </cell>
          <cell r="I1118" t="str">
            <v>AVANZA VELOZ 1.5 A/T GR</v>
          </cell>
          <cell r="J1118" t="str">
            <v>AVANZA VELOZ 1.5 A/T GR</v>
          </cell>
          <cell r="K1118" t="str">
            <v>AVANZA</v>
          </cell>
          <cell r="L1118" t="str">
            <v>F54VA/T31M</v>
          </cell>
          <cell r="M1118" t="str">
            <v>AVANZA</v>
          </cell>
          <cell r="N1118" t="str">
            <v>AVANZA</v>
          </cell>
          <cell r="O1118" t="str">
            <v>F654RM-GQSFJ-31</v>
          </cell>
          <cell r="P1118" t="e">
            <v>#N/A</v>
          </cell>
          <cell r="Q1118" t="e">
            <v>#N/A</v>
          </cell>
          <cell r="R1118" t="str">
            <v>F654RM-GQSFJ-31</v>
          </cell>
          <cell r="S1118" t="str">
            <v>AVANZA</v>
          </cell>
          <cell r="T1118" t="e">
            <v>#N/A</v>
          </cell>
          <cell r="U1118" t="str">
            <v>AVANZA VELOZ 1.5 A/T</v>
          </cell>
        </row>
        <row r="1119">
          <cell r="D1119" t="str">
            <v>GUN166R-SDTHXD-31</v>
          </cell>
          <cell r="E1119" t="str">
            <v>FORTUNER</v>
          </cell>
          <cell r="F1119" t="str">
            <v>FORTUNER 4X2</v>
          </cell>
          <cell r="G1119" t="str">
            <v>FORTUNER 4X2</v>
          </cell>
          <cell r="H1119" t="str">
            <v>FORTUNER 4X2 VRZ A/T DIESEL</v>
          </cell>
          <cell r="I1119" t="str">
            <v>FORTUNER 4X2 VRZ A/T DIESEL GR TSS</v>
          </cell>
          <cell r="J1119" t="str">
            <v>FORTUNER 4X2 VRZ A/T DIESEL GR TSS</v>
          </cell>
          <cell r="K1119" t="str">
            <v>FORTUNER 4X2</v>
          </cell>
          <cell r="M1119" t="str">
            <v>FORTUNER</v>
          </cell>
          <cell r="N1119" t="str">
            <v>FORTUNER 4X2</v>
          </cell>
          <cell r="O1119" t="str">
            <v>GUN166R-SDTHXD-31</v>
          </cell>
          <cell r="P1119" t="str">
            <v>FORTUNER 4X2</v>
          </cell>
          <cell r="Q1119" t="e">
            <v>#N/A</v>
          </cell>
          <cell r="R1119" t="str">
            <v>GUN166R-SDTHXD-31</v>
          </cell>
          <cell r="S1119" t="str">
            <v>FORTUNER</v>
          </cell>
          <cell r="T1119" t="str">
            <v>FORTUNER</v>
          </cell>
          <cell r="U1119" t="str">
            <v>FORTUNER 4X2 VRZ A/T DIESEL</v>
          </cell>
        </row>
        <row r="1120">
          <cell r="D1120" t="str">
            <v>GUN166R-SDTHXD-33</v>
          </cell>
          <cell r="E1120" t="str">
            <v>FORTUNER</v>
          </cell>
          <cell r="F1120" t="str">
            <v>FORTUNER 4X2</v>
          </cell>
          <cell r="G1120" t="str">
            <v>FORTUNER 4X2</v>
          </cell>
          <cell r="H1120" t="str">
            <v>FORTUNER 4X2 VRZ A/T DIESEL</v>
          </cell>
          <cell r="I1120" t="str">
            <v>FORTUNER 4X2 VRZ A/T DIESEL GR TSS</v>
          </cell>
          <cell r="J1120" t="str">
            <v>FORTUNER 4X2 VRZ A/T DIESEL GR TSS</v>
          </cell>
          <cell r="K1120" t="str">
            <v>FORTUNER 4X2</v>
          </cell>
          <cell r="M1120" t="str">
            <v>FORTUNER</v>
          </cell>
          <cell r="N1120" t="str">
            <v>FORTUNER 4X2</v>
          </cell>
          <cell r="O1120" t="str">
            <v>GUN166R-SDTHXD-33</v>
          </cell>
          <cell r="P1120" t="str">
            <v>FORTUNER 4X2</v>
          </cell>
          <cell r="Q1120" t="e">
            <v>#N/A</v>
          </cell>
          <cell r="R1120" t="str">
            <v>GUN166R-SDTHXD-33</v>
          </cell>
          <cell r="S1120" t="str">
            <v>FORTUNER</v>
          </cell>
          <cell r="T1120" t="str">
            <v>FORTUNER</v>
          </cell>
          <cell r="U1120" t="str">
            <v>FORTUNER 4X2 VRZ A/T DIESEL</v>
          </cell>
        </row>
        <row r="1121">
          <cell r="D1121" t="str">
            <v>GUN166R-SDTHXD-32</v>
          </cell>
          <cell r="E1121" t="str">
            <v>FORTUNER</v>
          </cell>
          <cell r="F1121" t="str">
            <v>FORTUNER 4X2</v>
          </cell>
          <cell r="G1121" t="str">
            <v>FORTUNER 4X2</v>
          </cell>
          <cell r="H1121" t="str">
            <v>FORTUNER 4X2 VRZ A/T DIESEL</v>
          </cell>
          <cell r="I1121" t="str">
            <v>FORTUNER 4X2 VRZ A/T DIESEL GR TSS</v>
          </cell>
          <cell r="J1121" t="str">
            <v>FORTUNER 4X2 VRZ A/T DIESEL GR TSS</v>
          </cell>
          <cell r="K1121" t="str">
            <v>FORTUNER 4X2</v>
          </cell>
          <cell r="M1121" t="str">
            <v>FORTUNER</v>
          </cell>
          <cell r="N1121" t="str">
            <v>FORTUNER 4X2</v>
          </cell>
          <cell r="O1121" t="str">
            <v>GUN166R-SDTHXD-32</v>
          </cell>
          <cell r="P1121" t="str">
            <v>FORTUNER 4X2</v>
          </cell>
          <cell r="Q1121" t="e">
            <v>#N/A</v>
          </cell>
          <cell r="R1121" t="str">
            <v>GUN166R-SDTHXD-32</v>
          </cell>
          <cell r="S1121" t="str">
            <v>FORTUNER</v>
          </cell>
          <cell r="T1121" t="str">
            <v>FORTUNER</v>
          </cell>
          <cell r="U1121" t="str">
            <v>FORTUNER 4X2 VRZ A/T DIESEL</v>
          </cell>
        </row>
        <row r="1122">
          <cell r="D1122" t="str">
            <v>NSP151R-CHXVKD-30</v>
          </cell>
          <cell r="E1122" t="str">
            <v>YARIS</v>
          </cell>
          <cell r="F1122" t="str">
            <v>YARIS</v>
          </cell>
          <cell r="G1122" t="str">
            <v>YARIS</v>
          </cell>
          <cell r="H1122" t="str">
            <v>YARIS S A/T</v>
          </cell>
          <cell r="I1122" t="str">
            <v>YARIS S A/T GR</v>
          </cell>
          <cell r="J1122" t="str">
            <v>YARIS S A/T 7 AIRBAGS GR</v>
          </cell>
          <cell r="K1122" t="str">
            <v>YARIS</v>
          </cell>
          <cell r="L1122" t="str">
            <v>NS51HXSA/T30M</v>
          </cell>
          <cell r="M1122" t="str">
            <v>YARIS</v>
          </cell>
          <cell r="N1122" t="str">
            <v>YARIS</v>
          </cell>
          <cell r="O1122" t="str">
            <v>NSP151R-CHXVKD-30</v>
          </cell>
          <cell r="P1122" t="e">
            <v>#N/A</v>
          </cell>
          <cell r="Q1122" t="e">
            <v>#N/A</v>
          </cell>
          <cell r="R1122" t="str">
            <v>NSP151R-CHXVKD-30</v>
          </cell>
          <cell r="S1122" t="str">
            <v>YARIS</v>
          </cell>
          <cell r="T1122" t="e">
            <v>#N/A</v>
          </cell>
          <cell r="U1122" t="str">
            <v>YARIS S A/T</v>
          </cell>
        </row>
        <row r="1123">
          <cell r="D1123" t="str">
            <v>NSP151R-CHXVKD-31</v>
          </cell>
          <cell r="E1123" t="str">
            <v>YARIS</v>
          </cell>
          <cell r="F1123" t="str">
            <v>YARIS</v>
          </cell>
          <cell r="G1123" t="str">
            <v>YARIS</v>
          </cell>
          <cell r="H1123" t="str">
            <v>YARIS S A/T</v>
          </cell>
          <cell r="I1123" t="str">
            <v>YARIS S A/T GR</v>
          </cell>
          <cell r="J1123" t="str">
            <v>YARIS S A/T 3 AIRBAGS GR</v>
          </cell>
          <cell r="K1123" t="str">
            <v>YARIS</v>
          </cell>
          <cell r="L1123" t="str">
            <v>NS51HXSA/T31M</v>
          </cell>
          <cell r="M1123" t="str">
            <v>YARIS</v>
          </cell>
          <cell r="N1123" t="str">
            <v>YARIS</v>
          </cell>
          <cell r="O1123" t="str">
            <v>NSP151R-CHXVKD-31</v>
          </cell>
          <cell r="P1123" t="e">
            <v>#N/A</v>
          </cell>
          <cell r="Q1123" t="e">
            <v>#N/A</v>
          </cell>
          <cell r="R1123" t="str">
            <v>NSP151R-CHXVKD-31</v>
          </cell>
          <cell r="S1123" t="str">
            <v>YARIS</v>
          </cell>
          <cell r="T1123" t="e">
            <v>#N/A</v>
          </cell>
          <cell r="U1123" t="str">
            <v>YARIS S A/T</v>
          </cell>
        </row>
        <row r="1124">
          <cell r="D1124" t="str">
            <v>NSP151R-CHMVKD-30</v>
          </cell>
          <cell r="E1124" t="str">
            <v>YARIS</v>
          </cell>
          <cell r="F1124" t="str">
            <v>YARIS</v>
          </cell>
          <cell r="G1124" t="str">
            <v>YARIS</v>
          </cell>
          <cell r="H1124" t="str">
            <v>YARIS S M/T</v>
          </cell>
          <cell r="I1124" t="str">
            <v>YARIS S M/T GR</v>
          </cell>
          <cell r="J1124" t="str">
            <v>YARIS S M/T 7 AIRBAGS GR</v>
          </cell>
          <cell r="K1124" t="str">
            <v>YARIS</v>
          </cell>
          <cell r="L1124" t="str">
            <v>NS51HMSM/T30M</v>
          </cell>
          <cell r="M1124" t="str">
            <v>YARIS</v>
          </cell>
          <cell r="N1124" t="str">
            <v>YARIS</v>
          </cell>
          <cell r="O1124" t="str">
            <v>NSP151R-CHMVKD-30</v>
          </cell>
          <cell r="P1124" t="e">
            <v>#N/A</v>
          </cell>
          <cell r="Q1124" t="e">
            <v>#N/A</v>
          </cell>
          <cell r="R1124" t="str">
            <v>NSP151R-CHMVKD-30</v>
          </cell>
          <cell r="S1124" t="str">
            <v>YARIS</v>
          </cell>
          <cell r="T1124" t="e">
            <v>#N/A</v>
          </cell>
          <cell r="U1124" t="str">
            <v>YARIS S M/T</v>
          </cell>
        </row>
        <row r="1125">
          <cell r="D1125" t="str">
            <v>NSP151R-CHMVKD-31</v>
          </cell>
          <cell r="E1125" t="str">
            <v>YARIS</v>
          </cell>
          <cell r="F1125" t="str">
            <v>YARIS</v>
          </cell>
          <cell r="G1125" t="str">
            <v>YARIS</v>
          </cell>
          <cell r="H1125" t="str">
            <v>YARIS S M/T</v>
          </cell>
          <cell r="I1125" t="str">
            <v>YARIS S M/T GR</v>
          </cell>
          <cell r="J1125" t="str">
            <v>YARIS S M/T 3 AIRBAGS GR</v>
          </cell>
          <cell r="K1125" t="str">
            <v>YARIS</v>
          </cell>
          <cell r="L1125" t="str">
            <v>NS51HMSM/T31M</v>
          </cell>
          <cell r="M1125" t="str">
            <v>YARIS</v>
          </cell>
          <cell r="N1125" t="str">
            <v>YARIS</v>
          </cell>
          <cell r="O1125" t="str">
            <v>NSP151R-CHMVKD-31</v>
          </cell>
          <cell r="P1125" t="e">
            <v>#N/A</v>
          </cell>
          <cell r="Q1125" t="e">
            <v>#N/A</v>
          </cell>
          <cell r="R1125" t="str">
            <v>NSP151R-CHMVKD-31</v>
          </cell>
          <cell r="S1125" t="str">
            <v>YARIS</v>
          </cell>
          <cell r="T1125" t="e">
            <v>#N/A</v>
          </cell>
          <cell r="U1125" t="str">
            <v>YARIS S M/T</v>
          </cell>
        </row>
        <row r="1126">
          <cell r="D1126" t="str">
            <v>ZRE211R-GEXGKD-04</v>
          </cell>
          <cell r="E1126" t="str">
            <v>COROLLA</v>
          </cell>
          <cell r="F1126" t="str">
            <v>COROLLA ALTIS</v>
          </cell>
          <cell r="G1126" t="str">
            <v>COROLLA ALTIS</v>
          </cell>
          <cell r="H1126" t="str">
            <v>COROLLA ALTIS V A/T</v>
          </cell>
          <cell r="I1126" t="str">
            <v>COROLLA ALTIS V A/T</v>
          </cell>
          <cell r="J1126" t="str">
            <v>COROLLA ALTIS V A/T</v>
          </cell>
          <cell r="K1126" t="str">
            <v>COROLLA ALTIS</v>
          </cell>
          <cell r="L1126" t="str">
            <v>ZRE211RM/T04M</v>
          </cell>
          <cell r="M1126" t="str">
            <v>COROLLA ALTIS</v>
          </cell>
          <cell r="N1126" t="str">
            <v>COROLLA ALTIS</v>
          </cell>
          <cell r="O1126" t="str">
            <v>ZRE211R-GEXGKD-04</v>
          </cell>
          <cell r="P1126" t="e">
            <v>#N/A</v>
          </cell>
          <cell r="Q1126" t="e">
            <v>#N/A</v>
          </cell>
          <cell r="R1126" t="str">
            <v>ZRE211R-GEXGKD-04</v>
          </cell>
          <cell r="S1126" t="str">
            <v>COROLLA</v>
          </cell>
          <cell r="T1126" t="e">
            <v>#N/A</v>
          </cell>
          <cell r="U1126" t="str">
            <v>COROLLA ALTIS V A/T</v>
          </cell>
        </row>
        <row r="1127">
          <cell r="D1127" t="str">
            <v>GUN125R-DTTHXD-10</v>
          </cell>
          <cell r="E1127" t="str">
            <v>HILUX</v>
          </cell>
          <cell r="F1127" t="str">
            <v>HILUX DC</v>
          </cell>
          <cell r="G1127" t="str">
            <v>HILUX DC</v>
          </cell>
          <cell r="H1127" t="str">
            <v>HILUX DC V A/T DIESEL</v>
          </cell>
          <cell r="I1127" t="str">
            <v>HILUX DC V A/T DIESEL</v>
          </cell>
          <cell r="J1127" t="str">
            <v>HILUX DC V A/T DIESEL</v>
          </cell>
          <cell r="K1127" t="str">
            <v>HILUX DC</v>
          </cell>
          <cell r="L1127" t="str">
            <v>GUN25DXVA/T10M</v>
          </cell>
          <cell r="M1127" t="str">
            <v>HILUX</v>
          </cell>
          <cell r="N1127" t="str">
            <v>HILUX DC</v>
          </cell>
          <cell r="O1127" t="str">
            <v>GUN125R-DTTHXD-10</v>
          </cell>
          <cell r="P1127" t="e">
            <v>#N/A</v>
          </cell>
          <cell r="Q1127" t="e">
            <v>#N/A</v>
          </cell>
          <cell r="R1127" t="str">
            <v>GUN125R-DTTHXD-10</v>
          </cell>
          <cell r="S1127" t="str">
            <v>HILUX</v>
          </cell>
          <cell r="T1127" t="e">
            <v>#N/A</v>
          </cell>
          <cell r="U1127" t="str">
            <v>HILUX DC V A/T DIESEL</v>
          </cell>
        </row>
        <row r="1128">
          <cell r="D1128" t="str">
            <v>GUN125R-DTTHXD-11</v>
          </cell>
          <cell r="E1128" t="str">
            <v>HILUX</v>
          </cell>
          <cell r="F1128" t="str">
            <v>HILUX DC</v>
          </cell>
          <cell r="G1128" t="str">
            <v>HILUX DC</v>
          </cell>
          <cell r="H1128" t="str">
            <v>HILUX DC V A/T DIESEL</v>
          </cell>
          <cell r="I1128" t="str">
            <v>HILUX DC V A/T DIESEL</v>
          </cell>
          <cell r="J1128" t="str">
            <v>HILUX DC V A/T DIESEL</v>
          </cell>
          <cell r="K1128" t="str">
            <v>HILUX DC</v>
          </cell>
          <cell r="L1128" t="str">
            <v>GUN25DXVA/T11M</v>
          </cell>
          <cell r="M1128" t="str">
            <v>HILUX</v>
          </cell>
          <cell r="N1128" t="str">
            <v>HILUX DC</v>
          </cell>
          <cell r="O1128" t="str">
            <v>GUN125R-DTTHXD-11</v>
          </cell>
          <cell r="P1128" t="e">
            <v>#N/A</v>
          </cell>
          <cell r="Q1128" t="e">
            <v>#N/A</v>
          </cell>
          <cell r="R1128" t="str">
            <v>GUN125R-DTTHXD-11</v>
          </cell>
          <cell r="S1128" t="str">
            <v>HILUX</v>
          </cell>
          <cell r="T1128" t="e">
            <v>#N/A</v>
          </cell>
          <cell r="U1128" t="str">
            <v>HILUX DC V A/T DIESEL</v>
          </cell>
        </row>
        <row r="1129">
          <cell r="D1129" t="str">
            <v>GUN166R-SDTHXD-GA</v>
          </cell>
          <cell r="E1129" t="str">
            <v>FORTUNER</v>
          </cell>
          <cell r="F1129" t="str">
            <v>FORTUNER 4X2</v>
          </cell>
          <cell r="G1129" t="str">
            <v>FORTUNER 4X2</v>
          </cell>
          <cell r="H1129" t="str">
            <v>FORTUNER 4X2 VRZ A/T DIESEL</v>
          </cell>
          <cell r="I1129" t="str">
            <v>FORTUNER 4X2 VRZ A/T DIESEL GR TSS</v>
          </cell>
          <cell r="J1129" t="str">
            <v>FORTUNER 4X2 VRZ A/T DIESEL GR TSS TCO</v>
          </cell>
          <cell r="K1129" t="str">
            <v>FORTUNER 4X2</v>
          </cell>
          <cell r="M1129" t="str">
            <v>FORTUNER</v>
          </cell>
          <cell r="N1129" t="str">
            <v>FORTUNER 4X2</v>
          </cell>
          <cell r="O1129" t="str">
            <v>GUN166R-SDTHXD-GA</v>
          </cell>
          <cell r="P1129" t="str">
            <v>FORTUNER 4X2</v>
          </cell>
          <cell r="Q1129" t="e">
            <v>#N/A</v>
          </cell>
          <cell r="R1129" t="str">
            <v>GUN166R-SDTHXD-GA</v>
          </cell>
          <cell r="S1129" t="str">
            <v>FORTUNER</v>
          </cell>
          <cell r="T1129" t="str">
            <v>FORTUNER</v>
          </cell>
          <cell r="U1129" t="str">
            <v>FORTUNER 4X2 VRZ A/T DIESEL</v>
          </cell>
        </row>
        <row r="1130">
          <cell r="D1130" t="str">
            <v>GUN166R-SDTHXD-AF</v>
          </cell>
          <cell r="E1130" t="str">
            <v>FORTUNER</v>
          </cell>
          <cell r="F1130" t="str">
            <v>FORTUNER 4X2</v>
          </cell>
          <cell r="G1130" t="str">
            <v>FORTUNER 4X2</v>
          </cell>
          <cell r="H1130" t="str">
            <v>FORTUNER 4X2 VRZ A/T DIESEL</v>
          </cell>
          <cell r="I1130" t="str">
            <v>FORTUNER 4X2 VRZ A/T DIESEL GR TSS</v>
          </cell>
          <cell r="J1130" t="str">
            <v>FORTUNER 4X2 VRZ A/T DIESEL GR TSS TCO</v>
          </cell>
          <cell r="K1130" t="str">
            <v>FORTUNER 4X2</v>
          </cell>
          <cell r="M1130" t="str">
            <v>FORTUNER</v>
          </cell>
          <cell r="N1130" t="str">
            <v>FORTUNER 4X2</v>
          </cell>
          <cell r="O1130" t="str">
            <v>GUN166R-SDTHXD-AF</v>
          </cell>
          <cell r="P1130" t="str">
            <v>FORTUNER 4X2</v>
          </cell>
          <cell r="Q1130" t="e">
            <v>#N/A</v>
          </cell>
          <cell r="R1130" t="str">
            <v>GUN166R-SDTHXD-AF</v>
          </cell>
          <cell r="S1130" t="str">
            <v>FORTUNER</v>
          </cell>
          <cell r="T1130" t="str">
            <v>FORTUNER</v>
          </cell>
          <cell r="U1130" t="str">
            <v>FORTUNER 4X2 VRZ A/T DIESEL</v>
          </cell>
        </row>
        <row r="1131">
          <cell r="D1131" t="str">
            <v>GUN125R-DTFLXD-10</v>
          </cell>
          <cell r="E1131" t="str">
            <v>HILUX</v>
          </cell>
          <cell r="F1131" t="str">
            <v>HILUX DC</v>
          </cell>
          <cell r="G1131" t="str">
            <v>HILUX DC</v>
          </cell>
          <cell r="H1131" t="str">
            <v>HILUX DC E M/T DIESEL</v>
          </cell>
          <cell r="I1131" t="str">
            <v>HILUX DC E M/T DIESEL</v>
          </cell>
          <cell r="J1131" t="str">
            <v>HILUX DC E M/T DIESEL</v>
          </cell>
          <cell r="K1131" t="str">
            <v>HILUX DC</v>
          </cell>
          <cell r="L1131" t="str">
            <v>GUN25DXEM/T10M</v>
          </cell>
          <cell r="M1131" t="str">
            <v>HILUX</v>
          </cell>
          <cell r="N1131" t="str">
            <v>HILUX DC</v>
          </cell>
          <cell r="O1131" t="str">
            <v>GUN125R-DTFLXD-10</v>
          </cell>
          <cell r="P1131" t="e">
            <v>#N/A</v>
          </cell>
          <cell r="Q1131" t="e">
            <v>#N/A</v>
          </cell>
          <cell r="R1131" t="str">
            <v>GUN125R-DTFLXD-10</v>
          </cell>
          <cell r="S1131" t="str">
            <v>HILUX</v>
          </cell>
          <cell r="T1131" t="e">
            <v>#N/A</v>
          </cell>
          <cell r="U1131" t="str">
            <v>HILUX DC E M/T DIESEL</v>
          </cell>
        </row>
        <row r="1132">
          <cell r="D1132" t="str">
            <v>VDJ200R-GNTVZ-61</v>
          </cell>
          <cell r="E1132" t="str">
            <v>LANDCRUISER</v>
          </cell>
          <cell r="F1132" t="str">
            <v>LANDCRUISER</v>
          </cell>
          <cell r="G1132" t="str">
            <v>LANDCRUISER</v>
          </cell>
          <cell r="H1132" t="str">
            <v>LANDCRUISER</v>
          </cell>
          <cell r="I1132" t="str">
            <v>LANDCRUISER</v>
          </cell>
          <cell r="J1132" t="str">
            <v>LANDCRUISER</v>
          </cell>
          <cell r="K1132" t="str">
            <v>LANDCRUISER</v>
          </cell>
          <cell r="L1132" t="str">
            <v>VJ200VZA/T61M</v>
          </cell>
          <cell r="M1132" t="str">
            <v>LANDCRUISER</v>
          </cell>
          <cell r="N1132" t="str">
            <v>LANDCRUISER</v>
          </cell>
          <cell r="O1132" t="str">
            <v>VDJ200R-GNTVZ-61</v>
          </cell>
          <cell r="P1132" t="e">
            <v>#N/A</v>
          </cell>
          <cell r="Q1132" t="e">
            <v>#N/A</v>
          </cell>
          <cell r="R1132" t="str">
            <v>VDJ200R-GNTVZ-61</v>
          </cell>
          <cell r="S1132" t="str">
            <v>LANDCRUISER</v>
          </cell>
          <cell r="T1132" t="e">
            <v>#N/A</v>
          </cell>
          <cell r="U1132" t="str">
            <v>LANDCRUISER</v>
          </cell>
        </row>
        <row r="1133">
          <cell r="D1133" t="str">
            <v>F800RE-GQMFJ-30</v>
          </cell>
          <cell r="E1133" t="str">
            <v>RUSH</v>
          </cell>
          <cell r="F1133" t="str">
            <v>RUSH</v>
          </cell>
          <cell r="G1133" t="str">
            <v>RUSH</v>
          </cell>
          <cell r="H1133" t="str">
            <v>RUSH G A/T</v>
          </cell>
          <cell r="I1133" t="str">
            <v>RUSH G A/T</v>
          </cell>
          <cell r="J1133" t="str">
            <v>RUSH G A/T</v>
          </cell>
          <cell r="K1133" t="str">
            <v>RUSH</v>
          </cell>
          <cell r="L1133" t="str">
            <v>F80GA/T30M</v>
          </cell>
          <cell r="M1133" t="str">
            <v>RUSH</v>
          </cell>
          <cell r="N1133" t="str">
            <v>RUSH</v>
          </cell>
          <cell r="O1133" t="str">
            <v>F800RE-GQMFJ-30</v>
          </cell>
          <cell r="P1133" t="str">
            <v>RUSH</v>
          </cell>
          <cell r="Q1133" t="str">
            <v>RUSH</v>
          </cell>
          <cell r="R1133" t="str">
            <v>F800RE-GQMFJ-30</v>
          </cell>
          <cell r="S1133" t="str">
            <v>RUSH</v>
          </cell>
          <cell r="T1133" t="str">
            <v>RUSH</v>
          </cell>
          <cell r="U1133" t="str">
            <v>RUSH G A/T</v>
          </cell>
        </row>
        <row r="1134">
          <cell r="D1134" t="str">
            <v>F800RE-GMMFJ-30</v>
          </cell>
          <cell r="E1134" t="str">
            <v>RUSH</v>
          </cell>
          <cell r="F1134" t="str">
            <v>RUSH</v>
          </cell>
          <cell r="G1134" t="str">
            <v>RUSH</v>
          </cell>
          <cell r="H1134" t="str">
            <v>RUSH G M/T</v>
          </cell>
          <cell r="I1134" t="str">
            <v>RUSH G M/T</v>
          </cell>
          <cell r="J1134" t="str">
            <v>RUSH G M/T</v>
          </cell>
          <cell r="K1134" t="str">
            <v>RUSH</v>
          </cell>
          <cell r="L1134" t="str">
            <v>F80GM/T30M</v>
          </cell>
          <cell r="M1134" t="str">
            <v>RUSH</v>
          </cell>
          <cell r="N1134" t="str">
            <v>RUSH</v>
          </cell>
          <cell r="O1134" t="str">
            <v>F800RE-GMMFJ-30</v>
          </cell>
          <cell r="P1134" t="str">
            <v>RUSH</v>
          </cell>
          <cell r="Q1134" t="str">
            <v>RUSH</v>
          </cell>
          <cell r="R1134" t="str">
            <v>F800RE-GMMFJ-30</v>
          </cell>
          <cell r="S1134" t="str">
            <v>RUSH</v>
          </cell>
          <cell r="T1134" t="str">
            <v>RUSH</v>
          </cell>
          <cell r="U1134" t="str">
            <v>RUSH G M/T</v>
          </cell>
        </row>
        <row r="1135">
          <cell r="D1135" t="str">
            <v>F800RE-GQGFJ-30</v>
          </cell>
          <cell r="E1135" t="str">
            <v>RUSH</v>
          </cell>
          <cell r="F1135" t="str">
            <v>RUSH</v>
          </cell>
          <cell r="G1135" t="str">
            <v>RUSH</v>
          </cell>
          <cell r="H1135" t="str">
            <v>RUSH S A/T</v>
          </cell>
          <cell r="I1135" t="str">
            <v>RUSH S A/T GR</v>
          </cell>
          <cell r="J1135" t="str">
            <v>RUSH S A/T</v>
          </cell>
          <cell r="K1135" t="str">
            <v>RUSH</v>
          </cell>
          <cell r="L1135" t="str">
            <v>F80SA/T30M</v>
          </cell>
          <cell r="M1135" t="str">
            <v>RUSH</v>
          </cell>
          <cell r="N1135" t="str">
            <v>RUSH</v>
          </cell>
          <cell r="O1135" t="str">
            <v>F800RE-GQGFJ-30</v>
          </cell>
          <cell r="P1135" t="str">
            <v>RUSH</v>
          </cell>
          <cell r="Q1135" t="e">
            <v>#N/A</v>
          </cell>
          <cell r="R1135" t="str">
            <v>F800RE-GQGFJ-30</v>
          </cell>
          <cell r="S1135" t="str">
            <v>RUSH</v>
          </cell>
          <cell r="T1135" t="e">
            <v>#N/A</v>
          </cell>
          <cell r="U1135" t="str">
            <v>RUSH S A/T</v>
          </cell>
        </row>
        <row r="1136">
          <cell r="D1136" t="str">
            <v>F800RE-GMGFJ-30</v>
          </cell>
          <cell r="E1136" t="str">
            <v>RUSH</v>
          </cell>
          <cell r="F1136" t="str">
            <v>RUSH</v>
          </cell>
          <cell r="G1136" t="str">
            <v>RUSH</v>
          </cell>
          <cell r="H1136" t="str">
            <v>RUSH S M/T</v>
          </cell>
          <cell r="I1136" t="str">
            <v>RUSH S M/T GR</v>
          </cell>
          <cell r="J1136" t="str">
            <v>RUSH S M/T</v>
          </cell>
          <cell r="K1136" t="str">
            <v>RUSH</v>
          </cell>
          <cell r="L1136" t="str">
            <v>F80SM/T30M</v>
          </cell>
          <cell r="M1136" t="str">
            <v>RUSH</v>
          </cell>
          <cell r="N1136" t="str">
            <v>RUSH</v>
          </cell>
          <cell r="O1136" t="str">
            <v>F800RE-GMGFJ-30</v>
          </cell>
          <cell r="P1136" t="str">
            <v>RUSH</v>
          </cell>
          <cell r="Q1136" t="e">
            <v>#N/A</v>
          </cell>
          <cell r="R1136" t="str">
            <v>F800RE-GMGFJ-30</v>
          </cell>
          <cell r="S1136" t="str">
            <v>RUSH</v>
          </cell>
          <cell r="T1136" t="e">
            <v>#N/A</v>
          </cell>
          <cell r="U1136" t="str">
            <v>RUSH S M/T</v>
          </cell>
        </row>
        <row r="1137">
          <cell r="D1137" t="str">
            <v>A250RA-GBVVJ-10</v>
          </cell>
          <cell r="E1137" t="str">
            <v>RAIZE</v>
          </cell>
          <cell r="F1137" t="str">
            <v>RAIZE</v>
          </cell>
          <cell r="G1137" t="str">
            <v>RAIZE</v>
          </cell>
          <cell r="H1137" t="str">
            <v>RAIZE S A/T</v>
          </cell>
          <cell r="I1137" t="str">
            <v>RAIZE 1.0T S A/T</v>
          </cell>
          <cell r="J1137" t="str">
            <v>RAIZE 1.0T S A/T ONE TONE</v>
          </cell>
          <cell r="K1137" t="str">
            <v>RAIZE</v>
          </cell>
          <cell r="L1137" t="str">
            <v>A250RSA/T10M</v>
          </cell>
          <cell r="M1137" t="str">
            <v>RAIZE</v>
          </cell>
          <cell r="N1137" t="str">
            <v>RAIZE</v>
          </cell>
          <cell r="O1137" t="str">
            <v>A250RA-GBVVJ-10</v>
          </cell>
          <cell r="P1137" t="e">
            <v>#N/A</v>
          </cell>
          <cell r="Q1137" t="e">
            <v>#N/A</v>
          </cell>
          <cell r="R1137" t="str">
            <v>A250RA-GBVVJ-10</v>
          </cell>
          <cell r="S1137" t="str">
            <v>RAIZE</v>
          </cell>
          <cell r="T1137" t="e">
            <v>#N/A</v>
          </cell>
          <cell r="U1137" t="str">
            <v>RAIZE S A/T</v>
          </cell>
        </row>
        <row r="1138">
          <cell r="D1138" t="str">
            <v>A250RA-GBVVJ-11</v>
          </cell>
          <cell r="E1138" t="str">
            <v>RAIZE</v>
          </cell>
          <cell r="F1138" t="str">
            <v>RAIZE</v>
          </cell>
          <cell r="G1138" t="str">
            <v>RAIZE</v>
          </cell>
          <cell r="H1138" t="str">
            <v>RAIZE S A/T</v>
          </cell>
          <cell r="I1138" t="str">
            <v>RAIZE 1.0T S A/T</v>
          </cell>
          <cell r="J1138" t="str">
            <v>RAIZE 1.0T S A/T TWO TONE</v>
          </cell>
          <cell r="K1138" t="str">
            <v>RAIZE</v>
          </cell>
          <cell r="L1138" t="str">
            <v>A250RSA/T11M</v>
          </cell>
          <cell r="M1138" t="str">
            <v>RAIZE</v>
          </cell>
          <cell r="N1138" t="str">
            <v>RAIZE</v>
          </cell>
          <cell r="O1138" t="str">
            <v>A250RA-GBVVJ-11</v>
          </cell>
          <cell r="P1138" t="e">
            <v>#N/A</v>
          </cell>
          <cell r="Q1138" t="e">
            <v>#N/A</v>
          </cell>
          <cell r="R1138" t="str">
            <v>A250RA-GBVVJ-11</v>
          </cell>
          <cell r="S1138" t="str">
            <v>RAIZE</v>
          </cell>
          <cell r="T1138" t="e">
            <v>#N/A</v>
          </cell>
          <cell r="U1138" t="str">
            <v>RAIZE S A/T</v>
          </cell>
        </row>
        <row r="1139">
          <cell r="D1139" t="str">
            <v>A250RA-GBVVJ-12</v>
          </cell>
          <cell r="E1139" t="str">
            <v>RAIZE</v>
          </cell>
          <cell r="F1139" t="str">
            <v>RAIZE</v>
          </cell>
          <cell r="G1139" t="str">
            <v>RAIZE</v>
          </cell>
          <cell r="H1139" t="str">
            <v>RAIZE S A/T</v>
          </cell>
          <cell r="I1139" t="str">
            <v>RAIZE 1.0T S A/T TSS</v>
          </cell>
          <cell r="J1139" t="str">
            <v>RAIZE 1.0T S A/T TSS ONE TONE</v>
          </cell>
          <cell r="K1139" t="str">
            <v>RAIZE</v>
          </cell>
          <cell r="L1139" t="str">
            <v>A250RSA/T12M</v>
          </cell>
          <cell r="M1139" t="str">
            <v>RAIZE</v>
          </cell>
          <cell r="N1139" t="str">
            <v>RAIZE</v>
          </cell>
          <cell r="O1139" t="str">
            <v>A250RA-GBVVJ-12</v>
          </cell>
          <cell r="P1139" t="str">
            <v>RAIZE</v>
          </cell>
          <cell r="Q1139" t="e">
            <v>#N/A</v>
          </cell>
          <cell r="R1139" t="str">
            <v>A250RA-GBVVJ-12</v>
          </cell>
          <cell r="S1139" t="str">
            <v>RAIZE</v>
          </cell>
          <cell r="T1139" t="e">
            <v>#N/A</v>
          </cell>
          <cell r="U1139" t="str">
            <v>RAIZE S A/T</v>
          </cell>
        </row>
        <row r="1140">
          <cell r="D1140" t="str">
            <v>A250RA-GBVVJ-13</v>
          </cell>
          <cell r="E1140" t="str">
            <v>RAIZE</v>
          </cell>
          <cell r="F1140" t="str">
            <v>RAIZE</v>
          </cell>
          <cell r="G1140" t="str">
            <v>RAIZE</v>
          </cell>
          <cell r="H1140" t="str">
            <v>RAIZE S A/T</v>
          </cell>
          <cell r="I1140" t="str">
            <v>RAIZE 1.0T S A/T TSS</v>
          </cell>
          <cell r="J1140" t="str">
            <v>RAIZE 1.0T S A/T TSS TWO TONE</v>
          </cell>
          <cell r="K1140" t="str">
            <v>RAIZE</v>
          </cell>
          <cell r="L1140" t="str">
            <v>A250RSA/T13M</v>
          </cell>
          <cell r="M1140" t="str">
            <v>RAIZE</v>
          </cell>
          <cell r="N1140" t="str">
            <v>RAIZE</v>
          </cell>
          <cell r="O1140" t="str">
            <v>A250RA-GBVVJ-13</v>
          </cell>
          <cell r="P1140" t="e">
            <v>#N/A</v>
          </cell>
          <cell r="Q1140" t="e">
            <v>#N/A</v>
          </cell>
          <cell r="R1140" t="str">
            <v>A250RA-GBVVJ-13</v>
          </cell>
          <cell r="S1140" t="str">
            <v>RAIZE</v>
          </cell>
          <cell r="T1140" t="e">
            <v>#N/A</v>
          </cell>
          <cell r="U1140" t="str">
            <v>RAIZE S A/T</v>
          </cell>
        </row>
        <row r="1141">
          <cell r="D1141" t="str">
            <v>A250RA-GBXVJ-00</v>
          </cell>
          <cell r="E1141" t="str">
            <v>RAIZE</v>
          </cell>
          <cell r="F1141" t="str">
            <v>RAIZE</v>
          </cell>
          <cell r="G1141" t="str">
            <v>RAIZE</v>
          </cell>
          <cell r="H1141" t="str">
            <v>RAIZE G A/T</v>
          </cell>
          <cell r="I1141" t="str">
            <v>RAIZE 1.0T G A/T</v>
          </cell>
          <cell r="J1141" t="str">
            <v>RAIZE 1.0T G A/T ONE TONE</v>
          </cell>
          <cell r="K1141" t="str">
            <v>RAIZE</v>
          </cell>
          <cell r="L1141" t="str">
            <v>A250RGA/T00M</v>
          </cell>
          <cell r="M1141" t="str">
            <v>RAIZE</v>
          </cell>
          <cell r="N1141" t="str">
            <v>RAIZE</v>
          </cell>
          <cell r="O1141" t="str">
            <v>A250RA-GBXVJ-00</v>
          </cell>
          <cell r="P1141" t="str">
            <v>RAIZE</v>
          </cell>
          <cell r="Q1141" t="e">
            <v>#N/A</v>
          </cell>
          <cell r="R1141" t="str">
            <v>A250RA-GBXVJ-00</v>
          </cell>
          <cell r="S1141" t="str">
            <v>RAIZE</v>
          </cell>
          <cell r="T1141" t="str">
            <v>RAIZE</v>
          </cell>
          <cell r="U1141" t="str">
            <v>RAIZE G A/T</v>
          </cell>
        </row>
        <row r="1142">
          <cell r="D1142" t="str">
            <v>A250RA-GBXVJ-01</v>
          </cell>
          <cell r="E1142" t="str">
            <v>RAIZE</v>
          </cell>
          <cell r="F1142" t="str">
            <v>RAIZE</v>
          </cell>
          <cell r="G1142" t="str">
            <v>RAIZE</v>
          </cell>
          <cell r="H1142" t="str">
            <v>RAIZE G A/T</v>
          </cell>
          <cell r="I1142" t="str">
            <v>RAIZE 1.0T G A/T</v>
          </cell>
          <cell r="J1142" t="str">
            <v>RAIZE 1.0T G A/T TWO TONE</v>
          </cell>
          <cell r="K1142" t="str">
            <v>RAIZE</v>
          </cell>
          <cell r="L1142" t="str">
            <v>A250RGA/T01M</v>
          </cell>
          <cell r="M1142" t="str">
            <v>RAIZE</v>
          </cell>
          <cell r="N1142" t="str">
            <v>RAIZE</v>
          </cell>
          <cell r="O1142" t="str">
            <v>A250RA-GBXVJ-01</v>
          </cell>
          <cell r="P1142" t="str">
            <v>RAIZE</v>
          </cell>
          <cell r="Q1142" t="e">
            <v>#N/A</v>
          </cell>
          <cell r="R1142" t="str">
            <v>A250RA-GBXVJ-01</v>
          </cell>
          <cell r="S1142" t="str">
            <v>RAIZE</v>
          </cell>
          <cell r="T1142" t="e">
            <v>#N/A</v>
          </cell>
          <cell r="U1142" t="str">
            <v>RAIZE G A/T</v>
          </cell>
        </row>
        <row r="1143">
          <cell r="D1143" t="str">
            <v>A250RA-GMXVJ-00</v>
          </cell>
          <cell r="E1143" t="str">
            <v>RAIZE</v>
          </cell>
          <cell r="F1143" t="str">
            <v>RAIZE</v>
          </cell>
          <cell r="G1143" t="str">
            <v>RAIZE</v>
          </cell>
          <cell r="H1143" t="str">
            <v>RAIZE G M/T</v>
          </cell>
          <cell r="I1143" t="str">
            <v>RAIZE 1.0T G M/T</v>
          </cell>
          <cell r="J1143" t="str">
            <v>RAIZE 1.0T G M/T ONE TONE</v>
          </cell>
          <cell r="K1143" t="str">
            <v>RAIZE</v>
          </cell>
          <cell r="L1143" t="str">
            <v>A250RGM/T00M</v>
          </cell>
          <cell r="M1143" t="str">
            <v>RAIZE</v>
          </cell>
          <cell r="N1143" t="str">
            <v>RAIZE</v>
          </cell>
          <cell r="O1143" t="str">
            <v>A250RA-GMXVJ-00</v>
          </cell>
          <cell r="P1143" t="str">
            <v>RAIZE</v>
          </cell>
          <cell r="Q1143" t="e">
            <v>#N/A</v>
          </cell>
          <cell r="R1143" t="str">
            <v>A250RA-GMXVJ-00</v>
          </cell>
          <cell r="S1143" t="str">
            <v>RAIZE</v>
          </cell>
          <cell r="T1143" t="e">
            <v>#N/A</v>
          </cell>
          <cell r="U1143" t="str">
            <v>RAIZE G M/T</v>
          </cell>
        </row>
        <row r="1144">
          <cell r="D1144" t="str">
            <v>A250RA-GMXVJ-01</v>
          </cell>
          <cell r="E1144" t="str">
            <v>RAIZE</v>
          </cell>
          <cell r="F1144" t="str">
            <v>RAIZE</v>
          </cell>
          <cell r="G1144" t="str">
            <v>RAIZE</v>
          </cell>
          <cell r="H1144" t="str">
            <v>RAIZE G M/T</v>
          </cell>
          <cell r="I1144" t="str">
            <v>RAIZE 1.0T G M/T</v>
          </cell>
          <cell r="J1144" t="str">
            <v>RAIZE 1.0T G M/T TWO TONE</v>
          </cell>
          <cell r="K1144" t="str">
            <v>RAIZE</v>
          </cell>
          <cell r="L1144" t="str">
            <v>A250RGM/T01M</v>
          </cell>
          <cell r="M1144" t="str">
            <v>RAIZE</v>
          </cell>
          <cell r="N1144" t="str">
            <v>RAIZE</v>
          </cell>
          <cell r="O1144" t="str">
            <v>A250RA-GMXVJ-01</v>
          </cell>
          <cell r="P1144" t="e">
            <v>#N/A</v>
          </cell>
          <cell r="Q1144" t="e">
            <v>#N/A</v>
          </cell>
          <cell r="R1144" t="str">
            <v>A250RA-GMXVJ-01</v>
          </cell>
          <cell r="S1144" t="str">
            <v>RAIZE</v>
          </cell>
          <cell r="T1144" t="e">
            <v>#N/A</v>
          </cell>
          <cell r="U1144" t="str">
            <v>RAIZE G M/T</v>
          </cell>
        </row>
        <row r="1145">
          <cell r="D1145" t="str">
            <v>A251RA-GBXFJ-00</v>
          </cell>
          <cell r="E1145" t="str">
            <v>RAIZE</v>
          </cell>
          <cell r="F1145" t="str">
            <v>RAIZE</v>
          </cell>
          <cell r="G1145" t="str">
            <v>RAIZE</v>
          </cell>
          <cell r="H1145" t="str">
            <v>RAIZE G A/T</v>
          </cell>
          <cell r="I1145" t="str">
            <v>RAIZE 1.2 G A/T</v>
          </cell>
          <cell r="J1145" t="str">
            <v>RAIZE 1.2 G A/T ONE TONE</v>
          </cell>
          <cell r="K1145" t="str">
            <v>RAIZE</v>
          </cell>
          <cell r="L1145" t="str">
            <v>A251RGA/T00M</v>
          </cell>
          <cell r="M1145" t="str">
            <v>RAIZE</v>
          </cell>
          <cell r="N1145" t="str">
            <v>RAIZE</v>
          </cell>
          <cell r="O1145" t="str">
            <v>A251RA-GBXFJ-00</v>
          </cell>
          <cell r="P1145" t="str">
            <v>RAIZE</v>
          </cell>
          <cell r="Q1145" t="e">
            <v>#N/A</v>
          </cell>
          <cell r="R1145" t="str">
            <v>A251RA-GBXFJ-00</v>
          </cell>
          <cell r="S1145" t="str">
            <v>RAIZE</v>
          </cell>
          <cell r="T1145" t="str">
            <v>RAIZE</v>
          </cell>
          <cell r="U1145" t="str">
            <v>RAIZE G A/T</v>
          </cell>
        </row>
        <row r="1146">
          <cell r="D1146" t="str">
            <v>A251RA-GMXFJ-00</v>
          </cell>
          <cell r="E1146" t="str">
            <v>RAIZE</v>
          </cell>
          <cell r="F1146" t="str">
            <v>RAIZE</v>
          </cell>
          <cell r="G1146" t="str">
            <v>RAIZE</v>
          </cell>
          <cell r="H1146" t="str">
            <v>RAIZE G M/T</v>
          </cell>
          <cell r="I1146" t="str">
            <v>RAIZE 1.2 G M/T</v>
          </cell>
          <cell r="J1146" t="str">
            <v>RAIZE 1.2 G M/T ONE TONE</v>
          </cell>
          <cell r="K1146" t="str">
            <v>RAIZE</v>
          </cell>
          <cell r="L1146" t="str">
            <v>A251RGM/T00M</v>
          </cell>
          <cell r="M1146" t="str">
            <v>RAIZE</v>
          </cell>
          <cell r="N1146" t="str">
            <v>RAIZE</v>
          </cell>
          <cell r="O1146" t="str">
            <v>A251RA-GMXFJ-00</v>
          </cell>
          <cell r="P1146" t="str">
            <v>RAIZE</v>
          </cell>
          <cell r="Q1146" t="e">
            <v>#N/A</v>
          </cell>
          <cell r="R1146" t="str">
            <v>A251RA-GMXFJ-00</v>
          </cell>
          <cell r="S1146" t="str">
            <v>RAIZE</v>
          </cell>
          <cell r="T1146" t="e">
            <v>#N/A</v>
          </cell>
          <cell r="U1146" t="str">
            <v>RAIZE G M/T</v>
          </cell>
        </row>
        <row r="1147">
          <cell r="D1147" t="str">
            <v>B101RA-GMSGJ-31</v>
          </cell>
          <cell r="E1147" t="str">
            <v>AGYA</v>
          </cell>
          <cell r="F1147" t="str">
            <v>AGYA</v>
          </cell>
          <cell r="G1147" t="str">
            <v>AGYA</v>
          </cell>
          <cell r="H1147" t="str">
            <v>AGYA G M/T</v>
          </cell>
          <cell r="I1147" t="str">
            <v>AGYA G M/T GR</v>
          </cell>
          <cell r="J1147" t="str">
            <v>AGYA G M/T GR</v>
          </cell>
          <cell r="K1147" t="str">
            <v>AGYA GR</v>
          </cell>
          <cell r="L1147" t="str">
            <v>B101GM/T31M</v>
          </cell>
          <cell r="M1147" t="str">
            <v>AGYA</v>
          </cell>
          <cell r="N1147" t="str">
            <v>AGYA GR</v>
          </cell>
          <cell r="O1147" t="str">
            <v>B101RA-GMSGJ-31</v>
          </cell>
          <cell r="P1147" t="e">
            <v>#N/A</v>
          </cell>
          <cell r="Q1147" t="e">
            <v>#N/A</v>
          </cell>
          <cell r="R1147" t="str">
            <v>B101RA-GMSGJ-31</v>
          </cell>
          <cell r="S1147" t="str">
            <v>AGYA</v>
          </cell>
          <cell r="T1147" t="e">
            <v>#N/A</v>
          </cell>
          <cell r="U1147" t="str">
            <v>AGYA G M/T</v>
          </cell>
        </row>
        <row r="1148">
          <cell r="D1148" t="str">
            <v>B101RA-GQSGJ-31</v>
          </cell>
          <cell r="E1148" t="str">
            <v>AGYA</v>
          </cell>
          <cell r="F1148" t="str">
            <v>AGYA</v>
          </cell>
          <cell r="G1148" t="str">
            <v>AGYA</v>
          </cell>
          <cell r="H1148" t="str">
            <v>AGYA G A/T</v>
          </cell>
          <cell r="I1148" t="str">
            <v>AGYA G A/T GR</v>
          </cell>
          <cell r="J1148" t="str">
            <v>AGYA G A/T GR</v>
          </cell>
          <cell r="K1148" t="str">
            <v>AGYA GR</v>
          </cell>
          <cell r="L1148" t="str">
            <v>B101GA/T31M</v>
          </cell>
          <cell r="M1148" t="str">
            <v>AGYA</v>
          </cell>
          <cell r="N1148" t="str">
            <v>AGYA GR</v>
          </cell>
          <cell r="O1148" t="str">
            <v>B101RA-GQSGJ-31</v>
          </cell>
          <cell r="P1148" t="e">
            <v>#N/A</v>
          </cell>
          <cell r="Q1148" t="e">
            <v>#N/A</v>
          </cell>
          <cell r="R1148" t="str">
            <v>B101RA-GQSGJ-31</v>
          </cell>
          <cell r="S1148" t="str">
            <v>AGYA</v>
          </cell>
          <cell r="T1148" t="e">
            <v>#N/A</v>
          </cell>
          <cell r="U1148" t="str">
            <v>AGYA G A/T</v>
          </cell>
        </row>
        <row r="1149">
          <cell r="D1149" t="str">
            <v>GXPA16R-AGFGZW-00</v>
          </cell>
          <cell r="E1149" t="str">
            <v>YARIS</v>
          </cell>
          <cell r="F1149" t="str">
            <v>YARIS</v>
          </cell>
          <cell r="G1149" t="str">
            <v>YARIS</v>
          </cell>
          <cell r="H1149" t="str">
            <v>GR YARIS M/T</v>
          </cell>
          <cell r="I1149" t="str">
            <v>GR YARIS M/T</v>
          </cell>
          <cell r="J1149" t="str">
            <v>GR YARIS M/T</v>
          </cell>
          <cell r="K1149" t="str">
            <v>YARIS</v>
          </cell>
          <cell r="L1149" t="str">
            <v>GX16RM/T00M</v>
          </cell>
          <cell r="M1149" t="str">
            <v>YARIS</v>
          </cell>
          <cell r="N1149" t="str">
            <v>YARIS</v>
          </cell>
          <cell r="O1149" t="str">
            <v>GXPA16R-AGFGZW-00</v>
          </cell>
          <cell r="P1149" t="e">
            <v>#N/A</v>
          </cell>
          <cell r="Q1149" t="e">
            <v>#N/A</v>
          </cell>
          <cell r="R1149" t="str">
            <v>GXPA16R-AGFGZW-00</v>
          </cell>
          <cell r="S1149" t="str">
            <v>YARIS</v>
          </cell>
          <cell r="T1149" t="e">
            <v>#N/A</v>
          </cell>
          <cell r="U1149" t="str">
            <v>GR YARIS M/T</v>
          </cell>
        </row>
        <row r="1150">
          <cell r="D1150" t="str">
            <v>NSP151R-CHXVKD-41</v>
          </cell>
          <cell r="E1150" t="str">
            <v>YARIS</v>
          </cell>
          <cell r="F1150" t="str">
            <v>YARIS</v>
          </cell>
          <cell r="G1150" t="str">
            <v>YARIS</v>
          </cell>
          <cell r="H1150" t="str">
            <v>YARIS S A/T</v>
          </cell>
          <cell r="I1150" t="str">
            <v>YARIS S A/T GR</v>
          </cell>
          <cell r="J1150" t="str">
            <v>YARIS S A/T 3 AIRBAGS GR</v>
          </cell>
          <cell r="K1150" t="str">
            <v>YARIS</v>
          </cell>
          <cell r="L1150" t="str">
            <v>NS51HXSA/T41M</v>
          </cell>
          <cell r="M1150" t="str">
            <v>YARIS</v>
          </cell>
          <cell r="N1150" t="str">
            <v>YARIS</v>
          </cell>
          <cell r="O1150" t="str">
            <v>NSP151R-CHXVKD-41</v>
          </cell>
          <cell r="P1150" t="e">
            <v>#N/A</v>
          </cell>
          <cell r="Q1150" t="e">
            <v>#N/A</v>
          </cell>
          <cell r="R1150" t="str">
            <v>NSP151R-CHXVKD-41</v>
          </cell>
          <cell r="S1150" t="str">
            <v>YARIS</v>
          </cell>
          <cell r="T1150" t="e">
            <v>#N/A</v>
          </cell>
          <cell r="U1150" t="str">
            <v>YARIS S A/T</v>
          </cell>
        </row>
        <row r="1151">
          <cell r="D1151" t="str">
            <v>NSP151R-CHXVKD-40</v>
          </cell>
          <cell r="E1151" t="str">
            <v>YARIS</v>
          </cell>
          <cell r="F1151" t="str">
            <v>YARIS</v>
          </cell>
          <cell r="G1151" t="str">
            <v>YARIS</v>
          </cell>
          <cell r="H1151" t="str">
            <v>YARIS S A/T</v>
          </cell>
          <cell r="I1151" t="str">
            <v>YARIS S A/T GR</v>
          </cell>
          <cell r="J1151" t="str">
            <v>YARIS S A/T 7 AIRBAGS GR</v>
          </cell>
          <cell r="K1151" t="str">
            <v>YARIS</v>
          </cell>
          <cell r="L1151" t="str">
            <v>NS51HXSA/T40M</v>
          </cell>
          <cell r="M1151" t="str">
            <v>YARIS</v>
          </cell>
          <cell r="N1151" t="str">
            <v>YARIS</v>
          </cell>
          <cell r="O1151" t="str">
            <v>NSP151R-CHXVKD-40</v>
          </cell>
          <cell r="P1151" t="e">
            <v>#N/A</v>
          </cell>
          <cell r="Q1151" t="e">
            <v>#N/A</v>
          </cell>
          <cell r="R1151" t="str">
            <v>NSP151R-CHXVKD-40</v>
          </cell>
          <cell r="S1151" t="str">
            <v>YARIS</v>
          </cell>
          <cell r="T1151" t="e">
            <v>#N/A</v>
          </cell>
          <cell r="U1151" t="str">
            <v>YARIS S A/T</v>
          </cell>
        </row>
        <row r="1152">
          <cell r="D1152" t="str">
            <v>NSP151R-CHMVKD-41</v>
          </cell>
          <cell r="E1152" t="str">
            <v>YARIS</v>
          </cell>
          <cell r="F1152" t="str">
            <v>YARIS</v>
          </cell>
          <cell r="G1152" t="str">
            <v>YARIS</v>
          </cell>
          <cell r="H1152" t="str">
            <v>YARIS S M/T</v>
          </cell>
          <cell r="I1152" t="str">
            <v>YARIS S M/T GR</v>
          </cell>
          <cell r="J1152" t="str">
            <v>YARIS S M/T 3 AIRBAGS GR</v>
          </cell>
          <cell r="K1152" t="str">
            <v>YARIS</v>
          </cell>
          <cell r="L1152" t="str">
            <v>NS51HMSM/T41M</v>
          </cell>
          <cell r="M1152" t="str">
            <v>YARIS</v>
          </cell>
          <cell r="N1152" t="str">
            <v>YARIS</v>
          </cell>
          <cell r="O1152" t="str">
            <v>NSP151R-CHMVKD-41</v>
          </cell>
          <cell r="P1152" t="e">
            <v>#N/A</v>
          </cell>
          <cell r="Q1152" t="e">
            <v>#N/A</v>
          </cell>
          <cell r="R1152" t="str">
            <v>NSP151R-CHMVKD-41</v>
          </cell>
          <cell r="S1152" t="str">
            <v>YARIS</v>
          </cell>
          <cell r="T1152" t="e">
            <v>#N/A</v>
          </cell>
          <cell r="U1152" t="str">
            <v>YARIS S M/T</v>
          </cell>
        </row>
        <row r="1153">
          <cell r="D1153" t="str">
            <v>AXVA70R-JEZGBT-00</v>
          </cell>
          <cell r="E1153" t="str">
            <v>CAMRY</v>
          </cell>
          <cell r="F1153" t="str">
            <v>CAMRY</v>
          </cell>
          <cell r="G1153" t="str">
            <v>CAMRY</v>
          </cell>
          <cell r="H1153" t="str">
            <v>CAMRY V A/T</v>
          </cell>
          <cell r="I1153" t="str">
            <v>CAMRY V A/T</v>
          </cell>
          <cell r="J1153" t="str">
            <v>CAMRY V A/T</v>
          </cell>
          <cell r="K1153" t="str">
            <v>CAMRY</v>
          </cell>
          <cell r="L1153" t="str">
            <v>AVA70VA/T00M</v>
          </cell>
          <cell r="M1153" t="str">
            <v>CAMRY</v>
          </cell>
          <cell r="N1153" t="str">
            <v>CAMRY</v>
          </cell>
          <cell r="O1153" t="str">
            <v>AXVA70R-JEZGBT-00</v>
          </cell>
          <cell r="P1153" t="e">
            <v>#N/A</v>
          </cell>
          <cell r="Q1153" t="e">
            <v>#N/A</v>
          </cell>
          <cell r="R1153" t="str">
            <v>AXVA70R-JEZGBT-00</v>
          </cell>
          <cell r="S1153" t="str">
            <v>CAMRY</v>
          </cell>
          <cell r="T1153" t="e">
            <v>#N/A</v>
          </cell>
          <cell r="U1153" t="str">
            <v>CAMRY V A/T</v>
          </cell>
        </row>
        <row r="1154">
          <cell r="D1154" t="str">
            <v>AXVH71R-JEXVBT-00</v>
          </cell>
          <cell r="E1154" t="str">
            <v>CAMRY</v>
          </cell>
          <cell r="F1154" t="str">
            <v>CAMRY</v>
          </cell>
          <cell r="G1154" t="str">
            <v>CAMRY</v>
          </cell>
          <cell r="H1154" t="str">
            <v>CAMRY HYBRID A/T</v>
          </cell>
          <cell r="I1154" t="str">
            <v>CAMRY HYBRID A/T</v>
          </cell>
          <cell r="J1154" t="str">
            <v>CAMRY HYBRID A/T</v>
          </cell>
          <cell r="K1154" t="str">
            <v>CAMRY</v>
          </cell>
          <cell r="L1154" t="str">
            <v>AVH71HA/T00M</v>
          </cell>
          <cell r="M1154" t="str">
            <v>CAMRY</v>
          </cell>
          <cell r="N1154" t="str">
            <v>CAMRY</v>
          </cell>
          <cell r="O1154" t="str">
            <v>AXVH71R-JEXVBT-00</v>
          </cell>
          <cell r="P1154" t="str">
            <v>CAMRY HYBRID</v>
          </cell>
          <cell r="Q1154" t="e">
            <v>#N/A</v>
          </cell>
          <cell r="R1154" t="str">
            <v>AXVH71R-JEXVBT-00</v>
          </cell>
          <cell r="S1154" t="str">
            <v>CAMRY</v>
          </cell>
          <cell r="T1154" t="e">
            <v>#N/A</v>
          </cell>
          <cell r="U1154" t="str">
            <v>CAMRY HYBRID A/T</v>
          </cell>
        </row>
        <row r="1155">
          <cell r="D1155" t="str">
            <v>ZVG10R-DHXGBD-02</v>
          </cell>
          <cell r="E1155" t="str">
            <v>COROLLA CROSS</v>
          </cell>
          <cell r="F1155" t="str">
            <v>COROLLA CROSS HYBRID</v>
          </cell>
          <cell r="G1155" t="str">
            <v>COROLLA CROSS HYBRID</v>
          </cell>
          <cell r="H1155" t="str">
            <v>COROLLA CROSS A/T HYBRID</v>
          </cell>
          <cell r="I1155" t="str">
            <v>COROLLA CROSS A/T HYBRID</v>
          </cell>
          <cell r="J1155" t="str">
            <v>COROLLA CROSS A/T HYBRID</v>
          </cell>
          <cell r="K1155" t="str">
            <v>COROLLA CROSS HYBRID</v>
          </cell>
          <cell r="L1155" t="str">
            <v>ZVG10A/T02M</v>
          </cell>
          <cell r="M1155" t="str">
            <v>COROLLA CROSS</v>
          </cell>
          <cell r="N1155" t="str">
            <v>COROLLA CROSS HYBRID</v>
          </cell>
          <cell r="O1155" t="str">
            <v>ZVG10R-DHXGBD-02</v>
          </cell>
          <cell r="P1155" t="e">
            <v>#N/A</v>
          </cell>
          <cell r="Q1155" t="e">
            <v>#N/A</v>
          </cell>
          <cell r="R1155" t="str">
            <v>ZVG10R-DHXGBD-02</v>
          </cell>
          <cell r="S1155" t="str">
            <v>COROLLA CROSS</v>
          </cell>
          <cell r="T1155" t="e">
            <v>#N/A</v>
          </cell>
          <cell r="U1155" t="str">
            <v>COROLLA CROSS A/T HYBRID</v>
          </cell>
        </row>
        <row r="1156">
          <cell r="D1156" t="str">
            <v>W100RE-LMDFJ-00</v>
          </cell>
          <cell r="E1156" t="str">
            <v>AVANZA</v>
          </cell>
          <cell r="F1156" t="str">
            <v>AVANZA</v>
          </cell>
          <cell r="G1156" t="str">
            <v>AVANZA</v>
          </cell>
          <cell r="H1156" t="str">
            <v>AVANZA E M/T</v>
          </cell>
          <cell r="I1156" t="str">
            <v>AVANZA E M/T</v>
          </cell>
          <cell r="J1156" t="str">
            <v>AVANZA E M/T</v>
          </cell>
          <cell r="K1156" t="str">
            <v>AVANZA</v>
          </cell>
          <cell r="L1156" t="str">
            <v>W10EM/T00M</v>
          </cell>
          <cell r="M1156" t="str">
            <v>AVANZA</v>
          </cell>
          <cell r="N1156" t="str">
            <v>AVANZA</v>
          </cell>
          <cell r="O1156" t="str">
            <v>W100RE-LMDFJ-00</v>
          </cell>
          <cell r="P1156" t="str">
            <v>AVANZA</v>
          </cell>
          <cell r="Q1156" t="str">
            <v>AVANZA</v>
          </cell>
          <cell r="R1156" t="str">
            <v>W100RE-LMDFJ-00</v>
          </cell>
          <cell r="S1156" t="str">
            <v>AVANZA</v>
          </cell>
          <cell r="T1156" t="str">
            <v>AVANZA</v>
          </cell>
          <cell r="U1156" t="str">
            <v>AVANZA E M/T</v>
          </cell>
        </row>
        <row r="1157">
          <cell r="D1157" t="str">
            <v>W100RE-LBDFJ-00</v>
          </cell>
          <cell r="E1157" t="str">
            <v>AVANZA</v>
          </cell>
          <cell r="F1157" t="str">
            <v>AVANZA</v>
          </cell>
          <cell r="G1157" t="str">
            <v>AVANZA</v>
          </cell>
          <cell r="H1157" t="str">
            <v>AVANZA E A/T</v>
          </cell>
          <cell r="I1157" t="str">
            <v>AVANZA E A/T</v>
          </cell>
          <cell r="J1157" t="str">
            <v>AVANZA E A/T</v>
          </cell>
          <cell r="K1157" t="str">
            <v>AVANZA</v>
          </cell>
          <cell r="L1157" t="str">
            <v>W10EA/T00M</v>
          </cell>
          <cell r="M1157" t="str">
            <v>AVANZA</v>
          </cell>
          <cell r="N1157" t="str">
            <v>AVANZA</v>
          </cell>
          <cell r="O1157" t="str">
            <v>W100RE-LBDFJ-00</v>
          </cell>
          <cell r="P1157" t="str">
            <v>AVANZA</v>
          </cell>
          <cell r="Q1157" t="str">
            <v>AVANZA</v>
          </cell>
          <cell r="R1157" t="str">
            <v>W100RE-LBDFJ-00</v>
          </cell>
          <cell r="S1157" t="str">
            <v>AVANZA</v>
          </cell>
          <cell r="T1157" t="str">
            <v>AVANZA</v>
          </cell>
          <cell r="U1157" t="str">
            <v>AVANZA E A/T</v>
          </cell>
        </row>
        <row r="1158">
          <cell r="D1158" t="str">
            <v>W101RE-LMMFJ-00</v>
          </cell>
          <cell r="E1158" t="str">
            <v>AVANZA</v>
          </cell>
          <cell r="F1158" t="str">
            <v>AVANZA</v>
          </cell>
          <cell r="G1158" t="str">
            <v>AVANZA</v>
          </cell>
          <cell r="H1158" t="str">
            <v>AVANZA G M/T</v>
          </cell>
          <cell r="I1158" t="str">
            <v>AVANZA G M/T</v>
          </cell>
          <cell r="J1158" t="str">
            <v>AVANZA G M/T</v>
          </cell>
          <cell r="K1158" t="str">
            <v>AVANZA</v>
          </cell>
          <cell r="L1158" t="str">
            <v>W11GM/T00M</v>
          </cell>
          <cell r="M1158" t="str">
            <v>AVANZA</v>
          </cell>
          <cell r="N1158" t="str">
            <v>AVANZA</v>
          </cell>
          <cell r="O1158" t="str">
            <v>W101RE-LMMFJ-00</v>
          </cell>
          <cell r="P1158" t="str">
            <v>AVANZA</v>
          </cell>
          <cell r="Q1158" t="str">
            <v>AVANZA</v>
          </cell>
          <cell r="R1158" t="str">
            <v>W101RE-LMMFJ-00</v>
          </cell>
          <cell r="S1158" t="str">
            <v>AVANZA</v>
          </cell>
          <cell r="T1158" t="str">
            <v>AVANZA</v>
          </cell>
          <cell r="U1158" t="str">
            <v>AVANZA G M/T</v>
          </cell>
        </row>
        <row r="1159">
          <cell r="D1159" t="str">
            <v>W101RE-LBMFJ-00</v>
          </cell>
          <cell r="E1159" t="str">
            <v>AVANZA</v>
          </cell>
          <cell r="F1159" t="str">
            <v>AVANZA</v>
          </cell>
          <cell r="G1159" t="str">
            <v>AVANZA</v>
          </cell>
          <cell r="H1159" t="str">
            <v>AVANZA G A/T</v>
          </cell>
          <cell r="I1159" t="str">
            <v>AVANZA G A/T</v>
          </cell>
          <cell r="J1159" t="str">
            <v>AVANZA G A/T</v>
          </cell>
          <cell r="K1159" t="str">
            <v>AVANZA</v>
          </cell>
          <cell r="L1159" t="str">
            <v>W11GA/T00M</v>
          </cell>
          <cell r="M1159" t="str">
            <v>AVANZA</v>
          </cell>
          <cell r="N1159" t="str">
            <v>AVANZA</v>
          </cell>
          <cell r="O1159" t="str">
            <v>W101RE-LBMFJ-00</v>
          </cell>
          <cell r="P1159" t="str">
            <v>AVANZA</v>
          </cell>
          <cell r="Q1159" t="str">
            <v>AVANZA</v>
          </cell>
          <cell r="R1159" t="str">
            <v>W101RE-LBMFJ-00</v>
          </cell>
          <cell r="S1159" t="str">
            <v>AVANZA</v>
          </cell>
          <cell r="T1159" t="str">
            <v>AVANZA</v>
          </cell>
          <cell r="U1159" t="str">
            <v>AVANZA G A/T</v>
          </cell>
        </row>
        <row r="1160">
          <cell r="D1160" t="str">
            <v>W101RE-LBMFJ-01</v>
          </cell>
          <cell r="E1160" t="str">
            <v>AVANZA</v>
          </cell>
          <cell r="F1160" t="str">
            <v>AVANZA</v>
          </cell>
          <cell r="G1160" t="str">
            <v>AVANZA</v>
          </cell>
          <cell r="H1160" t="str">
            <v>AVANZA G A/T</v>
          </cell>
          <cell r="I1160" t="str">
            <v>AVANZA G A/T TSS</v>
          </cell>
          <cell r="J1160" t="str">
            <v>AVANZA G A/T TSS</v>
          </cell>
          <cell r="K1160" t="str">
            <v>AVANZA</v>
          </cell>
          <cell r="L1160" t="str">
            <v>W11GA/T01M</v>
          </cell>
          <cell r="M1160" t="str">
            <v>AVANZA</v>
          </cell>
          <cell r="N1160" t="str">
            <v>AVANZA</v>
          </cell>
          <cell r="O1160" t="str">
            <v>W101RE-LBMFJ-01</v>
          </cell>
          <cell r="P1160" t="str">
            <v>AVANZA</v>
          </cell>
          <cell r="Q1160" t="e">
            <v>#N/A</v>
          </cell>
          <cell r="R1160" t="str">
            <v>W101RE-LBMFJ-01</v>
          </cell>
          <cell r="S1160" t="str">
            <v>AVANZA</v>
          </cell>
          <cell r="T1160" t="e">
            <v>#N/A</v>
          </cell>
          <cell r="U1160" t="str">
            <v>AVANZA G A/T</v>
          </cell>
        </row>
        <row r="1161">
          <cell r="D1161" t="str">
            <v>W101RE-LMSFJ-00</v>
          </cell>
          <cell r="E1161" t="str">
            <v>VELOZ</v>
          </cell>
          <cell r="F1161" t="str">
            <v>VELOZ</v>
          </cell>
          <cell r="G1161" t="str">
            <v>VELOZ</v>
          </cell>
          <cell r="H1161" t="str">
            <v>VELOZ M/T</v>
          </cell>
          <cell r="I1161" t="str">
            <v>VELOZ M/T</v>
          </cell>
          <cell r="J1161" t="str">
            <v>VELOZ M/T</v>
          </cell>
          <cell r="K1161" t="str">
            <v>VELOZ</v>
          </cell>
          <cell r="L1161" t="str">
            <v>W11SM/T00M</v>
          </cell>
          <cell r="M1161" t="str">
            <v>VELOZ</v>
          </cell>
          <cell r="N1161" t="str">
            <v>VELOZ</v>
          </cell>
          <cell r="O1161" t="str">
            <v>W101RE-LMSFJ-00</v>
          </cell>
          <cell r="P1161" t="str">
            <v>VELOZ NEW</v>
          </cell>
          <cell r="Q1161" t="str">
            <v>AVANZA</v>
          </cell>
          <cell r="R1161" t="str">
            <v>W101RE-LMSFJ-00</v>
          </cell>
          <cell r="S1161" t="str">
            <v>VELOZ</v>
          </cell>
          <cell r="T1161" t="e">
            <v>#N/A</v>
          </cell>
          <cell r="U1161" t="str">
            <v>VELOZ M/T</v>
          </cell>
        </row>
        <row r="1162">
          <cell r="D1162" t="str">
            <v>W101RE-LBSFJ-01</v>
          </cell>
          <cell r="E1162" t="str">
            <v>VELOZ</v>
          </cell>
          <cell r="F1162" t="str">
            <v>VELOZ</v>
          </cell>
          <cell r="G1162" t="str">
            <v>VELOZ</v>
          </cell>
          <cell r="H1162" t="str">
            <v>VELOZ A/T</v>
          </cell>
          <cell r="I1162" t="str">
            <v>VELOZ A/T</v>
          </cell>
          <cell r="J1162" t="str">
            <v>VELOZ A/T</v>
          </cell>
          <cell r="K1162" t="str">
            <v>VELOZ</v>
          </cell>
          <cell r="L1162" t="str">
            <v>W11SA/T01M</v>
          </cell>
          <cell r="M1162" t="str">
            <v>VELOZ</v>
          </cell>
          <cell r="N1162" t="str">
            <v>VELOZ</v>
          </cell>
          <cell r="O1162" t="str">
            <v>W101RE-LBSFJ-01</v>
          </cell>
          <cell r="P1162" t="str">
            <v>VELOZ NEW</v>
          </cell>
          <cell r="Q1162" t="str">
            <v>AVANZA</v>
          </cell>
          <cell r="R1162" t="str">
            <v>W101RE-LBSFJ-01</v>
          </cell>
          <cell r="S1162" t="str">
            <v>VELOZ</v>
          </cell>
          <cell r="T1162" t="e">
            <v>#N/A</v>
          </cell>
          <cell r="U1162" t="str">
            <v>VELOZ A/T</v>
          </cell>
        </row>
        <row r="1163">
          <cell r="D1163" t="str">
            <v>W101RE-LBSFJ-00</v>
          </cell>
          <cell r="E1163" t="str">
            <v>VELOZ</v>
          </cell>
          <cell r="F1163" t="str">
            <v>VELOZ</v>
          </cell>
          <cell r="G1163" t="str">
            <v>VELOZ</v>
          </cell>
          <cell r="H1163" t="str">
            <v>VELOZ A/T</v>
          </cell>
          <cell r="I1163" t="str">
            <v>VELOZ A/T</v>
          </cell>
          <cell r="J1163" t="str">
            <v>VELOZ A/T</v>
          </cell>
          <cell r="K1163" t="str">
            <v>VELOZ</v>
          </cell>
          <cell r="L1163" t="str">
            <v>W11SA/T00M</v>
          </cell>
          <cell r="M1163" t="str">
            <v>VELOZ</v>
          </cell>
          <cell r="N1163" t="str">
            <v>VELOZ</v>
          </cell>
          <cell r="O1163" t="str">
            <v>W101RE-LBSFJ-00</v>
          </cell>
          <cell r="P1163" t="str">
            <v>VELOZ NEW</v>
          </cell>
          <cell r="Q1163" t="str">
            <v>AVANZA</v>
          </cell>
          <cell r="R1163" t="str">
            <v>W101RE-LBSFJ-00</v>
          </cell>
          <cell r="S1163" t="str">
            <v>VELOZ</v>
          </cell>
          <cell r="T1163" t="str">
            <v>VELOZ</v>
          </cell>
          <cell r="U1163" t="str">
            <v>VELOZ A/T</v>
          </cell>
        </row>
        <row r="1164">
          <cell r="D1164" t="str">
            <v>W101RE-LMSFJ-01</v>
          </cell>
          <cell r="E1164" t="str">
            <v>VELOZ</v>
          </cell>
          <cell r="F1164" t="str">
            <v>VELOZ</v>
          </cell>
          <cell r="G1164" t="str">
            <v>VELOZ</v>
          </cell>
          <cell r="H1164" t="str">
            <v>VELOZ M/T</v>
          </cell>
          <cell r="I1164" t="str">
            <v>VELOZ M/T</v>
          </cell>
          <cell r="J1164" t="str">
            <v>VELOZ M/T</v>
          </cell>
          <cell r="K1164" t="str">
            <v>VELOZ</v>
          </cell>
          <cell r="L1164" t="str">
            <v>W11SM/T01M</v>
          </cell>
          <cell r="M1164" t="str">
            <v>VELOZ</v>
          </cell>
          <cell r="N1164" t="str">
            <v>VELOZ</v>
          </cell>
          <cell r="O1164" t="str">
            <v>W101RE-LMSFJ-01</v>
          </cell>
          <cell r="P1164" t="str">
            <v>VELOZ NEW</v>
          </cell>
          <cell r="Q1164" t="str">
            <v>AVANZA</v>
          </cell>
          <cell r="R1164" t="str">
            <v>W101RE-LMSFJ-01</v>
          </cell>
          <cell r="S1164" t="str">
            <v>VELOZ</v>
          </cell>
          <cell r="T1164" t="e">
            <v>#N/A</v>
          </cell>
          <cell r="U1164" t="str">
            <v>VELOZ M/T</v>
          </cell>
        </row>
        <row r="1165">
          <cell r="D1165" t="str">
            <v>W101RE-LBVFJ-00</v>
          </cell>
          <cell r="E1165" t="str">
            <v>VELOZ</v>
          </cell>
          <cell r="F1165" t="str">
            <v>VELOZ</v>
          </cell>
          <cell r="G1165" t="str">
            <v>VELOZ</v>
          </cell>
          <cell r="H1165" t="str">
            <v>VELOZ A/T</v>
          </cell>
          <cell r="I1165" t="str">
            <v>VELOZ Q A/T</v>
          </cell>
          <cell r="J1165" t="str">
            <v>VELOZ Q A/T</v>
          </cell>
          <cell r="K1165" t="str">
            <v>VELOZ</v>
          </cell>
          <cell r="L1165" t="str">
            <v>W11QA/T00M</v>
          </cell>
          <cell r="M1165" t="str">
            <v>VELOZ</v>
          </cell>
          <cell r="N1165" t="str">
            <v>VELOZ</v>
          </cell>
          <cell r="O1165" t="str">
            <v>W101RE-LBVFJ-00</v>
          </cell>
          <cell r="P1165" t="str">
            <v>VELOZ NEW</v>
          </cell>
          <cell r="Q1165" t="str">
            <v>AVANZA</v>
          </cell>
          <cell r="R1165" t="str">
            <v>W101RE-LBVFJ-00</v>
          </cell>
          <cell r="S1165" t="str">
            <v>VELOZ</v>
          </cell>
          <cell r="T1165" t="str">
            <v>VELOZ</v>
          </cell>
          <cell r="U1165" t="str">
            <v>VELOZ A/T</v>
          </cell>
        </row>
        <row r="1166">
          <cell r="D1166" t="str">
            <v>W101RE-LBVFJ-02</v>
          </cell>
          <cell r="E1166" t="str">
            <v>VELOZ</v>
          </cell>
          <cell r="F1166" t="str">
            <v>VELOZ</v>
          </cell>
          <cell r="G1166" t="str">
            <v>VELOZ</v>
          </cell>
          <cell r="H1166" t="str">
            <v>VELOZ A/T</v>
          </cell>
          <cell r="I1166" t="str">
            <v>VELOZ Q A/T</v>
          </cell>
          <cell r="J1166" t="str">
            <v>VELOZ Q A/T</v>
          </cell>
          <cell r="K1166" t="str">
            <v>VELOZ</v>
          </cell>
          <cell r="L1166" t="str">
            <v>W11QA/T02M</v>
          </cell>
          <cell r="M1166" t="str">
            <v>VELOZ</v>
          </cell>
          <cell r="N1166" t="str">
            <v>VELOZ</v>
          </cell>
          <cell r="O1166" t="str">
            <v>W101RE-LBVFJ-02</v>
          </cell>
          <cell r="P1166" t="str">
            <v>VELOZ NEW</v>
          </cell>
          <cell r="Q1166" t="str">
            <v>AVANZA</v>
          </cell>
          <cell r="R1166" t="str">
            <v>W101RE-LBVFJ-02</v>
          </cell>
          <cell r="S1166" t="str">
            <v>VELOZ</v>
          </cell>
          <cell r="T1166" t="str">
            <v>VELOZ</v>
          </cell>
          <cell r="U1166" t="str">
            <v>VELOZ A/T</v>
          </cell>
        </row>
        <row r="1167">
          <cell r="D1167" t="str">
            <v>W101RE-LBVFJ-01</v>
          </cell>
          <cell r="E1167" t="str">
            <v>VELOZ</v>
          </cell>
          <cell r="F1167" t="str">
            <v>VELOZ</v>
          </cell>
          <cell r="G1167" t="str">
            <v>VELOZ</v>
          </cell>
          <cell r="H1167" t="str">
            <v>VELOZ A/T</v>
          </cell>
          <cell r="I1167" t="str">
            <v>VELOZ Q A/T TSS</v>
          </cell>
          <cell r="J1167" t="str">
            <v>VELOZ Q A/T TSS</v>
          </cell>
          <cell r="K1167" t="str">
            <v>VELOZ</v>
          </cell>
          <cell r="L1167" t="str">
            <v>W11QA/T01M</v>
          </cell>
          <cell r="M1167" t="str">
            <v>VELOZ</v>
          </cell>
          <cell r="N1167" t="str">
            <v>VELOZ</v>
          </cell>
          <cell r="O1167" t="str">
            <v>W101RE-LBVFJ-01</v>
          </cell>
          <cell r="P1167" t="str">
            <v>VELOZ NEW</v>
          </cell>
          <cell r="Q1167" t="str">
            <v>AVANZA</v>
          </cell>
          <cell r="R1167" t="str">
            <v>W101RE-LBVFJ-01</v>
          </cell>
          <cell r="S1167" t="str">
            <v>VELOZ</v>
          </cell>
          <cell r="T1167" t="e">
            <v>#N/A</v>
          </cell>
          <cell r="U1167" t="str">
            <v>VELOZ A/T</v>
          </cell>
        </row>
        <row r="1168">
          <cell r="D1168" t="str">
            <v>W101RE-LBVFJ-03</v>
          </cell>
          <cell r="E1168" t="str">
            <v>VELOZ</v>
          </cell>
          <cell r="F1168" t="str">
            <v>VELOZ</v>
          </cell>
          <cell r="G1168" t="str">
            <v>VELOZ</v>
          </cell>
          <cell r="H1168" t="str">
            <v>VELOZ A/T</v>
          </cell>
          <cell r="I1168" t="str">
            <v>VELOZ Q A/T TSS</v>
          </cell>
          <cell r="J1168" t="str">
            <v>VELOZ Q A/T TSS</v>
          </cell>
          <cell r="K1168" t="str">
            <v>VELOZ</v>
          </cell>
          <cell r="L1168" t="str">
            <v>W11QA/T03M</v>
          </cell>
          <cell r="M1168" t="str">
            <v>VELOZ</v>
          </cell>
          <cell r="N1168" t="str">
            <v>VELOZ</v>
          </cell>
          <cell r="O1168" t="str">
            <v>W101RE-LBVFJ-03</v>
          </cell>
          <cell r="P1168" t="str">
            <v>VELOZ NEW</v>
          </cell>
          <cell r="Q1168" t="str">
            <v>AVANZA</v>
          </cell>
          <cell r="R1168" t="str">
            <v>W101RE-LBVFJ-03</v>
          </cell>
          <cell r="S1168" t="str">
            <v>VELOZ</v>
          </cell>
          <cell r="T1168" t="str">
            <v>VELOZ</v>
          </cell>
          <cell r="U1168" t="str">
            <v>VELOZ A/T</v>
          </cell>
        </row>
        <row r="1169">
          <cell r="D1169" t="str">
            <v>GUN166R-SDTHXD-AH</v>
          </cell>
          <cell r="E1169" t="str">
            <v>FORTUNER</v>
          </cell>
          <cell r="F1169" t="str">
            <v>FORTUNER 4X2</v>
          </cell>
          <cell r="G1169" t="str">
            <v>FORTUNER 4X2</v>
          </cell>
          <cell r="H1169" t="str">
            <v>FORTUNER 4X2 VRZ A/T DIESEL</v>
          </cell>
          <cell r="I1169" t="str">
            <v>FORTUNER 4X2 VRZ A/T DIESEL GR TSS</v>
          </cell>
          <cell r="J1169" t="str">
            <v>FORTUNER 4X2 VRZ A/T DIESEL GR TSS TCO</v>
          </cell>
          <cell r="K1169" t="str">
            <v>FORTUNER 4X2</v>
          </cell>
          <cell r="M1169" t="str">
            <v>FORTUNER</v>
          </cell>
          <cell r="N1169" t="str">
            <v>FORTUNER 4X2</v>
          </cell>
          <cell r="O1169" t="str">
            <v>GUN166R-SDTHXD-AH</v>
          </cell>
          <cell r="P1169" t="str">
            <v>FORTUNER 4X2</v>
          </cell>
          <cell r="Q1169" t="e">
            <v>#N/A</v>
          </cell>
          <cell r="R1169" t="str">
            <v>GUN166R-SDTHXD-AH</v>
          </cell>
          <cell r="S1169" t="str">
            <v>FORTUNER</v>
          </cell>
          <cell r="T1169" t="str">
            <v>FORTUNER</v>
          </cell>
          <cell r="U1169" t="str">
            <v>FORTUNER 4X2 VRZ A/T DIESEL</v>
          </cell>
        </row>
        <row r="1170">
          <cell r="D1170" t="str">
            <v>GUN166R-SDTHXD-AG</v>
          </cell>
          <cell r="E1170" t="str">
            <v>FORTUNER</v>
          </cell>
          <cell r="F1170" t="str">
            <v>FORTUNER 4X2</v>
          </cell>
          <cell r="G1170" t="str">
            <v>FORTUNER 4X2</v>
          </cell>
          <cell r="H1170" t="str">
            <v>FORTUNER 4X2 VRZ A/T DIESEL</v>
          </cell>
          <cell r="I1170" t="str">
            <v>FORTUNER 4X2 VRZ A/T DIESEL GR TSS</v>
          </cell>
          <cell r="J1170" t="str">
            <v>FORTUNER 4X2 VRZ A/T DIESEL GR TSS TCO</v>
          </cell>
          <cell r="K1170" t="str">
            <v>FORTUNER 4X2</v>
          </cell>
          <cell r="M1170" t="str">
            <v>FORTUNER</v>
          </cell>
          <cell r="N1170" t="str">
            <v>FORTUNER 4X2</v>
          </cell>
          <cell r="O1170" t="str">
            <v>GUN166R-SDTHXD-AG</v>
          </cell>
          <cell r="P1170" t="str">
            <v>FORTUNER 4X2</v>
          </cell>
          <cell r="Q1170" t="e">
            <v>#N/A</v>
          </cell>
          <cell r="R1170" t="str">
            <v>GUN166R-SDTHXD-AG</v>
          </cell>
          <cell r="S1170" t="str">
            <v>FORTUNER</v>
          </cell>
          <cell r="T1170" t="str">
            <v>FORTUNER</v>
          </cell>
          <cell r="U1170" t="str">
            <v>FORTUNER 4X2 VRZ A/T DIESEL</v>
          </cell>
        </row>
        <row r="1171">
          <cell r="D1171" t="str">
            <v>F800RE-GQGFJ-20</v>
          </cell>
          <cell r="E1171" t="str">
            <v>RUSH</v>
          </cell>
          <cell r="F1171" t="str">
            <v>RUSH</v>
          </cell>
          <cell r="G1171" t="str">
            <v>RUSH</v>
          </cell>
          <cell r="H1171" t="str">
            <v>RUSH S A/T</v>
          </cell>
          <cell r="I1171" t="str">
            <v>RUSH S A/T GR</v>
          </cell>
          <cell r="J1171" t="str">
            <v>RUSH S A/T</v>
          </cell>
          <cell r="K1171" t="str">
            <v>RUSH</v>
          </cell>
          <cell r="L1171" t="str">
            <v>F80SA/T20M</v>
          </cell>
          <cell r="M1171" t="str">
            <v>RUSH</v>
          </cell>
          <cell r="N1171" t="str">
            <v>RUSH</v>
          </cell>
          <cell r="O1171" t="str">
            <v>F800RE-GQGFJ-20</v>
          </cell>
          <cell r="P1171" t="e">
            <v>#N/A</v>
          </cell>
          <cell r="Q1171" t="e">
            <v>#N/A</v>
          </cell>
          <cell r="R1171" t="str">
            <v>F800RE-GQGFJ-20</v>
          </cell>
          <cell r="S1171" t="str">
            <v>RUSH</v>
          </cell>
          <cell r="T1171" t="e">
            <v>#N/A</v>
          </cell>
          <cell r="U1171" t="str">
            <v>RUSH S A/T</v>
          </cell>
        </row>
        <row r="1172">
          <cell r="D1172" t="str">
            <v>F800RE-GMGFJ-20</v>
          </cell>
          <cell r="E1172" t="str">
            <v>RUSH</v>
          </cell>
          <cell r="F1172" t="str">
            <v>RUSH</v>
          </cell>
          <cell r="G1172" t="str">
            <v>RUSH</v>
          </cell>
          <cell r="H1172" t="str">
            <v>RUSH S M/T</v>
          </cell>
          <cell r="I1172" t="str">
            <v>RUSH S M/T GR</v>
          </cell>
          <cell r="J1172" t="str">
            <v>RUSH S M/T</v>
          </cell>
          <cell r="K1172" t="str">
            <v>RUSH</v>
          </cell>
          <cell r="L1172" t="str">
            <v>F80SM/T20M</v>
          </cell>
          <cell r="M1172" t="str">
            <v>RUSH</v>
          </cell>
          <cell r="N1172" t="str">
            <v>RUSH</v>
          </cell>
          <cell r="O1172" t="str">
            <v>F800RE-GMGFJ-20</v>
          </cell>
          <cell r="P1172" t="e">
            <v>#N/A</v>
          </cell>
          <cell r="Q1172" t="e">
            <v>#N/A</v>
          </cell>
          <cell r="R1172" t="str">
            <v>F800RE-GMGFJ-20</v>
          </cell>
          <cell r="S1172" t="str">
            <v>RUSH</v>
          </cell>
          <cell r="T1172" t="e">
            <v>#N/A</v>
          </cell>
          <cell r="U1172" t="str">
            <v>RUSH S M/T</v>
          </cell>
        </row>
        <row r="1173">
          <cell r="D1173" t="str">
            <v>F800RE-GQGFJ-20</v>
          </cell>
          <cell r="E1173" t="str">
            <v>RUSH</v>
          </cell>
          <cell r="F1173" t="str">
            <v>RUSH</v>
          </cell>
          <cell r="G1173" t="str">
            <v>RUSH</v>
          </cell>
          <cell r="H1173" t="str">
            <v>RUSH S A/T</v>
          </cell>
          <cell r="I1173" t="str">
            <v>RUSH S A/T GR</v>
          </cell>
          <cell r="J1173" t="str">
            <v>RUSH S A/T</v>
          </cell>
          <cell r="K1173" t="str">
            <v>RUSH</v>
          </cell>
          <cell r="L1173" t="str">
            <v>F80SA/T20M</v>
          </cell>
          <cell r="M1173" t="str">
            <v>RUSH</v>
          </cell>
          <cell r="N1173" t="str">
            <v>RUSH</v>
          </cell>
          <cell r="O1173" t="str">
            <v>F800RE-GQGFJ-20</v>
          </cell>
          <cell r="P1173" t="e">
            <v>#N/A</v>
          </cell>
          <cell r="Q1173" t="e">
            <v>#N/A</v>
          </cell>
          <cell r="R1173" t="str">
            <v>F800RE-GQGFJ-20</v>
          </cell>
          <cell r="S1173" t="str">
            <v>RUSH</v>
          </cell>
          <cell r="T1173" t="e">
            <v>#N/A</v>
          </cell>
          <cell r="U1173" t="str">
            <v>RUSH S A/T</v>
          </cell>
        </row>
        <row r="1174">
          <cell r="D1174" t="str">
            <v>F800RE-GMGFJ-20</v>
          </cell>
          <cell r="E1174" t="str">
            <v>RUSH</v>
          </cell>
          <cell r="F1174" t="str">
            <v>RUSH</v>
          </cell>
          <cell r="G1174" t="str">
            <v>RUSH</v>
          </cell>
          <cell r="H1174" t="str">
            <v>RUSH S M/T</v>
          </cell>
          <cell r="I1174" t="str">
            <v>RUSH S M/T GR</v>
          </cell>
          <cell r="J1174" t="str">
            <v>RUSH S M/T</v>
          </cell>
          <cell r="K1174" t="str">
            <v>RUSH</v>
          </cell>
          <cell r="L1174" t="str">
            <v>F80SM/T20M</v>
          </cell>
          <cell r="M1174" t="str">
            <v>RUSH</v>
          </cell>
          <cell r="N1174" t="str">
            <v>RUSH</v>
          </cell>
          <cell r="O1174" t="str">
            <v>F800RE-GMGFJ-20</v>
          </cell>
          <cell r="P1174" t="e">
            <v>#N/A</v>
          </cell>
          <cell r="Q1174" t="e">
            <v>#N/A</v>
          </cell>
          <cell r="R1174" t="str">
            <v>F800RE-GMGFJ-20</v>
          </cell>
          <cell r="S1174" t="str">
            <v>RUSH</v>
          </cell>
          <cell r="T1174" t="e">
            <v>#N/A</v>
          </cell>
          <cell r="U1174" t="str">
            <v>RUSH S M/T</v>
          </cell>
        </row>
        <row r="1175">
          <cell r="D1175" t="str">
            <v>A250RA-GBVVJ-CD</v>
          </cell>
          <cell r="E1175" t="str">
            <v>RAIZE</v>
          </cell>
          <cell r="F1175" t="str">
            <v>RAIZE</v>
          </cell>
          <cell r="G1175" t="str">
            <v>RAIZE</v>
          </cell>
          <cell r="H1175" t="str">
            <v>RAIZE S A/T</v>
          </cell>
          <cell r="I1175" t="str">
            <v>RAIZE 1.0T S A/T TSS</v>
          </cell>
          <cell r="J1175" t="str">
            <v>RAIZE 1.0T S A/T TSS ONE TONE TCO</v>
          </cell>
          <cell r="K1175" t="str">
            <v>RAIZE</v>
          </cell>
          <cell r="L1175" t="str">
            <v>A250RSA/TCDM</v>
          </cell>
          <cell r="M1175" t="str">
            <v>RAIZE</v>
          </cell>
          <cell r="N1175" t="str">
            <v>RAIZE</v>
          </cell>
          <cell r="O1175" t="str">
            <v>A250RA-GBVVJ-CD</v>
          </cell>
          <cell r="P1175" t="e">
            <v>#N/A</v>
          </cell>
          <cell r="Q1175" t="e">
            <v>#N/A</v>
          </cell>
          <cell r="R1175" t="str">
            <v>A250RA-GBVVJ-CD</v>
          </cell>
          <cell r="S1175" t="str">
            <v>RAIZE</v>
          </cell>
          <cell r="T1175" t="e">
            <v>#N/A</v>
          </cell>
          <cell r="U1175" t="str">
            <v>RAIZE S A/T</v>
          </cell>
        </row>
        <row r="1176">
          <cell r="D1176" t="str">
            <v>GUN166R-SDTHXD-35</v>
          </cell>
          <cell r="E1176" t="str">
            <v>FORTUNER</v>
          </cell>
          <cell r="F1176" t="str">
            <v>FORTUNER 4X2</v>
          </cell>
          <cell r="G1176" t="str">
            <v>FORTUNER 4X2</v>
          </cell>
          <cell r="H1176" t="str">
            <v>FORTUNER 4X2 VRZ A/T DIESEL</v>
          </cell>
          <cell r="I1176" t="str">
            <v>FORTUNER 4X2 VRZ A/T DIESEL GR TSS</v>
          </cell>
          <cell r="J1176" t="str">
            <v>FORTUNER 4X2 VRZ A/T DIESEL GR TSS</v>
          </cell>
          <cell r="K1176" t="str">
            <v>FORTUNER 4X2</v>
          </cell>
          <cell r="M1176" t="str">
            <v>FORTUNER</v>
          </cell>
          <cell r="N1176" t="str">
            <v>FORTUNER 4X2</v>
          </cell>
          <cell r="O1176" t="str">
            <v>GUN166R-SDTHXD-35</v>
          </cell>
          <cell r="P1176" t="str">
            <v>FORTUNER 4X2</v>
          </cell>
          <cell r="Q1176" t="e">
            <v>#N/A</v>
          </cell>
          <cell r="R1176" t="str">
            <v>GUN166R-SDTHXD-35</v>
          </cell>
          <cell r="S1176" t="str">
            <v>FORTUNER</v>
          </cell>
          <cell r="T1176" t="str">
            <v>FORTUNER</v>
          </cell>
          <cell r="U1176" t="str">
            <v>FORTUNER 4X2 VRZ A/T DIESEL</v>
          </cell>
        </row>
        <row r="1177">
          <cell r="D1177" t="str">
            <v>MZRA90R-BPXRH-01</v>
          </cell>
          <cell r="E1177" t="str">
            <v>VOXY</v>
          </cell>
          <cell r="F1177" t="str">
            <v>VOXY</v>
          </cell>
          <cell r="G1177" t="str">
            <v>VOXY</v>
          </cell>
          <cell r="H1177" t="str">
            <v>VOXY 2.0 A/T</v>
          </cell>
          <cell r="I1177" t="str">
            <v>VOXY 2.0 A/T</v>
          </cell>
          <cell r="J1177" t="str">
            <v>VOXY 2.0 A/T</v>
          </cell>
          <cell r="K1177" t="str">
            <v>VOXY</v>
          </cell>
          <cell r="L1177" t="str">
            <v>MZR90RHA/T01M</v>
          </cell>
          <cell r="M1177" t="str">
            <v>VOXY</v>
          </cell>
          <cell r="N1177" t="str">
            <v>VOXY</v>
          </cell>
          <cell r="O1177" t="str">
            <v>MZRA90R-BPXRH-01</v>
          </cell>
          <cell r="P1177" t="str">
            <v>VOXY</v>
          </cell>
          <cell r="Q1177" t="e">
            <v>#N/A</v>
          </cell>
          <cell r="R1177" t="str">
            <v>MZRA90R-BPXRH-01</v>
          </cell>
          <cell r="S1177" t="str">
            <v>VOXY</v>
          </cell>
          <cell r="T1177" t="str">
            <v>VOXY</v>
          </cell>
          <cell r="U1177" t="str">
            <v>VOXY 2.0 A/T</v>
          </cell>
        </row>
        <row r="1178">
          <cell r="D1178" t="str">
            <v>MZRA90R-BPXRH-00</v>
          </cell>
          <cell r="E1178" t="str">
            <v>VOXY</v>
          </cell>
          <cell r="F1178" t="str">
            <v>VOXY</v>
          </cell>
          <cell r="G1178" t="str">
            <v>VOXY</v>
          </cell>
          <cell r="H1178" t="str">
            <v>VOXY 2.0 A/T</v>
          </cell>
          <cell r="I1178" t="str">
            <v>VOXY 2.0 A/T</v>
          </cell>
          <cell r="J1178" t="str">
            <v>VOXY 2.0 A/T</v>
          </cell>
          <cell r="K1178" t="str">
            <v>VOXY</v>
          </cell>
          <cell r="L1178" t="str">
            <v>MZR90RHA/T00M</v>
          </cell>
          <cell r="M1178" t="str">
            <v>VOXY</v>
          </cell>
          <cell r="N1178" t="str">
            <v>VOXY</v>
          </cell>
          <cell r="O1178" t="str">
            <v>MZRA90R-BPXRH-00</v>
          </cell>
          <cell r="P1178" t="str">
            <v>VOXY</v>
          </cell>
          <cell r="Q1178" t="e">
            <v>#N/A</v>
          </cell>
          <cell r="R1178" t="str">
            <v>MZRA90R-BPXRH-00</v>
          </cell>
          <cell r="S1178" t="str">
            <v>VOXY</v>
          </cell>
          <cell r="T1178" t="e">
            <v>#N/A</v>
          </cell>
          <cell r="U1178" t="str">
            <v>VOXY 2.0 A/T</v>
          </cell>
        </row>
        <row r="1179">
          <cell r="D1179" t="str">
            <v>ZWE211R-GEXVBD-02</v>
          </cell>
          <cell r="E1179" t="str">
            <v>COROLLA</v>
          </cell>
          <cell r="F1179" t="str">
            <v>COROLLA ALTIS</v>
          </cell>
          <cell r="G1179" t="str">
            <v>COROLLA ALTIS</v>
          </cell>
          <cell r="H1179" t="str">
            <v>COROLLA ALTIS HYBRID A/T</v>
          </cell>
          <cell r="I1179" t="str">
            <v>COROLLA ALTIS HYBRID A/T</v>
          </cell>
          <cell r="J1179" t="str">
            <v>COROLLA ALTIS HYBRID A/T</v>
          </cell>
          <cell r="K1179" t="str">
            <v>COROLLA ALTIS</v>
          </cell>
          <cell r="L1179" t="str">
            <v>ZWE211HA/T02M</v>
          </cell>
          <cell r="M1179" t="str">
            <v>COROLLA ALTIS</v>
          </cell>
          <cell r="N1179" t="str">
            <v>COROLLA ALTIS</v>
          </cell>
          <cell r="O1179" t="str">
            <v>ZWE211R-GEXVBD-02</v>
          </cell>
          <cell r="P1179" t="e">
            <v>#N/A</v>
          </cell>
          <cell r="Q1179" t="e">
            <v>#N/A</v>
          </cell>
          <cell r="R1179" t="str">
            <v>ZWE211R-GEXVBD-02</v>
          </cell>
          <cell r="S1179" t="str">
            <v>COROLLA</v>
          </cell>
          <cell r="T1179" t="e">
            <v>#N/A</v>
          </cell>
          <cell r="U1179" t="str">
            <v>COROLLA ALTIS HYBRID A/T</v>
          </cell>
        </row>
        <row r="1180">
          <cell r="D1180" t="str">
            <v>AXVA70R-JEZGBT-01</v>
          </cell>
          <cell r="E1180" t="str">
            <v>CAMRY</v>
          </cell>
          <cell r="F1180" t="str">
            <v>CAMRY</v>
          </cell>
          <cell r="G1180" t="str">
            <v>CAMRY</v>
          </cell>
          <cell r="H1180" t="str">
            <v>CAMRY V A/T</v>
          </cell>
          <cell r="I1180" t="str">
            <v>CAMRY V A/T</v>
          </cell>
          <cell r="J1180" t="str">
            <v>CAMRY V A/T</v>
          </cell>
          <cell r="K1180" t="str">
            <v>CAMRY</v>
          </cell>
          <cell r="L1180" t="str">
            <v>AVA70VA/T01M</v>
          </cell>
          <cell r="M1180" t="str">
            <v>CAMRY</v>
          </cell>
          <cell r="N1180" t="str">
            <v>CAMRY</v>
          </cell>
          <cell r="O1180" t="str">
            <v>AXVA70R-JEZGBT-01</v>
          </cell>
          <cell r="P1180" t="e">
            <v>#N/A</v>
          </cell>
          <cell r="Q1180" t="e">
            <v>#N/A</v>
          </cell>
          <cell r="R1180" t="str">
            <v>AXVA70R-JEZGBT-01</v>
          </cell>
          <cell r="S1180" t="str">
            <v>CAMRY</v>
          </cell>
          <cell r="T1180" t="e">
            <v>#N/A</v>
          </cell>
          <cell r="U1180" t="str">
            <v>CAMRY V A/T</v>
          </cell>
        </row>
        <row r="1181">
          <cell r="D1181" t="str">
            <v>AXVH71R-JEXVBT-01</v>
          </cell>
          <cell r="E1181" t="str">
            <v>CAMRY</v>
          </cell>
          <cell r="F1181" t="str">
            <v>CAMRY</v>
          </cell>
          <cell r="G1181" t="str">
            <v>CAMRY</v>
          </cell>
          <cell r="H1181" t="str">
            <v>CAMRY HYBRID A/T</v>
          </cell>
          <cell r="I1181" t="str">
            <v>CAMRY HYBRID A/T</v>
          </cell>
          <cell r="J1181" t="str">
            <v>CAMRY HYBRID A/T</v>
          </cell>
          <cell r="K1181" t="str">
            <v>CAMRY</v>
          </cell>
          <cell r="L1181" t="str">
            <v>AVH71HA/T01M</v>
          </cell>
          <cell r="M1181" t="str">
            <v>CAMRY</v>
          </cell>
          <cell r="N1181" t="str">
            <v>CAMRY</v>
          </cell>
          <cell r="O1181" t="str">
            <v>AXVH71R-JEXVBT-01</v>
          </cell>
          <cell r="P1181" t="str">
            <v>CAMRY HYBRID</v>
          </cell>
          <cell r="Q1181" t="e">
            <v>#N/A</v>
          </cell>
          <cell r="R1181" t="str">
            <v>AXVH71R-JEXVBT-01</v>
          </cell>
          <cell r="S1181" t="str">
            <v>CAMRY</v>
          </cell>
          <cell r="T1181" t="e">
            <v>#N/A</v>
          </cell>
          <cell r="U1181" t="str">
            <v>CAMRY HYBRID A/T</v>
          </cell>
        </row>
        <row r="1182">
          <cell r="D1182" t="str">
            <v>GUN125R-BTFLXD-10</v>
          </cell>
          <cell r="E1182" t="str">
            <v>HILUX</v>
          </cell>
          <cell r="F1182" t="str">
            <v>HILUX SC</v>
          </cell>
          <cell r="G1182" t="str">
            <v>HILUX SC</v>
          </cell>
          <cell r="H1182" t="str">
            <v>HILUX SC M/T DIESEL</v>
          </cell>
          <cell r="I1182" t="str">
            <v>HILUX SC M/T DIESEL</v>
          </cell>
          <cell r="J1182" t="str">
            <v>HILUX SC M/T DIESEL</v>
          </cell>
          <cell r="K1182" t="str">
            <v>HILUX SC</v>
          </cell>
          <cell r="L1182" t="str">
            <v>GUN25SXCM/T10M</v>
          </cell>
          <cell r="M1182" t="str">
            <v>HILUX</v>
          </cell>
          <cell r="N1182" t="str">
            <v>HILUX SC</v>
          </cell>
          <cell r="O1182" t="str">
            <v>GUN125R-BTFLXD-10</v>
          </cell>
          <cell r="P1182" t="e">
            <v>#N/A</v>
          </cell>
          <cell r="Q1182" t="e">
            <v>#N/A</v>
          </cell>
          <cell r="R1182" t="str">
            <v>GUN125R-BTFLXD-10</v>
          </cell>
          <cell r="S1182" t="str">
            <v>HILUX</v>
          </cell>
          <cell r="T1182" t="e">
            <v>#N/A</v>
          </cell>
          <cell r="U1182" t="str">
            <v>HILUX SC M/T DIESEL</v>
          </cell>
        </row>
        <row r="1183">
          <cell r="D1183" t="str">
            <v>GUN166R-SDTHXD-BG</v>
          </cell>
          <cell r="E1183" t="str">
            <v>FORTUNER</v>
          </cell>
          <cell r="F1183" t="str">
            <v>FORTUNER 4X2</v>
          </cell>
          <cell r="G1183" t="str">
            <v>FORTUNER 4X2</v>
          </cell>
          <cell r="H1183" t="str">
            <v>FORTUNER 4X2 VRZ A/T DIESEL</v>
          </cell>
          <cell r="I1183" t="str">
            <v>FORTUNER 4X2 VRZ A/T DIESEL GR TSS</v>
          </cell>
          <cell r="J1183" t="str">
            <v>FORTUNER 4X2 VRZ A/T DIESEL GR TSS TCO</v>
          </cell>
          <cell r="K1183" t="str">
            <v>FORTUNER 4X2</v>
          </cell>
          <cell r="M1183" t="str">
            <v>FORTUNER</v>
          </cell>
          <cell r="N1183" t="str">
            <v>FORTUNER 4X2</v>
          </cell>
          <cell r="O1183" t="str">
            <v>GUN166R-SDTHXD-BG</v>
          </cell>
          <cell r="P1183" t="str">
            <v>FORTUNER 4X2</v>
          </cell>
          <cell r="Q1183" t="e">
            <v>#N/A</v>
          </cell>
          <cell r="R1183" t="str">
            <v>GUN166R-SDTHXD-BG</v>
          </cell>
          <cell r="S1183" t="str">
            <v>FORTUNER</v>
          </cell>
          <cell r="T1183" t="str">
            <v>FORTUNER</v>
          </cell>
          <cell r="U1183" t="str">
            <v>FORTUNER 4X2 VRZ A/T DIESEL</v>
          </cell>
        </row>
        <row r="1184">
          <cell r="D1184" t="str">
            <v>GUN166R-SDTHXD-BH</v>
          </cell>
          <cell r="E1184" t="str">
            <v>FORTUNER</v>
          </cell>
          <cell r="F1184" t="str">
            <v>FORTUNER 4X2</v>
          </cell>
          <cell r="G1184" t="str">
            <v>FORTUNER 4X2</v>
          </cell>
          <cell r="H1184" t="str">
            <v>FORTUNER 4X2 VRZ A/T DIESEL</v>
          </cell>
          <cell r="I1184" t="str">
            <v>FORTUNER 4X2 VRZ A/T DIESEL GR TSS</v>
          </cell>
          <cell r="J1184" t="str">
            <v>FORTUNER 4X2 VRZ A/T DIESEL GR TSS TCO</v>
          </cell>
          <cell r="K1184" t="str">
            <v>FORTUNER 4X2</v>
          </cell>
          <cell r="M1184" t="str">
            <v>FORTUNER</v>
          </cell>
          <cell r="N1184" t="str">
            <v>FORTUNER 4X2</v>
          </cell>
          <cell r="O1184" t="str">
            <v>GUN166R-SDTHXD-BH</v>
          </cell>
          <cell r="P1184" t="str">
            <v>FORTUNER 4X2</v>
          </cell>
          <cell r="Q1184" t="e">
            <v>#N/A</v>
          </cell>
          <cell r="R1184" t="str">
            <v>GUN166R-SDTHXD-BH</v>
          </cell>
          <cell r="S1184" t="str">
            <v>FORTUNER</v>
          </cell>
          <cell r="T1184" t="str">
            <v>FORTUNER</v>
          </cell>
          <cell r="U1184" t="str">
            <v>FORTUNER 4X2 VRZ A/T DIESEL</v>
          </cell>
        </row>
        <row r="1185">
          <cell r="D1185" t="str">
            <v>GUN166R-SDTHXD-BF</v>
          </cell>
          <cell r="E1185" t="str">
            <v>FORTUNER</v>
          </cell>
          <cell r="F1185" t="str">
            <v>FORTUNER 4X2</v>
          </cell>
          <cell r="G1185" t="str">
            <v>FORTUNER 4X2</v>
          </cell>
          <cell r="H1185" t="str">
            <v>FORTUNER 4X2 VRZ A/T DIESEL</v>
          </cell>
          <cell r="I1185" t="str">
            <v>FORTUNER 4X2 VRZ A/T DIESEL GR TSS</v>
          </cell>
          <cell r="J1185" t="str">
            <v>FORTUNER VRZ 4X2 A/T DIESEL GR TCO</v>
          </cell>
          <cell r="K1185" t="str">
            <v>FORTUNER 4X2</v>
          </cell>
          <cell r="M1185" t="str">
            <v>FORTUNER</v>
          </cell>
          <cell r="N1185" t="str">
            <v>FORTUNER 4X2</v>
          </cell>
          <cell r="O1185" t="str">
            <v>GUN166R-SDTHXD-BF</v>
          </cell>
          <cell r="P1185" t="str">
            <v>FORTUNER 4X2</v>
          </cell>
          <cell r="Q1185" t="e">
            <v>#N/A</v>
          </cell>
          <cell r="R1185" t="str">
            <v>GUN166R-SDTHXD-BF</v>
          </cell>
          <cell r="S1185" t="str">
            <v>FORTUNER</v>
          </cell>
          <cell r="T1185" t="str">
            <v>FORTUNER</v>
          </cell>
          <cell r="U1185" t="str">
            <v>FORTUNER 4X2 VRZ A/T DIESEL</v>
          </cell>
        </row>
        <row r="1186">
          <cell r="D1186" t="str">
            <v>FJA300R-GNUSY-06</v>
          </cell>
          <cell r="E1186" t="str">
            <v>LANDCRUISER</v>
          </cell>
          <cell r="F1186" t="str">
            <v>LANDCRUISER</v>
          </cell>
          <cell r="G1186" t="str">
            <v>LANDCRUISER</v>
          </cell>
          <cell r="H1186" t="str">
            <v>LANDCRUISER</v>
          </cell>
          <cell r="I1186" t="str">
            <v>LANDCRUISER GR-S 4x4 A/T</v>
          </cell>
          <cell r="J1186" t="str">
            <v>LANDCRUISER GR-S 4x4 A/T</v>
          </cell>
          <cell r="K1186" t="str">
            <v>LANDCRUISER</v>
          </cell>
          <cell r="L1186" t="str">
            <v>FJ300SYA/T06M</v>
          </cell>
          <cell r="M1186" t="str">
            <v>LANDCRUISER</v>
          </cell>
          <cell r="N1186" t="str">
            <v>LANDCRUISER</v>
          </cell>
          <cell r="O1186" t="str">
            <v>FJA300R-GNUSY-06</v>
          </cell>
          <cell r="P1186" t="e">
            <v>#N/A</v>
          </cell>
          <cell r="Q1186" t="e">
            <v>#N/A</v>
          </cell>
          <cell r="R1186" t="str">
            <v>FJA300R-GNUSY-06</v>
          </cell>
          <cell r="S1186" t="str">
            <v>LANDCRUISER</v>
          </cell>
          <cell r="T1186" t="e">
            <v>#N/A</v>
          </cell>
          <cell r="U1186" t="str">
            <v>LANDCRUISER</v>
          </cell>
        </row>
        <row r="1187">
          <cell r="D1187" t="str">
            <v>ZRE211R-GEXGKD-14</v>
          </cell>
          <cell r="E1187" t="str">
            <v>COROLLA</v>
          </cell>
          <cell r="F1187" t="str">
            <v>COROLLA ALTIS</v>
          </cell>
          <cell r="G1187" t="str">
            <v>COROLLA ALTIS</v>
          </cell>
          <cell r="H1187" t="str">
            <v>COROLLA ALTIS V A/T</v>
          </cell>
          <cell r="I1187" t="str">
            <v>COROLLA ALTIS V A/T</v>
          </cell>
          <cell r="J1187" t="str">
            <v>COROLLA ALTIS V A/T</v>
          </cell>
          <cell r="K1187" t="str">
            <v>COROLLA ALTIS</v>
          </cell>
          <cell r="L1187" t="str">
            <v>ZRE211RM/T14M</v>
          </cell>
          <cell r="M1187" t="str">
            <v>COROLLA ALTIS</v>
          </cell>
          <cell r="N1187" t="str">
            <v>COROLLA ALTIS</v>
          </cell>
          <cell r="O1187" t="str">
            <v>ZRE211R-GEXGKD-14</v>
          </cell>
          <cell r="P1187" t="e">
            <v>#N/A</v>
          </cell>
          <cell r="Q1187" t="e">
            <v>#N/A</v>
          </cell>
          <cell r="R1187" t="str">
            <v>ZRE211R-GEXGKD-14</v>
          </cell>
          <cell r="S1187" t="str">
            <v>COROLLA</v>
          </cell>
          <cell r="T1187" t="e">
            <v>#N/A</v>
          </cell>
          <cell r="U1187" t="str">
            <v>COROLLA ALTIS V A/T</v>
          </cell>
        </row>
        <row r="1188">
          <cell r="D1188" t="str">
            <v>FJA300R-GNUZY-02</v>
          </cell>
          <cell r="E1188" t="str">
            <v>LANDCRUISER</v>
          </cell>
          <cell r="F1188" t="str">
            <v>LANDCRUISER</v>
          </cell>
          <cell r="G1188" t="str">
            <v>LANDCRUISER</v>
          </cell>
          <cell r="H1188" t="str">
            <v>LANDCRUISER</v>
          </cell>
          <cell r="I1188" t="str">
            <v>LANDCRUISER VX-R 4x4 A/T</v>
          </cell>
          <cell r="J1188" t="str">
            <v>LANDCRUISER VX-R 4x4 A/T</v>
          </cell>
          <cell r="K1188" t="str">
            <v>LANDCRUISER</v>
          </cell>
          <cell r="L1188" t="str">
            <v>FJ300ZYA/T02M</v>
          </cell>
          <cell r="M1188" t="str">
            <v>LANDCRUISER</v>
          </cell>
          <cell r="N1188" t="str">
            <v>LANDCRUISER</v>
          </cell>
          <cell r="O1188" t="str">
            <v>FJA300R-GNUZY-02</v>
          </cell>
          <cell r="P1188" t="e">
            <v>#N/A</v>
          </cell>
          <cell r="Q1188" t="e">
            <v>#N/A</v>
          </cell>
          <cell r="R1188" t="str">
            <v>FJA300R-GNUZY-02</v>
          </cell>
          <cell r="S1188" t="str">
            <v>LANDCRUISER</v>
          </cell>
          <cell r="T1188" t="e">
            <v>#N/A</v>
          </cell>
          <cell r="U1188" t="str">
            <v>LANDCRUISER</v>
          </cell>
        </row>
        <row r="1189">
          <cell r="D1189" t="str">
            <v>FJA300R-GNUZY-03</v>
          </cell>
          <cell r="E1189" t="str">
            <v>LANDCRUISER</v>
          </cell>
          <cell r="F1189" t="str">
            <v>LANDCRUISER</v>
          </cell>
          <cell r="G1189" t="str">
            <v>LANDCRUISER</v>
          </cell>
          <cell r="H1189" t="str">
            <v>LANDCRUISER</v>
          </cell>
          <cell r="I1189" t="str">
            <v>LANDCRUISER VX-R 4x4 A/T</v>
          </cell>
          <cell r="J1189" t="str">
            <v>LANDCRUISER VX-R 4x4 A/T</v>
          </cell>
          <cell r="K1189" t="str">
            <v>LANDCRUISER</v>
          </cell>
          <cell r="L1189" t="str">
            <v>FJ300ZYA/T03M</v>
          </cell>
          <cell r="M1189" t="str">
            <v>LANDCRUISER</v>
          </cell>
          <cell r="N1189" t="str">
            <v>LANDCRUISER</v>
          </cell>
          <cell r="O1189" t="str">
            <v>FJA300R-GNUZY-03</v>
          </cell>
          <cell r="P1189" t="e">
            <v>#N/A</v>
          </cell>
          <cell r="Q1189" t="e">
            <v>#N/A</v>
          </cell>
          <cell r="R1189" t="str">
            <v>FJA300R-GNUZY-03</v>
          </cell>
          <cell r="S1189" t="str">
            <v>LANDCRUISER</v>
          </cell>
          <cell r="T1189" t="e">
            <v>#N/A</v>
          </cell>
          <cell r="U1189" t="str">
            <v>LANDCRUISER</v>
          </cell>
        </row>
        <row r="1190">
          <cell r="D1190" t="str">
            <v>B401RA-GMZFJ-AJ</v>
          </cell>
          <cell r="E1190" t="str">
            <v>CALYA</v>
          </cell>
          <cell r="F1190" t="str">
            <v>CALYA</v>
          </cell>
          <cell r="G1190" t="str">
            <v>CALYA</v>
          </cell>
          <cell r="H1190" t="str">
            <v>CALYA G M/T</v>
          </cell>
          <cell r="I1190" t="str">
            <v>CALYA G M/T</v>
          </cell>
          <cell r="J1190" t="str">
            <v>CALYA G M/T TCO</v>
          </cell>
          <cell r="K1190" t="str">
            <v>CALYA</v>
          </cell>
          <cell r="L1190" t="str">
            <v>B401GM/TAJM</v>
          </cell>
          <cell r="M1190" t="str">
            <v>CALYA</v>
          </cell>
          <cell r="N1190" t="str">
            <v>CALYA</v>
          </cell>
          <cell r="O1190" t="str">
            <v>B401RA-GMZFJ-AJ</v>
          </cell>
          <cell r="P1190" t="e">
            <v>#N/A</v>
          </cell>
          <cell r="Q1190" t="e">
            <v>#N/A</v>
          </cell>
          <cell r="R1190" t="str">
            <v>B401RA-GMZFJ-AJ</v>
          </cell>
          <cell r="S1190" t="str">
            <v>CALYA</v>
          </cell>
          <cell r="T1190" t="e">
            <v>#N/A</v>
          </cell>
          <cell r="U1190" t="str">
            <v>CALYA G M/T</v>
          </cell>
        </row>
        <row r="1191">
          <cell r="D1191" t="str">
            <v>F800RE-GQGFJ-AC</v>
          </cell>
          <cell r="E1191" t="str">
            <v>RUSH</v>
          </cell>
          <cell r="F1191" t="str">
            <v>RUSH</v>
          </cell>
          <cell r="G1191" t="str">
            <v>RUSH</v>
          </cell>
          <cell r="H1191" t="str">
            <v>RUSH S A/T</v>
          </cell>
          <cell r="I1191" t="str">
            <v>RUSH S A/T GR</v>
          </cell>
          <cell r="J1191" t="str">
            <v>RUSH S A/T GR TCO</v>
          </cell>
          <cell r="K1191" t="str">
            <v>RUSH</v>
          </cell>
          <cell r="L1191" t="str">
            <v>F80SA/TACM</v>
          </cell>
          <cell r="M1191" t="str">
            <v>RUSH</v>
          </cell>
          <cell r="N1191" t="str">
            <v>RUSH</v>
          </cell>
          <cell r="O1191" t="str">
            <v>F800RE-GQGFJ-AC</v>
          </cell>
          <cell r="P1191" t="e">
            <v>#N/A</v>
          </cell>
          <cell r="Q1191" t="e">
            <v>#N/A</v>
          </cell>
          <cell r="R1191" t="str">
            <v>F800RE-GQGFJ-AC</v>
          </cell>
          <cell r="S1191" t="str">
            <v>RUSH</v>
          </cell>
          <cell r="T1191" t="e">
            <v>#N/A</v>
          </cell>
          <cell r="U1191" t="str">
            <v>RUSH S A/T</v>
          </cell>
        </row>
        <row r="1192">
          <cell r="D1192" t="str">
            <v>GGH30R-PFZVK-21</v>
          </cell>
          <cell r="E1192" t="str">
            <v>ALPHARD</v>
          </cell>
          <cell r="F1192" t="str">
            <v>ALPHARD</v>
          </cell>
          <cell r="G1192" t="str">
            <v>ALPHARD</v>
          </cell>
          <cell r="H1192" t="str">
            <v>ALPHARD Q A/T</v>
          </cell>
          <cell r="I1192" t="str">
            <v>ALPHARD Q A/T</v>
          </cell>
          <cell r="J1192" t="str">
            <v>ALPHARD Q A/T</v>
          </cell>
          <cell r="K1192" t="str">
            <v>ALPHARD</v>
          </cell>
          <cell r="L1192" t="str">
            <v>GG30ZQA/T21M</v>
          </cell>
          <cell r="M1192" t="str">
            <v>ALPHARD</v>
          </cell>
          <cell r="N1192" t="str">
            <v>ALPHARD</v>
          </cell>
          <cell r="O1192" t="str">
            <v>GGH30R-PFZVK-21</v>
          </cell>
          <cell r="P1192" t="e">
            <v>#N/A</v>
          </cell>
          <cell r="Q1192" t="e">
            <v>#N/A</v>
          </cell>
          <cell r="R1192" t="str">
            <v>GGH30R-PFZVK-21</v>
          </cell>
          <cell r="S1192" t="str">
            <v>ALPHARD</v>
          </cell>
          <cell r="T1192" t="e">
            <v>#N/A</v>
          </cell>
          <cell r="U1192" t="str">
            <v>ALPHARD Q A/T</v>
          </cell>
        </row>
        <row r="1193">
          <cell r="D1193" t="str">
            <v>ZYX10R-CHXGBT-16</v>
          </cell>
          <cell r="E1193" t="str">
            <v>CHR</v>
          </cell>
          <cell r="F1193" t="str">
            <v>CHR</v>
          </cell>
          <cell r="G1193" t="str">
            <v>CHR</v>
          </cell>
          <cell r="H1193" t="str">
            <v>CHR HYBRID</v>
          </cell>
          <cell r="I1193" t="str">
            <v>CHR HYBRID DUAL TONE A/T</v>
          </cell>
          <cell r="J1193" t="str">
            <v>CHR HYBRID DUAL TONE A/T</v>
          </cell>
          <cell r="K1193" t="str">
            <v>CHR</v>
          </cell>
          <cell r="L1193" t="str">
            <v>ZYX10A/T16M</v>
          </cell>
          <cell r="M1193" t="str">
            <v>CHR</v>
          </cell>
          <cell r="N1193" t="str">
            <v>CHR</v>
          </cell>
          <cell r="O1193" t="str">
            <v>ZYX10R-CHXGBT-16</v>
          </cell>
          <cell r="P1193" t="e">
            <v>#N/A</v>
          </cell>
          <cell r="Q1193" t="e">
            <v>#N/A</v>
          </cell>
          <cell r="R1193" t="str">
            <v>ZYX10R-CHXGBT-16</v>
          </cell>
          <cell r="S1193" t="str">
            <v>CHR</v>
          </cell>
          <cell r="T1193" t="e">
            <v>#N/A</v>
          </cell>
          <cell r="U1193" t="str">
            <v>CHR HYBRID</v>
          </cell>
        </row>
        <row r="1194">
          <cell r="D1194" t="str">
            <v>ZYX10R-CHXGBT-15</v>
          </cell>
          <cell r="E1194" t="str">
            <v>CHR</v>
          </cell>
          <cell r="F1194" t="str">
            <v>CHR</v>
          </cell>
          <cell r="G1194" t="str">
            <v>CHR</v>
          </cell>
          <cell r="H1194" t="str">
            <v>CHR HYBRID</v>
          </cell>
          <cell r="I1194" t="str">
            <v>CHR HYBRID SINGLE TONE A/T</v>
          </cell>
          <cell r="J1194" t="str">
            <v>CHR HYBRID SINGLE TONE A/T</v>
          </cell>
          <cell r="K1194" t="str">
            <v>CHR</v>
          </cell>
          <cell r="L1194" t="str">
            <v>ZYX10A/T15M</v>
          </cell>
          <cell r="M1194" t="str">
            <v>CHR</v>
          </cell>
          <cell r="N1194" t="str">
            <v>CHR</v>
          </cell>
          <cell r="O1194" t="str">
            <v>ZYX10R-CHXGBT-15</v>
          </cell>
          <cell r="P1194" t="e">
            <v>#N/A</v>
          </cell>
          <cell r="Q1194" t="e">
            <v>#N/A</v>
          </cell>
          <cell r="R1194" t="str">
            <v>ZYX10R-CHXGBT-15</v>
          </cell>
          <cell r="S1194" t="str">
            <v>CHR</v>
          </cell>
          <cell r="T1194" t="e">
            <v>#N/A</v>
          </cell>
          <cell r="U1194" t="str">
            <v>CHR HYBRID</v>
          </cell>
        </row>
        <row r="1195">
          <cell r="D1195" t="str">
            <v>GUN125R-DTFSXD-10</v>
          </cell>
          <cell r="E1195" t="str">
            <v>HILUX</v>
          </cell>
          <cell r="F1195" t="str">
            <v>HILUX DC</v>
          </cell>
          <cell r="G1195" t="str">
            <v>HILUX DC</v>
          </cell>
          <cell r="H1195" t="str">
            <v>HILUX DC G M/T DIESEL</v>
          </cell>
          <cell r="I1195" t="str">
            <v>HILUX DC G M/T DIESEL</v>
          </cell>
          <cell r="J1195" t="str">
            <v>HILUX DC G M/T DIESEL</v>
          </cell>
          <cell r="K1195" t="str">
            <v>HILUX DC</v>
          </cell>
          <cell r="L1195" t="str">
            <v>GUN25DXGM/T10M</v>
          </cell>
          <cell r="M1195" t="str">
            <v>HILUX</v>
          </cell>
          <cell r="N1195" t="str">
            <v>HILUX DC</v>
          </cell>
          <cell r="O1195" t="str">
            <v>GUN125R-DTFSXD-10</v>
          </cell>
          <cell r="P1195" t="e">
            <v>#N/A</v>
          </cell>
          <cell r="Q1195" t="e">
            <v>#N/A</v>
          </cell>
          <cell r="R1195" t="str">
            <v>GUN125R-DTFSXD-10</v>
          </cell>
          <cell r="S1195" t="str">
            <v>HILUX</v>
          </cell>
          <cell r="T1195" t="e">
            <v>#N/A</v>
          </cell>
          <cell r="U1195" t="str">
            <v>HILUX DC G M/T DIESEL</v>
          </cell>
        </row>
        <row r="1196">
          <cell r="D1196" t="str">
            <v>GUN125R-DTTHXD-20</v>
          </cell>
          <cell r="E1196" t="str">
            <v>HILUX</v>
          </cell>
          <cell r="F1196" t="str">
            <v>HILUX DC</v>
          </cell>
          <cell r="G1196" t="str">
            <v>HILUX DC</v>
          </cell>
          <cell r="H1196" t="str">
            <v>HILUX DC V A/T DIESEL</v>
          </cell>
          <cell r="I1196" t="str">
            <v>HILUX DC V A/T DIESEL</v>
          </cell>
          <cell r="J1196" t="str">
            <v>HILUX DC V A/T DIESEL</v>
          </cell>
          <cell r="K1196" t="str">
            <v>HILUX DC</v>
          </cell>
          <cell r="L1196" t="str">
            <v>GUN25DXVA/T20M</v>
          </cell>
          <cell r="M1196" t="str">
            <v>HILUX</v>
          </cell>
          <cell r="N1196" t="str">
            <v>HILUX DC</v>
          </cell>
          <cell r="O1196" t="str">
            <v>GUN125R-DTTHXD-20</v>
          </cell>
          <cell r="P1196" t="str">
            <v>HILUX D-CAB</v>
          </cell>
          <cell r="Q1196" t="e">
            <v>#N/A</v>
          </cell>
          <cell r="R1196" t="str">
            <v>GUN125R-DTTHXD-20</v>
          </cell>
          <cell r="S1196" t="str">
            <v>HILUX</v>
          </cell>
          <cell r="T1196" t="e">
            <v>#N/A</v>
          </cell>
          <cell r="U1196" t="str">
            <v>HILUX DC V A/T DIESEL</v>
          </cell>
        </row>
        <row r="1197">
          <cell r="D1197" t="str">
            <v>GUN142R-MDMHXD-20</v>
          </cell>
          <cell r="E1197" t="str">
            <v>INNOVA</v>
          </cell>
          <cell r="F1197" t="str">
            <v>INNOVA</v>
          </cell>
          <cell r="G1197" t="str">
            <v>INNOVA</v>
          </cell>
          <cell r="H1197" t="str">
            <v>INNOVA V M/T DIESEL</v>
          </cell>
          <cell r="I1197" t="str">
            <v>INNOVA V M/T DIESEL</v>
          </cell>
          <cell r="J1197" t="str">
            <v xml:space="preserve">INNOVA V M/T DIESEL </v>
          </cell>
          <cell r="K1197" t="str">
            <v>INNOVA REBORN</v>
          </cell>
          <cell r="L1197" t="str">
            <v>GUNX42VM/T20M</v>
          </cell>
          <cell r="M1197" t="str">
            <v>INNOVA</v>
          </cell>
          <cell r="N1197" t="str">
            <v>INNOVA REBORN</v>
          </cell>
          <cell r="O1197" t="str">
            <v>GUN142R-MDMHXD-20</v>
          </cell>
          <cell r="P1197" t="e">
            <v>#N/A</v>
          </cell>
          <cell r="Q1197" t="e">
            <v>#N/A</v>
          </cell>
          <cell r="R1197" t="str">
            <v>GUN142R-MDMHXD-20</v>
          </cell>
          <cell r="S1197" t="str">
            <v>INNOVA</v>
          </cell>
          <cell r="T1197" t="str">
            <v>INV REBORN</v>
          </cell>
          <cell r="U1197" t="str">
            <v>INNOVA V M/T DIESEL</v>
          </cell>
        </row>
        <row r="1198">
          <cell r="D1198" t="str">
            <v>GUN142R-MDMHXD-20</v>
          </cell>
          <cell r="E1198" t="str">
            <v>INNOVA</v>
          </cell>
          <cell r="F1198" t="str">
            <v>INNOVA</v>
          </cell>
          <cell r="G1198" t="str">
            <v>INNOVA</v>
          </cell>
          <cell r="H1198" t="str">
            <v>INNOVA V M/T DIESEL</v>
          </cell>
          <cell r="I1198" t="str">
            <v>INNOVA V M/T DIESEL</v>
          </cell>
          <cell r="J1198" t="str">
            <v xml:space="preserve">INNOVA V M/T DIESEL </v>
          </cell>
          <cell r="K1198" t="str">
            <v>INNOVA REBORN</v>
          </cell>
          <cell r="L1198" t="str">
            <v>GUNX42VM/T20M</v>
          </cell>
          <cell r="M1198" t="str">
            <v>INNOVA</v>
          </cell>
          <cell r="N1198" t="str">
            <v>INNOVA REBORN</v>
          </cell>
          <cell r="O1198" t="str">
            <v>GUN142R-MDMHXD-20</v>
          </cell>
          <cell r="P1198" t="e">
            <v>#N/A</v>
          </cell>
          <cell r="Q1198" t="e">
            <v>#N/A</v>
          </cell>
          <cell r="R1198" t="str">
            <v>GUN142R-MDMHXD-20</v>
          </cell>
          <cell r="S1198" t="str">
            <v>INNOVA</v>
          </cell>
          <cell r="T1198" t="str">
            <v>INV REBORN</v>
          </cell>
          <cell r="U1198" t="str">
            <v>INNOVA V M/T DIESEL</v>
          </cell>
        </row>
        <row r="1199">
          <cell r="D1199" t="str">
            <v>GUN142R-MDMMYD-25</v>
          </cell>
          <cell r="E1199" t="str">
            <v>INNOVA</v>
          </cell>
          <cell r="F1199" t="str">
            <v>INNOVA</v>
          </cell>
          <cell r="G1199" t="str">
            <v>INNOVA</v>
          </cell>
          <cell r="H1199" t="str">
            <v>INNOVA V M/T DIESEL</v>
          </cell>
          <cell r="I1199" t="str">
            <v>INNOVA V M/T DIESEL TRD</v>
          </cell>
          <cell r="J1199" t="str">
            <v>INNOVA V M/T DIESEL TRD</v>
          </cell>
          <cell r="K1199" t="str">
            <v>INNOVA REBORN</v>
          </cell>
          <cell r="L1199" t="str">
            <v>GUN42VM/T25M</v>
          </cell>
          <cell r="M1199" t="str">
            <v>INNOVA</v>
          </cell>
          <cell r="N1199" t="str">
            <v>INNOVA REBORN</v>
          </cell>
          <cell r="O1199" t="str">
            <v>GUN142R-MDMMYD-25</v>
          </cell>
          <cell r="P1199" t="e">
            <v>#N/A</v>
          </cell>
          <cell r="Q1199" t="e">
            <v>#N/A</v>
          </cell>
          <cell r="R1199" t="str">
            <v>GUN142R-MDMMYD-25</v>
          </cell>
          <cell r="S1199" t="str">
            <v>INNOVA</v>
          </cell>
          <cell r="T1199" t="str">
            <v>INV REBORN</v>
          </cell>
          <cell r="U1199" t="str">
            <v>INNOVA V M/T DIESEL</v>
          </cell>
        </row>
        <row r="1200">
          <cell r="D1200" t="str">
            <v>GUN142R-MDMHXD-21</v>
          </cell>
          <cell r="E1200" t="str">
            <v>INNOVA</v>
          </cell>
          <cell r="F1200" t="str">
            <v>INNOVA</v>
          </cell>
          <cell r="G1200" t="str">
            <v>INNOVA</v>
          </cell>
          <cell r="H1200" t="str">
            <v>VENTURER M/T DIESEL</v>
          </cell>
          <cell r="I1200" t="str">
            <v xml:space="preserve">VENTURER M/T DIESEL </v>
          </cell>
          <cell r="J1200" t="str">
            <v xml:space="preserve">VENTURER M/T DIESEL </v>
          </cell>
          <cell r="K1200" t="str">
            <v>INNOVA REBORN</v>
          </cell>
          <cell r="L1200" t="str">
            <v>GUNX42VM/T21M</v>
          </cell>
          <cell r="M1200" t="str">
            <v>INNOVA</v>
          </cell>
          <cell r="N1200" t="str">
            <v>INNOVA REBORN</v>
          </cell>
          <cell r="O1200" t="str">
            <v>GUN142R-MDMHXD-21</v>
          </cell>
          <cell r="P1200" t="e">
            <v>#N/A</v>
          </cell>
          <cell r="Q1200" t="e">
            <v>#N/A</v>
          </cell>
          <cell r="R1200" t="str">
            <v>GUN142R-MDMHXD-21</v>
          </cell>
          <cell r="S1200" t="str">
            <v>INNOVA</v>
          </cell>
          <cell r="T1200" t="e">
            <v>#N/A</v>
          </cell>
          <cell r="U1200" t="str">
            <v>VENTURER M/T DIESEL</v>
          </cell>
        </row>
        <row r="1201">
          <cell r="D1201" t="str">
            <v>TGN140R-MDMHKD-43</v>
          </cell>
          <cell r="E1201" t="str">
            <v>INNOVA</v>
          </cell>
          <cell r="F1201" t="str">
            <v>INNOVA</v>
          </cell>
          <cell r="G1201" t="str">
            <v>INNOVA</v>
          </cell>
          <cell r="H1201" t="str">
            <v>INNOVA V M/T</v>
          </cell>
          <cell r="I1201" t="str">
            <v xml:space="preserve">INNOVA V M/T LUX </v>
          </cell>
          <cell r="J1201" t="str">
            <v xml:space="preserve">INNOVA V M/T LUX </v>
          </cell>
          <cell r="K1201" t="str">
            <v>INNOVA REBORN</v>
          </cell>
          <cell r="L1201" t="str">
            <v>TGN40QM/T43M</v>
          </cell>
          <cell r="M1201" t="str">
            <v>INNOVA</v>
          </cell>
          <cell r="N1201" t="str">
            <v>INNOVA REBORN</v>
          </cell>
          <cell r="O1201" t="str">
            <v>TGN140R-MDMHKD-43</v>
          </cell>
          <cell r="P1201" t="e">
            <v>#N/A</v>
          </cell>
          <cell r="Q1201" t="e">
            <v>#N/A</v>
          </cell>
          <cell r="R1201" t="str">
            <v>TGN140R-MDMHKD-43</v>
          </cell>
          <cell r="S1201" t="str">
            <v>INNOVA</v>
          </cell>
          <cell r="T1201" t="str">
            <v>INV REBORN</v>
          </cell>
          <cell r="U1201" t="str">
            <v>INNOVA V M/T</v>
          </cell>
        </row>
        <row r="1202">
          <cell r="D1202" t="str">
            <v>GUN166R-SDTHXD-HA</v>
          </cell>
          <cell r="E1202" t="str">
            <v>FORTUNER</v>
          </cell>
          <cell r="F1202" t="str">
            <v>FORTUNER 4X2</v>
          </cell>
          <cell r="G1202" t="str">
            <v>FORTUNER 4X2</v>
          </cell>
          <cell r="H1202" t="str">
            <v>FORTUNER 4X2 VRZ A/T DIESEL</v>
          </cell>
          <cell r="I1202" t="str">
            <v>FORTUNER 4X2 VRZ A/T DIESEL GR TSS</v>
          </cell>
          <cell r="J1202" t="str">
            <v>FORTUNER VRZ 4X2 A/T DIESEL GR TCO</v>
          </cell>
          <cell r="K1202" t="str">
            <v>FORTUNER 4X2</v>
          </cell>
          <cell r="M1202" t="str">
            <v>FORTUNER</v>
          </cell>
          <cell r="N1202" t="str">
            <v>FORTUNER 4X2</v>
          </cell>
          <cell r="O1202" t="str">
            <v>GUN166R-SDTHXD-HA</v>
          </cell>
          <cell r="P1202" t="str">
            <v>FORTUNER 4X2</v>
          </cell>
          <cell r="Q1202" t="e">
            <v>#N/A</v>
          </cell>
          <cell r="R1202" t="str">
            <v>GUN166R-SDTHXD-HA</v>
          </cell>
          <cell r="S1202" t="str">
            <v>FORTUNER</v>
          </cell>
          <cell r="T1202" t="str">
            <v>FORTUNER</v>
          </cell>
          <cell r="U1202" t="str">
            <v>FORTUNER 4X2 VRZ A/T DIESEL</v>
          </cell>
        </row>
        <row r="1203">
          <cell r="D1203" t="str">
            <v>GUN166R-SDTHXD-HB</v>
          </cell>
          <cell r="E1203" t="str">
            <v>FORTUNER</v>
          </cell>
          <cell r="F1203" t="str">
            <v>FORTUNER 4X2</v>
          </cell>
          <cell r="G1203" t="str">
            <v>FORTUNER 4X2</v>
          </cell>
          <cell r="H1203" t="str">
            <v>FORTUNER 4X2 VRZ A/T DIESEL</v>
          </cell>
          <cell r="I1203" t="str">
            <v>FORTUNER 4X2 VRZ A/T DIESEL GR TSS</v>
          </cell>
          <cell r="J1203" t="str">
            <v>FORTUNER 4X2 VRZ A/T DIESEL GR TSS TCO</v>
          </cell>
          <cell r="K1203" t="str">
            <v>FORTUNER 4X2</v>
          </cell>
          <cell r="M1203" t="str">
            <v>FORTUNER</v>
          </cell>
          <cell r="N1203" t="str">
            <v>FORTUNER 4X2</v>
          </cell>
          <cell r="O1203" t="str">
            <v>GUN166R-SDTHXD-HB</v>
          </cell>
          <cell r="P1203" t="str">
            <v>FORTUNER 4X2</v>
          </cell>
          <cell r="Q1203" t="e">
            <v>#N/A</v>
          </cell>
          <cell r="R1203" t="str">
            <v>GUN166R-SDTHXD-HB</v>
          </cell>
          <cell r="S1203" t="str">
            <v>FORTUNER</v>
          </cell>
          <cell r="T1203" t="str">
            <v>FORTUNER</v>
          </cell>
          <cell r="U1203" t="str">
            <v>FORTUNER 4X2 VRZ A/T DIESEL</v>
          </cell>
        </row>
        <row r="1204">
          <cell r="D1204" t="str">
            <v>GUN142R-MDTHXD-21</v>
          </cell>
          <cell r="E1204" t="str">
            <v>INNOVA</v>
          </cell>
          <cell r="F1204" t="str">
            <v>INNOVA</v>
          </cell>
          <cell r="G1204" t="str">
            <v>INNOVA</v>
          </cell>
          <cell r="H1204" t="str">
            <v>VENTURER A/T DIESEL</v>
          </cell>
          <cell r="I1204" t="str">
            <v xml:space="preserve">VENTURER A/T DIESEL </v>
          </cell>
          <cell r="J1204" t="str">
            <v xml:space="preserve">VENTURER A/T DIESEL </v>
          </cell>
          <cell r="K1204" t="str">
            <v>INNOVA REBORN</v>
          </cell>
          <cell r="L1204" t="str">
            <v>GUNX42VA/T21M</v>
          </cell>
          <cell r="M1204" t="str">
            <v>INNOVA</v>
          </cell>
          <cell r="N1204" t="str">
            <v>INNOVA REBORN</v>
          </cell>
          <cell r="O1204" t="str">
            <v>GUN142R-MDTHXD-21</v>
          </cell>
          <cell r="P1204" t="e">
            <v>#N/A</v>
          </cell>
          <cell r="Q1204" t="e">
            <v>#N/A</v>
          </cell>
          <cell r="R1204" t="str">
            <v>GUN142R-MDTHXD-21</v>
          </cell>
          <cell r="S1204" t="str">
            <v>INNOVA</v>
          </cell>
          <cell r="T1204" t="e">
            <v>#N/A</v>
          </cell>
          <cell r="U1204" t="str">
            <v>VENTURER A/T DIESEL</v>
          </cell>
        </row>
        <row r="1205">
          <cell r="D1205" t="str">
            <v>GUN166R-SDTHXD-HC</v>
          </cell>
          <cell r="E1205" t="str">
            <v>FORTUNER</v>
          </cell>
          <cell r="F1205" t="str">
            <v>FORTUNER 4X2</v>
          </cell>
          <cell r="G1205" t="str">
            <v>FORTUNER 4X2</v>
          </cell>
          <cell r="H1205" t="str">
            <v>FORTUNER 4X2 VRZ A/T DIESEL</v>
          </cell>
          <cell r="I1205" t="str">
            <v>FORTUNER 4X2 VRZ A/T DIESEL GR TSS</v>
          </cell>
          <cell r="J1205" t="str">
            <v>FORTUNER 4X2 VRZ A/T DIESEL GR TSS TCO</v>
          </cell>
          <cell r="K1205" t="str">
            <v>FORTUNER 4X2</v>
          </cell>
          <cell r="M1205" t="str">
            <v>FORTUNER</v>
          </cell>
          <cell r="N1205" t="str">
            <v>FORTUNER 4X2</v>
          </cell>
          <cell r="O1205" t="str">
            <v>GUN166R-SDTHXD-HC</v>
          </cell>
          <cell r="P1205" t="str">
            <v>FORTUNER 4X2</v>
          </cell>
          <cell r="Q1205" t="e">
            <v>#N/A</v>
          </cell>
          <cell r="R1205" t="str">
            <v>GUN166R-SDTHXD-HC</v>
          </cell>
          <cell r="S1205" t="str">
            <v>FORTUNER</v>
          </cell>
          <cell r="T1205" t="str">
            <v>FORTUNER</v>
          </cell>
          <cell r="U1205" t="str">
            <v>FORTUNER 4X2 VRZ A/T DIESEL</v>
          </cell>
        </row>
        <row r="1206">
          <cell r="D1206" t="str">
            <v>TGN140R-MDMHKD-53</v>
          </cell>
          <cell r="E1206" t="str">
            <v>INNOVA</v>
          </cell>
          <cell r="F1206" t="str">
            <v>INNOVA</v>
          </cell>
          <cell r="G1206" t="str">
            <v>INNOVA</v>
          </cell>
          <cell r="H1206" t="str">
            <v>INNOVA V M/T</v>
          </cell>
          <cell r="I1206" t="str">
            <v xml:space="preserve">INNOVA V M/T LUX </v>
          </cell>
          <cell r="J1206" t="str">
            <v xml:space="preserve">INNOVA V M/T LUX </v>
          </cell>
          <cell r="K1206" t="str">
            <v>INNOVA REBORN</v>
          </cell>
          <cell r="L1206" t="str">
            <v>TGN40VM/T53M</v>
          </cell>
          <cell r="M1206" t="str">
            <v>INNOVA</v>
          </cell>
          <cell r="N1206" t="str">
            <v>INNOVA REBORN</v>
          </cell>
          <cell r="O1206" t="str">
            <v>TGN140R-MDMHKD-53</v>
          </cell>
          <cell r="P1206" t="e">
            <v>#N/A</v>
          </cell>
          <cell r="Q1206" t="e">
            <v>#N/A</v>
          </cell>
          <cell r="R1206" t="str">
            <v>TGN140R-MDMHKD-53</v>
          </cell>
          <cell r="S1206" t="str">
            <v>INNOVA</v>
          </cell>
          <cell r="T1206" t="str">
            <v>INV REBORN</v>
          </cell>
          <cell r="U1206" t="str">
            <v>INNOVA V M/T</v>
          </cell>
        </row>
        <row r="1207">
          <cell r="D1207" t="str">
            <v>GUN166R-SDTHXD-34</v>
          </cell>
          <cell r="E1207" t="str">
            <v>FORTUNER</v>
          </cell>
          <cell r="F1207" t="str">
            <v>FORTUNER 4X2</v>
          </cell>
          <cell r="G1207" t="str">
            <v>FORTUNER 4X2</v>
          </cell>
          <cell r="H1207" t="str">
            <v>FORTUNER 4X2 VRZ A/T DIESEL</v>
          </cell>
          <cell r="I1207" t="str">
            <v>FORTUNER 4X2 VRZ A/T DIESEL TSS</v>
          </cell>
          <cell r="J1207" t="str">
            <v>FORTUNER 4X2 VRZ A/T DIESEL TSS</v>
          </cell>
          <cell r="K1207" t="str">
            <v>FORTUNER 4X2</v>
          </cell>
          <cell r="M1207" t="str">
            <v>FORTUNER</v>
          </cell>
          <cell r="N1207" t="str">
            <v>FORTUNER 4X2</v>
          </cell>
          <cell r="O1207" t="str">
            <v>GUN166R-SDTHXD-34</v>
          </cell>
          <cell r="P1207" t="e">
            <v>#N/A</v>
          </cell>
          <cell r="Q1207" t="e">
            <v>#N/A</v>
          </cell>
          <cell r="R1207" t="str">
            <v>GUN166R-SDTHXD-34</v>
          </cell>
          <cell r="S1207" t="str">
            <v>FORTUNER</v>
          </cell>
          <cell r="T1207" t="str">
            <v>FORTUNER</v>
          </cell>
          <cell r="U1207" t="str">
            <v>FORTUNER 4X2 VRZ A/T DIESEL</v>
          </cell>
        </row>
        <row r="1208">
          <cell r="D1208" t="str">
            <v>GUN125R-DTFLXD-20</v>
          </cell>
          <cell r="E1208" t="str">
            <v>HILUX</v>
          </cell>
          <cell r="F1208" t="str">
            <v>HILUX DC</v>
          </cell>
          <cell r="G1208" t="str">
            <v>HILUX DC</v>
          </cell>
          <cell r="H1208" t="str">
            <v>HILUX DC E M/T DIESEL</v>
          </cell>
          <cell r="I1208" t="str">
            <v>HILUX DC E M/T DIESEL</v>
          </cell>
          <cell r="J1208" t="str">
            <v>HILUX DC E M/T DIESEL</v>
          </cell>
          <cell r="K1208" t="str">
            <v>HILUX DC</v>
          </cell>
          <cell r="L1208" t="str">
            <v>GUN25DXEM/T20M</v>
          </cell>
          <cell r="M1208" t="str">
            <v>HILUX</v>
          </cell>
          <cell r="N1208" t="str">
            <v>HILUX DC</v>
          </cell>
          <cell r="O1208" t="str">
            <v>GUN125R-DTFLXD-20</v>
          </cell>
          <cell r="P1208" t="e">
            <v>#N/A</v>
          </cell>
          <cell r="Q1208" t="e">
            <v>#N/A</v>
          </cell>
          <cell r="R1208" t="str">
            <v>GUN125R-DTFLXD-20</v>
          </cell>
          <cell r="S1208" t="str">
            <v>HILUX</v>
          </cell>
          <cell r="T1208" t="e">
            <v>#N/A</v>
          </cell>
          <cell r="U1208" t="str">
            <v>HILUX DC E M/T DIESEL</v>
          </cell>
        </row>
        <row r="1209">
          <cell r="D1209" t="str">
            <v>F800RE-GMGFJ-AC</v>
          </cell>
          <cell r="E1209" t="str">
            <v>RUSH</v>
          </cell>
          <cell r="F1209" t="str">
            <v>RUSH</v>
          </cell>
          <cell r="G1209" t="str">
            <v>RUSH</v>
          </cell>
          <cell r="H1209" t="str">
            <v>RUSH S M/T</v>
          </cell>
          <cell r="I1209" t="str">
            <v>RUSH S M/T GR</v>
          </cell>
          <cell r="J1209" t="str">
            <v>RUSH S M/T TCO</v>
          </cell>
          <cell r="K1209" t="str">
            <v>RUSH</v>
          </cell>
          <cell r="L1209" t="str">
            <v>F80SM/TACM</v>
          </cell>
          <cell r="M1209" t="str">
            <v>RUSH</v>
          </cell>
          <cell r="N1209" t="str">
            <v>RUSH</v>
          </cell>
          <cell r="O1209" t="str">
            <v>F800RE-GMGFJ-AC</v>
          </cell>
          <cell r="P1209" t="e">
            <v>#N/A</v>
          </cell>
          <cell r="Q1209" t="e">
            <v>#N/A</v>
          </cell>
          <cell r="R1209" t="str">
            <v>F800RE-GMGFJ-AC</v>
          </cell>
          <cell r="S1209" t="str">
            <v>RUSH</v>
          </cell>
          <cell r="T1209" t="e">
            <v>#N/A</v>
          </cell>
          <cell r="U1209" t="str">
            <v>RUSH S M/T</v>
          </cell>
        </row>
        <row r="1210">
          <cell r="D1210" t="str">
            <v>FJA300R-GNUZY-06</v>
          </cell>
          <cell r="E1210" t="str">
            <v>LANDCRUISER</v>
          </cell>
          <cell r="F1210" t="str">
            <v>LANDCRUISER</v>
          </cell>
          <cell r="G1210" t="str">
            <v>LANDCRUISER</v>
          </cell>
          <cell r="H1210" t="str">
            <v>LANDCRUISER</v>
          </cell>
          <cell r="I1210" t="str">
            <v>LANDCRUISER VX-R 4x4 A/T</v>
          </cell>
          <cell r="J1210" t="str">
            <v>LANDCRUISER VX-R 4x4 A/T</v>
          </cell>
          <cell r="K1210" t="str">
            <v>LANDCRUISER</v>
          </cell>
          <cell r="L1210" t="str">
            <v>FJ300ZYA/T06M</v>
          </cell>
          <cell r="M1210" t="str">
            <v>LANDCRUISER</v>
          </cell>
          <cell r="N1210" t="str">
            <v>LANDCRUISER</v>
          </cell>
          <cell r="O1210" t="str">
            <v>FJA300R-GNUZY-06</v>
          </cell>
          <cell r="P1210" t="e">
            <v>#N/A</v>
          </cell>
          <cell r="Q1210" t="e">
            <v>#N/A</v>
          </cell>
          <cell r="R1210" t="str">
            <v>FJA300R-GNUZY-06</v>
          </cell>
          <cell r="S1210" t="str">
            <v>LANDCRUISER</v>
          </cell>
          <cell r="T1210" t="e">
            <v>#N/A</v>
          </cell>
          <cell r="U1210" t="str">
            <v>LANDCRUISER</v>
          </cell>
        </row>
        <row r="1211">
          <cell r="D1211" t="str">
            <v>FJA300R-GNUSY-10</v>
          </cell>
          <cell r="E1211" t="str">
            <v>LANDCRUISER</v>
          </cell>
          <cell r="F1211" t="str">
            <v>LANDCRUISER</v>
          </cell>
          <cell r="G1211" t="str">
            <v>LANDCRUISER</v>
          </cell>
          <cell r="H1211" t="str">
            <v>LANDCRUISER</v>
          </cell>
          <cell r="I1211" t="str">
            <v>LANDCRUISER GR-S 4x4 A/T</v>
          </cell>
          <cell r="J1211" t="str">
            <v>LANDCRUISER GR-S 4x4 A/T</v>
          </cell>
          <cell r="K1211" t="str">
            <v>LANDCRUISER</v>
          </cell>
          <cell r="L1211" t="str">
            <v>FJ300SYA/T10M</v>
          </cell>
          <cell r="M1211" t="str">
            <v>LANDCRUISER</v>
          </cell>
          <cell r="N1211" t="str">
            <v>LANDCRUISER</v>
          </cell>
          <cell r="O1211" t="str">
            <v>FJA300R-GNUSY-10</v>
          </cell>
          <cell r="P1211" t="e">
            <v>#N/A</v>
          </cell>
          <cell r="Q1211" t="e">
            <v>#N/A</v>
          </cell>
          <cell r="R1211" t="str">
            <v>FJA300R-GNUSY-10</v>
          </cell>
          <cell r="S1211" t="str">
            <v>LANDCRUISER</v>
          </cell>
          <cell r="T1211" t="e">
            <v>#N/A</v>
          </cell>
          <cell r="U1211" t="str">
            <v>LANDCRUISER</v>
          </cell>
        </row>
        <row r="1212">
          <cell r="D1212" t="str">
            <v>GDH322R-EDFPY-01</v>
          </cell>
          <cell r="E1212" t="str">
            <v>HIACE</v>
          </cell>
          <cell r="F1212" t="str">
            <v>HIACE</v>
          </cell>
          <cell r="G1212" t="str">
            <v>HIACE</v>
          </cell>
          <cell r="H1212" t="str">
            <v>HIACE PREMIO</v>
          </cell>
          <cell r="I1212" t="str">
            <v>HIACE PREMIO</v>
          </cell>
          <cell r="J1212" t="str">
            <v>HIACE PREMIO</v>
          </cell>
          <cell r="K1212" t="str">
            <v>HIACE PREMIO</v>
          </cell>
          <cell r="M1212" t="str">
            <v>HIACE</v>
          </cell>
          <cell r="N1212" t="str">
            <v>HIACE PREMIO</v>
          </cell>
          <cell r="O1212" t="str">
            <v>GDH322R-EDFPY-01</v>
          </cell>
          <cell r="P1212" t="e">
            <v>#N/A</v>
          </cell>
          <cell r="Q1212" t="e">
            <v>#N/A</v>
          </cell>
          <cell r="R1212" t="str">
            <v>GDH322R-EDFPY-01</v>
          </cell>
          <cell r="S1212" t="str">
            <v>HIACE</v>
          </cell>
          <cell r="T1212" t="e">
            <v>#N/A</v>
          </cell>
          <cell r="U1212" t="str">
            <v>HIACE PREMIO</v>
          </cell>
        </row>
        <row r="1213">
          <cell r="D1213" t="str">
            <v>GUN112R-BTMLXD-10</v>
          </cell>
          <cell r="E1213" t="str">
            <v>HILUX</v>
          </cell>
          <cell r="F1213" t="str">
            <v>HILUX SC</v>
          </cell>
          <cell r="G1213" t="str">
            <v>HILUX SC</v>
          </cell>
          <cell r="H1213" t="str">
            <v>HILUX SC M/T DIESEL</v>
          </cell>
          <cell r="I1213" t="str">
            <v>HILUX SC M/T DIESEL</v>
          </cell>
          <cell r="J1213" t="str">
            <v>HILUX SC M/T DIESEL</v>
          </cell>
          <cell r="K1213" t="str">
            <v>HILUX SC</v>
          </cell>
          <cell r="L1213" t="str">
            <v>GUN12SXCM/T10M</v>
          </cell>
          <cell r="M1213" t="str">
            <v>HILUX</v>
          </cell>
          <cell r="N1213" t="str">
            <v>HILUX SC</v>
          </cell>
          <cell r="O1213" t="str">
            <v>GUN112R-BTMLXD-10</v>
          </cell>
          <cell r="P1213" t="e">
            <v>#N/A</v>
          </cell>
          <cell r="Q1213" t="e">
            <v>#N/A</v>
          </cell>
          <cell r="R1213" t="str">
            <v>GUN112R-BTMLXD-10</v>
          </cell>
          <cell r="S1213" t="str">
            <v>HILUX</v>
          </cell>
          <cell r="T1213" t="e">
            <v>#N/A</v>
          </cell>
          <cell r="U1213" t="str">
            <v>HILUX SC M/T DIESEL</v>
          </cell>
        </row>
        <row r="1214">
          <cell r="D1214" t="str">
            <v>KDH223R-LEMDY-00</v>
          </cell>
          <cell r="E1214" t="str">
            <v>HIACE</v>
          </cell>
          <cell r="F1214" t="str">
            <v>HIACE</v>
          </cell>
          <cell r="G1214" t="str">
            <v>HIACE</v>
          </cell>
          <cell r="H1214" t="str">
            <v>HIACE COMM</v>
          </cell>
          <cell r="I1214" t="str">
            <v>HIACE COMM</v>
          </cell>
          <cell r="J1214" t="str">
            <v>HIACE COMM</v>
          </cell>
          <cell r="K1214" t="str">
            <v>HIACE COMM</v>
          </cell>
          <cell r="L1214" t="str">
            <v>KD23M/T01STD00</v>
          </cell>
          <cell r="M1214" t="str">
            <v>HIACE</v>
          </cell>
          <cell r="N1214" t="str">
            <v>HIACE COMM</v>
          </cell>
          <cell r="O1214" t="str">
            <v>KDH223R-LEMDY-00</v>
          </cell>
          <cell r="P1214" t="str">
            <v>HIACE</v>
          </cell>
          <cell r="Q1214" t="e">
            <v>#N/A</v>
          </cell>
          <cell r="R1214" t="str">
            <v>KDH223R-LEMDY-00</v>
          </cell>
          <cell r="S1214" t="str">
            <v>HIACE</v>
          </cell>
          <cell r="T1214" t="str">
            <v>HIACE</v>
          </cell>
          <cell r="U1214" t="str">
            <v>HIACE COMM</v>
          </cell>
        </row>
        <row r="1215">
          <cell r="D1215" t="str">
            <v>KDH223R-LEMDY-01</v>
          </cell>
          <cell r="E1215" t="str">
            <v>HIACE</v>
          </cell>
          <cell r="F1215" t="str">
            <v>HIACE</v>
          </cell>
          <cell r="G1215" t="str">
            <v>HIACE</v>
          </cell>
          <cell r="H1215" t="str">
            <v>HIACE COMM</v>
          </cell>
          <cell r="I1215" t="str">
            <v>HIACE COMM</v>
          </cell>
          <cell r="J1215" t="str">
            <v>HIACE COMM</v>
          </cell>
          <cell r="K1215" t="str">
            <v>HIACE COMM</v>
          </cell>
          <cell r="L1215" t="str">
            <v>KD23M/T01STD01</v>
          </cell>
          <cell r="M1215" t="str">
            <v>HIACE</v>
          </cell>
          <cell r="N1215" t="str">
            <v>HIACE COMM</v>
          </cell>
          <cell r="O1215" t="str">
            <v>KDH223R-LEMDY-01</v>
          </cell>
          <cell r="P1215" t="str">
            <v>HIACE</v>
          </cell>
          <cell r="Q1215" t="e">
            <v>#N/A</v>
          </cell>
          <cell r="R1215" t="str">
            <v>KDH223R-LEMDY-01</v>
          </cell>
          <cell r="S1215" t="str">
            <v>HIACE</v>
          </cell>
          <cell r="T1215" t="str">
            <v>HIACE</v>
          </cell>
          <cell r="U1215" t="str">
            <v>HIACE COMM</v>
          </cell>
        </row>
        <row r="1216">
          <cell r="D1216" t="str">
            <v>GUN165R-SDTMHD-21</v>
          </cell>
          <cell r="E1216" t="str">
            <v>FORTUNER</v>
          </cell>
          <cell r="F1216" t="str">
            <v>FORTUNER 4X2</v>
          </cell>
          <cell r="G1216" t="str">
            <v>FORTUNER 4X2</v>
          </cell>
          <cell r="H1216" t="str">
            <v>FORTUNER 4X2 VRZ TRD DIESEL</v>
          </cell>
          <cell r="I1216" t="str">
            <v>FORTUNER 4X2 VRZ TRD DIESEL</v>
          </cell>
          <cell r="J1216" t="str">
            <v>FORTUNER 4X2 VRZ TRD DIESEL</v>
          </cell>
          <cell r="K1216" t="str">
            <v>FORTUNER 4X2</v>
          </cell>
          <cell r="L1216" t="str">
            <v>GUN65VRZA/T21M</v>
          </cell>
          <cell r="M1216" t="str">
            <v>FORTUNER</v>
          </cell>
          <cell r="N1216" t="str">
            <v>FORTUNER 4X2</v>
          </cell>
          <cell r="O1216" t="str">
            <v>GUN165R-SDTMHD-21</v>
          </cell>
          <cell r="P1216" t="e">
            <v>#N/A</v>
          </cell>
          <cell r="Q1216" t="e">
            <v>#N/A</v>
          </cell>
          <cell r="R1216" t="str">
            <v>GUN165R-SDTMHD-21</v>
          </cell>
          <cell r="S1216" t="str">
            <v>FORTUNER</v>
          </cell>
          <cell r="T1216" t="e">
            <v>#N/A</v>
          </cell>
          <cell r="U1216" t="str">
            <v>FORTUNER 4X2 VRZ TRD DIESEL</v>
          </cell>
        </row>
        <row r="1217">
          <cell r="D1217" t="str">
            <v>AGH30R-PFXGK-31</v>
          </cell>
          <cell r="E1217" t="str">
            <v>ALPHARD</v>
          </cell>
          <cell r="F1217" t="str">
            <v>ALPHARD</v>
          </cell>
          <cell r="G1217" t="str">
            <v>ALPHARD</v>
          </cell>
          <cell r="H1217" t="str">
            <v>ALPHARD X A/T</v>
          </cell>
          <cell r="I1217" t="str">
            <v>ALPHARD X A/T</v>
          </cell>
          <cell r="J1217" t="str">
            <v>ALPHARD X A/T</v>
          </cell>
          <cell r="K1217" t="str">
            <v>ALPHARD</v>
          </cell>
          <cell r="L1217" t="str">
            <v>AL30XA/T31M</v>
          </cell>
          <cell r="M1217" t="str">
            <v>ALPHARD</v>
          </cell>
          <cell r="N1217" t="str">
            <v>ALPHARD</v>
          </cell>
          <cell r="O1217" t="str">
            <v>AGH30R-PFXGK-31</v>
          </cell>
          <cell r="P1217" t="e">
            <v>#N/A</v>
          </cell>
          <cell r="Q1217" t="e">
            <v>#N/A</v>
          </cell>
          <cell r="R1217" t="str">
            <v>AGH30R-PFXGK-31</v>
          </cell>
          <cell r="S1217" t="str">
            <v>ALPHARD</v>
          </cell>
          <cell r="T1217" t="e">
            <v>#N/A</v>
          </cell>
          <cell r="U1217" t="str">
            <v>ALPHARD X A/T</v>
          </cell>
        </row>
        <row r="1218">
          <cell r="D1218" t="str">
            <v>AGH30R-PFXGK-30</v>
          </cell>
          <cell r="E1218" t="str">
            <v>ALPHARD</v>
          </cell>
          <cell r="F1218" t="str">
            <v>ALPHARD</v>
          </cell>
          <cell r="G1218" t="str">
            <v>ALPHARD</v>
          </cell>
          <cell r="H1218" t="str">
            <v>ALPHARD X A/T</v>
          </cell>
          <cell r="I1218" t="str">
            <v>ALPHARD X A/T</v>
          </cell>
          <cell r="J1218" t="str">
            <v>ALPHARD X A/T</v>
          </cell>
          <cell r="K1218" t="str">
            <v>ALPHARD</v>
          </cell>
          <cell r="L1218" t="str">
            <v>AL30XA/T30M</v>
          </cell>
          <cell r="M1218" t="str">
            <v>ALPHARD</v>
          </cell>
          <cell r="N1218" t="str">
            <v>ALPHARD</v>
          </cell>
          <cell r="O1218" t="str">
            <v>AGH30R-PFXGK-30</v>
          </cell>
          <cell r="P1218" t="e">
            <v>#N/A</v>
          </cell>
          <cell r="Q1218" t="e">
            <v>#N/A</v>
          </cell>
          <cell r="R1218" t="str">
            <v>AGH30R-PFXGK-30</v>
          </cell>
          <cell r="S1218" t="str">
            <v>ALPHARD</v>
          </cell>
          <cell r="T1218" t="e">
            <v>#N/A</v>
          </cell>
          <cell r="U1218" t="str">
            <v>ALPHARD X A/T</v>
          </cell>
        </row>
        <row r="1219">
          <cell r="D1219" t="str">
            <v>GDH321R-EDFDYD-01</v>
          </cell>
          <cell r="E1219" t="str">
            <v>HIACE</v>
          </cell>
          <cell r="F1219" t="str">
            <v>HIACE</v>
          </cell>
          <cell r="G1219" t="str">
            <v>HIACE</v>
          </cell>
          <cell r="H1219" t="str">
            <v>HIACE PREMIO</v>
          </cell>
          <cell r="I1219" t="str">
            <v>HIACE PREMIO</v>
          </cell>
          <cell r="J1219" t="str">
            <v>HIACE PREMIO</v>
          </cell>
          <cell r="K1219" t="str">
            <v>HIACE PREMIO</v>
          </cell>
          <cell r="L1219" t="str">
            <v>GDH31M/T01</v>
          </cell>
          <cell r="M1219" t="str">
            <v>HIACE</v>
          </cell>
          <cell r="N1219" t="str">
            <v>HIACE PREMIO</v>
          </cell>
          <cell r="O1219" t="str">
            <v>GDH321R-EDFDYD-01</v>
          </cell>
          <cell r="P1219" t="str">
            <v>HIACE PREMIO</v>
          </cell>
          <cell r="Q1219" t="e">
            <v>#N/A</v>
          </cell>
          <cell r="R1219" t="str">
            <v>GDH321R-EDFDYD-01</v>
          </cell>
          <cell r="S1219" t="str">
            <v>HIACE</v>
          </cell>
          <cell r="T1219" t="str">
            <v>HIACE</v>
          </cell>
          <cell r="U1219" t="str">
            <v>HIACE PREMIO</v>
          </cell>
        </row>
        <row r="1220">
          <cell r="D1220" t="str">
            <v>GDH321R-EDFDYD-00</v>
          </cell>
          <cell r="E1220" t="str">
            <v>HIACE</v>
          </cell>
          <cell r="F1220" t="str">
            <v>HIACE</v>
          </cell>
          <cell r="G1220" t="str">
            <v>HIACE</v>
          </cell>
          <cell r="H1220" t="str">
            <v>HIACE PREMIO</v>
          </cell>
          <cell r="I1220" t="str">
            <v>HIACE PREMIO</v>
          </cell>
          <cell r="J1220" t="str">
            <v>HIACE PREMIO</v>
          </cell>
          <cell r="K1220" t="str">
            <v>HIACE PREMIO</v>
          </cell>
          <cell r="L1220" t="str">
            <v>GDH31M/T00</v>
          </cell>
          <cell r="M1220" t="str">
            <v>HIACE</v>
          </cell>
          <cell r="N1220" t="str">
            <v>HIACE PREMIO</v>
          </cell>
          <cell r="O1220" t="str">
            <v>GDH321R-EDFDYD-00</v>
          </cell>
          <cell r="P1220" t="str">
            <v>HIACE PREMIO</v>
          </cell>
          <cell r="Q1220" t="e">
            <v>#N/A</v>
          </cell>
          <cell r="R1220" t="str">
            <v>GDH321R-EDFDYD-00</v>
          </cell>
          <cell r="S1220" t="str">
            <v>HIACE</v>
          </cell>
          <cell r="T1220" t="str">
            <v>HIACE</v>
          </cell>
          <cell r="U1220" t="str">
            <v>HIACE PREMIO</v>
          </cell>
        </row>
        <row r="1221">
          <cell r="D1221" t="str">
            <v>GUN165R-SDTMHD-F1</v>
          </cell>
          <cell r="E1221" t="str">
            <v>FORTUNER</v>
          </cell>
          <cell r="F1221" t="str">
            <v>FORTUNER 4X2</v>
          </cell>
          <cell r="G1221" t="str">
            <v>FORTUNER 4X2</v>
          </cell>
          <cell r="H1221" t="str">
            <v>FORTUNER 4X2 VRZ TRD DIESEL</v>
          </cell>
          <cell r="I1221" t="str">
            <v>FORTUNER 4X2 VRZ TRD DIESEL</v>
          </cell>
          <cell r="J1221" t="str">
            <v>FORTUNER 4X2 VRZ TRD DIESEL</v>
          </cell>
          <cell r="K1221" t="str">
            <v>FORTUNER 4X2</v>
          </cell>
          <cell r="L1221" t="str">
            <v>GUN65VRZA/TF1M</v>
          </cell>
          <cell r="M1221" t="str">
            <v>FORTUNER</v>
          </cell>
          <cell r="N1221" t="str">
            <v>FORTUNER 4X2</v>
          </cell>
          <cell r="O1221" t="str">
            <v>GUN165R-SDTMHD-F1</v>
          </cell>
          <cell r="P1221" t="e">
            <v>#N/A</v>
          </cell>
          <cell r="Q1221" t="e">
            <v>#N/A</v>
          </cell>
          <cell r="R1221" t="str">
            <v>GUN165R-SDTMHD-F1</v>
          </cell>
          <cell r="S1221" t="str">
            <v>FORTUNER</v>
          </cell>
          <cell r="T1221" t="e">
            <v>#N/A</v>
          </cell>
          <cell r="U1221" t="str">
            <v>FORTUNER 4X2 VRZ TRD DIESEL</v>
          </cell>
        </row>
        <row r="1222">
          <cell r="D1222" t="str">
            <v>B401RA-GMZFJ-20</v>
          </cell>
          <cell r="E1222" t="str">
            <v>CALYA</v>
          </cell>
          <cell r="F1222" t="str">
            <v>CALYA</v>
          </cell>
          <cell r="G1222" t="str">
            <v>CALYA</v>
          </cell>
          <cell r="H1222" t="str">
            <v>CALYA G M/T</v>
          </cell>
          <cell r="I1222" t="str">
            <v>CALYA G M/T</v>
          </cell>
          <cell r="J1222" t="str">
            <v>CALYA G M/T</v>
          </cell>
          <cell r="K1222" t="str">
            <v>CALYA</v>
          </cell>
          <cell r="N1222" t="str">
            <v>CALYA</v>
          </cell>
          <cell r="O1222" t="str">
            <v>B401RA-GMZFJ-20</v>
          </cell>
          <cell r="P1222" t="str">
            <v>CALYA</v>
          </cell>
          <cell r="Q1222" t="e">
            <v>#N/A</v>
          </cell>
          <cell r="R1222" t="str">
            <v>B401RA-GMZFJ-20</v>
          </cell>
          <cell r="S1222" t="str">
            <v>CALYA</v>
          </cell>
          <cell r="T1222" t="str">
            <v>CALYA</v>
          </cell>
          <cell r="U1222" t="str">
            <v>CALYA G M/T</v>
          </cell>
        </row>
        <row r="1223">
          <cell r="D1223" t="str">
            <v>B401RA-GQZFJ-20</v>
          </cell>
          <cell r="E1223" t="str">
            <v>CALYA</v>
          </cell>
          <cell r="F1223" t="str">
            <v>CALYA</v>
          </cell>
          <cell r="G1223" t="str">
            <v>CALYA</v>
          </cell>
          <cell r="H1223" t="str">
            <v>CALYA G A/T</v>
          </cell>
          <cell r="I1223" t="str">
            <v>CALYA G A/T</v>
          </cell>
          <cell r="J1223" t="str">
            <v>CALYA G A/T</v>
          </cell>
          <cell r="K1223" t="str">
            <v>CALYA</v>
          </cell>
          <cell r="N1223" t="str">
            <v>CALYA</v>
          </cell>
          <cell r="O1223" t="str">
            <v>B401RA-GQZFJ-20</v>
          </cell>
          <cell r="P1223" t="str">
            <v>CALYA</v>
          </cell>
          <cell r="Q1223" t="e">
            <v>#N/A</v>
          </cell>
          <cell r="R1223" t="str">
            <v>B401RA-GQZFJ-20</v>
          </cell>
          <cell r="S1223" t="str">
            <v>CALYA</v>
          </cell>
          <cell r="T1223" t="str">
            <v>CALYA</v>
          </cell>
          <cell r="U1223" t="str">
            <v>CALYA G A/T</v>
          </cell>
        </row>
        <row r="1224">
          <cell r="D1224" t="str">
            <v>GUN125R-BTFLXD-20</v>
          </cell>
          <cell r="E1224" t="str">
            <v>HILUX</v>
          </cell>
          <cell r="F1224" t="str">
            <v>HILUX SC</v>
          </cell>
          <cell r="G1224" t="str">
            <v>HILUX SC</v>
          </cell>
          <cell r="H1224" t="str">
            <v>HILUX SC M/T DIESEL</v>
          </cell>
          <cell r="I1224" t="str">
            <v>HILUX SC M/T DIESEL</v>
          </cell>
          <cell r="J1224" t="str">
            <v>HILUX SC M/T DIESEL</v>
          </cell>
          <cell r="K1224" t="str">
            <v>HILUX SC</v>
          </cell>
          <cell r="M1224" t="str">
            <v>HILUX</v>
          </cell>
          <cell r="N1224" t="str">
            <v>HILUX SC</v>
          </cell>
          <cell r="O1224" t="str">
            <v>GUN125R-BTFLXD-20</v>
          </cell>
          <cell r="P1224" t="e">
            <v>#N/A</v>
          </cell>
          <cell r="Q1224" t="e">
            <v>#N/A</v>
          </cell>
          <cell r="R1224" t="str">
            <v>GUN125R-BTFLXD-20</v>
          </cell>
          <cell r="S1224" t="str">
            <v>HILUX</v>
          </cell>
          <cell r="T1224" t="e">
            <v>#N/A</v>
          </cell>
          <cell r="U1224" t="str">
            <v>HILUX SC M/T DIESEL</v>
          </cell>
        </row>
        <row r="1225">
          <cell r="D1225" t="str">
            <v>ZWE211R-GEXVBD-13</v>
          </cell>
          <cell r="E1225" t="str">
            <v>COROLLA</v>
          </cell>
          <cell r="F1225" t="str">
            <v>COROLLA ALTIS</v>
          </cell>
          <cell r="G1225" t="str">
            <v>COROLLA ALTIS</v>
          </cell>
          <cell r="H1225" t="str">
            <v>COROLLA ALTIS HYBRID A/T</v>
          </cell>
          <cell r="I1225" t="str">
            <v>COROLLA ALTIS HYBRID A/T</v>
          </cell>
          <cell r="J1225" t="str">
            <v>COROLLA ALTIS HYBRID A/T</v>
          </cell>
          <cell r="K1225" t="str">
            <v>COROLLA ALTIS</v>
          </cell>
          <cell r="N1225" t="str">
            <v>COROLLA ALTIS</v>
          </cell>
          <cell r="O1225" t="str">
            <v>ZWE211R-GEXVBD-13</v>
          </cell>
          <cell r="P1225" t="e">
            <v>#N/A</v>
          </cell>
          <cell r="Q1225" t="e">
            <v>#N/A</v>
          </cell>
          <cell r="R1225" t="str">
            <v>ZWE211R-GEXVBD-13</v>
          </cell>
          <cell r="S1225" t="str">
            <v>COROLLA</v>
          </cell>
          <cell r="T1225" t="e">
            <v>#N/A</v>
          </cell>
          <cell r="U1225" t="str">
            <v>COROLLA ALTIS HYBRID A/T</v>
          </cell>
        </row>
        <row r="1226">
          <cell r="D1226" t="str">
            <v>B401RA-GMZFJ-CA</v>
          </cell>
          <cell r="E1226" t="str">
            <v>CALYA</v>
          </cell>
          <cell r="F1226" t="str">
            <v>CALYA</v>
          </cell>
          <cell r="G1226" t="str">
            <v>CALYA</v>
          </cell>
          <cell r="H1226" t="str">
            <v>CALYA G M/T</v>
          </cell>
          <cell r="I1226" t="str">
            <v>CALYA G M/T</v>
          </cell>
          <cell r="J1226" t="str">
            <v>CALYA G M/T TCO</v>
          </cell>
          <cell r="K1226" t="str">
            <v>CALYA</v>
          </cell>
          <cell r="N1226" t="str">
            <v>CALYA</v>
          </cell>
          <cell r="O1226" t="str">
            <v>B401RA-GMZFJ-CA</v>
          </cell>
          <cell r="P1226" t="e">
            <v>#N/A</v>
          </cell>
          <cell r="Q1226" t="e">
            <v>#N/A</v>
          </cell>
          <cell r="R1226" t="str">
            <v>B401RA-GMZFJ-CA</v>
          </cell>
          <cell r="S1226" t="str">
            <v>CALYA</v>
          </cell>
          <cell r="T1226" t="e">
            <v>#N/A</v>
          </cell>
          <cell r="U1226" t="str">
            <v>CALYA G M/T</v>
          </cell>
        </row>
        <row r="1227">
          <cell r="D1227" t="str">
            <v>B401RA-GQZFJ-CA</v>
          </cell>
          <cell r="E1227" t="str">
            <v>CALYA</v>
          </cell>
          <cell r="F1227" t="str">
            <v>CALYA</v>
          </cell>
          <cell r="G1227" t="str">
            <v>CALYA</v>
          </cell>
          <cell r="H1227" t="str">
            <v>CALYA G A/T</v>
          </cell>
          <cell r="I1227" t="str">
            <v>CALYA G A/T</v>
          </cell>
          <cell r="J1227" t="str">
            <v>CALYA G A/T TCO</v>
          </cell>
          <cell r="K1227" t="str">
            <v>CALYA</v>
          </cell>
          <cell r="N1227" t="str">
            <v>CALYA</v>
          </cell>
          <cell r="O1227" t="str">
            <v>B401RA-GQZFJ-CA</v>
          </cell>
          <cell r="P1227" t="str">
            <v>CALYA</v>
          </cell>
          <cell r="Q1227" t="e">
            <v>#N/A</v>
          </cell>
          <cell r="R1227" t="str">
            <v>B401RA-GQZFJ-CA</v>
          </cell>
          <cell r="S1227" t="str">
            <v>CALYA</v>
          </cell>
          <cell r="T1227" t="e">
            <v>#N/A</v>
          </cell>
          <cell r="U1227" t="str">
            <v>CALYA G A/T</v>
          </cell>
        </row>
        <row r="1228">
          <cell r="D1228" t="str">
            <v>B101RA-GMSGJ-41</v>
          </cell>
          <cell r="E1228" t="str">
            <v>AGYA</v>
          </cell>
          <cell r="F1228" t="str">
            <v>AGYA</v>
          </cell>
          <cell r="G1228" t="str">
            <v>AGYA</v>
          </cell>
          <cell r="H1228" t="str">
            <v>AGYA G M/T</v>
          </cell>
          <cell r="I1228" t="str">
            <v>AGYA G M/T GR</v>
          </cell>
          <cell r="J1228" t="str">
            <v>AGYA G M/T GR</v>
          </cell>
          <cell r="K1228" t="str">
            <v>AGYA GR</v>
          </cell>
          <cell r="M1228" t="str">
            <v>AGYA</v>
          </cell>
          <cell r="N1228" t="str">
            <v>AGYA GR</v>
          </cell>
          <cell r="O1228" t="str">
            <v>B101RA-GMSGJ-41</v>
          </cell>
          <cell r="P1228" t="e">
            <v>#N/A</v>
          </cell>
          <cell r="Q1228" t="e">
            <v>#N/A</v>
          </cell>
          <cell r="R1228" t="str">
            <v>B101RA-GMSGJ-41</v>
          </cell>
          <cell r="S1228" t="str">
            <v>AGYA</v>
          </cell>
          <cell r="T1228" t="e">
            <v>#N/A</v>
          </cell>
          <cell r="U1228" t="str">
            <v>AGYA G M/T</v>
          </cell>
        </row>
        <row r="1229">
          <cell r="D1229" t="str">
            <v>B101RA-GQSGJ-41</v>
          </cell>
          <cell r="E1229" t="str">
            <v>AGYA</v>
          </cell>
          <cell r="F1229" t="str">
            <v>AGYA</v>
          </cell>
          <cell r="G1229" t="str">
            <v>AGYA</v>
          </cell>
          <cell r="H1229" t="str">
            <v>AGYA G A/T</v>
          </cell>
          <cell r="I1229" t="str">
            <v>AGYA G A/T GR</v>
          </cell>
          <cell r="J1229" t="str">
            <v>AGYA G A/T GR</v>
          </cell>
          <cell r="K1229" t="str">
            <v>AGYA GR</v>
          </cell>
          <cell r="M1229" t="str">
            <v>AGYA</v>
          </cell>
          <cell r="N1229" t="str">
            <v>AGYA GR</v>
          </cell>
          <cell r="O1229" t="str">
            <v>B101RA-GQSGJ-41</v>
          </cell>
          <cell r="P1229" t="e">
            <v>#N/A</v>
          </cell>
          <cell r="Q1229" t="e">
            <v>#N/A</v>
          </cell>
          <cell r="R1229" t="str">
            <v>B101RA-GQSGJ-41</v>
          </cell>
          <cell r="S1229" t="str">
            <v>AGYA</v>
          </cell>
          <cell r="T1229" t="e">
            <v>#N/A</v>
          </cell>
          <cell r="U1229" t="str">
            <v>AGYA G A/T</v>
          </cell>
        </row>
        <row r="1230">
          <cell r="D1230" t="str">
            <v>A250RA-GBVVJ-20</v>
          </cell>
          <cell r="E1230" t="str">
            <v>RAIZE</v>
          </cell>
          <cell r="F1230" t="str">
            <v>RAIZE</v>
          </cell>
          <cell r="G1230" t="str">
            <v>RAIZE</v>
          </cell>
          <cell r="H1230" t="str">
            <v>RAIZE S A/T</v>
          </cell>
          <cell r="I1230" t="str">
            <v>RAIZE 1.0T S A/T GR</v>
          </cell>
          <cell r="J1230" t="str">
            <v>RAIZE 1.0T S A/T GR - ONE TONE</v>
          </cell>
          <cell r="K1230" t="str">
            <v>RAIZE</v>
          </cell>
          <cell r="M1230" t="str">
            <v>RAIZE</v>
          </cell>
          <cell r="N1230" t="str">
            <v>RAIZE</v>
          </cell>
          <cell r="O1230" t="str">
            <v>A250RA-GBVVJ-20</v>
          </cell>
          <cell r="P1230" t="str">
            <v>RAIZE</v>
          </cell>
          <cell r="Q1230" t="e">
            <v>#N/A</v>
          </cell>
          <cell r="R1230" t="str">
            <v>A250RA-GBVVJ-20</v>
          </cell>
          <cell r="S1230" t="str">
            <v>RAIZE</v>
          </cell>
          <cell r="T1230" t="str">
            <v>RAIZE</v>
          </cell>
          <cell r="U1230" t="str">
            <v>RAIZE S A/T</v>
          </cell>
        </row>
        <row r="1231">
          <cell r="D1231" t="str">
            <v>A250RA-GBVVJ-21</v>
          </cell>
          <cell r="E1231" t="str">
            <v>RAIZE</v>
          </cell>
          <cell r="F1231" t="str">
            <v>RAIZE</v>
          </cell>
          <cell r="G1231" t="str">
            <v>RAIZE</v>
          </cell>
          <cell r="H1231" t="str">
            <v>RAIZE S A/T</v>
          </cell>
          <cell r="I1231" t="str">
            <v>RAIZE 1.0T S A/T GR</v>
          </cell>
          <cell r="J1231" t="str">
            <v>RAIZE 1.0T S A/T GR - TWO TONE</v>
          </cell>
          <cell r="K1231" t="str">
            <v>RAIZE</v>
          </cell>
          <cell r="M1231" t="str">
            <v>RAIZE</v>
          </cell>
          <cell r="N1231" t="str">
            <v>RAIZE</v>
          </cell>
          <cell r="O1231" t="str">
            <v>A250RA-GBVVJ-21</v>
          </cell>
          <cell r="P1231" t="str">
            <v>RAIZE</v>
          </cell>
          <cell r="Q1231" t="e">
            <v>#N/A</v>
          </cell>
          <cell r="R1231" t="str">
            <v>A250RA-GBVVJ-21</v>
          </cell>
          <cell r="S1231" t="str">
            <v>RAIZE</v>
          </cell>
          <cell r="T1231" t="str">
            <v>RAIZE</v>
          </cell>
          <cell r="U1231" t="str">
            <v>RAIZE S A/T</v>
          </cell>
        </row>
        <row r="1232">
          <cell r="D1232" t="str">
            <v>A250RA-GBVVJ-23</v>
          </cell>
          <cell r="E1232" t="str">
            <v>RAIZE</v>
          </cell>
          <cell r="F1232" t="str">
            <v>RAIZE</v>
          </cell>
          <cell r="G1232" t="str">
            <v>RAIZE</v>
          </cell>
          <cell r="H1232" t="str">
            <v>RAIZE S A/T</v>
          </cell>
          <cell r="I1232" t="str">
            <v>RAIZE 1.0T S A/T GR TSS</v>
          </cell>
          <cell r="J1232" t="str">
            <v>RAIZE 1.0T S A/T GR TSS - TWO TONE</v>
          </cell>
          <cell r="K1232" t="str">
            <v>RAIZE</v>
          </cell>
          <cell r="M1232" t="str">
            <v>RAIZE</v>
          </cell>
          <cell r="N1232" t="str">
            <v>RAIZE</v>
          </cell>
          <cell r="O1232" t="str">
            <v>A250RA-GBVVJ-23</v>
          </cell>
          <cell r="P1232" t="str">
            <v>RAIZE</v>
          </cell>
          <cell r="Q1232" t="e">
            <v>#N/A</v>
          </cell>
          <cell r="R1232" t="str">
            <v>A250RA-GBVVJ-23</v>
          </cell>
          <cell r="S1232" t="str">
            <v>RAIZE</v>
          </cell>
          <cell r="T1232" t="str">
            <v>RAIZE</v>
          </cell>
          <cell r="U1232" t="str">
            <v>RAIZE S A/T</v>
          </cell>
        </row>
        <row r="1233">
          <cell r="D1233" t="str">
            <v>B401RA-GQZFJ-AA</v>
          </cell>
          <cell r="E1233" t="str">
            <v>CALYA</v>
          </cell>
          <cell r="F1233" t="str">
            <v>CALYA</v>
          </cell>
          <cell r="G1233" t="str">
            <v>CALYA</v>
          </cell>
          <cell r="H1233" t="str">
            <v>CALYA G A/T</v>
          </cell>
          <cell r="I1233" t="str">
            <v>CALYA G A/T</v>
          </cell>
          <cell r="J1233" t="str">
            <v>CALYA G A/T TCO</v>
          </cell>
          <cell r="K1233" t="str">
            <v>CALYA</v>
          </cell>
          <cell r="N1233" t="str">
            <v>CALYA</v>
          </cell>
          <cell r="O1233" t="str">
            <v>B401RA-GQZFJ-AA</v>
          </cell>
          <cell r="P1233" t="str">
            <v>CALYA</v>
          </cell>
          <cell r="Q1233" t="e">
            <v>#N/A</v>
          </cell>
          <cell r="R1233" t="str">
            <v>B401RA-GQZFJ-AA</v>
          </cell>
          <cell r="S1233" t="str">
            <v>CALYA</v>
          </cell>
          <cell r="T1233" t="e">
            <v>#N/A</v>
          </cell>
          <cell r="U1233" t="str">
            <v>CALYA G A/T</v>
          </cell>
        </row>
        <row r="1234">
          <cell r="D1234" t="str">
            <v>B401RA-GMQFJ-20</v>
          </cell>
          <cell r="E1234" t="str">
            <v>CALYA</v>
          </cell>
          <cell r="F1234" t="str">
            <v>CALYA</v>
          </cell>
          <cell r="G1234" t="str">
            <v>CALYA</v>
          </cell>
          <cell r="H1234" t="str">
            <v>CALYA E M/T</v>
          </cell>
          <cell r="I1234" t="str">
            <v>CALYA E M/T</v>
          </cell>
          <cell r="J1234" t="str">
            <v>CALYA E M/T</v>
          </cell>
          <cell r="K1234" t="str">
            <v>CALYA</v>
          </cell>
          <cell r="M1234" t="str">
            <v>CALYA</v>
          </cell>
          <cell r="N1234" t="str">
            <v>CALYA</v>
          </cell>
          <cell r="O1234" t="str">
            <v>B401RA-GMQFJ-20</v>
          </cell>
          <cell r="P1234" t="str">
            <v>CALYA</v>
          </cell>
          <cell r="Q1234" t="e">
            <v>#N/A</v>
          </cell>
          <cell r="R1234" t="str">
            <v>B401RA-GMQFJ-20</v>
          </cell>
          <cell r="S1234" t="str">
            <v>CALYA</v>
          </cell>
          <cell r="T1234" t="str">
            <v>CALYA</v>
          </cell>
          <cell r="U1234" t="str">
            <v>CALYA E M/T</v>
          </cell>
        </row>
        <row r="1235">
          <cell r="D1235" t="str">
            <v>NSP151R-CHXVKD-50</v>
          </cell>
          <cell r="E1235" t="str">
            <v>YARIS</v>
          </cell>
          <cell r="F1235" t="str">
            <v>YARIS</v>
          </cell>
          <cell r="G1235" t="str">
            <v>YARIS</v>
          </cell>
          <cell r="H1235" t="str">
            <v>YARIS S A/T</v>
          </cell>
          <cell r="I1235" t="str">
            <v>YARIS S A/T GR</v>
          </cell>
          <cell r="J1235" t="str">
            <v>YARIS S A/T 7 AIRBAGS GR</v>
          </cell>
          <cell r="K1235" t="str">
            <v>YARIS</v>
          </cell>
          <cell r="N1235" t="str">
            <v>YARIS</v>
          </cell>
          <cell r="O1235" t="str">
            <v>NSP151R-CHXVKD-50</v>
          </cell>
          <cell r="P1235" t="e">
            <v>#N/A</v>
          </cell>
          <cell r="Q1235" t="e">
            <v>#N/A</v>
          </cell>
          <cell r="R1235" t="str">
            <v>NSP151R-CHXVKD-50</v>
          </cell>
          <cell r="S1235" t="str">
            <v>YARIS</v>
          </cell>
          <cell r="T1235" t="e">
            <v>#N/A</v>
          </cell>
          <cell r="U1235" t="str">
            <v>YARIS S A/T</v>
          </cell>
        </row>
        <row r="1236">
          <cell r="D1236" t="str">
            <v>NSP151R-CHXVKD-51</v>
          </cell>
          <cell r="E1236" t="str">
            <v>YARIS</v>
          </cell>
          <cell r="F1236" t="str">
            <v>YARIS</v>
          </cell>
          <cell r="G1236" t="str">
            <v>YARIS</v>
          </cell>
          <cell r="H1236" t="str">
            <v>YARIS S A/T</v>
          </cell>
          <cell r="I1236" t="str">
            <v>YARIS S A/T GR</v>
          </cell>
          <cell r="J1236" t="str">
            <v>YARIS S A/T 3 AIRBAGS GR</v>
          </cell>
          <cell r="K1236" t="str">
            <v>YARIS</v>
          </cell>
          <cell r="N1236" t="str">
            <v>YARIS</v>
          </cell>
          <cell r="O1236" t="str">
            <v>NSP151R-CHXVKD-51</v>
          </cell>
          <cell r="P1236" t="e">
            <v>#N/A</v>
          </cell>
          <cell r="Q1236" t="e">
            <v>#N/A</v>
          </cell>
          <cell r="R1236" t="str">
            <v>NSP151R-CHXVKD-51</v>
          </cell>
          <cell r="S1236" t="str">
            <v>YARIS</v>
          </cell>
          <cell r="T1236" t="e">
            <v>#N/A</v>
          </cell>
          <cell r="U1236" t="str">
            <v>YARIS S A/T</v>
          </cell>
        </row>
        <row r="1237">
          <cell r="D1237" t="str">
            <v>NSP151R-CHMVKD-51</v>
          </cell>
          <cell r="E1237" t="str">
            <v>YARIS</v>
          </cell>
          <cell r="F1237" t="str">
            <v>YARIS</v>
          </cell>
          <cell r="G1237" t="str">
            <v>YARIS</v>
          </cell>
          <cell r="H1237" t="str">
            <v>YARIS S M/T</v>
          </cell>
          <cell r="I1237" t="str">
            <v>YARIS S M/T GR</v>
          </cell>
          <cell r="J1237" t="str">
            <v>YARIS S M/T 3 AIRBAGS GR</v>
          </cell>
          <cell r="K1237" t="str">
            <v>YARIS</v>
          </cell>
          <cell r="M1237" t="str">
            <v>YARIS</v>
          </cell>
          <cell r="N1237" t="str">
            <v>YARIS</v>
          </cell>
          <cell r="O1237" t="str">
            <v>NSP151R-CHMVKD-51</v>
          </cell>
          <cell r="P1237" t="e">
            <v>#N/A</v>
          </cell>
          <cell r="Q1237" t="e">
            <v>#N/A</v>
          </cell>
          <cell r="R1237" t="str">
            <v>NSP151R-CHMVKD-51</v>
          </cell>
          <cell r="S1237" t="str">
            <v>YARIS</v>
          </cell>
          <cell r="T1237" t="e">
            <v>#N/A</v>
          </cell>
          <cell r="U1237" t="str">
            <v>YARIS S M/T</v>
          </cell>
        </row>
        <row r="1238">
          <cell r="D1238" t="str">
            <v>W101RE-LBMFJ-DA</v>
          </cell>
          <cell r="E1238" t="str">
            <v>AVANZA</v>
          </cell>
          <cell r="F1238" t="str">
            <v>AVANZA</v>
          </cell>
          <cell r="G1238" t="str">
            <v>AVANZA</v>
          </cell>
          <cell r="H1238" t="str">
            <v>AVANZA G A/T</v>
          </cell>
          <cell r="I1238" t="str">
            <v>AVANZA G A/T</v>
          </cell>
          <cell r="J1238" t="str">
            <v>AVANZA G A/T TCO</v>
          </cell>
          <cell r="K1238" t="str">
            <v>AVANZA</v>
          </cell>
          <cell r="M1238" t="str">
            <v>AVANZA</v>
          </cell>
          <cell r="N1238" t="str">
            <v>AVANZA</v>
          </cell>
          <cell r="O1238" t="str">
            <v>W101RE-LBMFJ-DA</v>
          </cell>
          <cell r="P1238" t="e">
            <v>#N/A</v>
          </cell>
          <cell r="Q1238" t="e">
            <v>#N/A</v>
          </cell>
          <cell r="R1238" t="str">
            <v>W101RE-LBMFJ-DA</v>
          </cell>
          <cell r="S1238" t="str">
            <v>AVANZA</v>
          </cell>
          <cell r="T1238" t="e">
            <v>#N/A</v>
          </cell>
          <cell r="U1238" t="str">
            <v>AVANZA G A/T</v>
          </cell>
        </row>
        <row r="1239">
          <cell r="D1239" t="str">
            <v>GUN142R-MDTHXD-DA</v>
          </cell>
          <cell r="E1239" t="str">
            <v>INNOVA</v>
          </cell>
          <cell r="F1239" t="str">
            <v>INNOVA</v>
          </cell>
          <cell r="G1239" t="str">
            <v>INNOVA</v>
          </cell>
          <cell r="H1239" t="str">
            <v>INNOVA V A/T DIESEL</v>
          </cell>
          <cell r="I1239" t="str">
            <v>INNOVA V A/T DIESEL</v>
          </cell>
          <cell r="J1239" t="str">
            <v>INNOVA V A/T DIESEL TCO</v>
          </cell>
          <cell r="K1239" t="str">
            <v>INNOVA REBORN</v>
          </cell>
          <cell r="M1239" t="str">
            <v>INNOVA</v>
          </cell>
          <cell r="N1239" t="str">
            <v>INNOVA REBORN</v>
          </cell>
          <cell r="O1239" t="str">
            <v>GUN142R-MDTHXD-DA</v>
          </cell>
          <cell r="P1239" t="e">
            <v>#N/A</v>
          </cell>
          <cell r="Q1239" t="e">
            <v>#N/A</v>
          </cell>
          <cell r="R1239" t="str">
            <v>GUN142R-MDTHXD-DA</v>
          </cell>
          <cell r="S1239" t="str">
            <v>INNOVA</v>
          </cell>
          <cell r="T1239" t="str">
            <v>INV REBORN</v>
          </cell>
          <cell r="U1239" t="str">
            <v>INNOVA V A/T DIESEL</v>
          </cell>
        </row>
        <row r="1240">
          <cell r="D1240" t="str">
            <v>A250RA-GBVVJ-22</v>
          </cell>
          <cell r="E1240" t="str">
            <v>RAIZE</v>
          </cell>
          <cell r="F1240" t="str">
            <v>RAIZE</v>
          </cell>
          <cell r="G1240" t="str">
            <v>RAIZE</v>
          </cell>
          <cell r="H1240" t="str">
            <v>RAIZE S A/T</v>
          </cell>
          <cell r="I1240" t="str">
            <v>RAIZE 1.0T S A/T GR TSS</v>
          </cell>
          <cell r="J1240" t="str">
            <v>RAIZE 1.0T S A/T GR TSS - ONE TONE</v>
          </cell>
          <cell r="K1240" t="str">
            <v>RAIZE</v>
          </cell>
          <cell r="N1240" t="str">
            <v>RAIZE</v>
          </cell>
          <cell r="O1240" t="str">
            <v>A250RA-GBVVJ-22</v>
          </cell>
          <cell r="P1240" t="str">
            <v>RAIZE</v>
          </cell>
          <cell r="Q1240" t="e">
            <v>#N/A</v>
          </cell>
          <cell r="R1240" t="str">
            <v>A250RA-GBVVJ-22</v>
          </cell>
          <cell r="S1240" t="str">
            <v>RAIZE</v>
          </cell>
          <cell r="T1240" t="e">
            <v>#N/A</v>
          </cell>
          <cell r="U1240" t="str">
            <v>RAIZE S A/T</v>
          </cell>
        </row>
        <row r="1241">
          <cell r="D1241" t="str">
            <v>FJA300R-GNUZY-07</v>
          </cell>
          <cell r="E1241" t="str">
            <v>LANDCRUISER</v>
          </cell>
          <cell r="F1241" t="str">
            <v>LANDCRUISER</v>
          </cell>
          <cell r="G1241" t="str">
            <v>LANDCRUISER</v>
          </cell>
          <cell r="H1241" t="str">
            <v>LANDCRUISER</v>
          </cell>
          <cell r="I1241" t="str">
            <v>LANDCRUISER VX-R 4x4 A/T</v>
          </cell>
          <cell r="J1241" t="str">
            <v>LANDCRUISER VX-R 4x4 A/T</v>
          </cell>
          <cell r="K1241" t="str">
            <v>LANDCRUISER</v>
          </cell>
          <cell r="M1241" t="str">
            <v>LANDCRUISER</v>
          </cell>
          <cell r="N1241" t="str">
            <v>LANDCRUISER</v>
          </cell>
          <cell r="O1241" t="str">
            <v>FJA300R-GNUZY-07</v>
          </cell>
          <cell r="P1241" t="e">
            <v>#N/A</v>
          </cell>
          <cell r="Q1241" t="e">
            <v>#N/A</v>
          </cell>
          <cell r="R1241" t="str">
            <v>FJA300R-GNUZY-07</v>
          </cell>
          <cell r="S1241" t="str">
            <v>LANDCRUISER</v>
          </cell>
          <cell r="T1241" t="e">
            <v>#N/A</v>
          </cell>
          <cell r="U1241" t="str">
            <v>LANDCRUISER</v>
          </cell>
        </row>
        <row r="1242">
          <cell r="D1242" t="str">
            <v>GUN112R-BTMLXD-20</v>
          </cell>
          <cell r="E1242" t="str">
            <v>HILUX</v>
          </cell>
          <cell r="F1242" t="str">
            <v>HILUX SC</v>
          </cell>
          <cell r="G1242" t="str">
            <v>HILUX SC</v>
          </cell>
          <cell r="H1242" t="str">
            <v>HILUX SC M/T DIESEL</v>
          </cell>
          <cell r="I1242" t="str">
            <v>HILUX SC M/T DIESEL</v>
          </cell>
          <cell r="J1242" t="str">
            <v>HILUX SC M/T DIESEL</v>
          </cell>
          <cell r="K1242" t="str">
            <v>HILUX SC</v>
          </cell>
          <cell r="M1242" t="str">
            <v>HILUX</v>
          </cell>
          <cell r="N1242" t="str">
            <v>HILUX SC</v>
          </cell>
          <cell r="O1242" t="str">
            <v>GUN112R-BTMLXD-20</v>
          </cell>
          <cell r="P1242" t="str">
            <v>HILUX S-CAB</v>
          </cell>
          <cell r="Q1242" t="e">
            <v>#N/A</v>
          </cell>
          <cell r="R1242" t="str">
            <v>GUN112R-BTMLXD-20</v>
          </cell>
          <cell r="S1242" t="str">
            <v>HILUX</v>
          </cell>
          <cell r="T1242" t="e">
            <v>#N/A</v>
          </cell>
          <cell r="U1242" t="str">
            <v>HILUX SC M/T DIESEL</v>
          </cell>
        </row>
        <row r="1243">
          <cell r="D1243" t="str">
            <v>B401RA-GMZFJ-AA</v>
          </cell>
          <cell r="E1243" t="str">
            <v>CALYA</v>
          </cell>
          <cell r="F1243" t="str">
            <v>CALYA</v>
          </cell>
          <cell r="G1243" t="str">
            <v>CALYA</v>
          </cell>
          <cell r="H1243" t="str">
            <v>CALYA G M/T</v>
          </cell>
          <cell r="I1243" t="str">
            <v>CALYA G M/T</v>
          </cell>
          <cell r="J1243" t="str">
            <v>CALYA G M/T TCO</v>
          </cell>
          <cell r="K1243" t="str">
            <v>CALYA</v>
          </cell>
          <cell r="N1243" t="str">
            <v>CALYA</v>
          </cell>
          <cell r="O1243" t="str">
            <v>B401RA-GMZFJ-AA</v>
          </cell>
          <cell r="P1243" t="str">
            <v>CALYA</v>
          </cell>
          <cell r="Q1243" t="e">
            <v>#N/A</v>
          </cell>
          <cell r="R1243" t="str">
            <v>B401RA-GMZFJ-AA</v>
          </cell>
          <cell r="S1243" t="str">
            <v>CALYA</v>
          </cell>
          <cell r="T1243" t="e">
            <v>#N/A</v>
          </cell>
          <cell r="U1243" t="str">
            <v>CALYA G M/T</v>
          </cell>
        </row>
        <row r="1244">
          <cell r="D1244" t="str">
            <v>GUN142R-MDTSXD-DA</v>
          </cell>
          <cell r="E1244" t="str">
            <v>INNOVA</v>
          </cell>
          <cell r="F1244" t="str">
            <v>INNOVA</v>
          </cell>
          <cell r="G1244" t="str">
            <v>INNOVA</v>
          </cell>
          <cell r="H1244" t="str">
            <v>INNOVA G A/T DIESEL</v>
          </cell>
          <cell r="I1244" t="str">
            <v>INNOVA G A/T DIESEL</v>
          </cell>
          <cell r="J1244" t="str">
            <v>INNOVA G A/T DIESEL TCO</v>
          </cell>
          <cell r="K1244" t="str">
            <v>INNOVA REBORN</v>
          </cell>
          <cell r="M1244" t="str">
            <v>INNOVA</v>
          </cell>
          <cell r="N1244" t="str">
            <v>INNOVA REBORN</v>
          </cell>
          <cell r="O1244" t="str">
            <v>GUN142R-MDTSXD-DA</v>
          </cell>
          <cell r="P1244" t="str">
            <v>INNOVA</v>
          </cell>
          <cell r="Q1244" t="e">
            <v>#N/A</v>
          </cell>
          <cell r="R1244" t="str">
            <v>GUN142R-MDTSXD-DA</v>
          </cell>
          <cell r="S1244" t="str">
            <v>INNOVA</v>
          </cell>
          <cell r="T1244" t="str">
            <v>INV REBORN</v>
          </cell>
          <cell r="U1244" t="str">
            <v>INNOVA G A/T DIESEL</v>
          </cell>
        </row>
        <row r="1245">
          <cell r="D1245" t="str">
            <v>A250RA-GBVVJ-BP</v>
          </cell>
          <cell r="E1245" t="str">
            <v>RAIZE</v>
          </cell>
          <cell r="F1245" t="str">
            <v>RAIZE</v>
          </cell>
          <cell r="G1245" t="str">
            <v>RAIZE</v>
          </cell>
          <cell r="H1245" t="str">
            <v>RAIZE S A/T</v>
          </cell>
          <cell r="I1245" t="str">
            <v>RAIZE 1.0T S A/T GR TSS</v>
          </cell>
          <cell r="J1245" t="str">
            <v>RAIZE 1.0T S A/T GR TSS TCO - TWO TONE</v>
          </cell>
          <cell r="K1245" t="str">
            <v>RAIZE</v>
          </cell>
          <cell r="M1245" t="str">
            <v>RAIZE</v>
          </cell>
          <cell r="N1245" t="str">
            <v>RAIZE</v>
          </cell>
          <cell r="O1245" t="str">
            <v>A250RA-GBVVJ-BP</v>
          </cell>
          <cell r="P1245" t="e">
            <v>#N/A</v>
          </cell>
          <cell r="Q1245" t="e">
            <v>#N/A</v>
          </cell>
          <cell r="R1245" t="str">
            <v>A250RA-GBVVJ-BP</v>
          </cell>
          <cell r="S1245" t="str">
            <v>RAIZE</v>
          </cell>
          <cell r="T1245" t="e">
            <v>#N/A</v>
          </cell>
          <cell r="U1245" t="str">
            <v>RAIZE S A/T</v>
          </cell>
        </row>
        <row r="1246">
          <cell r="D1246" t="str">
            <v>A250RA-GBVVJ-BO</v>
          </cell>
          <cell r="E1246" t="str">
            <v>RAIZE</v>
          </cell>
          <cell r="F1246" t="str">
            <v>RAIZE</v>
          </cell>
          <cell r="G1246" t="str">
            <v>RAIZE</v>
          </cell>
          <cell r="H1246" t="str">
            <v>RAIZE S A/T</v>
          </cell>
          <cell r="I1246" t="str">
            <v>RAIZE 1.0T S A/T GR</v>
          </cell>
          <cell r="J1246" t="str">
            <v>RAIZE 1.0T S A/T GR TCO - TWO TONE</v>
          </cell>
          <cell r="K1246" t="str">
            <v>RAIZE</v>
          </cell>
          <cell r="M1246" t="str">
            <v>RAIZE</v>
          </cell>
          <cell r="N1246" t="str">
            <v>RAIZE</v>
          </cell>
          <cell r="O1246" t="str">
            <v>A250RA-GBVVJ-BO</v>
          </cell>
          <cell r="P1246" t="e">
            <v>#N/A</v>
          </cell>
          <cell r="Q1246" t="e">
            <v>#N/A</v>
          </cell>
          <cell r="R1246" t="str">
            <v>A250RA-GBVVJ-BO</v>
          </cell>
          <cell r="S1246" t="str">
            <v>RAIZE</v>
          </cell>
          <cell r="T1246" t="e">
            <v>#N/A</v>
          </cell>
          <cell r="U1246" t="str">
            <v>RAIZE S A/T</v>
          </cell>
        </row>
        <row r="1247">
          <cell r="D1247" t="str">
            <v>GUN165R-SDTHXD-01</v>
          </cell>
          <cell r="E1247" t="str">
            <v>FORTUNER</v>
          </cell>
          <cell r="F1247" t="str">
            <v>FORTUNER 4X2</v>
          </cell>
          <cell r="G1247" t="str">
            <v>FORTUNER 4X2</v>
          </cell>
          <cell r="H1247" t="str">
            <v>FORTUNER 4X2 VRZ TRD DIESEL</v>
          </cell>
          <cell r="I1247" t="str">
            <v xml:space="preserve">FORTUNER 4X2 VRZ TRD DIESEL </v>
          </cell>
          <cell r="J1247" t="str">
            <v xml:space="preserve">FORTUNER 4X2 VRZ TRD DIESEL </v>
          </cell>
          <cell r="K1247" t="str">
            <v>FORTUNER 4X2</v>
          </cell>
          <cell r="L1247" t="str">
            <v>GUN65VRXA/T01M</v>
          </cell>
          <cell r="M1247" t="str">
            <v>FORTUNER</v>
          </cell>
          <cell r="N1247" t="str">
            <v>FORTUNER 4X2</v>
          </cell>
          <cell r="O1247" t="str">
            <v>GUN165R-SDTHXD-01</v>
          </cell>
          <cell r="P1247" t="e">
            <v>#N/A</v>
          </cell>
          <cell r="Q1247" t="e">
            <v>#N/A</v>
          </cell>
          <cell r="R1247" t="str">
            <v>GUN165R-SDTHXD-01</v>
          </cell>
          <cell r="S1247" t="str">
            <v>FORTUNER</v>
          </cell>
          <cell r="T1247" t="e">
            <v>#N/A</v>
          </cell>
          <cell r="U1247" t="str">
            <v>FORTUNER 4X2 VRZ TRD DIESEL</v>
          </cell>
        </row>
        <row r="1248">
          <cell r="D1248" t="str">
            <v>GUN125R-DTTHXD-30</v>
          </cell>
          <cell r="E1248" t="str">
            <v>HILUX</v>
          </cell>
          <cell r="F1248" t="str">
            <v>HILUX DC</v>
          </cell>
          <cell r="G1248" t="str">
            <v>HILUX DC</v>
          </cell>
          <cell r="H1248" t="str">
            <v>HILUX DC V A/T DIESEL</v>
          </cell>
          <cell r="I1248" t="str">
            <v>HILUX DC V A/T DIESEL</v>
          </cell>
          <cell r="J1248" t="str">
            <v>HILUX DC V A/T DIESEL</v>
          </cell>
          <cell r="K1248" t="str">
            <v>HILUX DC</v>
          </cell>
          <cell r="M1248" t="str">
            <v>HILUX</v>
          </cell>
          <cell r="N1248" t="str">
            <v>HILUX DC</v>
          </cell>
          <cell r="O1248" t="str">
            <v>GUN125R-DTTHXD-30</v>
          </cell>
          <cell r="P1248" t="str">
            <v>HILUX D-CAB</v>
          </cell>
          <cell r="Q1248" t="e">
            <v>#N/A</v>
          </cell>
          <cell r="R1248" t="str">
            <v>GUN125R-DTTHXD-30</v>
          </cell>
          <cell r="S1248" t="str">
            <v>HILUX</v>
          </cell>
          <cell r="T1248" t="e">
            <v>#N/A</v>
          </cell>
          <cell r="U1248" t="str">
            <v>HILUX DC V A/T DIESEL</v>
          </cell>
        </row>
        <row r="1249">
          <cell r="D1249" t="str">
            <v>GUN125R-DTTHXD-30</v>
          </cell>
          <cell r="E1249" t="str">
            <v>HILUX</v>
          </cell>
          <cell r="F1249" t="str">
            <v>HILUX DC</v>
          </cell>
          <cell r="G1249" t="str">
            <v>HILUX DC</v>
          </cell>
          <cell r="H1249" t="str">
            <v>HILUX DC V A/T DIESEL</v>
          </cell>
          <cell r="I1249" t="str">
            <v>HILUX DC V A/T DIESEL</v>
          </cell>
          <cell r="J1249" t="str">
            <v>HILUX DC V A/T DIESEL</v>
          </cell>
          <cell r="K1249" t="str">
            <v>HILUX DC</v>
          </cell>
          <cell r="M1249" t="str">
            <v>HILUX</v>
          </cell>
          <cell r="N1249" t="str">
            <v>HILUX DC</v>
          </cell>
          <cell r="O1249" t="str">
            <v>GUN125R-DTTHXD-30</v>
          </cell>
          <cell r="P1249" t="e">
            <v>#N/A</v>
          </cell>
          <cell r="Q1249" t="e">
            <v>#N/A</v>
          </cell>
          <cell r="R1249" t="str">
            <v>GUN125R-DTTHXD-30</v>
          </cell>
          <cell r="S1249" t="str">
            <v>HILUX</v>
          </cell>
          <cell r="T1249" t="e">
            <v>#N/A</v>
          </cell>
          <cell r="U1249" t="str">
            <v>HILUX DC V A/T DIESEL</v>
          </cell>
        </row>
        <row r="1250">
          <cell r="D1250" t="str">
            <v>GUN125R-DTFSXD-20</v>
          </cell>
          <cell r="E1250" t="str">
            <v>HILUX</v>
          </cell>
          <cell r="F1250" t="str">
            <v>HILUX DC</v>
          </cell>
          <cell r="G1250" t="str">
            <v>HILUX DC</v>
          </cell>
          <cell r="H1250" t="str">
            <v>HILUX DC G M/T DIESEL</v>
          </cell>
          <cell r="I1250" t="str">
            <v>HILUX DC G M/T DIESEL</v>
          </cell>
          <cell r="J1250" t="str">
            <v>HILUX DC G M/T DIESEL</v>
          </cell>
          <cell r="K1250" t="str">
            <v>HILUX DC</v>
          </cell>
          <cell r="M1250" t="str">
            <v>HILUX</v>
          </cell>
          <cell r="N1250" t="str">
            <v>HILUX DC</v>
          </cell>
          <cell r="O1250" t="str">
            <v>GUN125R-DTFSXD-20</v>
          </cell>
          <cell r="P1250" t="str">
            <v>HILUX D-CAB</v>
          </cell>
          <cell r="Q1250" t="e">
            <v>#N/A</v>
          </cell>
          <cell r="R1250" t="str">
            <v>GUN125R-DTFSXD-20</v>
          </cell>
          <cell r="S1250" t="str">
            <v>HILUX</v>
          </cell>
          <cell r="T1250" t="e">
            <v>#N/A</v>
          </cell>
          <cell r="U1250" t="str">
            <v>HILUX DC G M/T DIESEL</v>
          </cell>
        </row>
        <row r="1251">
          <cell r="D1251" t="str">
            <v>TGN140R-MDTSKD-DA</v>
          </cell>
          <cell r="E1251" t="str">
            <v>INNOVA</v>
          </cell>
          <cell r="F1251" t="str">
            <v>INNOVA</v>
          </cell>
          <cell r="G1251" t="str">
            <v>INNOVA</v>
          </cell>
          <cell r="H1251" t="str">
            <v>INNOVA G A/T</v>
          </cell>
          <cell r="I1251" t="str">
            <v>INNOVA G A/T</v>
          </cell>
          <cell r="J1251" t="str">
            <v>INNOVA G A/T TCO</v>
          </cell>
          <cell r="K1251" t="str">
            <v>INNOVA REBORN</v>
          </cell>
          <cell r="M1251" t="str">
            <v>INNOVA</v>
          </cell>
          <cell r="N1251" t="str">
            <v>INNOVA REBORN</v>
          </cell>
          <cell r="O1251" t="str">
            <v>TGN140R-MDTSKD-DA</v>
          </cell>
          <cell r="P1251" t="e">
            <v>#N/A</v>
          </cell>
          <cell r="Q1251" t="e">
            <v>#N/A</v>
          </cell>
          <cell r="R1251" t="str">
            <v>TGN140R-MDTSKD-DA</v>
          </cell>
          <cell r="S1251" t="str">
            <v>INNOVA</v>
          </cell>
          <cell r="T1251" t="str">
            <v>INV REBORN</v>
          </cell>
          <cell r="U1251" t="str">
            <v>INNOVA G A/T</v>
          </cell>
        </row>
        <row r="1252">
          <cell r="D1252" t="str">
            <v>GUN155R-SDTSHD-20</v>
          </cell>
          <cell r="E1252" t="str">
            <v>FORTUNER</v>
          </cell>
          <cell r="F1252" t="str">
            <v>FORTUNER 4X4</v>
          </cell>
          <cell r="G1252" t="str">
            <v>FORTUNER 4X4</v>
          </cell>
          <cell r="H1252" t="str">
            <v>FORTUNER 4X4 G A/T DIESEL</v>
          </cell>
          <cell r="I1252" t="str">
            <v>FORTUNER 4X4 G A/T DIESEL</v>
          </cell>
          <cell r="J1252" t="str">
            <v>FORTUNER 4X4 G A/T DIESEL</v>
          </cell>
          <cell r="K1252" t="str">
            <v>FORTUNER 4X4</v>
          </cell>
          <cell r="L1252" t="str">
            <v>GUN55GA/T20M</v>
          </cell>
          <cell r="M1252" t="str">
            <v>FORTUNER</v>
          </cell>
          <cell r="N1252" t="str">
            <v>FORTUNER 4X4</v>
          </cell>
          <cell r="O1252" t="str">
            <v>GUN155R-SDTSHD-20</v>
          </cell>
          <cell r="P1252" t="e">
            <v>#N/A</v>
          </cell>
          <cell r="Q1252" t="e">
            <v>#N/A</v>
          </cell>
          <cell r="R1252" t="str">
            <v>GUN155R-SDTSHD-20</v>
          </cell>
          <cell r="S1252" t="str">
            <v>FORTUNER</v>
          </cell>
          <cell r="T1252" t="e">
            <v>#N/A</v>
          </cell>
          <cell r="U1252" t="str">
            <v>FORTUNER 4X4 G A/T DIESEL</v>
          </cell>
        </row>
        <row r="1253">
          <cell r="D1253" t="str">
            <v>TGN110R-BTMLKD-10</v>
          </cell>
          <cell r="E1253" t="str">
            <v>HILUX</v>
          </cell>
          <cell r="F1253" t="str">
            <v>HILUX SC</v>
          </cell>
          <cell r="G1253" t="str">
            <v>HILUX SC</v>
          </cell>
          <cell r="H1253" t="str">
            <v>HILUX SC PU</v>
          </cell>
          <cell r="I1253" t="str">
            <v>HILUX SC PU</v>
          </cell>
          <cell r="J1253" t="str">
            <v>HILUX SC PU</v>
          </cell>
          <cell r="K1253" t="str">
            <v>HILUX SC</v>
          </cell>
          <cell r="M1253" t="str">
            <v>HILUX</v>
          </cell>
          <cell r="N1253" t="str">
            <v>HILUX SC</v>
          </cell>
          <cell r="O1253" t="str">
            <v>TGN110R-BTMLKD-10</v>
          </cell>
          <cell r="P1253" t="str">
            <v>HILUX S-CAB</v>
          </cell>
          <cell r="Q1253" t="e">
            <v>#N/A</v>
          </cell>
          <cell r="R1253" t="str">
            <v>TGN110R-BTMLKD-10</v>
          </cell>
          <cell r="S1253" t="str">
            <v>HILUX</v>
          </cell>
          <cell r="T1253" t="e">
            <v>#N/A</v>
          </cell>
          <cell r="U1253" t="str">
            <v>HILUX SC PU</v>
          </cell>
        </row>
        <row r="1254">
          <cell r="D1254" t="str">
            <v>W101RE-LBMFJ-AB</v>
          </cell>
          <cell r="E1254" t="str">
            <v>AVANZA</v>
          </cell>
          <cell r="F1254" t="str">
            <v>AVANZA</v>
          </cell>
          <cell r="G1254" t="str">
            <v>AVANZA</v>
          </cell>
          <cell r="H1254" t="str">
            <v>AVANZA G A/T</v>
          </cell>
          <cell r="I1254" t="str">
            <v>AVANZA G A/T</v>
          </cell>
          <cell r="J1254" t="str">
            <v>AVANZA G A/T TCO</v>
          </cell>
          <cell r="K1254" t="str">
            <v>AVANZA</v>
          </cell>
          <cell r="M1254" t="str">
            <v>AVANZA</v>
          </cell>
          <cell r="N1254" t="str">
            <v>AVANZA</v>
          </cell>
          <cell r="O1254" t="str">
            <v>W101RE-LBMFJ-AB</v>
          </cell>
          <cell r="P1254" t="e">
            <v>#N/A</v>
          </cell>
          <cell r="Q1254" t="str">
            <v>AVANZA</v>
          </cell>
          <cell r="R1254" t="str">
            <v>W101RE-LBMFJ-AB</v>
          </cell>
          <cell r="S1254" t="str">
            <v>AVANZA</v>
          </cell>
          <cell r="T1254" t="e">
            <v>#N/A</v>
          </cell>
          <cell r="U1254" t="str">
            <v>AVANZA G A/T</v>
          </cell>
        </row>
        <row r="1255">
          <cell r="D1255" t="str">
            <v>ZYX10R-CHXEBT-00</v>
          </cell>
          <cell r="E1255" t="str">
            <v>CHR</v>
          </cell>
          <cell r="F1255" t="str">
            <v>CHR</v>
          </cell>
          <cell r="G1255" t="str">
            <v>CHR</v>
          </cell>
          <cell r="H1255" t="str">
            <v>CHR HYBRID</v>
          </cell>
          <cell r="I1255" t="str">
            <v>CHR HYBRID DUAL TONE A/T</v>
          </cell>
          <cell r="J1255" t="str">
            <v>CHR HYBRID DUAL TONE A/T</v>
          </cell>
          <cell r="K1255" t="str">
            <v>CHR</v>
          </cell>
          <cell r="M1255" t="str">
            <v>CHR</v>
          </cell>
          <cell r="N1255" t="str">
            <v>CHR</v>
          </cell>
          <cell r="O1255" t="str">
            <v>ZYX10R-CHXEBT-00</v>
          </cell>
          <cell r="P1255" t="e">
            <v>#N/A</v>
          </cell>
          <cell r="Q1255" t="e">
            <v>#N/A</v>
          </cell>
          <cell r="R1255" t="str">
            <v>ZYX10R-CHXEBT-00</v>
          </cell>
          <cell r="S1255" t="str">
            <v>CHR</v>
          </cell>
          <cell r="T1255" t="e">
            <v>#N/A</v>
          </cell>
          <cell r="U1255" t="str">
            <v>CHR HYBRID</v>
          </cell>
        </row>
        <row r="1256">
          <cell r="D1256" t="str">
            <v>GUN155R-SDTSHD-00</v>
          </cell>
          <cell r="E1256" t="str">
            <v>FORTUNER</v>
          </cell>
          <cell r="F1256" t="str">
            <v>FORTUNER 4X4</v>
          </cell>
          <cell r="G1256" t="str">
            <v>FORTUNER 4X4</v>
          </cell>
          <cell r="H1256" t="str">
            <v>FORTUNER 4X4 G A/T DIESEL</v>
          </cell>
          <cell r="I1256" t="str">
            <v>FORTUNER 4X4 G A/T DIESEL</v>
          </cell>
          <cell r="J1256" t="str">
            <v>FORTUNER 4X4 G A/T DIESEL</v>
          </cell>
          <cell r="K1256" t="str">
            <v>FORTUNER 4X4</v>
          </cell>
          <cell r="L1256" t="str">
            <v>GUN55GA/T</v>
          </cell>
          <cell r="M1256" t="str">
            <v>FORTUNER</v>
          </cell>
          <cell r="N1256" t="str">
            <v>FORTUNER 4X4</v>
          </cell>
          <cell r="O1256" t="str">
            <v>GUN155R-SDTSHD-00</v>
          </cell>
          <cell r="P1256" t="e">
            <v>#N/A</v>
          </cell>
          <cell r="Q1256" t="e">
            <v>#N/A</v>
          </cell>
          <cell r="R1256" t="str">
            <v>GUN155R-SDTSHD-00</v>
          </cell>
          <cell r="S1256" t="str">
            <v>FORTUNER</v>
          </cell>
          <cell r="T1256" t="e">
            <v>#N/A</v>
          </cell>
          <cell r="U1256" t="str">
            <v>FORTUNER 4X4 G A/T DIESEL</v>
          </cell>
        </row>
        <row r="1257">
          <cell r="D1257" t="str">
            <v>GUN155R-SDTSHD-01</v>
          </cell>
          <cell r="E1257" t="str">
            <v>FORTUNER</v>
          </cell>
          <cell r="F1257" t="str">
            <v>FORTUNER 4X4</v>
          </cell>
          <cell r="G1257" t="str">
            <v>FORTUNER 4X4</v>
          </cell>
          <cell r="H1257" t="str">
            <v>FORTUNER 4X4 G A/T DIESEL</v>
          </cell>
          <cell r="I1257" t="str">
            <v>FORTUNER 4X4 G A/T DIESEL</v>
          </cell>
          <cell r="J1257" t="str">
            <v>FORTUNER 4X4 G A/T DIESEL</v>
          </cell>
          <cell r="K1257" t="str">
            <v>FORTUNER 4X4</v>
          </cell>
          <cell r="L1257" t="str">
            <v>GUN55GA/T01M</v>
          </cell>
          <cell r="M1257" t="str">
            <v>FORTUNER</v>
          </cell>
          <cell r="N1257" t="str">
            <v>FORTUNER 4X4</v>
          </cell>
          <cell r="O1257" t="str">
            <v>GUN155R-SDTSHD-01</v>
          </cell>
          <cell r="P1257" t="e">
            <v>#N/A</v>
          </cell>
          <cell r="Q1257" t="e">
            <v>#N/A</v>
          </cell>
          <cell r="R1257" t="str">
            <v>GUN155R-SDTSHD-01</v>
          </cell>
          <cell r="S1257" t="str">
            <v>FORTUNER</v>
          </cell>
          <cell r="T1257" t="e">
            <v>#N/A</v>
          </cell>
          <cell r="U1257" t="str">
            <v>FORTUNER 4X4 G A/T DIESEL</v>
          </cell>
        </row>
        <row r="1258">
          <cell r="D1258" t="e">
            <v>#N/A</v>
          </cell>
          <cell r="E1258" t="str">
            <v>FORTUNER</v>
          </cell>
          <cell r="F1258" t="str">
            <v>FORTUNER 4X4</v>
          </cell>
          <cell r="G1258" t="str">
            <v>FORTUNER 4X4</v>
          </cell>
          <cell r="H1258" t="str">
            <v>FORTUNER 4X4 G A/T DIESEL</v>
          </cell>
          <cell r="I1258" t="str">
            <v>FORTUNER 4X4 G A/T DIESEL</v>
          </cell>
          <cell r="J1258" t="str">
            <v>FORTUNER 4X4 G A/T DIESEL</v>
          </cell>
          <cell r="K1258" t="str">
            <v>FORTUNER 4X4</v>
          </cell>
          <cell r="L1258" t="str">
            <v>KU50GA/T</v>
          </cell>
          <cell r="M1258" t="str">
            <v>FORTUNER</v>
          </cell>
          <cell r="N1258" t="str">
            <v>FORTUNER 4X4</v>
          </cell>
          <cell r="O1258" t="e">
            <v>#N/A</v>
          </cell>
          <cell r="P1258" t="e">
            <v>#N/A</v>
          </cell>
          <cell r="Q1258" t="e">
            <v>#N/A</v>
          </cell>
          <cell r="R1258" t="e">
            <v>#N/A</v>
          </cell>
          <cell r="S1258" t="str">
            <v>FORTUNER</v>
          </cell>
          <cell r="T1258" t="e">
            <v>#N/A</v>
          </cell>
          <cell r="U1258" t="str">
            <v>FORTUNER 4X4 G A/T DIESEL</v>
          </cell>
        </row>
        <row r="1259">
          <cell r="D1259" t="str">
            <v>ZYX10R-CHXEBT-01</v>
          </cell>
          <cell r="E1259" t="str">
            <v>CHR</v>
          </cell>
          <cell r="F1259" t="str">
            <v>CHR</v>
          </cell>
          <cell r="G1259" t="str">
            <v>CHR</v>
          </cell>
          <cell r="H1259" t="str">
            <v>CHR HYBRID</v>
          </cell>
          <cell r="I1259" t="str">
            <v>CHR HYBRID DUAL TONE A/T</v>
          </cell>
          <cell r="J1259" t="str">
            <v>CHR HYBRID DUAL TONE A/T</v>
          </cell>
          <cell r="K1259" t="str">
            <v>CHR</v>
          </cell>
          <cell r="M1259" t="str">
            <v>CHR</v>
          </cell>
          <cell r="N1259" t="str">
            <v>CHR</v>
          </cell>
          <cell r="O1259" t="str">
            <v>ZYX10R-CHXEBT-01</v>
          </cell>
          <cell r="P1259" t="e">
            <v>#N/A</v>
          </cell>
          <cell r="Q1259" t="e">
            <v>#N/A</v>
          </cell>
          <cell r="R1259" t="str">
            <v>ZYX10R-CHXEBT-01</v>
          </cell>
          <cell r="S1259" t="str">
            <v>CHR</v>
          </cell>
          <cell r="T1259" t="e">
            <v>#N/A</v>
          </cell>
          <cell r="U1259" t="str">
            <v>CHR HYBRID</v>
          </cell>
        </row>
        <row r="1260">
          <cell r="D1260" t="str">
            <v>GUN125R-DTFSXD-C1</v>
          </cell>
          <cell r="E1260" t="str">
            <v>HILUX</v>
          </cell>
          <cell r="F1260" t="str">
            <v>HILUX DC</v>
          </cell>
          <cell r="G1260" t="str">
            <v>HILUX DC</v>
          </cell>
          <cell r="H1260" t="str">
            <v>HILUX DC G M/T DIESEL</v>
          </cell>
          <cell r="I1260" t="str">
            <v>HILUX DC G M/T DIESEL</v>
          </cell>
          <cell r="J1260" t="str">
            <v>HILUX DC G M/T DIESEL</v>
          </cell>
          <cell r="K1260" t="str">
            <v>HILUX DC</v>
          </cell>
          <cell r="M1260" t="str">
            <v>HILUX</v>
          </cell>
          <cell r="N1260" t="str">
            <v>HILUX DC</v>
          </cell>
          <cell r="O1260" t="str">
            <v>GUN125R-DTFSXD-C1</v>
          </cell>
          <cell r="P1260" t="e">
            <v>#N/A</v>
          </cell>
          <cell r="Q1260" t="e">
            <v>#N/A</v>
          </cell>
          <cell r="R1260" t="str">
            <v>GUN125R-DTFSXD-C1</v>
          </cell>
          <cell r="S1260" t="str">
            <v>HILUX</v>
          </cell>
          <cell r="T1260" t="e">
            <v>#N/A</v>
          </cell>
          <cell r="U1260" t="str">
            <v>HILUX DC G M/T DIESEL</v>
          </cell>
        </row>
        <row r="1261">
          <cell r="D1261" t="str">
            <v>GUN125R-BTFLXD-30</v>
          </cell>
          <cell r="E1261" t="str">
            <v>HILUX</v>
          </cell>
          <cell r="F1261" t="str">
            <v>HILUX SC</v>
          </cell>
          <cell r="G1261" t="str">
            <v>HILUX SC</v>
          </cell>
          <cell r="H1261" t="str">
            <v>HILUX SC M/T DIESEL</v>
          </cell>
          <cell r="I1261" t="str">
            <v>HILUX SC M/T DIESEL</v>
          </cell>
          <cell r="J1261" t="str">
            <v>HILUX SC M/T DIESEL</v>
          </cell>
          <cell r="K1261" t="str">
            <v>HILUX SC</v>
          </cell>
          <cell r="M1261" t="str">
            <v>HILUX</v>
          </cell>
          <cell r="N1261" t="str">
            <v>HILUX SC</v>
          </cell>
          <cell r="O1261" t="str">
            <v>GUN125R-BTFLXD-30</v>
          </cell>
          <cell r="P1261" t="str">
            <v>HILUX S-CAB</v>
          </cell>
          <cell r="Q1261" t="e">
            <v>#N/A</v>
          </cell>
          <cell r="R1261" t="str">
            <v>GUN125R-BTFLXD-30</v>
          </cell>
          <cell r="S1261" t="str">
            <v>HILUX</v>
          </cell>
          <cell r="T1261" t="str">
            <v>HILUX</v>
          </cell>
          <cell r="U1261" t="str">
            <v>HILUX SC M/T DIESEL</v>
          </cell>
        </row>
        <row r="1262">
          <cell r="D1262" t="str">
            <v>MAGH10R-BRXLBD-01</v>
          </cell>
          <cell r="E1262" t="str">
            <v>INNOVA</v>
          </cell>
          <cell r="F1262" t="str">
            <v>INNOVA</v>
          </cell>
          <cell r="G1262" t="str">
            <v>INNOVA</v>
          </cell>
          <cell r="H1262" t="str">
            <v>INNOVA ZENIX G A/T HIYBRID</v>
          </cell>
          <cell r="I1262" t="str">
            <v>INNOVA ZENIX G A/T HIYBRID</v>
          </cell>
          <cell r="J1262" t="str">
            <v>INNOVA ZENIX G A/T HIYBRID</v>
          </cell>
          <cell r="K1262" t="str">
            <v>INNOVA ZENIX HYBRID</v>
          </cell>
          <cell r="N1262" t="str">
            <v>INNOVA ZENIX HYBRID</v>
          </cell>
          <cell r="O1262" t="str">
            <v>MAGH10R-BRXLBD-01</v>
          </cell>
          <cell r="P1262" t="str">
            <v>INNOVA ZENIX HYBRID</v>
          </cell>
          <cell r="Q1262" t="str">
            <v>INNOVA ZENIX HYBRID</v>
          </cell>
          <cell r="R1262" t="str">
            <v>MAGH10R-BRXLBD-01</v>
          </cell>
          <cell r="S1262" t="str">
            <v>INNOVA</v>
          </cell>
          <cell r="T1262" t="str">
            <v>INV ZENIX HYBRID</v>
          </cell>
          <cell r="U1262" t="str">
            <v>INNOVA ZENIX G A/T HIYBRID</v>
          </cell>
        </row>
        <row r="1263">
          <cell r="D1263" t="str">
            <v>MAGH10R-BRXLBD-00</v>
          </cell>
          <cell r="E1263" t="str">
            <v>INNOVA</v>
          </cell>
          <cell r="F1263" t="str">
            <v>INNOVA</v>
          </cell>
          <cell r="G1263" t="str">
            <v>INNOVA</v>
          </cell>
          <cell r="H1263" t="str">
            <v>INNOVA ZENIX G A/T HIYBRID</v>
          </cell>
          <cell r="I1263" t="str">
            <v>INNOVA ZENIX G A/T HIYBRID</v>
          </cell>
          <cell r="J1263" t="str">
            <v>INNOVA ZENIX G A/T HIYBRID</v>
          </cell>
          <cell r="K1263" t="str">
            <v>INNOVA ZENIX HYBRID</v>
          </cell>
          <cell r="N1263" t="str">
            <v>INNOVA ZENIX HYBRID</v>
          </cell>
          <cell r="O1263" t="str">
            <v>MAGH10R-BRXLBD-00</v>
          </cell>
          <cell r="P1263" t="str">
            <v>INNOVA ZENIX HYBRID</v>
          </cell>
          <cell r="Q1263" t="str">
            <v>INNOVA ZENIX HYBRID</v>
          </cell>
          <cell r="R1263" t="str">
            <v>MAGH10R-BRXLBD-00</v>
          </cell>
          <cell r="S1263" t="str">
            <v>INNOVA</v>
          </cell>
          <cell r="T1263" t="str">
            <v>INV ZENIX HYBRID</v>
          </cell>
          <cell r="U1263" t="str">
            <v>INNOVA ZENIX G A/T HIYBRID</v>
          </cell>
        </row>
        <row r="1264">
          <cell r="D1264" t="str">
            <v>MAGH10R-BRXLBD-BA</v>
          </cell>
          <cell r="E1264" t="str">
            <v>INNOVA</v>
          </cell>
          <cell r="F1264" t="str">
            <v>INNOVA</v>
          </cell>
          <cell r="G1264" t="str">
            <v>INNOVA</v>
          </cell>
          <cell r="H1264" t="str">
            <v>INNOVA ZENIX G A/T HIYBRID</v>
          </cell>
          <cell r="I1264" t="str">
            <v>INNOVA ZENIX G A/T HIYBRID</v>
          </cell>
          <cell r="J1264" t="str">
            <v>INNOVA ZENIX G A/T HIYBRID TCO</v>
          </cell>
          <cell r="K1264" t="str">
            <v>INNOVA ZENIX HYBRID</v>
          </cell>
          <cell r="N1264" t="str">
            <v>INNOVA ZENIX HYBRID</v>
          </cell>
          <cell r="O1264" t="str">
            <v>MAGH10R-BRXLBD-BA</v>
          </cell>
          <cell r="P1264" t="str">
            <v>INNOVA ZENIX HYBRID</v>
          </cell>
          <cell r="Q1264" t="e">
            <v>#N/A</v>
          </cell>
          <cell r="R1264" t="str">
            <v>MAGH10R-BRXLBD-BA</v>
          </cell>
          <cell r="S1264" t="str">
            <v>INNOVA</v>
          </cell>
          <cell r="T1264" t="e">
            <v>#N/A</v>
          </cell>
          <cell r="U1264" t="str">
            <v>INNOVA ZENIX G A/T HIYBRID</v>
          </cell>
        </row>
        <row r="1265">
          <cell r="D1265" t="str">
            <v>MAGA10R-BRXLBD-01</v>
          </cell>
          <cell r="E1265" t="str">
            <v>INNOVA</v>
          </cell>
          <cell r="F1265" t="str">
            <v>INNOVA</v>
          </cell>
          <cell r="G1265" t="str">
            <v>INNOVA</v>
          </cell>
          <cell r="H1265" t="str">
            <v>INNOVA ZENIX G A/T</v>
          </cell>
          <cell r="I1265" t="str">
            <v>INNOVA ZENIX G A/T</v>
          </cell>
          <cell r="J1265" t="str">
            <v>INNOVA ZENIX G A/T</v>
          </cell>
          <cell r="K1265" t="str">
            <v>INNOVA ZENIX GAS</v>
          </cell>
          <cell r="N1265" t="str">
            <v>INNOVA ZENIX GAS</v>
          </cell>
          <cell r="O1265" t="str">
            <v>MAGA10R-BRXLBD-01</v>
          </cell>
          <cell r="P1265" t="str">
            <v>INNOVA ZENIX</v>
          </cell>
          <cell r="Q1265" t="str">
            <v>INNOVA ZENIX G BENSIN</v>
          </cell>
          <cell r="R1265" t="str">
            <v>MAGA10R-BRXLBD-01</v>
          </cell>
          <cell r="S1265" t="str">
            <v>INNOVA</v>
          </cell>
          <cell r="T1265" t="str">
            <v>INV ZENIX GAS</v>
          </cell>
          <cell r="U1265" t="str">
            <v>INNOVA ZENIX G A/T</v>
          </cell>
        </row>
        <row r="1266">
          <cell r="D1266" t="str">
            <v>MAGA10R-BRXLBD-00</v>
          </cell>
          <cell r="E1266" t="str">
            <v>INNOVA</v>
          </cell>
          <cell r="F1266" t="str">
            <v>INNOVA</v>
          </cell>
          <cell r="G1266" t="str">
            <v>INNOVA</v>
          </cell>
          <cell r="H1266" t="str">
            <v>INNOVA ZENIX G A/T</v>
          </cell>
          <cell r="I1266" t="str">
            <v>INNOVA ZENIX G A/T</v>
          </cell>
          <cell r="J1266" t="str">
            <v>INNOVA ZENIX G A/T</v>
          </cell>
          <cell r="K1266" t="str">
            <v>INNOVA ZENIX GAS</v>
          </cell>
          <cell r="N1266" t="str">
            <v>INNOVA ZENIX GAS</v>
          </cell>
          <cell r="O1266" t="str">
            <v>MAGA10R-BRXLBD-00</v>
          </cell>
          <cell r="P1266" t="str">
            <v>INNOVA ZENIX</v>
          </cell>
          <cell r="Q1266" t="str">
            <v>INNOVA ZENIX G BENSIN</v>
          </cell>
          <cell r="R1266" t="str">
            <v>MAGA10R-BRXLBD-00</v>
          </cell>
          <cell r="S1266" t="str">
            <v>INNOVA</v>
          </cell>
          <cell r="T1266" t="str">
            <v>INV ZENIX GAS</v>
          </cell>
          <cell r="U1266" t="str">
            <v>INNOVA ZENIX G A/T</v>
          </cell>
        </row>
        <row r="1267">
          <cell r="D1267" t="str">
            <v>MAGH10R-BRXLBD-AA</v>
          </cell>
          <cell r="E1267" t="str">
            <v>INNOVA</v>
          </cell>
          <cell r="F1267" t="str">
            <v>INNOVA</v>
          </cell>
          <cell r="G1267" t="str">
            <v>INNOVA</v>
          </cell>
          <cell r="H1267" t="str">
            <v>INNOVA ZENIX G A/T HIYBRID</v>
          </cell>
          <cell r="I1267" t="str">
            <v>INNOVA ZENIX G A/T HIYBRID</v>
          </cell>
          <cell r="J1267" t="str">
            <v>INNOVA ZENIX G A/T HIYBRID TCO</v>
          </cell>
          <cell r="K1267" t="str">
            <v>INNOVA ZENIX HYBRID</v>
          </cell>
          <cell r="N1267" t="str">
            <v>INNOVA ZENIX HYBRID</v>
          </cell>
          <cell r="O1267" t="str">
            <v>MAGH10R-BRXLBD-AA</v>
          </cell>
          <cell r="P1267" t="str">
            <v>INNOVA ZENIX HYBRID</v>
          </cell>
          <cell r="Q1267" t="e">
            <v>#N/A</v>
          </cell>
          <cell r="R1267" t="str">
            <v>MAGH10R-BRXLBD-AA</v>
          </cell>
          <cell r="S1267" t="str">
            <v>INNOVA</v>
          </cell>
          <cell r="T1267" t="str">
            <v>INNOVA</v>
          </cell>
          <cell r="U1267" t="str">
            <v>INNOVA ZENIX G A/T HIYBRID</v>
          </cell>
        </row>
        <row r="1268">
          <cell r="D1268" t="str">
            <v>MAGH10R-BRXLBD-BC</v>
          </cell>
          <cell r="E1268" t="str">
            <v>INNOVA</v>
          </cell>
          <cell r="F1268" t="str">
            <v>INNOVA</v>
          </cell>
          <cell r="G1268" t="str">
            <v>INNOVA</v>
          </cell>
          <cell r="H1268" t="str">
            <v>INNOVA ZENIX G A/T HIYBRID</v>
          </cell>
          <cell r="I1268" t="str">
            <v>INNOVA ZENIX G A/T HIYBRID</v>
          </cell>
          <cell r="J1268" t="str">
            <v>INNOVA ZENIX G A/T HIYBRID TCO</v>
          </cell>
          <cell r="K1268" t="str">
            <v>INNOVA ZENIX HYBRID</v>
          </cell>
          <cell r="N1268" t="str">
            <v>INNOVA ZENIX HYBRID</v>
          </cell>
          <cell r="O1268" t="str">
            <v>MAGH10R-BRXLBD-BC</v>
          </cell>
          <cell r="P1268" t="str">
            <v>INNOVA ZENIX HYBRID</v>
          </cell>
          <cell r="Q1268" t="str">
            <v>INNOVA ZENIX HYBRID</v>
          </cell>
          <cell r="R1268" t="str">
            <v>MAGH10R-BRXLBD-BC</v>
          </cell>
          <cell r="S1268" t="str">
            <v>INNOVA</v>
          </cell>
          <cell r="T1268" t="str">
            <v>INNOVA</v>
          </cell>
          <cell r="U1268" t="str">
            <v>INNOVA ZENIX G A/T HIYBRID</v>
          </cell>
        </row>
        <row r="1269">
          <cell r="D1269" t="str">
            <v>MAGH10R-BRXLBD-FC</v>
          </cell>
          <cell r="E1269" t="str">
            <v>INNOVA</v>
          </cell>
          <cell r="F1269" t="str">
            <v>INNOVA</v>
          </cell>
          <cell r="G1269" t="str">
            <v>INNOVA</v>
          </cell>
          <cell r="H1269" t="str">
            <v>INNOVA ZENIX G A/T HIYBRID</v>
          </cell>
          <cell r="I1269" t="str">
            <v>INNOVA ZENIX G A/T HIYBRID</v>
          </cell>
          <cell r="J1269" t="str">
            <v>INNOVA ZENIX G A/T HIYBRID TCO</v>
          </cell>
          <cell r="K1269" t="str">
            <v>INNOVA ZENIX HYBRID</v>
          </cell>
          <cell r="N1269" t="str">
            <v>INNOVA ZENIX HYBRID</v>
          </cell>
          <cell r="O1269" t="str">
            <v>MAGH10R-BRXLBD-FC</v>
          </cell>
          <cell r="P1269" t="str">
            <v>INNOVA ZENIX HYBRID</v>
          </cell>
          <cell r="Q1269" t="str">
            <v>INNOVA ZENIX HYBRID</v>
          </cell>
          <cell r="R1269" t="str">
            <v>MAGH10R-BRXLBD-FC</v>
          </cell>
          <cell r="S1269" t="str">
            <v>INNOVA</v>
          </cell>
          <cell r="T1269" t="str">
            <v>INNOVA</v>
          </cell>
          <cell r="U1269" t="str">
            <v>INNOVA ZENIX G A/T HIYBRID</v>
          </cell>
        </row>
        <row r="1270">
          <cell r="D1270" t="str">
            <v>MAGA10R-BRXLBD-BA</v>
          </cell>
          <cell r="E1270" t="str">
            <v>INNOVA</v>
          </cell>
          <cell r="F1270" t="str">
            <v>INNOVA</v>
          </cell>
          <cell r="G1270" t="str">
            <v>INNOVA</v>
          </cell>
          <cell r="H1270" t="str">
            <v>INNOVA ZENIX G A/T</v>
          </cell>
          <cell r="I1270" t="str">
            <v>INNOVA ZENIX G A/T</v>
          </cell>
          <cell r="J1270" t="str">
            <v>INNOVA ZENIX G A/T TCO</v>
          </cell>
          <cell r="K1270" t="str">
            <v>INNOVA ZENIX GAS</v>
          </cell>
          <cell r="N1270" t="str">
            <v>INNOVA ZENIX GAS</v>
          </cell>
          <cell r="O1270" t="str">
            <v>MAGA10R-BRXLBD-BA</v>
          </cell>
          <cell r="P1270" t="str">
            <v>INNOVA ZENIX</v>
          </cell>
          <cell r="Q1270" t="e">
            <v>#N/A</v>
          </cell>
          <cell r="R1270" t="str">
            <v>MAGA10R-BRXLBD-BA</v>
          </cell>
          <cell r="S1270" t="str">
            <v>INNOVA</v>
          </cell>
          <cell r="T1270" t="str">
            <v>INV ZENIX GAS</v>
          </cell>
          <cell r="U1270" t="str">
            <v>INNOVA ZENIX G A/T</v>
          </cell>
        </row>
        <row r="1271">
          <cell r="D1271" t="str">
            <v>MAGA10R-BRXLBD-10</v>
          </cell>
          <cell r="E1271" t="str">
            <v>INNOVA</v>
          </cell>
          <cell r="F1271" t="str">
            <v>INNOVA</v>
          </cell>
          <cell r="G1271" t="str">
            <v>INNOVA</v>
          </cell>
          <cell r="H1271" t="str">
            <v>INNOVA ZENIX G A/T</v>
          </cell>
          <cell r="I1271" t="str">
            <v>INNOVA ZENIX G A/T</v>
          </cell>
          <cell r="J1271" t="str">
            <v>INNOVA ZENIX G A/T</v>
          </cell>
          <cell r="K1271" t="str">
            <v>INNOVA ZENIX GAS</v>
          </cell>
          <cell r="N1271" t="str">
            <v>INNOVA ZENIX GAS</v>
          </cell>
          <cell r="O1271" t="str">
            <v>MAGA10R-BRXLBD-10</v>
          </cell>
          <cell r="P1271" t="str">
            <v>INNOVA ZENIX</v>
          </cell>
          <cell r="Q1271" t="str">
            <v>INNOVA ZENIX G BENSIN</v>
          </cell>
          <cell r="R1271" t="str">
            <v>MAGA10R-BRXLBD-10</v>
          </cell>
          <cell r="S1271" t="str">
            <v>INNOVA</v>
          </cell>
          <cell r="T1271" t="str">
            <v>INV ZENIX GAS</v>
          </cell>
          <cell r="U1271" t="str">
            <v>INNOVA ZENIX G A/T</v>
          </cell>
        </row>
        <row r="1272">
          <cell r="D1272" t="str">
            <v>ZWE211R-GEXVBD-12</v>
          </cell>
          <cell r="E1272" t="str">
            <v>COROLLA</v>
          </cell>
          <cell r="F1272" t="str">
            <v>COROLLA ALTIS</v>
          </cell>
          <cell r="G1272" t="str">
            <v>COROLLA ALTIS</v>
          </cell>
          <cell r="H1272" t="str">
            <v>COROLLA ALTIS HYBRID A/T</v>
          </cell>
          <cell r="I1272" t="str">
            <v>COROLLA ALTIS HYBRID A/T</v>
          </cell>
          <cell r="J1272" t="str">
            <v>COROLLA ALTIS HYBRID A/T</v>
          </cell>
          <cell r="K1272" t="str">
            <v>COROLLA ALTIS</v>
          </cell>
          <cell r="M1272" t="str">
            <v>COROLLA ALTIS</v>
          </cell>
          <cell r="N1272" t="str">
            <v>COROLLA ALTIS</v>
          </cell>
          <cell r="O1272" t="str">
            <v>ZWE211R-GEXVBD-12</v>
          </cell>
          <cell r="P1272" t="e">
            <v>#N/A</v>
          </cell>
          <cell r="Q1272" t="e">
            <v>#N/A</v>
          </cell>
          <cell r="R1272" t="str">
            <v>ZWE211R-GEXVBD-12</v>
          </cell>
          <cell r="S1272" t="str">
            <v>COROLLA</v>
          </cell>
          <cell r="T1272" t="e">
            <v>#N/A</v>
          </cell>
          <cell r="U1272" t="str">
            <v>COROLLA ALTIS HYBRID A/T</v>
          </cell>
        </row>
        <row r="1273">
          <cell r="D1273" t="str">
            <v>TGN140R-MDTSKD-CA</v>
          </cell>
          <cell r="E1273" t="str">
            <v>INNOVA</v>
          </cell>
          <cell r="F1273" t="str">
            <v>INNOVA</v>
          </cell>
          <cell r="G1273" t="str">
            <v>INNOVA</v>
          </cell>
          <cell r="H1273" t="str">
            <v>INNOVA G A/T</v>
          </cell>
          <cell r="I1273" t="str">
            <v>INNOVA G A/T</v>
          </cell>
          <cell r="J1273" t="str">
            <v>INNOVA G A/T TCO</v>
          </cell>
          <cell r="K1273" t="str">
            <v>INNOVA REBORN</v>
          </cell>
          <cell r="M1273" t="str">
            <v>INNOVA</v>
          </cell>
          <cell r="N1273" t="str">
            <v>INNOVA REBORN</v>
          </cell>
          <cell r="O1273" t="str">
            <v>TGN140R-MDTSKD-CA</v>
          </cell>
          <cell r="P1273" t="e">
            <v>#N/A</v>
          </cell>
          <cell r="Q1273" t="e">
            <v>#N/A</v>
          </cell>
          <cell r="R1273" t="str">
            <v>TGN140R-MDTSKD-CA</v>
          </cell>
          <cell r="S1273" t="str">
            <v>INNOVA</v>
          </cell>
          <cell r="T1273" t="str">
            <v>INV REBORN</v>
          </cell>
          <cell r="U1273" t="str">
            <v>INNOVA G A/T</v>
          </cell>
        </row>
        <row r="1274">
          <cell r="D1274" t="str">
            <v>MAGA10R-BRXLBD-11</v>
          </cell>
          <cell r="E1274" t="str">
            <v>INNOVA</v>
          </cell>
          <cell r="F1274" t="str">
            <v>INNOVA</v>
          </cell>
          <cell r="G1274" t="str">
            <v>INNOVA</v>
          </cell>
          <cell r="H1274" t="str">
            <v>INNOVA ZENIX G A/T</v>
          </cell>
          <cell r="I1274" t="str">
            <v>INNOVA ZENIX G A/T</v>
          </cell>
          <cell r="J1274" t="str">
            <v>INNOVA ZENIX G A/T</v>
          </cell>
          <cell r="K1274" t="str">
            <v>INNOVA ZENIX GAS</v>
          </cell>
          <cell r="N1274" t="str">
            <v>INNOVA ZENIX GAS</v>
          </cell>
          <cell r="O1274" t="str">
            <v>MAGA10R-BRXLBD-11</v>
          </cell>
          <cell r="P1274" t="str">
            <v>INNOVA ZENIX</v>
          </cell>
          <cell r="Q1274" t="str">
            <v>INNOVA ZENIX G BENSIN</v>
          </cell>
          <cell r="R1274" t="str">
            <v>MAGA10R-BRXLBD-11</v>
          </cell>
          <cell r="S1274" t="str">
            <v>INNOVA</v>
          </cell>
          <cell r="T1274" t="str">
            <v>INV ZENIX GAS</v>
          </cell>
          <cell r="U1274" t="str">
            <v>INNOVA ZENIX G A/T</v>
          </cell>
        </row>
        <row r="1275">
          <cell r="D1275" t="str">
            <v>ZN8-BKF7-01</v>
          </cell>
          <cell r="E1275" t="str">
            <v>FT86</v>
          </cell>
          <cell r="F1275" t="str">
            <v>FT86</v>
          </cell>
          <cell r="G1275" t="str">
            <v>FT86</v>
          </cell>
          <cell r="H1275" t="str">
            <v>FT 86 A/T</v>
          </cell>
          <cell r="I1275" t="str">
            <v>FT 86 A/T GR</v>
          </cell>
          <cell r="J1275" t="str">
            <v>FT 86 A/T GR</v>
          </cell>
          <cell r="K1275" t="str">
            <v>FT86</v>
          </cell>
          <cell r="M1275" t="str">
            <v>FT86</v>
          </cell>
          <cell r="N1275" t="str">
            <v>FT86</v>
          </cell>
          <cell r="O1275" t="str">
            <v>ZN8-BKF7-01</v>
          </cell>
          <cell r="P1275" t="e">
            <v>#N/A</v>
          </cell>
          <cell r="Q1275" t="e">
            <v>#N/A</v>
          </cell>
          <cell r="R1275" t="str">
            <v>ZN8-BKF7-01</v>
          </cell>
          <cell r="S1275" t="str">
            <v>FT86</v>
          </cell>
          <cell r="T1275" t="e">
            <v>#N/A</v>
          </cell>
          <cell r="U1275" t="str">
            <v>FT 86 A/T</v>
          </cell>
        </row>
        <row r="1276">
          <cell r="D1276" t="str">
            <v>NGC102R-TEXHK-00</v>
          </cell>
          <cell r="E1276" t="str">
            <v>VIOS</v>
          </cell>
          <cell r="F1276" t="str">
            <v>VIOS</v>
          </cell>
          <cell r="G1276" t="str">
            <v>VIOS</v>
          </cell>
          <cell r="H1276" t="str">
            <v>VIOS G A/T</v>
          </cell>
          <cell r="I1276" t="str">
            <v>VIOS G A/T</v>
          </cell>
          <cell r="J1276" t="str">
            <v>VIOS G A/T</v>
          </cell>
          <cell r="K1276" t="str">
            <v>VIOS</v>
          </cell>
          <cell r="N1276" t="str">
            <v>VIOS</v>
          </cell>
          <cell r="O1276" t="str">
            <v>NGC102R-TEXHK-00</v>
          </cell>
          <cell r="P1276" t="str">
            <v>VIOS</v>
          </cell>
          <cell r="Q1276" t="e">
            <v>#N/A</v>
          </cell>
          <cell r="R1276" t="str">
            <v>NGC102R-TEXHK-00</v>
          </cell>
          <cell r="S1276" t="str">
            <v>VIOS</v>
          </cell>
          <cell r="T1276" t="str">
            <v>VIOS</v>
          </cell>
          <cell r="U1276" t="str">
            <v>VIOS G A/T</v>
          </cell>
        </row>
        <row r="1277">
          <cell r="D1277" t="str">
            <v>FJA300R-GNUZY-24</v>
          </cell>
          <cell r="E1277" t="str">
            <v>LANDCRUISER</v>
          </cell>
          <cell r="F1277" t="str">
            <v>LANDCRUISER</v>
          </cell>
          <cell r="G1277" t="str">
            <v>LANDCRUISER</v>
          </cell>
          <cell r="H1277" t="str">
            <v>LANDCRUISER</v>
          </cell>
          <cell r="I1277" t="str">
            <v>LANDCRUISER VX-R 4x4 A/T</v>
          </cell>
          <cell r="J1277" t="str">
            <v>LANDCRUISER VX-R 4x4 A/T</v>
          </cell>
          <cell r="K1277" t="str">
            <v>LANDCRUISER</v>
          </cell>
          <cell r="M1277" t="str">
            <v>LANDCRUISER</v>
          </cell>
          <cell r="N1277" t="str">
            <v>LANDCRUISER</v>
          </cell>
          <cell r="O1277" t="str">
            <v>FJA300R-GNUZY-24</v>
          </cell>
          <cell r="P1277" t="e">
            <v>#N/A</v>
          </cell>
          <cell r="Q1277" t="e">
            <v>#N/A</v>
          </cell>
          <cell r="R1277" t="str">
            <v>FJA300R-GNUZY-24</v>
          </cell>
          <cell r="S1277" t="str">
            <v>LANDCRUISER</v>
          </cell>
          <cell r="T1277" t="e">
            <v>#N/A</v>
          </cell>
          <cell r="U1277" t="str">
            <v>LANDCRUISER</v>
          </cell>
        </row>
        <row r="1278">
          <cell r="D1278" t="str">
            <v>GUN125R-DTFLXD-30</v>
          </cell>
          <cell r="E1278" t="str">
            <v>HILUX</v>
          </cell>
          <cell r="F1278" t="str">
            <v>HILUX DC</v>
          </cell>
          <cell r="G1278" t="str">
            <v>HILUX DC</v>
          </cell>
          <cell r="H1278" t="str">
            <v>HILUX DC E M/T DIESEL</v>
          </cell>
          <cell r="I1278" t="str">
            <v>HILUX DC E M/T DIESEL</v>
          </cell>
          <cell r="J1278" t="str">
            <v>HILUX DC E M/T DIESEL</v>
          </cell>
          <cell r="K1278" t="str">
            <v>HILUX DC</v>
          </cell>
          <cell r="M1278" t="str">
            <v>HILUX</v>
          </cell>
          <cell r="N1278" t="str">
            <v>HILUX DC</v>
          </cell>
          <cell r="O1278" t="str">
            <v>GUN125R-DTFLXD-30</v>
          </cell>
          <cell r="P1278" t="str">
            <v>HILUX D-CAB</v>
          </cell>
          <cell r="Q1278" t="e">
            <v>#N/A</v>
          </cell>
          <cell r="R1278" t="str">
            <v>GUN125R-DTFLXD-30</v>
          </cell>
          <cell r="S1278" t="str">
            <v>HILUX</v>
          </cell>
          <cell r="T1278" t="e">
            <v>#N/A</v>
          </cell>
          <cell r="U1278" t="str">
            <v>HILUX DC E M/T DIESEL</v>
          </cell>
        </row>
        <row r="1279">
          <cell r="D1279" t="str">
            <v>NGC102R-TEXHK-02</v>
          </cell>
          <cell r="E1279" t="str">
            <v>VIOS</v>
          </cell>
          <cell r="F1279" t="str">
            <v>VIOS</v>
          </cell>
          <cell r="G1279" t="str">
            <v>VIOS</v>
          </cell>
          <cell r="H1279" t="str">
            <v>VIOS G A/T</v>
          </cell>
          <cell r="I1279" t="str">
            <v>VIOS G A/T</v>
          </cell>
          <cell r="J1279" t="str">
            <v>VIOS G A/T</v>
          </cell>
          <cell r="K1279" t="str">
            <v>VIOS</v>
          </cell>
          <cell r="N1279" t="str">
            <v>VIOS</v>
          </cell>
          <cell r="O1279" t="str">
            <v>NGC102R-TEXHK-02</v>
          </cell>
          <cell r="P1279" t="e">
            <v>#N/A</v>
          </cell>
          <cell r="Q1279" t="e">
            <v>#N/A</v>
          </cell>
          <cell r="R1279" t="str">
            <v>NGC102R-TEXHK-02</v>
          </cell>
          <cell r="S1279" t="str">
            <v>VIOS</v>
          </cell>
          <cell r="T1279" t="e">
            <v>#N/A</v>
          </cell>
          <cell r="U1279" t="str">
            <v>VIOS G A/T</v>
          </cell>
        </row>
        <row r="1280">
          <cell r="D1280" t="str">
            <v>MAGH10R-BRXLBD-05</v>
          </cell>
          <cell r="E1280" t="str">
            <v>INNOVA</v>
          </cell>
          <cell r="F1280" t="str">
            <v>INNOVA</v>
          </cell>
          <cell r="G1280" t="str">
            <v>INNOVA</v>
          </cell>
          <cell r="H1280" t="str">
            <v>INNOVA ZENIX G A/T HIYBRID</v>
          </cell>
          <cell r="I1280" t="str">
            <v>INNOVA ZENIX G A/T HIYBRID</v>
          </cell>
          <cell r="J1280" t="str">
            <v>INNOVA ZENIX G A/T HIYBRID</v>
          </cell>
          <cell r="K1280" t="str">
            <v>INNOVA ZENIX HYBRID</v>
          </cell>
          <cell r="N1280" t="str">
            <v>INNOVA ZENIX HYBRID</v>
          </cell>
          <cell r="O1280" t="str">
            <v>MAGH10R-BRXLBD-05</v>
          </cell>
          <cell r="P1280" t="str">
            <v>INNOVA ZENIX HYBRID</v>
          </cell>
          <cell r="Q1280" t="str">
            <v>INNOVA ZENIX HYBRID</v>
          </cell>
          <cell r="R1280" t="str">
            <v>MAGH10R-BRXLBD-05</v>
          </cell>
          <cell r="S1280" t="str">
            <v>INNOVA</v>
          </cell>
          <cell r="T1280" t="str">
            <v>INV ZENIX HYBRID</v>
          </cell>
          <cell r="U1280" t="str">
            <v>INNOVA ZENIX G A/T HIYBRID</v>
          </cell>
        </row>
        <row r="1281">
          <cell r="D1281" t="str">
            <v>MAGH10R-BRXLBD-10</v>
          </cell>
          <cell r="E1281" t="str">
            <v>INNOVA</v>
          </cell>
          <cell r="F1281" t="str">
            <v>INNOVA</v>
          </cell>
          <cell r="G1281" t="str">
            <v>INNOVA</v>
          </cell>
          <cell r="H1281" t="str">
            <v>INNOVA ZENIX G A/T HIYBRID</v>
          </cell>
          <cell r="I1281" t="str">
            <v>INNOVA ZENIX G A/T HIYBRID</v>
          </cell>
          <cell r="J1281" t="str">
            <v>INNOVA ZENIX G A/T HIYBRID</v>
          </cell>
          <cell r="K1281" t="str">
            <v>INNOVA ZENIX HYBRID</v>
          </cell>
          <cell r="N1281" t="str">
            <v>INNOVA ZENIX HYBRID</v>
          </cell>
          <cell r="O1281" t="str">
            <v>MAGH10R-BRXLBD-10</v>
          </cell>
          <cell r="P1281" t="str">
            <v>INNOVA ZENIX HYBRID</v>
          </cell>
          <cell r="Q1281" t="str">
            <v>INNOVA ZENIX HYBRID</v>
          </cell>
          <cell r="R1281" t="str">
            <v>MAGH10R-BRXLBD-10</v>
          </cell>
          <cell r="S1281" t="str">
            <v>INNOVA</v>
          </cell>
          <cell r="T1281" t="str">
            <v>INV ZENIX HYBRID</v>
          </cell>
          <cell r="U1281" t="str">
            <v>INNOVA ZENIX G A/T HIYBRID</v>
          </cell>
        </row>
        <row r="1282">
          <cell r="D1282" t="str">
            <v>MAGA10R-BRXLBD-FD</v>
          </cell>
          <cell r="E1282" t="str">
            <v>INNOVA</v>
          </cell>
          <cell r="F1282" t="str">
            <v>INNOVA</v>
          </cell>
          <cell r="G1282" t="str">
            <v>INNOVA</v>
          </cell>
          <cell r="H1282" t="str">
            <v>INNOVA ZENIX G A/T</v>
          </cell>
          <cell r="I1282" t="str">
            <v>INNOVA ZENIX G A/T</v>
          </cell>
          <cell r="J1282" t="str">
            <v>INNOVA ZENIX G A/T TCO</v>
          </cell>
          <cell r="K1282" t="str">
            <v>INNOVA ZENIX GAS</v>
          </cell>
          <cell r="N1282" t="str">
            <v>INNOVA ZENIX GAS</v>
          </cell>
          <cell r="O1282" t="str">
            <v>MAGA10R-BRXLBD-FD</v>
          </cell>
          <cell r="P1282" t="str">
            <v>INNOVA ZENIX</v>
          </cell>
          <cell r="Q1282" t="str">
            <v>INNOVA ZENIX G BENSIN</v>
          </cell>
          <cell r="R1282" t="str">
            <v>MAGA10R-BRXLBD-FD</v>
          </cell>
          <cell r="S1282" t="str">
            <v>INNOVA</v>
          </cell>
          <cell r="T1282" t="str">
            <v>INV ZENIX GAS</v>
          </cell>
          <cell r="U1282" t="str">
            <v>INNOVA ZENIX G A/T</v>
          </cell>
        </row>
        <row r="1283">
          <cell r="D1283" t="str">
            <v>MAGH10R-BRXLBD-11</v>
          </cell>
          <cell r="E1283" t="str">
            <v>INNOVA</v>
          </cell>
          <cell r="F1283" t="str">
            <v>INNOVA</v>
          </cell>
          <cell r="G1283" t="str">
            <v>INNOVA</v>
          </cell>
          <cell r="H1283" t="str">
            <v>INNOVA ZENIX G A/T HIYBRID</v>
          </cell>
          <cell r="I1283" t="str">
            <v>INNOVA ZENIX G A/T HIYBRID</v>
          </cell>
          <cell r="J1283" t="str">
            <v>INNOVA ZENIX G A/T HIYBRID</v>
          </cell>
          <cell r="K1283" t="str">
            <v>INNOVA ZENIX HYBRID</v>
          </cell>
          <cell r="N1283" t="str">
            <v>INNOVA ZENIX HYBRID</v>
          </cell>
          <cell r="O1283" t="str">
            <v>MAGH10R-BRXLBD-11</v>
          </cell>
          <cell r="P1283" t="str">
            <v>INNOVA ZENIX HYBRID</v>
          </cell>
          <cell r="Q1283" t="str">
            <v>INNOVA ZENIX HYBRID</v>
          </cell>
          <cell r="R1283" t="str">
            <v>MAGH10R-BRXLBD-11</v>
          </cell>
          <cell r="S1283" t="str">
            <v>INNOVA</v>
          </cell>
          <cell r="T1283" t="str">
            <v>INV ZENIX HYBRID</v>
          </cell>
          <cell r="U1283" t="str">
            <v>INNOVA ZENIX G A/T HIYBRID</v>
          </cell>
        </row>
        <row r="1284">
          <cell r="D1284" t="str">
            <v>FJA300R-GNUSY-08</v>
          </cell>
          <cell r="E1284" t="str">
            <v>LANDCRUISER</v>
          </cell>
          <cell r="F1284" t="str">
            <v>LANDCRUISER</v>
          </cell>
          <cell r="G1284" t="str">
            <v>LANDCRUISER</v>
          </cell>
          <cell r="H1284" t="str">
            <v>LANDCRUISER</v>
          </cell>
          <cell r="I1284" t="str">
            <v>LANDCRUISER GR-S 4x4 A/T</v>
          </cell>
          <cell r="J1284" t="str">
            <v>LANDCRUISER GR-S 4x4 A/T</v>
          </cell>
          <cell r="K1284" t="str">
            <v>LANDCRUISER</v>
          </cell>
          <cell r="M1284" t="str">
            <v>LANDCRUISER</v>
          </cell>
          <cell r="N1284" t="str">
            <v>LANDCRUISER</v>
          </cell>
          <cell r="O1284" t="str">
            <v>FJA300R-GNUSY-08</v>
          </cell>
          <cell r="P1284" t="str">
            <v>LANDCRUISER 300</v>
          </cell>
          <cell r="Q1284" t="e">
            <v>#N/A</v>
          </cell>
          <cell r="R1284" t="str">
            <v>FJA300R-GNUSY-08</v>
          </cell>
          <cell r="S1284" t="str">
            <v>LANDCRUISER</v>
          </cell>
          <cell r="T1284" t="e">
            <v>#N/A</v>
          </cell>
          <cell r="U1284" t="str">
            <v>LANDCRUISER</v>
          </cell>
        </row>
        <row r="1285">
          <cell r="D1285" t="str">
            <v>FJA300R-GNUZY-04</v>
          </cell>
          <cell r="E1285" t="str">
            <v>LANDCRUISER</v>
          </cell>
          <cell r="F1285" t="str">
            <v>LANDCRUISER</v>
          </cell>
          <cell r="G1285" t="str">
            <v>LANDCRUISER</v>
          </cell>
          <cell r="H1285" t="str">
            <v>LANDCRUISER</v>
          </cell>
          <cell r="I1285" t="str">
            <v>LANDCRUISER VX-R 4x4 A/T</v>
          </cell>
          <cell r="J1285" t="str">
            <v>LANDCRUISER VX-R 4x4 A/T</v>
          </cell>
          <cell r="K1285" t="str">
            <v>LANDCRUISER</v>
          </cell>
          <cell r="M1285" t="str">
            <v>LANDCRUISER</v>
          </cell>
          <cell r="N1285" t="str">
            <v>LANDCRUISER</v>
          </cell>
          <cell r="O1285" t="str">
            <v>FJA300R-GNUZY-04</v>
          </cell>
          <cell r="P1285" t="str">
            <v>LANDCRUISER 300</v>
          </cell>
          <cell r="Q1285" t="e">
            <v>#N/A</v>
          </cell>
          <cell r="R1285" t="str">
            <v>FJA300R-GNUZY-04</v>
          </cell>
          <cell r="S1285" t="str">
            <v>LANDCRUISER</v>
          </cell>
          <cell r="T1285" t="e">
            <v>#N/A</v>
          </cell>
          <cell r="U1285" t="str">
            <v>LANDCRUISER</v>
          </cell>
        </row>
        <row r="1286">
          <cell r="D1286" t="str">
            <v>MAGH10R-BRXLBD-GA</v>
          </cell>
          <cell r="E1286" t="str">
            <v>INNOVA</v>
          </cell>
          <cell r="F1286" t="str">
            <v>INNOVA</v>
          </cell>
          <cell r="G1286" t="str">
            <v>INNOVA</v>
          </cell>
          <cell r="H1286" t="str">
            <v>INNOVA ZENIX G A/T HIYBRID</v>
          </cell>
          <cell r="I1286" t="str">
            <v>INNOVA ZENIX G A/T HIYBRID</v>
          </cell>
          <cell r="J1286" t="str">
            <v>INNOVA ZENIX G A/T HIYBRID TCO</v>
          </cell>
          <cell r="K1286" t="str">
            <v>INNOVA ZENIX HYBRID</v>
          </cell>
          <cell r="N1286" t="str">
            <v>INNOVA ZENIX HYBRID</v>
          </cell>
          <cell r="O1286" t="str">
            <v>MAGH10R-BRXLBD-GA</v>
          </cell>
          <cell r="P1286" t="str">
            <v>INNOVA ZENIX HYBRID</v>
          </cell>
          <cell r="Q1286" t="str">
            <v>INNOVA ZENIX HYBRID</v>
          </cell>
          <cell r="R1286" t="str">
            <v>MAGH10R-BRXLBD-GA</v>
          </cell>
          <cell r="S1286" t="str">
            <v>INNOVA</v>
          </cell>
          <cell r="T1286" t="str">
            <v>INNOVA</v>
          </cell>
          <cell r="U1286" t="str">
            <v>INNOVA ZENIX G A/T HIYBRID</v>
          </cell>
        </row>
        <row r="1287">
          <cell r="D1287" t="str">
            <v>W101RE-LBVFJ-J1</v>
          </cell>
          <cell r="E1287" t="str">
            <v>VELOZ</v>
          </cell>
          <cell r="F1287" t="str">
            <v>VELOZ</v>
          </cell>
          <cell r="G1287" t="str">
            <v>VELOZ</v>
          </cell>
          <cell r="H1287" t="str">
            <v>VELOZ A/T</v>
          </cell>
          <cell r="I1287" t="str">
            <v>VELOZ Q A/T TSS</v>
          </cell>
          <cell r="J1287" t="str">
            <v>VELOZ Q A/T TSS</v>
          </cell>
          <cell r="K1287" t="str">
            <v>VELOZ</v>
          </cell>
          <cell r="M1287" t="str">
            <v>VELOZ</v>
          </cell>
          <cell r="N1287" t="str">
            <v>VELOZ</v>
          </cell>
          <cell r="O1287" t="str">
            <v>W101RE-LBVFJ-J1</v>
          </cell>
          <cell r="P1287" t="e">
            <v>#N/A</v>
          </cell>
          <cell r="Q1287" t="e">
            <v>#N/A</v>
          </cell>
          <cell r="R1287" t="str">
            <v>W101RE-LBVFJ-J1</v>
          </cell>
          <cell r="S1287" t="str">
            <v>VELOZ</v>
          </cell>
          <cell r="T1287" t="e">
            <v>#N/A</v>
          </cell>
          <cell r="U1287" t="str">
            <v>VELOZ A/T</v>
          </cell>
        </row>
        <row r="1288">
          <cell r="D1288" t="str">
            <v>W101RE-LBVFJ-J0</v>
          </cell>
          <cell r="E1288" t="str">
            <v>VELOZ</v>
          </cell>
          <cell r="F1288" t="str">
            <v>VELOZ</v>
          </cell>
          <cell r="G1288" t="str">
            <v>VELOZ</v>
          </cell>
          <cell r="H1288" t="str">
            <v>VELOZ A/T</v>
          </cell>
          <cell r="I1288" t="str">
            <v>VELOZ Q A/T</v>
          </cell>
          <cell r="J1288" t="str">
            <v>VELOZ Q A/T</v>
          </cell>
          <cell r="K1288" t="str">
            <v>VELOZ</v>
          </cell>
          <cell r="M1288" t="str">
            <v>VELOZ</v>
          </cell>
          <cell r="N1288" t="str">
            <v>VELOZ</v>
          </cell>
          <cell r="O1288" t="str">
            <v>W101RE-LBVFJ-J0</v>
          </cell>
          <cell r="P1288" t="str">
            <v>VELOZ NEW</v>
          </cell>
          <cell r="Q1288" t="e">
            <v>#N/A</v>
          </cell>
          <cell r="R1288" t="str">
            <v>W101RE-LBVFJ-J0</v>
          </cell>
          <cell r="S1288" t="str">
            <v>VELOZ</v>
          </cell>
          <cell r="T1288" t="e">
            <v>#N/A</v>
          </cell>
          <cell r="U1288" t="str">
            <v>VELOZ A/T</v>
          </cell>
        </row>
        <row r="1289">
          <cell r="D1289" t="str">
            <v>W101RE-LBVFJ-J2</v>
          </cell>
          <cell r="E1289" t="str">
            <v>VELOZ</v>
          </cell>
          <cell r="F1289" t="str">
            <v>VELOZ</v>
          </cell>
          <cell r="G1289" t="str">
            <v>VELOZ</v>
          </cell>
          <cell r="H1289" t="str">
            <v>VELOZ A/T</v>
          </cell>
          <cell r="I1289" t="str">
            <v>VELOZ Q A/T</v>
          </cell>
          <cell r="J1289" t="str">
            <v>VELOZ Q A/T</v>
          </cell>
          <cell r="K1289" t="str">
            <v>VELOZ</v>
          </cell>
          <cell r="M1289" t="str">
            <v>VELOZ</v>
          </cell>
          <cell r="N1289" t="str">
            <v>VELOZ</v>
          </cell>
          <cell r="O1289" t="str">
            <v>W101RE-LBVFJ-J2</v>
          </cell>
          <cell r="P1289" t="e">
            <v>#N/A</v>
          </cell>
          <cell r="Q1289" t="e">
            <v>#N/A</v>
          </cell>
          <cell r="R1289" t="str">
            <v>W101RE-LBVFJ-J2</v>
          </cell>
          <cell r="S1289" t="str">
            <v>VELOZ</v>
          </cell>
          <cell r="T1289" t="e">
            <v>#N/A</v>
          </cell>
          <cell r="U1289" t="str">
            <v>VELOZ A/T</v>
          </cell>
        </row>
        <row r="1290">
          <cell r="D1290" t="str">
            <v>W101RE-LBVFJ-J3</v>
          </cell>
          <cell r="E1290" t="str">
            <v>VELOZ</v>
          </cell>
          <cell r="F1290" t="str">
            <v>VELOZ</v>
          </cell>
          <cell r="G1290" t="str">
            <v>VELOZ</v>
          </cell>
          <cell r="H1290" t="str">
            <v>VELOZ A/T</v>
          </cell>
          <cell r="I1290" t="str">
            <v>VELOZ Q A/T TSS</v>
          </cell>
          <cell r="J1290" t="str">
            <v>VELOZ Q A/T TSS</v>
          </cell>
          <cell r="K1290" t="str">
            <v>VELOZ</v>
          </cell>
          <cell r="M1290" t="str">
            <v>VELOZ</v>
          </cell>
          <cell r="N1290" t="str">
            <v>VELOZ</v>
          </cell>
          <cell r="O1290" t="str">
            <v>W101RE-LBVFJ-J3</v>
          </cell>
          <cell r="P1290" t="e">
            <v>#N/A</v>
          </cell>
          <cell r="Q1290" t="e">
            <v>#N/A</v>
          </cell>
          <cell r="R1290" t="str">
            <v>W101RE-LBVFJ-J3</v>
          </cell>
          <cell r="S1290" t="str">
            <v>VELOZ</v>
          </cell>
          <cell r="T1290" t="e">
            <v>#N/A</v>
          </cell>
          <cell r="U1290" t="str">
            <v>VELOZ A/T</v>
          </cell>
        </row>
        <row r="1291">
          <cell r="D1291" t="str">
            <v>W101RE-LBSFJ-J1</v>
          </cell>
          <cell r="E1291" t="str">
            <v>VELOZ</v>
          </cell>
          <cell r="F1291" t="str">
            <v>VELOZ</v>
          </cell>
          <cell r="G1291" t="str">
            <v>VELOZ</v>
          </cell>
          <cell r="H1291" t="str">
            <v>VELOZ A/T</v>
          </cell>
          <cell r="I1291" t="str">
            <v>VELOZ A/T</v>
          </cell>
          <cell r="J1291" t="str">
            <v>VELOZ A/T</v>
          </cell>
          <cell r="K1291" t="str">
            <v>VELOZ</v>
          </cell>
          <cell r="M1291" t="str">
            <v>VELOZ</v>
          </cell>
          <cell r="N1291" t="str">
            <v>VELOZ</v>
          </cell>
          <cell r="O1291" t="str">
            <v>W101RE-LBSFJ-J1</v>
          </cell>
          <cell r="P1291" t="e">
            <v>#N/A</v>
          </cell>
          <cell r="Q1291" t="e">
            <v>#N/A</v>
          </cell>
          <cell r="R1291" t="str">
            <v>W101RE-LBSFJ-J1</v>
          </cell>
          <cell r="S1291" t="str">
            <v>VELOZ</v>
          </cell>
          <cell r="T1291" t="e">
            <v>#N/A</v>
          </cell>
          <cell r="U1291" t="str">
            <v>VELOZ A/T</v>
          </cell>
        </row>
        <row r="1292">
          <cell r="D1292" t="str">
            <v>W101RE-LBSFJ-J0</v>
          </cell>
          <cell r="E1292" t="str">
            <v>VELOZ</v>
          </cell>
          <cell r="F1292" t="str">
            <v>VELOZ</v>
          </cell>
          <cell r="G1292" t="str">
            <v>VELOZ</v>
          </cell>
          <cell r="H1292" t="str">
            <v>VELOZ A/T</v>
          </cell>
          <cell r="I1292" t="str">
            <v>VELOZ A/T</v>
          </cell>
          <cell r="J1292" t="str">
            <v>VELOZ A/T</v>
          </cell>
          <cell r="K1292" t="str">
            <v>VELOZ</v>
          </cell>
          <cell r="M1292" t="str">
            <v>VELOZ</v>
          </cell>
          <cell r="N1292" t="str">
            <v>VELOZ</v>
          </cell>
          <cell r="O1292" t="str">
            <v>W101RE-LBSFJ-J0</v>
          </cell>
          <cell r="P1292" t="e">
            <v>#N/A</v>
          </cell>
          <cell r="Q1292" t="e">
            <v>#N/A</v>
          </cell>
          <cell r="R1292" t="str">
            <v>W101RE-LBSFJ-J0</v>
          </cell>
          <cell r="S1292" t="str">
            <v>VELOZ</v>
          </cell>
          <cell r="T1292" t="e">
            <v>#N/A</v>
          </cell>
          <cell r="U1292" t="str">
            <v>VELOZ A/T</v>
          </cell>
        </row>
        <row r="1293">
          <cell r="D1293" t="str">
            <v>W101RE-LMSFJ-J1</v>
          </cell>
          <cell r="E1293" t="str">
            <v>VELOZ</v>
          </cell>
          <cell r="F1293" t="str">
            <v>VELOZ</v>
          </cell>
          <cell r="G1293" t="str">
            <v>VELOZ</v>
          </cell>
          <cell r="H1293" t="str">
            <v>VELOZ M/T</v>
          </cell>
          <cell r="I1293" t="str">
            <v>VELOZ M/T</v>
          </cell>
          <cell r="J1293" t="str">
            <v>VELOZ M/T</v>
          </cell>
          <cell r="K1293" t="str">
            <v>VELOZ</v>
          </cell>
          <cell r="M1293" t="str">
            <v>VELOZ</v>
          </cell>
          <cell r="N1293" t="str">
            <v>VELOZ</v>
          </cell>
          <cell r="O1293" t="str">
            <v>W101RE-LMSFJ-J1</v>
          </cell>
          <cell r="P1293" t="e">
            <v>#N/A</v>
          </cell>
          <cell r="Q1293" t="e">
            <v>#N/A</v>
          </cell>
          <cell r="R1293" t="str">
            <v>W101RE-LMSFJ-J1</v>
          </cell>
          <cell r="S1293" t="str">
            <v>VELOZ</v>
          </cell>
          <cell r="T1293" t="e">
            <v>#N/A</v>
          </cell>
          <cell r="U1293" t="str">
            <v>VELOZ M/T</v>
          </cell>
        </row>
        <row r="1294">
          <cell r="D1294" t="str">
            <v>W101RE-LMSFJ-J0</v>
          </cell>
          <cell r="E1294" t="str">
            <v>VELOZ</v>
          </cell>
          <cell r="F1294" t="str">
            <v>VELOZ</v>
          </cell>
          <cell r="G1294" t="str">
            <v>VELOZ</v>
          </cell>
          <cell r="H1294" t="str">
            <v>VELOZ M/T</v>
          </cell>
          <cell r="I1294" t="str">
            <v>VELOZ M/T</v>
          </cell>
          <cell r="J1294" t="str">
            <v>VELOZ M/T</v>
          </cell>
          <cell r="K1294" t="str">
            <v>VELOZ</v>
          </cell>
          <cell r="M1294" t="str">
            <v>VELOZ</v>
          </cell>
          <cell r="N1294" t="str">
            <v>VELOZ</v>
          </cell>
          <cell r="O1294" t="str">
            <v>W101RE-LMSFJ-J0</v>
          </cell>
          <cell r="P1294" t="e">
            <v>#N/A</v>
          </cell>
          <cell r="Q1294" t="e">
            <v>#N/A</v>
          </cell>
          <cell r="R1294" t="str">
            <v>W101RE-LMSFJ-J0</v>
          </cell>
          <cell r="S1294" t="str">
            <v>VELOZ</v>
          </cell>
          <cell r="T1294" t="e">
            <v>#N/A</v>
          </cell>
          <cell r="U1294" t="str">
            <v>VELOZ M/T</v>
          </cell>
        </row>
        <row r="1295">
          <cell r="D1295" t="str">
            <v>MAGH10R-BPXHBD-01</v>
          </cell>
          <cell r="E1295" t="str">
            <v>INNOVA</v>
          </cell>
          <cell r="F1295" t="str">
            <v>INNOVA</v>
          </cell>
          <cell r="G1295" t="str">
            <v>INNOVA</v>
          </cell>
          <cell r="H1295" t="str">
            <v>INNOVA ZENIX Q A/T HYBRID</v>
          </cell>
          <cell r="I1295" t="str">
            <v>INNOVA ZENIX Q A/T HYBRID TSS</v>
          </cell>
          <cell r="J1295" t="str">
            <v>INNOVA ZENIX Q A/T HYBRID TSS</v>
          </cell>
          <cell r="K1295" t="str">
            <v>INNOVA ZENIX HYBRID</v>
          </cell>
          <cell r="N1295" t="str">
            <v>INNOVA ZENIX HYBRID</v>
          </cell>
          <cell r="O1295" t="str">
            <v>MAGH10R-BPXHBD-01</v>
          </cell>
          <cell r="P1295" t="str">
            <v>INNOVA ZENIX HYBRID</v>
          </cell>
          <cell r="Q1295" t="str">
            <v>INNOVA ZENIX HYBRID</v>
          </cell>
          <cell r="R1295" t="str">
            <v>MAGH10R-BPXHBD-01</v>
          </cell>
          <cell r="S1295" t="str">
            <v>INNOVA</v>
          </cell>
          <cell r="T1295" t="str">
            <v>INV ZENIX HYBRID</v>
          </cell>
          <cell r="U1295" t="str">
            <v>INNOVA ZENIX Q A/T HYBRID</v>
          </cell>
        </row>
        <row r="1296">
          <cell r="D1296" t="str">
            <v>MAGH10R-BPXHBD-00</v>
          </cell>
          <cell r="E1296" t="str">
            <v>INNOVA</v>
          </cell>
          <cell r="F1296" t="str">
            <v>INNOVA</v>
          </cell>
          <cell r="G1296" t="str">
            <v>INNOVA</v>
          </cell>
          <cell r="H1296" t="str">
            <v>INNOVA ZENIX Q A/T HYBRID</v>
          </cell>
          <cell r="I1296" t="str">
            <v>INNOVA ZENIX Q A/T HYBRID TSS</v>
          </cell>
          <cell r="J1296" t="str">
            <v>INNOVA ZENIX Q A/T HYBRID TSS</v>
          </cell>
          <cell r="K1296" t="str">
            <v>INNOVA ZENIX HYBRID</v>
          </cell>
          <cell r="N1296" t="str">
            <v>INNOVA ZENIX HYBRID</v>
          </cell>
          <cell r="O1296" t="str">
            <v>MAGH10R-BPXHBD-00</v>
          </cell>
          <cell r="P1296" t="str">
            <v>INNOVA ZENIX HYBRID</v>
          </cell>
          <cell r="Q1296" t="str">
            <v>INNOVA ZENIX HYBRID</v>
          </cell>
          <cell r="R1296" t="str">
            <v>MAGH10R-BPXHBD-00</v>
          </cell>
          <cell r="S1296" t="str">
            <v>INNOVA</v>
          </cell>
          <cell r="T1296" t="str">
            <v>INV ZENIX HYBRID</v>
          </cell>
          <cell r="U1296" t="str">
            <v>INNOVA ZENIX Q A/T HYBRID</v>
          </cell>
        </row>
        <row r="1297">
          <cell r="D1297" t="str">
            <v>MAGH10R-BPXHBD-CB</v>
          </cell>
          <cell r="E1297" t="str">
            <v>INNOVA</v>
          </cell>
          <cell r="F1297" t="str">
            <v>INNOVA</v>
          </cell>
          <cell r="G1297" t="str">
            <v>INNOVA</v>
          </cell>
          <cell r="H1297" t="str">
            <v>INNOVA ZENIX Q A/T HYBRID</v>
          </cell>
          <cell r="I1297" t="str">
            <v>INNOVA ZENIX Q A/T HYBRID TSS</v>
          </cell>
          <cell r="J1297" t="str">
            <v>INNOVA ZENIX Q A/T HYBRID TSS TCO</v>
          </cell>
          <cell r="K1297" t="str">
            <v>INNOVA ZENIX HYBRID</v>
          </cell>
          <cell r="N1297" t="str">
            <v>INNOVA ZENIX HYBRID</v>
          </cell>
          <cell r="O1297" t="str">
            <v>MAGH10R-BPXHBD-CB</v>
          </cell>
          <cell r="P1297" t="str">
            <v>INNOVA ZENIX HYBRID</v>
          </cell>
          <cell r="Q1297" t="e">
            <v>#N/A</v>
          </cell>
          <cell r="R1297" t="str">
            <v>MAGH10R-BPXHBD-CB</v>
          </cell>
          <cell r="S1297" t="str">
            <v>INNOVA</v>
          </cell>
          <cell r="T1297" t="str">
            <v>INV ZENIX HYBRID</v>
          </cell>
          <cell r="U1297" t="str">
            <v>INNOVA ZENIX Q A/T HYBRID</v>
          </cell>
        </row>
        <row r="1298">
          <cell r="D1298" t="str">
            <v>ZVG10R-DHXGBD-23</v>
          </cell>
          <cell r="E1298" t="str">
            <v>COROLLA CROSS</v>
          </cell>
          <cell r="F1298" t="str">
            <v>COROLLA CROSS HYBRID</v>
          </cell>
          <cell r="G1298" t="str">
            <v>COROLLA CROSS HYBRID</v>
          </cell>
          <cell r="H1298" t="str">
            <v>COROLLA CROSS A/T HYBRID</v>
          </cell>
          <cell r="I1298" t="str">
            <v>COROLLA CROSS A/T HYBRID</v>
          </cell>
          <cell r="J1298" t="str">
            <v>COROLLA CROSS A/T HYBRID GR</v>
          </cell>
          <cell r="K1298" t="str">
            <v>COROLLA CROSS HYBRID</v>
          </cell>
          <cell r="M1298" t="str">
            <v>COROLLA CROSS</v>
          </cell>
          <cell r="N1298" t="str">
            <v>COROLLA CROSS HYBRID</v>
          </cell>
          <cell r="O1298" t="str">
            <v>ZVG10R-DHXGBD-23</v>
          </cell>
          <cell r="P1298" t="e">
            <v>#N/A</v>
          </cell>
          <cell r="Q1298" t="e">
            <v>#N/A</v>
          </cell>
          <cell r="R1298" t="str">
            <v>ZVG10R-DHXGBD-23</v>
          </cell>
          <cell r="S1298" t="str">
            <v>COROLLA CROSS</v>
          </cell>
          <cell r="T1298" t="e">
            <v>#N/A</v>
          </cell>
          <cell r="U1298" t="str">
            <v>COROLLA CROSS A/T HYBRID</v>
          </cell>
        </row>
        <row r="1299">
          <cell r="D1299" t="str">
            <v>MAGH10R-BPXHBD-AA</v>
          </cell>
          <cell r="E1299" t="str">
            <v>INNOVA</v>
          </cell>
          <cell r="F1299" t="str">
            <v>INNOVA</v>
          </cell>
          <cell r="G1299" t="str">
            <v>INNOVA</v>
          </cell>
          <cell r="H1299" t="str">
            <v>INNOVA ZENIX Q A/T HYBRID</v>
          </cell>
          <cell r="I1299" t="str">
            <v>INNOVA ZENIX Q A/T HYBRID TSS</v>
          </cell>
          <cell r="J1299" t="str">
            <v>INNOVA ZENIX Q A/T HYBRID TSS TCO</v>
          </cell>
          <cell r="K1299" t="str">
            <v>INNOVA ZENIX HYBRID</v>
          </cell>
          <cell r="N1299" t="str">
            <v>INNOVA ZENIX HYBRID</v>
          </cell>
          <cell r="O1299" t="str">
            <v>MAGH10R-BPXHBD-AA</v>
          </cell>
          <cell r="P1299" t="str">
            <v>INNOVA ZENIX HYBRID</v>
          </cell>
          <cell r="Q1299" t="e">
            <v>#N/A</v>
          </cell>
          <cell r="R1299" t="str">
            <v>MAGH10R-BPXHBD-AA</v>
          </cell>
          <cell r="S1299" t="str">
            <v>INNOVA</v>
          </cell>
          <cell r="T1299" t="str">
            <v>INV ZENIX HYBRID</v>
          </cell>
          <cell r="U1299" t="str">
            <v>INNOVA ZENIX Q A/T HYBRID</v>
          </cell>
        </row>
        <row r="1300">
          <cell r="D1300" t="str">
            <v>NGC102R-TEXHK-03</v>
          </cell>
          <cell r="E1300" t="str">
            <v>VIOS</v>
          </cell>
          <cell r="F1300" t="str">
            <v>VIOS</v>
          </cell>
          <cell r="G1300" t="str">
            <v>VIOS</v>
          </cell>
          <cell r="H1300" t="str">
            <v>VIOS G A/T</v>
          </cell>
          <cell r="I1300" t="str">
            <v>VIOS G A/T</v>
          </cell>
          <cell r="J1300" t="str">
            <v>VIOS G A/T TSS</v>
          </cell>
          <cell r="K1300" t="str">
            <v>VIOS</v>
          </cell>
          <cell r="N1300" t="str">
            <v>VIOS</v>
          </cell>
          <cell r="O1300" t="str">
            <v>NGC102R-TEXHK-03</v>
          </cell>
          <cell r="P1300" t="str">
            <v>VIOS</v>
          </cell>
          <cell r="Q1300" t="e">
            <v>#N/A</v>
          </cell>
          <cell r="R1300" t="str">
            <v>NGC102R-TEXHK-03</v>
          </cell>
          <cell r="S1300" t="str">
            <v>VIOS</v>
          </cell>
          <cell r="T1300" t="e">
            <v>#N/A</v>
          </cell>
          <cell r="U1300" t="str">
            <v>VIOS G A/T</v>
          </cell>
        </row>
        <row r="1301">
          <cell r="D1301" t="str">
            <v>NGC102R-TEXHK-01</v>
          </cell>
          <cell r="E1301" t="str">
            <v>VIOS</v>
          </cell>
          <cell r="F1301" t="str">
            <v>VIOS</v>
          </cell>
          <cell r="G1301" t="str">
            <v>VIOS</v>
          </cell>
          <cell r="H1301" t="str">
            <v>VIOS G A/T</v>
          </cell>
          <cell r="I1301" t="str">
            <v>VIOS G A/T</v>
          </cell>
          <cell r="J1301" t="str">
            <v>VIOS G A/T TSS</v>
          </cell>
          <cell r="K1301" t="str">
            <v>VIOS</v>
          </cell>
          <cell r="N1301" t="str">
            <v>VIOS</v>
          </cell>
          <cell r="O1301" t="str">
            <v>NGC102R-TEXHK-01</v>
          </cell>
          <cell r="P1301" t="e">
            <v>#N/A</v>
          </cell>
          <cell r="Q1301" t="e">
            <v>#N/A</v>
          </cell>
          <cell r="R1301" t="str">
            <v>NGC102R-TEXHK-01</v>
          </cell>
          <cell r="S1301" t="str">
            <v>VIOS</v>
          </cell>
          <cell r="T1301" t="e">
            <v>#N/A</v>
          </cell>
          <cell r="U1301" t="str">
            <v>VIOS G A/T</v>
          </cell>
        </row>
        <row r="1302">
          <cell r="D1302" t="str">
            <v>ZVG10R-DHXGBD-21</v>
          </cell>
          <cell r="E1302" t="str">
            <v>COROLLA CROSS</v>
          </cell>
          <cell r="F1302" t="str">
            <v>COROLLA CROSS HYBRID</v>
          </cell>
          <cell r="G1302" t="str">
            <v>COROLLA CROSS HYBRID</v>
          </cell>
          <cell r="H1302" t="str">
            <v>COROLLA CROSS A/T HYBRID</v>
          </cell>
          <cell r="I1302" t="str">
            <v>COROLLA CROSS A/T HYBRID</v>
          </cell>
          <cell r="J1302" t="str">
            <v>COROLLA CROSS A/T HYBRID GR</v>
          </cell>
          <cell r="K1302" t="str">
            <v>COROLLA CROSS HYBRID</v>
          </cell>
          <cell r="M1302" t="str">
            <v>COROLLA CROSS</v>
          </cell>
          <cell r="N1302" t="str">
            <v>COROLLA CROSS HYBRID</v>
          </cell>
          <cell r="O1302" t="str">
            <v>ZVG10R-DHXGBD-21</v>
          </cell>
          <cell r="P1302" t="str">
            <v>COROLLA CROSS HYBRID</v>
          </cell>
          <cell r="Q1302" t="e">
            <v>#N/A</v>
          </cell>
          <cell r="R1302" t="str">
            <v>ZVG10R-DHXGBD-21</v>
          </cell>
          <cell r="S1302" t="str">
            <v>COROLLA CROSS</v>
          </cell>
          <cell r="T1302" t="e">
            <v>#N/A</v>
          </cell>
          <cell r="U1302" t="str">
            <v>COROLLA CROSS A/T HYBRID</v>
          </cell>
        </row>
        <row r="1303">
          <cell r="D1303" t="str">
            <v>ZVG10R-DHXGBD-11</v>
          </cell>
          <cell r="E1303" t="str">
            <v>COROLLA CROSS</v>
          </cell>
          <cell r="F1303" t="str">
            <v>COROLLA CROSS HYBRID</v>
          </cell>
          <cell r="G1303" t="str">
            <v>COROLLA CROSS HYBRID</v>
          </cell>
          <cell r="H1303" t="str">
            <v>COROLLA CROSS A/T HYBRID</v>
          </cell>
          <cell r="I1303" t="str">
            <v>COROLLA CROSS A/T HYBRID</v>
          </cell>
          <cell r="J1303" t="str">
            <v>COROLLA CROSS A/T HYBRID</v>
          </cell>
          <cell r="K1303" t="str">
            <v>COROLLA CROSS HYBRID</v>
          </cell>
          <cell r="M1303" t="str">
            <v>COROLLA CROSS</v>
          </cell>
          <cell r="N1303" t="str">
            <v>COROLLA CROSS HYBRID</v>
          </cell>
          <cell r="O1303" t="str">
            <v>ZVG10R-DHXGBD-11</v>
          </cell>
          <cell r="P1303" t="str">
            <v>COROLLA CROSS HYBRID</v>
          </cell>
          <cell r="Q1303" t="e">
            <v>#N/A</v>
          </cell>
          <cell r="R1303" t="str">
            <v>ZVG10R-DHXGBD-11</v>
          </cell>
          <cell r="S1303" t="str">
            <v>COROLLA CROSS</v>
          </cell>
          <cell r="T1303" t="e">
            <v>#N/A</v>
          </cell>
          <cell r="U1303" t="str">
            <v>COROLLA CROSS A/T HYBRID</v>
          </cell>
        </row>
        <row r="1304">
          <cell r="D1304" t="str">
            <v>ZVG10R-DHXGBD-12</v>
          </cell>
          <cell r="E1304" t="str">
            <v>COROLLA CROSS</v>
          </cell>
          <cell r="F1304" t="str">
            <v>COROLLA CROSS HYBRID</v>
          </cell>
          <cell r="G1304" t="str">
            <v>COROLLA CROSS HYBRID</v>
          </cell>
          <cell r="H1304" t="str">
            <v>COROLLA CROSS A/T HYBRID</v>
          </cell>
          <cell r="I1304" t="str">
            <v>COROLLA CROSS A/T HYBRID</v>
          </cell>
          <cell r="J1304" t="str">
            <v>COROLLA CROSS A/T HYBRID</v>
          </cell>
          <cell r="K1304" t="str">
            <v>COROLLA CROSS HYBRID</v>
          </cell>
          <cell r="M1304" t="str">
            <v>COROLLA CROSS</v>
          </cell>
          <cell r="N1304" t="str">
            <v>COROLLA CROSS HYBRID</v>
          </cell>
          <cell r="O1304" t="str">
            <v>ZVG10R-DHXGBD-12</v>
          </cell>
          <cell r="P1304" t="str">
            <v>COROLLA CROSS HYBRID</v>
          </cell>
          <cell r="Q1304" t="e">
            <v>#N/A</v>
          </cell>
          <cell r="R1304" t="str">
            <v>ZVG10R-DHXGBD-12</v>
          </cell>
          <cell r="S1304" t="str">
            <v>COROLLA CROSS</v>
          </cell>
          <cell r="T1304" t="e">
            <v>#N/A</v>
          </cell>
          <cell r="U1304" t="str">
            <v>COROLLA CROSS A/T HYBRID</v>
          </cell>
        </row>
        <row r="1305">
          <cell r="D1305" t="str">
            <v>ZVG10R-DHXGBD-22</v>
          </cell>
          <cell r="E1305" t="str">
            <v>COROLLA CROSS</v>
          </cell>
          <cell r="F1305" t="str">
            <v>COROLLA CROSS HYBRID</v>
          </cell>
          <cell r="G1305" t="str">
            <v>COROLLA CROSS HYBRID</v>
          </cell>
          <cell r="H1305" t="str">
            <v>COROLLA CROSS A/T HYBRID</v>
          </cell>
          <cell r="I1305" t="str">
            <v>COROLLA CROSS A/T HYBRID</v>
          </cell>
          <cell r="J1305" t="str">
            <v>COROLLA CROSS A/T HYBRID GR</v>
          </cell>
          <cell r="K1305" t="str">
            <v>COROLLA CROSS HYBRID</v>
          </cell>
          <cell r="M1305" t="str">
            <v>COROLLA CROSS</v>
          </cell>
          <cell r="N1305" t="str">
            <v>COROLLA CROSS HYBRID</v>
          </cell>
          <cell r="O1305" t="str">
            <v>ZVG10R-DHXGBD-22</v>
          </cell>
          <cell r="P1305" t="str">
            <v>COROLLA CROSS HYBRID</v>
          </cell>
          <cell r="Q1305" t="e">
            <v>#N/A</v>
          </cell>
          <cell r="R1305" t="str">
            <v>ZVG10R-DHXGBD-22</v>
          </cell>
          <cell r="S1305" t="str">
            <v>COROLLA CROSS</v>
          </cell>
          <cell r="T1305" t="e">
            <v>#N/A</v>
          </cell>
          <cell r="U1305" t="str">
            <v>COROLLA CROSS A/T HYBRID</v>
          </cell>
        </row>
        <row r="1306">
          <cell r="D1306" t="str">
            <v>A351RA-GBGFJ-CB</v>
          </cell>
          <cell r="E1306" t="str">
            <v>AGYA</v>
          </cell>
          <cell r="F1306" t="str">
            <v>AGYA</v>
          </cell>
          <cell r="G1306" t="str">
            <v>AGYA</v>
          </cell>
          <cell r="H1306" t="str">
            <v>AGYA G A/T</v>
          </cell>
          <cell r="I1306" t="str">
            <v>AGYA G A/T GR</v>
          </cell>
          <cell r="J1306" t="str">
            <v>AGYA 1.2 GR A/T-TWO TONE-TCO</v>
          </cell>
          <cell r="K1306" t="str">
            <v>AGYA GR</v>
          </cell>
          <cell r="M1306" t="str">
            <v>AGYA</v>
          </cell>
          <cell r="N1306" t="str">
            <v>AGYA GR</v>
          </cell>
          <cell r="O1306" t="str">
            <v>A351RA-GBGFJ-CB</v>
          </cell>
          <cell r="P1306" t="e">
            <v>#N/A</v>
          </cell>
          <cell r="Q1306" t="e">
            <v>#N/A</v>
          </cell>
          <cell r="R1306" t="str">
            <v>A351RA-GBGFJ-CB</v>
          </cell>
          <cell r="S1306" t="str">
            <v>AGYA</v>
          </cell>
          <cell r="T1306" t="e">
            <v>#N/A</v>
          </cell>
          <cell r="U1306" t="str">
            <v>AGYA G A/T</v>
          </cell>
        </row>
        <row r="1307">
          <cell r="D1307" t="str">
            <v>A351RA-GBEFJ-DA</v>
          </cell>
          <cell r="E1307" t="str">
            <v>AGYA</v>
          </cell>
          <cell r="F1307" t="str">
            <v>AGYA</v>
          </cell>
          <cell r="G1307" t="str">
            <v>AGYA</v>
          </cell>
          <cell r="H1307" t="str">
            <v>AGYA G A/T</v>
          </cell>
          <cell r="I1307" t="str">
            <v>AGYA G A/T</v>
          </cell>
          <cell r="J1307" t="str">
            <v>AGYA 1.2 G A/T-TCO</v>
          </cell>
          <cell r="K1307" t="str">
            <v>AGYA</v>
          </cell>
          <cell r="N1307" t="str">
            <v>AGYA</v>
          </cell>
          <cell r="O1307" t="str">
            <v>A351RA-GBEFJ-DA</v>
          </cell>
          <cell r="P1307" t="str">
            <v>AGYA</v>
          </cell>
          <cell r="Q1307" t="e">
            <v>#N/A</v>
          </cell>
          <cell r="R1307" t="str">
            <v>A351RA-GBEFJ-DA</v>
          </cell>
          <cell r="S1307" t="str">
            <v>AGYA</v>
          </cell>
          <cell r="T1307" t="e">
            <v>#N/A</v>
          </cell>
          <cell r="U1307" t="str">
            <v>AGYA G A/T</v>
          </cell>
        </row>
        <row r="1308">
          <cell r="D1308" t="str">
            <v>A351RA-GMGFJ-01</v>
          </cell>
          <cell r="E1308" t="str">
            <v>AGYA</v>
          </cell>
          <cell r="F1308" t="str">
            <v>AGYA</v>
          </cell>
          <cell r="G1308" t="str">
            <v>AGYA</v>
          </cell>
          <cell r="H1308" t="str">
            <v>AGYA G M/T</v>
          </cell>
          <cell r="I1308" t="str">
            <v>AGYA G M/T GR</v>
          </cell>
          <cell r="J1308" t="str">
            <v>AGYA 1.2 GR M/T-TWO TONE</v>
          </cell>
          <cell r="K1308" t="str">
            <v>AGYA GR</v>
          </cell>
          <cell r="M1308" t="str">
            <v>AGYA</v>
          </cell>
          <cell r="N1308" t="str">
            <v>AGYA GR</v>
          </cell>
          <cell r="O1308" t="str">
            <v>A351RA-GMGFJ-01</v>
          </cell>
          <cell r="P1308" t="e">
            <v>#N/A</v>
          </cell>
          <cell r="Q1308" t="e">
            <v>#N/A</v>
          </cell>
          <cell r="R1308" t="str">
            <v>A351RA-GMGFJ-01</v>
          </cell>
          <cell r="S1308" t="str">
            <v>AGYA</v>
          </cell>
          <cell r="T1308" t="e">
            <v>#N/A</v>
          </cell>
          <cell r="U1308" t="str">
            <v>AGYA G M/T</v>
          </cell>
        </row>
        <row r="1309">
          <cell r="D1309" t="str">
            <v>A351RA-GBGFJ-01</v>
          </cell>
          <cell r="E1309" t="str">
            <v>AGYA</v>
          </cell>
          <cell r="F1309" t="str">
            <v>AGYA</v>
          </cell>
          <cell r="G1309" t="str">
            <v>AGYA</v>
          </cell>
          <cell r="H1309" t="str">
            <v>AGYA G A/T</v>
          </cell>
          <cell r="I1309" t="str">
            <v>AGYA G A/T GR</v>
          </cell>
          <cell r="J1309" t="str">
            <v>AGYA 1.2 GR A/T-TWO TONE</v>
          </cell>
          <cell r="K1309" t="str">
            <v>AGYA GR</v>
          </cell>
          <cell r="M1309" t="str">
            <v>AGYA</v>
          </cell>
          <cell r="N1309" t="str">
            <v>AGYA GR</v>
          </cell>
          <cell r="O1309" t="str">
            <v>A351RA-GBGFJ-01</v>
          </cell>
          <cell r="P1309" t="str">
            <v>AGYA GR-S</v>
          </cell>
          <cell r="Q1309" t="str">
            <v>AGYA</v>
          </cell>
          <cell r="R1309" t="str">
            <v>A351RA-GBGFJ-01</v>
          </cell>
          <cell r="S1309" t="str">
            <v>AGYA</v>
          </cell>
          <cell r="T1309" t="e">
            <v>#N/A</v>
          </cell>
          <cell r="U1309" t="str">
            <v>AGYA G A/T</v>
          </cell>
        </row>
        <row r="1310">
          <cell r="D1310" t="str">
            <v>A351RA-GMGFJ-00</v>
          </cell>
          <cell r="E1310" t="str">
            <v>AGYA</v>
          </cell>
          <cell r="F1310" t="str">
            <v>AGYA</v>
          </cell>
          <cell r="G1310" t="str">
            <v>AGYA</v>
          </cell>
          <cell r="H1310" t="str">
            <v>AGYA G M/T</v>
          </cell>
          <cell r="I1310" t="str">
            <v>AGYA G M/T GR</v>
          </cell>
          <cell r="J1310" t="str">
            <v>AGYA 1.2 GR M/T-ONE TONE</v>
          </cell>
          <cell r="K1310" t="str">
            <v>AGYA GR</v>
          </cell>
          <cell r="M1310" t="str">
            <v>AGYA</v>
          </cell>
          <cell r="N1310" t="str">
            <v>AGYA GR</v>
          </cell>
          <cell r="O1310" t="str">
            <v>A351RA-GMGFJ-00</v>
          </cell>
          <cell r="P1310" t="str">
            <v>AGYA GR-S</v>
          </cell>
          <cell r="Q1310" t="e">
            <v>#N/A</v>
          </cell>
          <cell r="R1310" t="str">
            <v>A351RA-GMGFJ-00</v>
          </cell>
          <cell r="S1310" t="str">
            <v>AGYA</v>
          </cell>
          <cell r="T1310" t="e">
            <v>#N/A</v>
          </cell>
          <cell r="U1310" t="str">
            <v>AGYA G M/T</v>
          </cell>
        </row>
        <row r="1311">
          <cell r="D1311" t="str">
            <v>A351RA-GBGFJ-00</v>
          </cell>
          <cell r="E1311" t="str">
            <v>AGYA</v>
          </cell>
          <cell r="F1311" t="str">
            <v>AGYA</v>
          </cell>
          <cell r="G1311" t="str">
            <v>AGYA</v>
          </cell>
          <cell r="H1311" t="str">
            <v>AGYA G A/T</v>
          </cell>
          <cell r="I1311" t="str">
            <v>AGYA G A/T GR</v>
          </cell>
          <cell r="J1311" t="str">
            <v>AGYA 1.2 GR A/T-ONE TONE</v>
          </cell>
          <cell r="K1311" t="str">
            <v>AGYA GR</v>
          </cell>
          <cell r="M1311" t="str">
            <v>AGYA</v>
          </cell>
          <cell r="N1311" t="str">
            <v>AGYA GR</v>
          </cell>
          <cell r="O1311" t="str">
            <v>A351RA-GBGFJ-00</v>
          </cell>
          <cell r="P1311" t="str">
            <v>AGYA GR-S</v>
          </cell>
          <cell r="Q1311" t="str">
            <v>AGYA</v>
          </cell>
          <cell r="R1311" t="str">
            <v>A351RA-GBGFJ-00</v>
          </cell>
          <cell r="S1311" t="str">
            <v>AGYA</v>
          </cell>
          <cell r="T1311" t="e">
            <v>#N/A</v>
          </cell>
          <cell r="U1311" t="str">
            <v>AGYA G A/T</v>
          </cell>
        </row>
        <row r="1312">
          <cell r="D1312" t="str">
            <v>A351RA-GMEFJ-00</v>
          </cell>
          <cell r="E1312" t="str">
            <v>AGYA</v>
          </cell>
          <cell r="F1312" t="str">
            <v>AGYA</v>
          </cell>
          <cell r="G1312" t="str">
            <v>AGYA</v>
          </cell>
          <cell r="H1312" t="str">
            <v>AGYA G M/T</v>
          </cell>
          <cell r="I1312" t="str">
            <v>AGYA G M/T</v>
          </cell>
          <cell r="J1312" t="str">
            <v>AGYA 1.2 G M/T</v>
          </cell>
          <cell r="K1312" t="str">
            <v>AGYA</v>
          </cell>
          <cell r="N1312" t="str">
            <v>AGYA</v>
          </cell>
          <cell r="O1312" t="str">
            <v>A351RA-GMEFJ-00</v>
          </cell>
          <cell r="P1312" t="str">
            <v>AGYA</v>
          </cell>
          <cell r="Q1312" t="str">
            <v>AGYA</v>
          </cell>
          <cell r="R1312" t="str">
            <v>A351RA-GMEFJ-00</v>
          </cell>
          <cell r="S1312" t="str">
            <v>AGYA</v>
          </cell>
          <cell r="T1312" t="str">
            <v>AGYA</v>
          </cell>
          <cell r="U1312" t="str">
            <v>AGYA G M/T</v>
          </cell>
        </row>
        <row r="1313">
          <cell r="D1313" t="str">
            <v>A351RA-GBEFJ-00</v>
          </cell>
          <cell r="E1313" t="str">
            <v>AGYA</v>
          </cell>
          <cell r="F1313" t="str">
            <v>AGYA</v>
          </cell>
          <cell r="G1313" t="str">
            <v>AGYA</v>
          </cell>
          <cell r="H1313" t="str">
            <v>AGYA G A/T</v>
          </cell>
          <cell r="I1313" t="str">
            <v>AGYA G A/T</v>
          </cell>
          <cell r="J1313" t="str">
            <v>AGYA 1.2 G A/T</v>
          </cell>
          <cell r="K1313" t="str">
            <v>AGYA</v>
          </cell>
          <cell r="N1313" t="str">
            <v>AGYA</v>
          </cell>
          <cell r="O1313" t="str">
            <v>A351RA-GBEFJ-00</v>
          </cell>
          <cell r="P1313" t="str">
            <v>AGYA</v>
          </cell>
          <cell r="Q1313" t="str">
            <v>AGYA</v>
          </cell>
          <cell r="R1313" t="str">
            <v>A351RA-GBEFJ-00</v>
          </cell>
          <cell r="S1313" t="str">
            <v>AGYA</v>
          </cell>
          <cell r="T1313" t="str">
            <v>AGYA</v>
          </cell>
          <cell r="U1313" t="str">
            <v>AGYA G A/T</v>
          </cell>
        </row>
        <row r="1314">
          <cell r="D1314" t="str">
            <v>A351RA-GMEFJ-AA</v>
          </cell>
          <cell r="E1314" t="str">
            <v>AGYA</v>
          </cell>
          <cell r="F1314" t="str">
            <v>AGYA</v>
          </cell>
          <cell r="G1314" t="str">
            <v>AGYA</v>
          </cell>
          <cell r="H1314" t="str">
            <v>AGYA G M/T</v>
          </cell>
          <cell r="I1314" t="str">
            <v>AGYA G M/T</v>
          </cell>
          <cell r="J1314" t="str">
            <v>AGYA 1.2 G M/T TCO</v>
          </cell>
          <cell r="K1314" t="str">
            <v>AGYA</v>
          </cell>
          <cell r="N1314" t="str">
            <v>AGYA</v>
          </cell>
          <cell r="O1314" t="str">
            <v>A351RA-GMEFJ-AA</v>
          </cell>
          <cell r="P1314" t="str">
            <v>AGYA</v>
          </cell>
          <cell r="Q1314" t="e">
            <v>#N/A</v>
          </cell>
          <cell r="R1314" t="str">
            <v>A351RA-GMEFJ-AA</v>
          </cell>
          <cell r="S1314" t="str">
            <v>AGYA</v>
          </cell>
          <cell r="T1314" t="e">
            <v>#N/A</v>
          </cell>
          <cell r="U1314" t="str">
            <v>AGYA G M/T</v>
          </cell>
        </row>
        <row r="1315">
          <cell r="D1315" t="str">
            <v>A351RA-GBEFJ-AA</v>
          </cell>
          <cell r="E1315" t="str">
            <v>AGYA</v>
          </cell>
          <cell r="F1315" t="str">
            <v>AGYA</v>
          </cell>
          <cell r="G1315" t="str">
            <v>AGYA</v>
          </cell>
          <cell r="H1315" t="str">
            <v>AGYA G A/T</v>
          </cell>
          <cell r="I1315" t="str">
            <v>AGYA G A/T</v>
          </cell>
          <cell r="J1315" t="str">
            <v>AGYA 1.2 G A/T-TCO</v>
          </cell>
          <cell r="K1315" t="str">
            <v>AGYA</v>
          </cell>
          <cell r="N1315" t="str">
            <v>AGYA</v>
          </cell>
          <cell r="O1315" t="str">
            <v>A351RA-GBEFJ-AA</v>
          </cell>
          <cell r="P1315" t="e">
            <v>#N/A</v>
          </cell>
          <cell r="Q1315" t="e">
            <v>#N/A</v>
          </cell>
          <cell r="R1315" t="str">
            <v>A351RA-GBEFJ-AA</v>
          </cell>
          <cell r="S1315" t="str">
            <v>AGYA</v>
          </cell>
          <cell r="T1315" t="e">
            <v>#N/A</v>
          </cell>
          <cell r="U1315" t="str">
            <v>AGYA G A/T</v>
          </cell>
        </row>
        <row r="1316">
          <cell r="D1316" t="str">
            <v>GGH30R-PFZVK-20</v>
          </cell>
          <cell r="E1316" t="str">
            <v>ALPHARD</v>
          </cell>
          <cell r="F1316" t="str">
            <v>ALPHARD</v>
          </cell>
          <cell r="G1316" t="str">
            <v>ALPHARD</v>
          </cell>
          <cell r="H1316" t="str">
            <v>ALPHARD Q A/T</v>
          </cell>
          <cell r="I1316" t="str">
            <v>ALPHARD Q A/T</v>
          </cell>
          <cell r="J1316" t="str">
            <v>ALPHARD Q A/T</v>
          </cell>
          <cell r="K1316" t="str">
            <v>ALPHARD</v>
          </cell>
          <cell r="M1316" t="str">
            <v>ALPHARD</v>
          </cell>
          <cell r="N1316" t="str">
            <v>ALPHARD</v>
          </cell>
          <cell r="O1316" t="str">
            <v>GGH30R-PFZVK-20</v>
          </cell>
          <cell r="P1316" t="e">
            <v>#N/A</v>
          </cell>
          <cell r="Q1316" t="e">
            <v>#N/A</v>
          </cell>
          <cell r="R1316" t="str">
            <v>GGH30R-PFZVK-20</v>
          </cell>
          <cell r="S1316" t="str">
            <v>ALPHARD</v>
          </cell>
          <cell r="T1316" t="e">
            <v>#N/A</v>
          </cell>
          <cell r="U1316" t="str">
            <v>ALPHARD Q A/T</v>
          </cell>
        </row>
        <row r="1317">
          <cell r="D1317" t="str">
            <v>MAGH10R-BPXHBD-BA</v>
          </cell>
          <cell r="E1317" t="str">
            <v>INNOVA</v>
          </cell>
          <cell r="F1317" t="str">
            <v>INNOVA</v>
          </cell>
          <cell r="G1317" t="str">
            <v>INNOVA</v>
          </cell>
          <cell r="H1317" t="str">
            <v>INNOVA ZENIX Q A/T HYBRID</v>
          </cell>
          <cell r="I1317" t="str">
            <v>INNOVA ZENIX Q A/T HYBRID TSS</v>
          </cell>
          <cell r="J1317" t="str">
            <v>INNOVA ZENIX Q A/T HYBRID TSS TCO</v>
          </cell>
          <cell r="K1317" t="str">
            <v>INNOVA ZENIX HYBRID</v>
          </cell>
          <cell r="N1317" t="str">
            <v>INNOVA ZENIX HYBRID</v>
          </cell>
          <cell r="O1317" t="str">
            <v>MAGH10R-BPXHBD-BA</v>
          </cell>
          <cell r="P1317" t="str">
            <v>INNOVA ZENIX HYBRID</v>
          </cell>
          <cell r="Q1317" t="e">
            <v>#N/A</v>
          </cell>
          <cell r="R1317" t="str">
            <v>MAGH10R-BPXHBD-BA</v>
          </cell>
          <cell r="S1317" t="str">
            <v>INNOVA</v>
          </cell>
          <cell r="T1317" t="str">
            <v>INV ZENIX HYBRID</v>
          </cell>
          <cell r="U1317" t="str">
            <v>INNOVA ZENIX Q A/T HYBRID</v>
          </cell>
        </row>
        <row r="1318">
          <cell r="D1318" t="str">
            <v>A250RA-GBVVJ-BM</v>
          </cell>
          <cell r="E1318" t="str">
            <v>RAIZE</v>
          </cell>
          <cell r="F1318" t="str">
            <v>RAIZE</v>
          </cell>
          <cell r="G1318" t="str">
            <v>RAIZE</v>
          </cell>
          <cell r="H1318" t="str">
            <v>RAIZE S A/T</v>
          </cell>
          <cell r="I1318" t="str">
            <v>RAIZE 1.0T S A/T GR</v>
          </cell>
          <cell r="J1318" t="str">
            <v>RAIZE 1.0T S A/T GR TCO - ONE TONE</v>
          </cell>
          <cell r="K1318" t="str">
            <v>RAIZE</v>
          </cell>
          <cell r="M1318" t="str">
            <v>RAIZE</v>
          </cell>
          <cell r="N1318" t="str">
            <v>RAIZE</v>
          </cell>
          <cell r="O1318" t="str">
            <v>A250RA-GBVVJ-BM</v>
          </cell>
          <cell r="P1318" t="e">
            <v>#N/A</v>
          </cell>
          <cell r="Q1318" t="e">
            <v>#N/A</v>
          </cell>
          <cell r="R1318" t="str">
            <v>A250RA-GBVVJ-BM</v>
          </cell>
          <cell r="S1318" t="str">
            <v>RAIZE</v>
          </cell>
          <cell r="T1318" t="e">
            <v>#N/A</v>
          </cell>
          <cell r="U1318" t="str">
            <v>RAIZE S A/T</v>
          </cell>
        </row>
        <row r="1319">
          <cell r="D1319" t="str">
            <v>GUN155R-SDTSHD-D0</v>
          </cell>
          <cell r="E1319" t="str">
            <v>FORTUNER</v>
          </cell>
          <cell r="F1319" t="str">
            <v>FORTUNER 4X4</v>
          </cell>
          <cell r="G1319" t="str">
            <v>FORTUNER 4X4</v>
          </cell>
          <cell r="H1319" t="str">
            <v>FORTUNER 4X4 G A/T DIESEL</v>
          </cell>
          <cell r="I1319" t="str">
            <v>FORTUNER 4X4 G A/T DIESEL</v>
          </cell>
          <cell r="J1319" t="str">
            <v>FORTUNER 4X4 G A/T DIESEL</v>
          </cell>
          <cell r="K1319" t="str">
            <v>FORTUNER 4X4</v>
          </cell>
          <cell r="L1319" t="str">
            <v>GUN554A/TD0M</v>
          </cell>
          <cell r="M1319" t="str">
            <v>FORTUNER</v>
          </cell>
          <cell r="N1319" t="str">
            <v>FORTUNER 4X4</v>
          </cell>
          <cell r="O1319" t="str">
            <v>GUN155R-SDTSHD-D0</v>
          </cell>
          <cell r="P1319" t="e">
            <v>#N/A</v>
          </cell>
          <cell r="Q1319" t="e">
            <v>#N/A</v>
          </cell>
          <cell r="R1319" t="str">
            <v>GUN155R-SDTSHD-D0</v>
          </cell>
          <cell r="S1319" t="str">
            <v>FORTUNER</v>
          </cell>
          <cell r="T1319" t="e">
            <v>#N/A</v>
          </cell>
          <cell r="U1319" t="str">
            <v>FORTUNER 4X4 G A/T DIESEL</v>
          </cell>
        </row>
        <row r="1320">
          <cell r="D1320" t="str">
            <v>NSP151R-CHXVKD-61</v>
          </cell>
          <cell r="E1320" t="str">
            <v>YARIS</v>
          </cell>
          <cell r="F1320" t="str">
            <v>YARIS</v>
          </cell>
          <cell r="G1320" t="str">
            <v>YARIS</v>
          </cell>
          <cell r="H1320" t="str">
            <v>YARIS S A/T</v>
          </cell>
          <cell r="I1320" t="str">
            <v>YARIS S A/T GR</v>
          </cell>
          <cell r="J1320" t="str">
            <v>YARIS S A/T 3 AIRBAGS GR</v>
          </cell>
          <cell r="K1320" t="str">
            <v>YARIS</v>
          </cell>
          <cell r="N1320" t="str">
            <v>YARIS</v>
          </cell>
          <cell r="O1320" t="str">
            <v>NSP151R-CHXVKD-61</v>
          </cell>
          <cell r="P1320" t="str">
            <v>YARIS</v>
          </cell>
          <cell r="Q1320" t="e">
            <v>#N/A</v>
          </cell>
          <cell r="R1320" t="str">
            <v>NSP151R-CHXVKD-61</v>
          </cell>
          <cell r="S1320" t="str">
            <v>YARIS</v>
          </cell>
          <cell r="T1320" t="e">
            <v>#N/A</v>
          </cell>
          <cell r="U1320" t="str">
            <v>YARIS S A/T</v>
          </cell>
        </row>
        <row r="1321">
          <cell r="D1321" t="str">
            <v>ZN8-BKE8-00</v>
          </cell>
          <cell r="E1321" t="str">
            <v>FT86</v>
          </cell>
          <cell r="F1321" t="str">
            <v>FT86</v>
          </cell>
          <cell r="G1321" t="str">
            <v>FT86</v>
          </cell>
          <cell r="H1321" t="str">
            <v>FT 86</v>
          </cell>
          <cell r="I1321" t="str">
            <v>FT 86</v>
          </cell>
          <cell r="J1321" t="str">
            <v>FT 86</v>
          </cell>
          <cell r="K1321" t="str">
            <v>FT86</v>
          </cell>
          <cell r="M1321" t="str">
            <v>FT86</v>
          </cell>
          <cell r="N1321" t="str">
            <v>FT86</v>
          </cell>
          <cell r="O1321" t="str">
            <v>ZN8-BKE8-00</v>
          </cell>
          <cell r="P1321" t="e">
            <v>#N/A</v>
          </cell>
          <cell r="Q1321" t="e">
            <v>#N/A</v>
          </cell>
          <cell r="R1321" t="str">
            <v>ZN8-BKE8-00</v>
          </cell>
          <cell r="S1321" t="str">
            <v>FT86</v>
          </cell>
          <cell r="T1321" t="e">
            <v>#N/A</v>
          </cell>
          <cell r="U1321" t="str">
            <v>FT 86</v>
          </cell>
        </row>
        <row r="1322">
          <cell r="D1322" t="str">
            <v>ZRE211R-GEXGKD15-15</v>
          </cell>
          <cell r="E1322" t="str">
            <v>COROLLA</v>
          </cell>
          <cell r="F1322" t="str">
            <v>COROLLA ALTIS</v>
          </cell>
          <cell r="G1322" t="str">
            <v>COROLLA ALTIS</v>
          </cell>
          <cell r="H1322" t="str">
            <v>COROLLA ALTIS V A/T</v>
          </cell>
          <cell r="I1322" t="str">
            <v>COROLLA ALTIS V A/T</v>
          </cell>
          <cell r="J1322" t="str">
            <v>COROLLA ALTIS V A/T</v>
          </cell>
          <cell r="K1322" t="str">
            <v>COROLLA ALTIS</v>
          </cell>
          <cell r="M1322" t="str">
            <v>COROLLA ALTIS</v>
          </cell>
          <cell r="N1322" t="str">
            <v>COROLLA ALTIS</v>
          </cell>
          <cell r="O1322" t="str">
            <v>ZRE211R-GEXGKD15-15</v>
          </cell>
          <cell r="P1322" t="e">
            <v>#N/A</v>
          </cell>
          <cell r="Q1322" t="e">
            <v>#N/A</v>
          </cell>
          <cell r="R1322" t="str">
            <v>ZRE211R-GEXGKD15-15</v>
          </cell>
          <cell r="S1322" t="str">
            <v>COROLLA</v>
          </cell>
          <cell r="T1322" t="e">
            <v>#N/A</v>
          </cell>
          <cell r="U1322" t="str">
            <v>COROLLA ALTIS V A/T</v>
          </cell>
        </row>
        <row r="1323">
          <cell r="D1323" t="str">
            <v>MAGA10R-BRXMBD-01</v>
          </cell>
          <cell r="E1323" t="str">
            <v>INNOVA</v>
          </cell>
          <cell r="F1323" t="str">
            <v>INNOVA</v>
          </cell>
          <cell r="G1323" t="str">
            <v>INNOVA</v>
          </cell>
          <cell r="H1323" t="str">
            <v>INNOVA ZENIX V A/T</v>
          </cell>
          <cell r="I1323" t="str">
            <v>INNOVA ZENIX V A/T</v>
          </cell>
          <cell r="J1323" t="str">
            <v>INNOVA ZENIX V A/T</v>
          </cell>
          <cell r="K1323" t="str">
            <v>INNOVA ZENIX GAS</v>
          </cell>
          <cell r="N1323" t="str">
            <v>INNOVA ZENIX GAS</v>
          </cell>
          <cell r="O1323" t="str">
            <v>MAGA10R-BRXMBD-01</v>
          </cell>
          <cell r="P1323" t="str">
            <v>INNOVA ZENIX</v>
          </cell>
          <cell r="Q1323" t="str">
            <v>INNOVA ZENIX V BENSIN</v>
          </cell>
          <cell r="R1323" t="str">
            <v>MAGA10R-BRXMBD-01</v>
          </cell>
          <cell r="S1323" t="str">
            <v>INNOVA</v>
          </cell>
          <cell r="T1323" t="str">
            <v>INV ZENIX GAS</v>
          </cell>
          <cell r="U1323" t="str">
            <v>INNOVA ZENIX V A/T</v>
          </cell>
        </row>
        <row r="1324">
          <cell r="D1324" t="str">
            <v>ZN8-BKF7-00</v>
          </cell>
          <cell r="E1324" t="str">
            <v>FT86</v>
          </cell>
          <cell r="F1324" t="str">
            <v>FT86</v>
          </cell>
          <cell r="G1324" t="str">
            <v>FT86</v>
          </cell>
          <cell r="H1324" t="str">
            <v>GR 86 A/T</v>
          </cell>
          <cell r="I1324" t="str">
            <v>GR 86 A/T</v>
          </cell>
          <cell r="J1324" t="str">
            <v>GR 86 A/T</v>
          </cell>
          <cell r="K1324" t="str">
            <v>FT86</v>
          </cell>
          <cell r="M1324" t="str">
            <v>FT86</v>
          </cell>
          <cell r="N1324" t="str">
            <v>FT86</v>
          </cell>
          <cell r="O1324" t="str">
            <v>ZN8-BKF7-00</v>
          </cell>
          <cell r="P1324" t="str">
            <v>GR86</v>
          </cell>
          <cell r="Q1324" t="e">
            <v>#N/A</v>
          </cell>
          <cell r="R1324" t="str">
            <v>ZN8-BKF7-00</v>
          </cell>
          <cell r="S1324" t="str">
            <v>FT86</v>
          </cell>
          <cell r="T1324" t="str">
            <v>FT86</v>
          </cell>
          <cell r="U1324" t="str">
            <v>FT 86 A/T</v>
          </cell>
        </row>
        <row r="1325">
          <cell r="D1325" t="str">
            <v>NSP151R-CHXVKD-63</v>
          </cell>
          <cell r="E1325" t="str">
            <v>YARIS</v>
          </cell>
          <cell r="F1325" t="str">
            <v>YARIS</v>
          </cell>
          <cell r="G1325" t="str">
            <v>YARIS</v>
          </cell>
          <cell r="H1325" t="str">
            <v>YARIS S A/T</v>
          </cell>
          <cell r="I1325" t="str">
            <v>YARIS S A/T GR</v>
          </cell>
          <cell r="J1325" t="str">
            <v>YARIS S A/T 3 AIRBAGS GR</v>
          </cell>
          <cell r="K1325" t="str">
            <v>YARIS</v>
          </cell>
          <cell r="N1325" t="str">
            <v>YARIS</v>
          </cell>
          <cell r="O1325" t="str">
            <v>NSP151R-CHXVKD-63</v>
          </cell>
          <cell r="P1325" t="str">
            <v>YARIS</v>
          </cell>
          <cell r="Q1325" t="str">
            <v>YARIS</v>
          </cell>
          <cell r="R1325" t="str">
            <v>NSP151R-CHXVKD-63</v>
          </cell>
          <cell r="S1325" t="str">
            <v>YARIS</v>
          </cell>
          <cell r="T1325" t="str">
            <v>YARIS</v>
          </cell>
          <cell r="U1325" t="str">
            <v>YARIS S A/T</v>
          </cell>
        </row>
        <row r="1326">
          <cell r="D1326" t="str">
            <v>W101RE-LBVFJ-AE</v>
          </cell>
          <cell r="E1326" t="str">
            <v>VELOZ</v>
          </cell>
          <cell r="F1326" t="str">
            <v>VELOZ</v>
          </cell>
          <cell r="G1326" t="str">
            <v>VELOZ</v>
          </cell>
          <cell r="H1326" t="str">
            <v>VELOZ A/T</v>
          </cell>
          <cell r="I1326" t="str">
            <v>VELOZ Q A/T</v>
          </cell>
          <cell r="J1326" t="str">
            <v>VELOZ Q A/T TCO</v>
          </cell>
          <cell r="K1326" t="str">
            <v>VELOZ</v>
          </cell>
          <cell r="M1326" t="str">
            <v>VELOZ</v>
          </cell>
          <cell r="N1326" t="str">
            <v>VELOZ</v>
          </cell>
          <cell r="O1326" t="str">
            <v>W101RE-LBVFJ-AE</v>
          </cell>
          <cell r="P1326" t="e">
            <v>#N/A</v>
          </cell>
          <cell r="Q1326" t="e">
            <v>#N/A</v>
          </cell>
          <cell r="R1326" t="str">
            <v>W101RE-LBVFJ-AE</v>
          </cell>
          <cell r="S1326" t="str">
            <v>VELOZ</v>
          </cell>
          <cell r="T1326" t="str">
            <v>VELOZ</v>
          </cell>
          <cell r="U1326" t="str">
            <v>VELOZ A/T</v>
          </cell>
        </row>
        <row r="1327">
          <cell r="D1327" t="str">
            <v>XEAM10R-MWDHSW-13</v>
          </cell>
          <cell r="E1327" t="str">
            <v>BZ4X</v>
          </cell>
          <cell r="F1327" t="str">
            <v>BZ4X</v>
          </cell>
          <cell r="G1327" t="str">
            <v>BZ4X</v>
          </cell>
          <cell r="H1327" t="str">
            <v>BZ4X A/T</v>
          </cell>
          <cell r="I1327" t="str">
            <v>BZ4X A/T</v>
          </cell>
          <cell r="J1327" t="str">
            <v>BZ4X A/T</v>
          </cell>
          <cell r="K1327" t="str">
            <v>BZ4X</v>
          </cell>
          <cell r="N1327" t="str">
            <v>BZ4X</v>
          </cell>
          <cell r="O1327" t="str">
            <v>XEAM10R-MWDHSW-13</v>
          </cell>
          <cell r="P1327" t="str">
            <v>BZ4X</v>
          </cell>
          <cell r="Q1327" t="e">
            <v>#N/A</v>
          </cell>
          <cell r="R1327" t="str">
            <v>XEAM10R-MWDHSW-13</v>
          </cell>
          <cell r="S1327" t="str">
            <v>BZ4X</v>
          </cell>
          <cell r="T1327" t="str">
            <v>BZ4X</v>
          </cell>
          <cell r="U1327" t="str">
            <v>BZ4X A/T</v>
          </cell>
        </row>
        <row r="1328">
          <cell r="D1328" t="str">
            <v>FJA300R-GNUZY-05</v>
          </cell>
          <cell r="E1328" t="str">
            <v>LANDCRUISER</v>
          </cell>
          <cell r="F1328" t="str">
            <v>LANDCRUISER</v>
          </cell>
          <cell r="G1328" t="str">
            <v>LANDCRUISER</v>
          </cell>
          <cell r="H1328" t="str">
            <v>LANDCRUISER</v>
          </cell>
          <cell r="I1328" t="str">
            <v>LANDCRUISER VX-R 4x4 A/T</v>
          </cell>
          <cell r="J1328" t="str">
            <v>LANDCRUISER VX-R 4x4 A/T</v>
          </cell>
          <cell r="K1328" t="str">
            <v>LANDCRUISER</v>
          </cell>
          <cell r="M1328" t="str">
            <v>LANDCRUISER</v>
          </cell>
          <cell r="N1328" t="str">
            <v>LANDCRUISER</v>
          </cell>
          <cell r="O1328" t="str">
            <v>FJA300R-GNUZY-05</v>
          </cell>
          <cell r="P1328" t="str">
            <v>LANDCRUISER 300</v>
          </cell>
          <cell r="Q1328" t="e">
            <v>#N/A</v>
          </cell>
          <cell r="R1328" t="str">
            <v>FJA300R-GNUZY-05</v>
          </cell>
          <cell r="S1328" t="str">
            <v>LANDCRUISER</v>
          </cell>
          <cell r="T1328" t="str">
            <v>LANDCRUISER</v>
          </cell>
          <cell r="U1328" t="str">
            <v>LANDCRUISER</v>
          </cell>
        </row>
        <row r="1329">
          <cell r="D1329" t="str">
            <v>A351RA-GBEFJ-CA</v>
          </cell>
          <cell r="E1329" t="str">
            <v>AGYA</v>
          </cell>
          <cell r="F1329" t="str">
            <v>AGYA</v>
          </cell>
          <cell r="G1329" t="str">
            <v>AGYA</v>
          </cell>
          <cell r="H1329" t="str">
            <v>AGYA G A/T</v>
          </cell>
          <cell r="I1329" t="str">
            <v>AGYA G A/T</v>
          </cell>
          <cell r="J1329" t="str">
            <v>AGYA 1.2 G A/T-TCO</v>
          </cell>
          <cell r="K1329" t="str">
            <v>AGYA</v>
          </cell>
          <cell r="N1329" t="str">
            <v>AGYA</v>
          </cell>
          <cell r="O1329" t="str">
            <v>A351RA-GBEFJ-CA</v>
          </cell>
          <cell r="P1329" t="str">
            <v>AGYA</v>
          </cell>
          <cell r="Q1329" t="str">
            <v>AGYA</v>
          </cell>
          <cell r="R1329" t="str">
            <v>A351RA-GBEFJ-CA</v>
          </cell>
          <cell r="S1329" t="str">
            <v>AGYA</v>
          </cell>
          <cell r="T1329" t="str">
            <v>AGYA</v>
          </cell>
          <cell r="U1329" t="str">
            <v>AGYA G A/T</v>
          </cell>
        </row>
        <row r="1330">
          <cell r="D1330" t="str">
            <v>NGC200R-DHXHKD-03</v>
          </cell>
          <cell r="E1330" t="str">
            <v>YARIS</v>
          </cell>
          <cell r="F1330" t="str">
            <v>YARIS</v>
          </cell>
          <cell r="G1330" t="str">
            <v>YARIS CROSS</v>
          </cell>
          <cell r="H1330" t="str">
            <v>YARIS CROSS S A/T</v>
          </cell>
          <cell r="I1330" t="str">
            <v>YARIS CROSS S A/T TSS GR</v>
          </cell>
          <cell r="J1330" t="str">
            <v>YARIS CROSS S A/T TSS GR</v>
          </cell>
          <cell r="K1330" t="str">
            <v>YARIS CROSS</v>
          </cell>
          <cell r="N1330" t="str">
            <v>YARIS CROSS</v>
          </cell>
          <cell r="O1330" t="str">
            <v>NGC200R-DHXHKD-03</v>
          </cell>
          <cell r="P1330" t="str">
            <v>YARIS CROSS GAS</v>
          </cell>
          <cell r="Q1330" t="str">
            <v>YARIS</v>
          </cell>
          <cell r="R1330" t="str">
            <v>NGC200R-DHXHKD-03</v>
          </cell>
          <cell r="S1330" t="str">
            <v>YARIS</v>
          </cell>
          <cell r="T1330" t="str">
            <v>YARIS</v>
          </cell>
          <cell r="U1330" t="str">
            <v>YARIS CROSS S A/T</v>
          </cell>
        </row>
        <row r="1331">
          <cell r="D1331" t="str">
            <v>NGC200R-DHXMKD-00</v>
          </cell>
          <cell r="E1331" t="str">
            <v>YARIS</v>
          </cell>
          <cell r="F1331" t="str">
            <v>YARIS</v>
          </cell>
          <cell r="G1331" t="str">
            <v>YARIS CROSS</v>
          </cell>
          <cell r="H1331" t="str">
            <v>YARIS CROSS G A/T</v>
          </cell>
          <cell r="I1331" t="str">
            <v>YARIS CROSS G A/T</v>
          </cell>
          <cell r="J1331" t="str">
            <v>YARIS CROSS G A/T</v>
          </cell>
          <cell r="K1331" t="str">
            <v>YARIS CROSS</v>
          </cell>
          <cell r="N1331" t="str">
            <v>YARIS CROSS</v>
          </cell>
          <cell r="O1331" t="str">
            <v>NGC200R-DHXMKD-00</v>
          </cell>
          <cell r="P1331" t="str">
            <v>YARIS CROSS GAS</v>
          </cell>
          <cell r="Q1331" t="str">
            <v>YARIS</v>
          </cell>
          <cell r="R1331" t="str">
            <v>NGC200R-DHXMKD-00</v>
          </cell>
          <cell r="S1331" t="str">
            <v>YARIS</v>
          </cell>
          <cell r="T1331" t="str">
            <v>YARIS</v>
          </cell>
          <cell r="U1331" t="str">
            <v>YARIS CROSS G A/T</v>
          </cell>
        </row>
        <row r="1332">
          <cell r="D1332" t="str">
            <v>NGC200R-DHXHKD-01</v>
          </cell>
          <cell r="E1332" t="str">
            <v>YARIS</v>
          </cell>
          <cell r="F1332" t="str">
            <v>YARIS</v>
          </cell>
          <cell r="G1332" t="str">
            <v>YARIS CROSS</v>
          </cell>
          <cell r="H1332" t="str">
            <v>YARIS CROSS S A/T</v>
          </cell>
          <cell r="I1332" t="str">
            <v>YARIS CROSS S A/T TSS GR</v>
          </cell>
          <cell r="J1332" t="str">
            <v>YARIS CROSS S A/T TSS GR</v>
          </cell>
          <cell r="K1332" t="str">
            <v>YARIS CROSS</v>
          </cell>
          <cell r="N1332" t="str">
            <v>YARIS CROSS</v>
          </cell>
          <cell r="O1332" t="str">
            <v>NGC200R-DHXHKD-01</v>
          </cell>
          <cell r="P1332" t="str">
            <v>YARIS CROSS GAS</v>
          </cell>
          <cell r="Q1332" t="str">
            <v>YARIS</v>
          </cell>
          <cell r="R1332" t="str">
            <v>NGC200R-DHXHKD-01</v>
          </cell>
          <cell r="S1332" t="str">
            <v>YARIS</v>
          </cell>
          <cell r="T1332" t="str">
            <v>YARIS</v>
          </cell>
          <cell r="U1332" t="str">
            <v>YARIS CROSS S A/T</v>
          </cell>
        </row>
        <row r="1333">
          <cell r="D1333" t="str">
            <v>NYC200R-DHXHBD-CD</v>
          </cell>
          <cell r="E1333" t="str">
            <v>YARIS</v>
          </cell>
          <cell r="F1333" t="str">
            <v>YARIS</v>
          </cell>
          <cell r="G1333" t="str">
            <v>YARIS CROSS</v>
          </cell>
          <cell r="H1333" t="str">
            <v>YARIS CROSS S A/T</v>
          </cell>
          <cell r="I1333" t="str">
            <v>YARIS CROSS S A/T TSS GR HYBRID</v>
          </cell>
          <cell r="J1333" t="str">
            <v>YARIS CROSS S A/T TSS GR HYBRID TCO</v>
          </cell>
          <cell r="K1333" t="str">
            <v>YARIS CROSS</v>
          </cell>
          <cell r="N1333" t="str">
            <v>YARIS CROSS</v>
          </cell>
          <cell r="O1333" t="str">
            <v>NYC200R-DHXHBD-CD</v>
          </cell>
          <cell r="P1333" t="str">
            <v>YARIS CROSS HYBRID</v>
          </cell>
          <cell r="Q1333" t="e">
            <v>#N/A</v>
          </cell>
          <cell r="R1333" t="str">
            <v>NYC200R-DHXHBD-CD</v>
          </cell>
          <cell r="S1333" t="str">
            <v>YARIS</v>
          </cell>
          <cell r="T1333" t="str">
            <v>YARIS</v>
          </cell>
          <cell r="U1333" t="str">
            <v>YARIS CROSS S A/T</v>
          </cell>
        </row>
        <row r="1334">
          <cell r="D1334" t="str">
            <v>GUN125R-DTFLXD-31</v>
          </cell>
          <cell r="E1334" t="str">
            <v>HILUX</v>
          </cell>
          <cell r="F1334" t="str">
            <v>HILUX DC</v>
          </cell>
          <cell r="G1334" t="str">
            <v>HILUX DC</v>
          </cell>
          <cell r="H1334" t="str">
            <v>HILUX DC E M/T DIESEL</v>
          </cell>
          <cell r="I1334" t="str">
            <v>HILUX DC E M/T DIESEL RTS</v>
          </cell>
          <cell r="J1334" t="str">
            <v>HILUX DC E M/T DIESEL RTS</v>
          </cell>
          <cell r="K1334" t="str">
            <v>HILUX DC</v>
          </cell>
          <cell r="M1334" t="str">
            <v>HILUX</v>
          </cell>
          <cell r="N1334" t="str">
            <v>HILUX DC</v>
          </cell>
          <cell r="O1334" t="str">
            <v>GUN125R-DTFLXD-31</v>
          </cell>
          <cell r="P1334" t="e">
            <v>#N/A</v>
          </cell>
          <cell r="Q1334" t="e">
            <v>#N/A</v>
          </cell>
          <cell r="R1334" t="str">
            <v>GUN125R-DTFLXD-31</v>
          </cell>
          <cell r="S1334" t="str">
            <v>HILUX</v>
          </cell>
          <cell r="T1334" t="str">
            <v>HILUX</v>
          </cell>
          <cell r="U1334" t="str">
            <v>HILUX DC E M/T DIESEL</v>
          </cell>
        </row>
        <row r="1335">
          <cell r="D1335" t="str">
            <v>NGC200R-DHXHKD-00</v>
          </cell>
          <cell r="E1335" t="str">
            <v>YARIS</v>
          </cell>
          <cell r="F1335" t="str">
            <v>YARIS</v>
          </cell>
          <cell r="G1335" t="str">
            <v>YARIS CROSS</v>
          </cell>
          <cell r="H1335" t="str">
            <v>YARIS CROSS S A/T</v>
          </cell>
          <cell r="I1335" t="str">
            <v>YARIS CROSS S A/T TSS</v>
          </cell>
          <cell r="J1335" t="str">
            <v>YARIS CROSS S A/T TSS</v>
          </cell>
          <cell r="K1335" t="str">
            <v>YARIS CROSS</v>
          </cell>
          <cell r="N1335" t="str">
            <v>YARIS CROSS</v>
          </cell>
          <cell r="O1335" t="str">
            <v>NGC200R-DHXHKD-00</v>
          </cell>
          <cell r="P1335" t="str">
            <v>YARIS CROSS GAS</v>
          </cell>
          <cell r="Q1335" t="str">
            <v>YARIS</v>
          </cell>
          <cell r="R1335" t="str">
            <v>NGC200R-DHXHKD-00</v>
          </cell>
          <cell r="S1335" t="str">
            <v>YARIS</v>
          </cell>
          <cell r="T1335" t="str">
            <v>YARIS</v>
          </cell>
          <cell r="U1335" t="str">
            <v>YARIS CROSS S A/T</v>
          </cell>
        </row>
        <row r="1336">
          <cell r="D1336" t="str">
            <v>NGC200R-DHXHKD-AD</v>
          </cell>
          <cell r="E1336" t="str">
            <v>YARIS</v>
          </cell>
          <cell r="F1336" t="str">
            <v>YARIS</v>
          </cell>
          <cell r="G1336" t="str">
            <v>YARIS CROSS</v>
          </cell>
          <cell r="H1336" t="str">
            <v>YARIS CROSS S A/T</v>
          </cell>
          <cell r="I1336" t="str">
            <v>YARIS CROSS S A/T TSS GR</v>
          </cell>
          <cell r="J1336" t="str">
            <v>YARIS CROSS S A/T TSS GR TCO</v>
          </cell>
          <cell r="K1336" t="str">
            <v>YARIS CROSS</v>
          </cell>
          <cell r="N1336" t="str">
            <v>YARIS CROSS</v>
          </cell>
          <cell r="O1336" t="str">
            <v>NGC200R-DHXHKD-AD</v>
          </cell>
          <cell r="P1336" t="str">
            <v>YARIS CROSS GAS</v>
          </cell>
          <cell r="Q1336" t="e">
            <v>#N/A</v>
          </cell>
          <cell r="R1336" t="str">
            <v>NGC200R-DHXHKD-AD</v>
          </cell>
          <cell r="S1336" t="str">
            <v>YARIS</v>
          </cell>
          <cell r="T1336" t="str">
            <v>YARIS</v>
          </cell>
          <cell r="U1336" t="str">
            <v>YARIS CROSS S A/T</v>
          </cell>
        </row>
        <row r="1337">
          <cell r="D1337" t="str">
            <v>NYC200R-DHXHBD-03</v>
          </cell>
          <cell r="E1337" t="str">
            <v>YARIS</v>
          </cell>
          <cell r="F1337" t="str">
            <v>YARIS</v>
          </cell>
          <cell r="G1337" t="str">
            <v>YARIS CROSS</v>
          </cell>
          <cell r="H1337" t="str">
            <v>YARIS CROSS S A/T</v>
          </cell>
          <cell r="I1337" t="str">
            <v>YARIS CROSS S A/T TSS GR HYBRID</v>
          </cell>
          <cell r="J1337" t="str">
            <v>YARIS CROSS S A/T TSS GR HYBRID</v>
          </cell>
          <cell r="K1337" t="str">
            <v>YARIS CROSS</v>
          </cell>
          <cell r="N1337" t="str">
            <v>YARIS CROSS</v>
          </cell>
          <cell r="O1337" t="str">
            <v>NYC200R-DHXHBD-03</v>
          </cell>
          <cell r="P1337" t="str">
            <v>YARIS CROSS HYBRID</v>
          </cell>
          <cell r="Q1337" t="str">
            <v>YARIS</v>
          </cell>
          <cell r="R1337" t="str">
            <v>NYC200R-DHXHBD-03</v>
          </cell>
          <cell r="S1337" t="str">
            <v>YARIS</v>
          </cell>
          <cell r="T1337" t="str">
            <v>YARIS</v>
          </cell>
          <cell r="U1337" t="str">
            <v>YARIS CROSS S A/T</v>
          </cell>
        </row>
        <row r="1338">
          <cell r="D1338" t="str">
            <v>NGC200R-DHXHKD-02</v>
          </cell>
          <cell r="E1338" t="str">
            <v>YARIS</v>
          </cell>
          <cell r="F1338" t="str">
            <v>YARIS</v>
          </cell>
          <cell r="G1338" t="str">
            <v>YARIS CROSS</v>
          </cell>
          <cell r="H1338" t="str">
            <v>YARIS CROSS S A/T</v>
          </cell>
          <cell r="I1338" t="str">
            <v>YARIS CROSS S A/T TSS</v>
          </cell>
          <cell r="J1338" t="str">
            <v>YARIS CROSS S A/T TSS</v>
          </cell>
          <cell r="K1338" t="str">
            <v>YARIS CROSS</v>
          </cell>
          <cell r="N1338" t="str">
            <v>YARIS CROSS</v>
          </cell>
          <cell r="O1338" t="str">
            <v>NGC200R-DHXHKD-02</v>
          </cell>
          <cell r="P1338" t="str">
            <v>YARIS CROSS GAS</v>
          </cell>
          <cell r="Q1338" t="str">
            <v>YARIS</v>
          </cell>
          <cell r="R1338" t="str">
            <v>NGC200R-DHXHKD-02</v>
          </cell>
          <cell r="S1338" t="str">
            <v>YARIS</v>
          </cell>
          <cell r="T1338" t="str">
            <v>YARIS</v>
          </cell>
          <cell r="U1338" t="str">
            <v>YARIS CROSS S A/T</v>
          </cell>
        </row>
        <row r="1339">
          <cell r="D1339" t="str">
            <v>B401RA-GMQFJ-21</v>
          </cell>
          <cell r="E1339" t="str">
            <v>CALYA</v>
          </cell>
          <cell r="F1339" t="str">
            <v>CALYA</v>
          </cell>
          <cell r="G1339" t="str">
            <v>CALYA</v>
          </cell>
          <cell r="H1339" t="str">
            <v>CALYA E M/T</v>
          </cell>
          <cell r="I1339" t="str">
            <v>CALYA E M/T</v>
          </cell>
          <cell r="J1339" t="str">
            <v>CALYA E M/T</v>
          </cell>
          <cell r="K1339" t="str">
            <v>CALYA</v>
          </cell>
          <cell r="M1339" t="str">
            <v>CALYA</v>
          </cell>
          <cell r="N1339" t="str">
            <v>CALYA</v>
          </cell>
          <cell r="O1339" t="str">
            <v>B401RA-GMQFJ-21</v>
          </cell>
          <cell r="P1339" t="str">
            <v>CALYA</v>
          </cell>
          <cell r="Q1339" t="e">
            <v>#N/A</v>
          </cell>
          <cell r="R1339" t="str">
            <v>B401RA-GMQFJ-21</v>
          </cell>
          <cell r="S1339" t="str">
            <v>CALYA</v>
          </cell>
          <cell r="T1339" t="str">
            <v>CALYA</v>
          </cell>
          <cell r="U1339" t="str">
            <v>CALYA E M/T</v>
          </cell>
        </row>
        <row r="1340">
          <cell r="D1340" t="str">
            <v>XEAM10R-MWDHSW-12</v>
          </cell>
          <cell r="E1340" t="str">
            <v>BZ4X</v>
          </cell>
          <cell r="F1340" t="str">
            <v>BZ4X</v>
          </cell>
          <cell r="G1340" t="str">
            <v>BZ4X</v>
          </cell>
          <cell r="H1340" t="str">
            <v>BZ4X A/T</v>
          </cell>
          <cell r="I1340" t="str">
            <v>BZ4X A/T</v>
          </cell>
          <cell r="J1340" t="str">
            <v>BZ4X A/T</v>
          </cell>
          <cell r="K1340" t="str">
            <v>BZ4X</v>
          </cell>
          <cell r="N1340" t="str">
            <v>BZ4X</v>
          </cell>
          <cell r="O1340" t="str">
            <v>XEAM10R-MWDHSW-12</v>
          </cell>
          <cell r="P1340" t="str">
            <v>BZ4X</v>
          </cell>
          <cell r="Q1340" t="e">
            <v>#N/A</v>
          </cell>
          <cell r="R1340" t="str">
            <v>XEAM10R-MWDHSW-12</v>
          </cell>
          <cell r="S1340" t="str">
            <v>BZ4X</v>
          </cell>
          <cell r="T1340" t="str">
            <v>BZ4X</v>
          </cell>
          <cell r="U1340" t="str">
            <v>BZ4X A/T</v>
          </cell>
        </row>
        <row r="1341">
          <cell r="D1341" t="str">
            <v>DB06R-ZURW-00</v>
          </cell>
          <cell r="E1341" t="str">
            <v>SUPRA</v>
          </cell>
          <cell r="F1341" t="str">
            <v>SUPRA</v>
          </cell>
          <cell r="G1341" t="str">
            <v>SUPRA</v>
          </cell>
          <cell r="H1341" t="str">
            <v>SUPRA L A/T</v>
          </cell>
          <cell r="I1341" t="str">
            <v>SUPRA L A/T</v>
          </cell>
          <cell r="J1341" t="str">
            <v>SUPRA L A/T</v>
          </cell>
          <cell r="K1341" t="str">
            <v>SUPRA</v>
          </cell>
          <cell r="N1341" t="str">
            <v>SUPRA</v>
          </cell>
          <cell r="O1341" t="str">
            <v>DB06R-ZURW-00</v>
          </cell>
          <cell r="P1341" t="e">
            <v>#N/A</v>
          </cell>
          <cell r="Q1341" t="e">
            <v>#N/A</v>
          </cell>
          <cell r="R1341" t="str">
            <v>DB06R-ZURW-00</v>
          </cell>
          <cell r="S1341" t="str">
            <v>SUPRA</v>
          </cell>
          <cell r="T1341" t="str">
            <v>SUPRA</v>
          </cell>
          <cell r="U1341" t="str">
            <v>SUPRA L A/T</v>
          </cell>
        </row>
        <row r="1342">
          <cell r="D1342" t="str">
            <v>FJA300R-GNUSY-12</v>
          </cell>
          <cell r="E1342" t="str">
            <v>LANDCRUISER</v>
          </cell>
          <cell r="F1342" t="str">
            <v>LANDCRUISER</v>
          </cell>
          <cell r="G1342" t="str">
            <v>LANDCRUISER</v>
          </cell>
          <cell r="H1342" t="str">
            <v>LANDCRUISER</v>
          </cell>
          <cell r="I1342" t="str">
            <v>LANDCRUISER GR-S 4x4 A/T</v>
          </cell>
          <cell r="J1342" t="str">
            <v>LANDCRUISER GR-S 4x4 A/T</v>
          </cell>
          <cell r="K1342" t="str">
            <v>LANDCRUISER</v>
          </cell>
          <cell r="M1342" t="str">
            <v>LANDCRUISER</v>
          </cell>
          <cell r="N1342" t="str">
            <v>LANDCRUISER</v>
          </cell>
          <cell r="O1342" t="str">
            <v>FJA300R-GNUSY-12</v>
          </cell>
          <cell r="P1342" t="str">
            <v>LANDCRUISER 300</v>
          </cell>
          <cell r="Q1342" t="e">
            <v>#N/A</v>
          </cell>
          <cell r="R1342" t="str">
            <v>FJA300R-GNUSY-12</v>
          </cell>
          <cell r="S1342" t="str">
            <v>LANDCRUISER</v>
          </cell>
          <cell r="T1342" t="str">
            <v>LANDCRUISER</v>
          </cell>
          <cell r="U1342" t="str">
            <v>LANDCRUISER</v>
          </cell>
        </row>
        <row r="1343">
          <cell r="D1343" t="str">
            <v>NYC200R-DHXHBD-01</v>
          </cell>
          <cell r="E1343" t="str">
            <v>YARIS</v>
          </cell>
          <cell r="F1343" t="str">
            <v>YARIS</v>
          </cell>
          <cell r="G1343" t="str">
            <v>YARIS CROSS</v>
          </cell>
          <cell r="H1343" t="str">
            <v>YARIS CROSS S A/T</v>
          </cell>
          <cell r="I1343" t="str">
            <v>YARIS CROSS S A/T TSS GR HYBRID</v>
          </cell>
          <cell r="J1343" t="str">
            <v>YARIS CROSS S A/T TSS GR HYBRID</v>
          </cell>
          <cell r="K1343" t="str">
            <v>YARIS CROSS</v>
          </cell>
          <cell r="N1343" t="str">
            <v>YARIS CROSS</v>
          </cell>
          <cell r="O1343" t="str">
            <v>NYC200R-DHXHBD-01</v>
          </cell>
          <cell r="P1343" t="str">
            <v>YARIS CROSS HYBRID</v>
          </cell>
          <cell r="Q1343" t="str">
            <v>YARIS</v>
          </cell>
          <cell r="R1343" t="str">
            <v>NYC200R-DHXHBD-01</v>
          </cell>
          <cell r="S1343" t="str">
            <v>YARIS</v>
          </cell>
          <cell r="T1343" t="str">
            <v>YARIS</v>
          </cell>
          <cell r="U1343" t="str">
            <v>YARIS CROSS S A/T</v>
          </cell>
        </row>
        <row r="1344">
          <cell r="D1344" t="str">
            <v>NYC200R-DHXHBD-05</v>
          </cell>
          <cell r="E1344" t="str">
            <v>YARIS</v>
          </cell>
          <cell r="F1344" t="str">
            <v>YARIS</v>
          </cell>
          <cell r="G1344" t="str">
            <v>YARIS CROSS</v>
          </cell>
          <cell r="H1344" t="str">
            <v>YARIS CROSS S A/T</v>
          </cell>
          <cell r="I1344" t="str">
            <v>YARIS CROSS S A/T TSS GR HYBRID</v>
          </cell>
          <cell r="J1344" t="str">
            <v>YARIS CROSS S A/T TSS GR HYBRID</v>
          </cell>
          <cell r="K1344" t="str">
            <v>YARIS CROSS</v>
          </cell>
          <cell r="N1344" t="str">
            <v>YARIS CROSS</v>
          </cell>
          <cell r="O1344" t="str">
            <v>NYC200R-DHXHBD-05</v>
          </cell>
          <cell r="P1344" t="str">
            <v>YARIS CROSS HYBRID</v>
          </cell>
          <cell r="Q1344" t="str">
            <v>YARIS</v>
          </cell>
          <cell r="R1344" t="str">
            <v>NYC200R-DHXHBD-05</v>
          </cell>
          <cell r="S1344" t="str">
            <v>YARIS</v>
          </cell>
          <cell r="T1344" t="str">
            <v>YARIS</v>
          </cell>
          <cell r="U1344" t="str">
            <v>YARIS CROSS S A/T</v>
          </cell>
        </row>
        <row r="1345">
          <cell r="D1345" t="str">
            <v>NYC200R-DHXHBD-BA</v>
          </cell>
          <cell r="E1345" t="str">
            <v>YARIS</v>
          </cell>
          <cell r="F1345" t="str">
            <v>YARIS</v>
          </cell>
          <cell r="G1345" t="str">
            <v>YARIS CROSS</v>
          </cell>
          <cell r="H1345" t="str">
            <v>YARIS CROSS S A/T</v>
          </cell>
          <cell r="I1345" t="str">
            <v>YARIS CROSS S A/T TSS GR HYBRID</v>
          </cell>
          <cell r="J1345" t="str">
            <v>YARIS CROSS S A/T TSS GR HYBRID TCO</v>
          </cell>
          <cell r="K1345" t="str">
            <v>YARIS CROSS</v>
          </cell>
          <cell r="N1345" t="str">
            <v>YARIS CROSS</v>
          </cell>
          <cell r="O1345" t="str">
            <v>NYC200R-DHXHBD-BA</v>
          </cell>
          <cell r="P1345" t="str">
            <v>YARIS CROSS HYBRID</v>
          </cell>
          <cell r="Q1345" t="e">
            <v>#N/A</v>
          </cell>
          <cell r="R1345" t="str">
            <v>NYC200R-DHXHBD-BA</v>
          </cell>
          <cell r="S1345" t="str">
            <v>YARIS</v>
          </cell>
          <cell r="T1345" t="str">
            <v>YARIS</v>
          </cell>
          <cell r="U1345" t="str">
            <v>YARIS CROSS S A/T</v>
          </cell>
        </row>
        <row r="1346">
          <cell r="D1346" t="str">
            <v>NYC200R-DHXHBD-AB</v>
          </cell>
          <cell r="E1346" t="str">
            <v>YARIS</v>
          </cell>
          <cell r="F1346" t="str">
            <v>YARIS</v>
          </cell>
          <cell r="G1346" t="str">
            <v>YARIS CROSS</v>
          </cell>
          <cell r="H1346" t="str">
            <v>YARIS CROSS S A/T</v>
          </cell>
          <cell r="I1346" t="str">
            <v>YARIS CROSS S A/T TSS GR HYBRID</v>
          </cell>
          <cell r="J1346" t="str">
            <v>YARIS CROSS S A/T TSS GR HYBRID TCO</v>
          </cell>
          <cell r="K1346" t="str">
            <v>YARIS CROSS</v>
          </cell>
          <cell r="N1346" t="str">
            <v>YARIS CROSS</v>
          </cell>
          <cell r="O1346" t="str">
            <v>NYC200R-DHXHBD-AB</v>
          </cell>
          <cell r="P1346" t="str">
            <v>YARIS CROSS HYBRID</v>
          </cell>
          <cell r="Q1346" t="e">
            <v>#N/A</v>
          </cell>
          <cell r="R1346" t="str">
            <v>NYC200R-DHXHBD-AB</v>
          </cell>
          <cell r="S1346" t="str">
            <v>YARIS</v>
          </cell>
          <cell r="T1346" t="str">
            <v>YARIS</v>
          </cell>
          <cell r="U1346" t="str">
            <v>YARIS CROSS S A/T</v>
          </cell>
        </row>
        <row r="1347">
          <cell r="D1347" t="str">
            <v>NGC200R-DHMMKD-00</v>
          </cell>
          <cell r="E1347" t="str">
            <v>YARIS</v>
          </cell>
          <cell r="F1347" t="str">
            <v>YARIS</v>
          </cell>
          <cell r="G1347" t="str">
            <v>YARIS CROSS</v>
          </cell>
          <cell r="H1347" t="str">
            <v>YARIS CROSS G M/T</v>
          </cell>
          <cell r="I1347" t="str">
            <v>YARIS CROSS G M/T</v>
          </cell>
          <cell r="J1347" t="str">
            <v>YARIS CROSS G M/T</v>
          </cell>
          <cell r="K1347" t="str">
            <v>YARIS CROSS</v>
          </cell>
          <cell r="N1347" t="str">
            <v>YARIS CROSS</v>
          </cell>
          <cell r="O1347" t="str">
            <v>NGC200R-DHMMKD-00</v>
          </cell>
          <cell r="P1347" t="str">
            <v>YARIS CROSS GAS</v>
          </cell>
          <cell r="Q1347" t="str">
            <v>YARIS</v>
          </cell>
          <cell r="R1347" t="str">
            <v>NGC200R-DHMMKD-00</v>
          </cell>
          <cell r="S1347" t="str">
            <v>YARIS</v>
          </cell>
          <cell r="T1347" t="str">
            <v>YARIS</v>
          </cell>
          <cell r="U1347" t="str">
            <v>YARIS CROSS G M/T</v>
          </cell>
        </row>
        <row r="1348">
          <cell r="D1348" t="str">
            <v>MAGH10R-BPXHBD-BB</v>
          </cell>
          <cell r="E1348" t="str">
            <v>INNOVA</v>
          </cell>
          <cell r="F1348" t="str">
            <v>INNOVA</v>
          </cell>
          <cell r="G1348" t="str">
            <v>INNOVA</v>
          </cell>
          <cell r="H1348" t="str">
            <v>INNOVA ZENIX Q A/T HYBRID</v>
          </cell>
          <cell r="I1348" t="str">
            <v>INNOVA ZENIX Q A/T HYBRID TSS</v>
          </cell>
          <cell r="J1348" t="str">
            <v>INNOVA ZENIX Q A/T HYBRID TSS TCO</v>
          </cell>
          <cell r="K1348" t="str">
            <v>INNOVA ZENIX HYBRID</v>
          </cell>
          <cell r="N1348" t="str">
            <v>INNOVA ZENIX HYBRID</v>
          </cell>
          <cell r="O1348" t="str">
            <v>MAGH10R-BPXHBD-BB</v>
          </cell>
          <cell r="P1348" t="str">
            <v>INNOVA ZENIX HYBRID</v>
          </cell>
          <cell r="Q1348" t="e">
            <v>#N/A</v>
          </cell>
          <cell r="R1348" t="str">
            <v>MAGH10R-BPXHBD-BB</v>
          </cell>
          <cell r="S1348" t="str">
            <v>INNOVA</v>
          </cell>
          <cell r="T1348" t="str">
            <v>INV ZENIX HYBRID</v>
          </cell>
          <cell r="U1348" t="str">
            <v>INNOVA ZENIX Q A/T HYBRID</v>
          </cell>
        </row>
        <row r="1349">
          <cell r="D1349" t="str">
            <v>A351RA-GMEFJ-DA</v>
          </cell>
          <cell r="E1349" t="str">
            <v>AGYA</v>
          </cell>
          <cell r="F1349" t="str">
            <v>AGYA</v>
          </cell>
          <cell r="G1349" t="str">
            <v>AGYA</v>
          </cell>
          <cell r="H1349" t="str">
            <v>AGYA G M/T</v>
          </cell>
          <cell r="I1349" t="str">
            <v>AGYA G M/T</v>
          </cell>
          <cell r="J1349" t="str">
            <v>AGYA 1.2 G M/T TCO</v>
          </cell>
          <cell r="K1349" t="str">
            <v>AGYA</v>
          </cell>
          <cell r="N1349" t="str">
            <v>AGYA</v>
          </cell>
          <cell r="O1349" t="str">
            <v>A351RA-GMEFJ-DA</v>
          </cell>
          <cell r="P1349" t="e">
            <v>#N/A</v>
          </cell>
          <cell r="Q1349" t="e">
            <v>#N/A</v>
          </cell>
          <cell r="R1349" t="str">
            <v>A351RA-GMEFJ-DA</v>
          </cell>
          <cell r="S1349" t="str">
            <v>AGYA</v>
          </cell>
          <cell r="T1349" t="str">
            <v>AGYA</v>
          </cell>
          <cell r="U1349" t="str">
            <v>AGYA G M/T</v>
          </cell>
        </row>
        <row r="1350">
          <cell r="D1350" t="str">
            <v>NYC200R-DHXHBD-07</v>
          </cell>
          <cell r="E1350" t="str">
            <v>YARIS</v>
          </cell>
          <cell r="F1350" t="str">
            <v>YARIS</v>
          </cell>
          <cell r="G1350" t="str">
            <v>YARIS CROSS</v>
          </cell>
          <cell r="H1350" t="str">
            <v>YARIS CROSS S A/T</v>
          </cell>
          <cell r="I1350" t="str">
            <v>YARIS CROSS S A/T TSS GR HYBRID</v>
          </cell>
          <cell r="J1350" t="str">
            <v>YARIS CROSS S A/T TSS GR HYBRID</v>
          </cell>
          <cell r="K1350" t="str">
            <v>YARIS CROSS</v>
          </cell>
          <cell r="N1350" t="str">
            <v>YARIS CROSS</v>
          </cell>
          <cell r="O1350" t="str">
            <v>NYC200R-DHXHBD-07</v>
          </cell>
          <cell r="P1350" t="str">
            <v>YARIS CROSS HYBRID</v>
          </cell>
          <cell r="Q1350" t="str">
            <v>YARIS</v>
          </cell>
          <cell r="R1350" t="str">
            <v>NYC200R-DHXHBD-07</v>
          </cell>
          <cell r="S1350" t="str">
            <v>YARIS</v>
          </cell>
          <cell r="T1350" t="str">
            <v>YARIS</v>
          </cell>
          <cell r="U1350" t="str">
            <v>YARIS CROSS S A/T</v>
          </cell>
        </row>
        <row r="1351">
          <cell r="D1351" t="str">
            <v>AAHH40R-PFXLB-00</v>
          </cell>
          <cell r="E1351" t="str">
            <v>ALPHARD</v>
          </cell>
          <cell r="F1351" t="str">
            <v>ALPHARD</v>
          </cell>
          <cell r="G1351" t="str">
            <v>ALPHARD</v>
          </cell>
          <cell r="H1351" t="str">
            <v>ALPHARD A/T HYBRID</v>
          </cell>
          <cell r="I1351" t="str">
            <v>ALPHARD A/T HYBRID</v>
          </cell>
          <cell r="J1351" t="str">
            <v>ALPHARD A/T HYBRID</v>
          </cell>
          <cell r="K1351" t="str">
            <v>ALPHARD HYBRID</v>
          </cell>
          <cell r="M1351" t="str">
            <v>ALPHARD</v>
          </cell>
          <cell r="N1351" t="str">
            <v>ALPHARD HYBRID</v>
          </cell>
          <cell r="O1351" t="str">
            <v>AAHH40R-PFXLB-00</v>
          </cell>
          <cell r="P1351" t="str">
            <v>ALPHARD HYBRID</v>
          </cell>
          <cell r="Q1351" t="e">
            <v>#N/A</v>
          </cell>
          <cell r="R1351" t="str">
            <v>AAHH40R-PFXLB-00</v>
          </cell>
          <cell r="S1351" t="str">
            <v>ALPHARD</v>
          </cell>
          <cell r="T1351" t="str">
            <v>ALPHARD HYBRID</v>
          </cell>
          <cell r="U1351" t="str">
            <v>ALPHARD A/T HYBRID</v>
          </cell>
        </row>
        <row r="1352">
          <cell r="D1352" t="str">
            <v>AAHH40R-PFXLB-01</v>
          </cell>
          <cell r="E1352" t="str">
            <v>ALPHARD</v>
          </cell>
          <cell r="F1352" t="str">
            <v>ALPHARD</v>
          </cell>
          <cell r="G1352" t="str">
            <v>ALPHARD</v>
          </cell>
          <cell r="H1352" t="str">
            <v>ALPHARD A/T HYBRID</v>
          </cell>
          <cell r="I1352" t="str">
            <v>ALPHARD A/T HYBRID</v>
          </cell>
          <cell r="J1352" t="str">
            <v>ALPHARD A/T HYBRID</v>
          </cell>
          <cell r="K1352" t="str">
            <v>ALPHARD HYBRID</v>
          </cell>
          <cell r="M1352" t="str">
            <v>ALPHARD</v>
          </cell>
          <cell r="N1352" t="str">
            <v>ALPHARD HYBRID</v>
          </cell>
          <cell r="O1352" t="str">
            <v>AAHH40R-PFXLB-01</v>
          </cell>
          <cell r="P1352" t="str">
            <v>ALPHARD HYBRID</v>
          </cell>
          <cell r="Q1352" t="e">
            <v>#N/A</v>
          </cell>
          <cell r="R1352" t="str">
            <v>AAHH40R-PFXLB-01</v>
          </cell>
          <cell r="S1352" t="str">
            <v>ALPHARD</v>
          </cell>
          <cell r="T1352" t="str">
            <v>ALPHARD HYBRID</v>
          </cell>
          <cell r="U1352" t="str">
            <v>ALPHARD A/T HYBRID</v>
          </cell>
        </row>
        <row r="1353">
          <cell r="D1353" t="str">
            <v>AGH40R-PFXLK-01</v>
          </cell>
          <cell r="E1353" t="str">
            <v>ALPHARD</v>
          </cell>
          <cell r="F1353" t="str">
            <v>ALPHARD</v>
          </cell>
          <cell r="G1353" t="str">
            <v>ALPHARD</v>
          </cell>
          <cell r="H1353" t="str">
            <v>ALPHARD G A/T</v>
          </cell>
          <cell r="I1353" t="str">
            <v>ALPHARD G A/T</v>
          </cell>
          <cell r="J1353" t="str">
            <v>ALPHARD G A/T</v>
          </cell>
          <cell r="K1353" t="str">
            <v>ALPHARD GAS</v>
          </cell>
          <cell r="M1353" t="str">
            <v>ALPHARD</v>
          </cell>
          <cell r="N1353" t="str">
            <v>ALPHARD GAS</v>
          </cell>
          <cell r="O1353" t="str">
            <v>AGH40R-PFXLK-01</v>
          </cell>
          <cell r="P1353" t="str">
            <v>ALPHARD</v>
          </cell>
          <cell r="Q1353" t="e">
            <v>#N/A</v>
          </cell>
          <cell r="R1353" t="str">
            <v>AGH40R-PFXLK-01</v>
          </cell>
          <cell r="S1353" t="str">
            <v>ALPHARD</v>
          </cell>
          <cell r="T1353" t="str">
            <v>ALPHARD GAS</v>
          </cell>
          <cell r="U1353" t="str">
            <v>ALPHARD G A/T</v>
          </cell>
        </row>
        <row r="1354">
          <cell r="D1354" t="str">
            <v>AGH40R-PFXLK-00</v>
          </cell>
          <cell r="E1354" t="str">
            <v>ALPHARD</v>
          </cell>
          <cell r="F1354" t="str">
            <v>ALPHARD</v>
          </cell>
          <cell r="G1354" t="str">
            <v>ALPHARD</v>
          </cell>
          <cell r="H1354" t="str">
            <v>ALPHARD G A/T</v>
          </cell>
          <cell r="I1354" t="str">
            <v>ALPHARD G A/T</v>
          </cell>
          <cell r="J1354" t="str">
            <v>ALPHARD G A/T</v>
          </cell>
          <cell r="K1354" t="str">
            <v>ALPHARD GAS</v>
          </cell>
          <cell r="M1354" t="str">
            <v>ALPHARD</v>
          </cell>
          <cell r="N1354" t="str">
            <v>ALPHARD GAS</v>
          </cell>
          <cell r="O1354" t="str">
            <v>AGH40R-PFXLK-00</v>
          </cell>
          <cell r="P1354" t="str">
            <v>ALPHARD</v>
          </cell>
          <cell r="Q1354" t="e">
            <v>#N/A</v>
          </cell>
          <cell r="R1354" t="str">
            <v>AGH40R-PFXLK-00</v>
          </cell>
          <cell r="S1354" t="str">
            <v>ALPHARD</v>
          </cell>
          <cell r="T1354" t="str">
            <v>ALPHARD GAS</v>
          </cell>
          <cell r="U1354" t="str">
            <v>ALPHARD G A/T</v>
          </cell>
        </row>
        <row r="1355">
          <cell r="D1355" t="str">
            <v>MAGH10R-BPXHBD-AB</v>
          </cell>
          <cell r="E1355" t="str">
            <v>INNOVA</v>
          </cell>
          <cell r="F1355" t="str">
            <v>INNOVA</v>
          </cell>
          <cell r="G1355" t="str">
            <v>INNOVA</v>
          </cell>
          <cell r="H1355" t="str">
            <v>INNOVA ZENIX Q A/T HYBRID</v>
          </cell>
          <cell r="I1355" t="str">
            <v>INNOVA ZENIX Q A/T HYBRID TSS</v>
          </cell>
          <cell r="J1355" t="str">
            <v>INNOVA ZENIX Q A/T HYBRID TSS TCO</v>
          </cell>
          <cell r="K1355" t="str">
            <v>INNOVA ZENIX HYBRID</v>
          </cell>
          <cell r="N1355" t="str">
            <v>INNOVA ZENIX HYBRID</v>
          </cell>
          <cell r="O1355" t="str">
            <v>MAGH10R-BPXHBD-AB</v>
          </cell>
          <cell r="P1355" t="str">
            <v>INNOVA ZENIX HYBRID</v>
          </cell>
          <cell r="Q1355" t="e">
            <v>#N/A</v>
          </cell>
          <cell r="R1355" t="str">
            <v>MAGH10R-BPXHBD-AB</v>
          </cell>
          <cell r="S1355" t="str">
            <v>INNOVA</v>
          </cell>
          <cell r="T1355" t="str">
            <v>INV ZENIX HYBRID</v>
          </cell>
          <cell r="U1355" t="str">
            <v>INNOVA ZENIX Q A/T HYBRID</v>
          </cell>
        </row>
        <row r="1356">
          <cell r="D1356" t="str">
            <v>AAHH40R-PFXLB-AA</v>
          </cell>
          <cell r="E1356" t="str">
            <v>ALPHARD</v>
          </cell>
          <cell r="F1356" t="str">
            <v>ALPHARD</v>
          </cell>
          <cell r="G1356" t="str">
            <v>ALPHARD</v>
          </cell>
          <cell r="H1356" t="str">
            <v>ALPHARD A/T HYBRID</v>
          </cell>
          <cell r="I1356" t="str">
            <v>ALPHARD A/T HYBRID</v>
          </cell>
          <cell r="J1356" t="str">
            <v>ALPHARD A/T HYBRID</v>
          </cell>
          <cell r="K1356" t="str">
            <v>ALPHARD HYBRID</v>
          </cell>
          <cell r="M1356" t="str">
            <v>ALPHARD</v>
          </cell>
          <cell r="N1356" t="str">
            <v>ALPHARD HYBRID</v>
          </cell>
          <cell r="O1356" t="str">
            <v>AAHH40R-PFXLB-AA</v>
          </cell>
          <cell r="P1356" t="str">
            <v>ALPHARD HYBRID</v>
          </cell>
          <cell r="Q1356" t="e">
            <v>#N/A</v>
          </cell>
          <cell r="R1356" t="str">
            <v>AAHH40R-PFXLB-AA</v>
          </cell>
          <cell r="S1356" t="str">
            <v>ALPHARD</v>
          </cell>
          <cell r="T1356" t="str">
            <v>ALPHARD HYBRID</v>
          </cell>
          <cell r="U1356" t="str">
            <v>ALPHARD A/T HYBRID</v>
          </cell>
        </row>
        <row r="1357">
          <cell r="D1357" t="str">
            <v>AAHH40R-PFXLB-AB</v>
          </cell>
          <cell r="E1357" t="str">
            <v>ALPHARD</v>
          </cell>
          <cell r="F1357" t="str">
            <v>ALPHARD</v>
          </cell>
          <cell r="G1357" t="str">
            <v>ALPHARD</v>
          </cell>
          <cell r="H1357" t="str">
            <v>ALPHARD A/T HYBRID</v>
          </cell>
          <cell r="I1357" t="str">
            <v>ALPHARD A/T HYBRID</v>
          </cell>
          <cell r="J1357" t="str">
            <v>ALPHARD A/T HYBRID</v>
          </cell>
          <cell r="K1357" t="str">
            <v>ALPHARD HYBRID</v>
          </cell>
          <cell r="M1357" t="str">
            <v>ALPHARD</v>
          </cell>
          <cell r="N1357" t="str">
            <v>ALPHARD HYBRID</v>
          </cell>
          <cell r="O1357" t="str">
            <v>AAHH40R-PFXLB-AB</v>
          </cell>
          <cell r="P1357" t="str">
            <v>ALPHARD HYBRID</v>
          </cell>
          <cell r="Q1357" t="e">
            <v>#N/A</v>
          </cell>
          <cell r="R1357" t="str">
            <v>AAHH40R-PFXLB-AB</v>
          </cell>
          <cell r="S1357" t="str">
            <v>ALPHARD</v>
          </cell>
          <cell r="T1357" t="str">
            <v>ALPHARD HYBRID</v>
          </cell>
          <cell r="U1357" t="str">
            <v>ALPHARD A/T HYBRID</v>
          </cell>
        </row>
        <row r="1358">
          <cell r="D1358" t="str">
            <v>AGH40R-PFXLK-AA</v>
          </cell>
          <cell r="E1358" t="str">
            <v>ALPHARD</v>
          </cell>
          <cell r="F1358" t="str">
            <v>ALPHARD</v>
          </cell>
          <cell r="G1358" t="str">
            <v>ALPHARD</v>
          </cell>
          <cell r="H1358" t="str">
            <v>ALPHARD G A/T</v>
          </cell>
          <cell r="I1358" t="str">
            <v>ALPHARD G A/T</v>
          </cell>
          <cell r="J1358" t="str">
            <v>ALPHARD G A/T</v>
          </cell>
          <cell r="K1358" t="str">
            <v>ALPHARD GAS</v>
          </cell>
          <cell r="M1358" t="str">
            <v>ALPHARD</v>
          </cell>
          <cell r="N1358" t="str">
            <v>ALPHARD GAS</v>
          </cell>
          <cell r="O1358" t="str">
            <v>AGH40R-PFXLK-AA</v>
          </cell>
          <cell r="P1358" t="str">
            <v>ALPHARD</v>
          </cell>
          <cell r="Q1358" t="e">
            <v>#N/A</v>
          </cell>
          <cell r="R1358" t="str">
            <v>AGH40R-PFXLK-AA</v>
          </cell>
          <cell r="S1358" t="str">
            <v>ALPHARD</v>
          </cell>
          <cell r="T1358" t="str">
            <v>ALPHARD GAS</v>
          </cell>
          <cell r="U1358" t="str">
            <v>ALPHARD G A/T</v>
          </cell>
        </row>
        <row r="1359">
          <cell r="D1359" t="str">
            <v>AGH40R-PFXLK-AB</v>
          </cell>
          <cell r="E1359" t="str">
            <v>ALPHARD</v>
          </cell>
          <cell r="F1359" t="str">
            <v>ALPHARD</v>
          </cell>
          <cell r="G1359" t="str">
            <v>ALPHARD</v>
          </cell>
          <cell r="H1359" t="str">
            <v>ALPHARD G A/T</v>
          </cell>
          <cell r="I1359" t="str">
            <v>ALPHARD G A/T</v>
          </cell>
          <cell r="J1359" t="str">
            <v>ALPHARD G A/T</v>
          </cell>
          <cell r="K1359" t="str">
            <v>ALPHARD GAS</v>
          </cell>
          <cell r="M1359" t="str">
            <v>ALPHARD</v>
          </cell>
          <cell r="N1359" t="str">
            <v>ALPHARD GAS</v>
          </cell>
          <cell r="O1359" t="str">
            <v>AGH40R-PFXLK-AB</v>
          </cell>
          <cell r="P1359" t="str">
            <v>ALPHARD</v>
          </cell>
          <cell r="Q1359" t="e">
            <v>#N/A</v>
          </cell>
          <cell r="R1359" t="str">
            <v>AGH40R-PFXLK-AB</v>
          </cell>
          <cell r="S1359" t="str">
            <v>ALPHARD</v>
          </cell>
          <cell r="T1359" t="str">
            <v>ALPHARD GAS</v>
          </cell>
          <cell r="U1359" t="str">
            <v>ALPHARD G A/T</v>
          </cell>
        </row>
        <row r="1360">
          <cell r="D1360" t="str">
            <v>FJA300R-GNUSY-09</v>
          </cell>
          <cell r="E1360" t="str">
            <v>LANDCRUISER</v>
          </cell>
          <cell r="F1360" t="str">
            <v>LANDCRUISER</v>
          </cell>
          <cell r="G1360" t="str">
            <v>LANDCRUISER</v>
          </cell>
          <cell r="H1360" t="str">
            <v>LANDCRUISER</v>
          </cell>
          <cell r="I1360" t="str">
            <v>LANDCRUISER GR-S 4x4 A/T</v>
          </cell>
          <cell r="J1360" t="str">
            <v>LANDCRUISER GR-S 4x4 A/T</v>
          </cell>
          <cell r="K1360" t="str">
            <v>LANDCRUISER</v>
          </cell>
          <cell r="M1360" t="str">
            <v>LANDCRUISER</v>
          </cell>
          <cell r="N1360" t="str">
            <v>LANDCRUISER</v>
          </cell>
          <cell r="O1360" t="str">
            <v>FJA300R-GNUSY-09</v>
          </cell>
          <cell r="P1360" t="str">
            <v>LANDCRUISER 300</v>
          </cell>
          <cell r="Q1360" t="e">
            <v>#N/A</v>
          </cell>
          <cell r="R1360" t="str">
            <v>FJA300R-GNUSY-09</v>
          </cell>
          <cell r="S1360" t="str">
            <v>LANDCRUISER</v>
          </cell>
          <cell r="T1360" t="e">
            <v>#N/A</v>
          </cell>
          <cell r="U1360" t="str">
            <v>LANDCRUISER</v>
          </cell>
        </row>
        <row r="1361">
          <cell r="D1361" t="str">
            <v>ZWE211R-GEXVBD-22</v>
          </cell>
          <cell r="E1361" t="str">
            <v>COROLLA</v>
          </cell>
          <cell r="F1361" t="str">
            <v>COROLLA ALTIS</v>
          </cell>
          <cell r="G1361" t="str">
            <v>COROLLA ALTIS</v>
          </cell>
          <cell r="H1361" t="str">
            <v>COROLLA ALTIS HYBRID A/T</v>
          </cell>
          <cell r="I1361" t="str">
            <v>COROLLA ALTIS HYBRID A/T</v>
          </cell>
          <cell r="J1361" t="str">
            <v>COROLLA ALTIS HYBRID A/T</v>
          </cell>
          <cell r="K1361" t="str">
            <v>COROLLA ALTIS</v>
          </cell>
          <cell r="M1361" t="str">
            <v>COROLLA ALTIS</v>
          </cell>
          <cell r="N1361" t="str">
            <v>COROLLA ALTIS</v>
          </cell>
          <cell r="O1361" t="str">
            <v>ZWE211R-GEXVBD-22</v>
          </cell>
          <cell r="P1361" t="str">
            <v>COROLLA HYBRID</v>
          </cell>
          <cell r="Q1361" t="e">
            <v>#N/A</v>
          </cell>
          <cell r="R1361" t="str">
            <v>ZWE211R-GEXVBD-22</v>
          </cell>
          <cell r="S1361" t="str">
            <v>COROLLA</v>
          </cell>
          <cell r="T1361" t="e">
            <v>#N/A</v>
          </cell>
          <cell r="U1361" t="str">
            <v>COROLLA ALTIS HYBRID A/T</v>
          </cell>
        </row>
        <row r="1362">
          <cell r="D1362" t="str">
            <v>A351RA-GBEFJ-AB</v>
          </cell>
          <cell r="E1362" t="str">
            <v>AGYA</v>
          </cell>
          <cell r="F1362" t="str">
            <v>AGYA</v>
          </cell>
          <cell r="G1362" t="str">
            <v>AGYA</v>
          </cell>
          <cell r="H1362" t="str">
            <v>AGYA G A/T</v>
          </cell>
          <cell r="I1362" t="str">
            <v>AGYA G A/T</v>
          </cell>
          <cell r="J1362" t="str">
            <v>AGYA 1.2 G A/T-TCO</v>
          </cell>
          <cell r="K1362" t="str">
            <v>AGYA</v>
          </cell>
          <cell r="N1362" t="str">
            <v>AGYA</v>
          </cell>
          <cell r="O1362" t="str">
            <v>A351RA-GBEFJ-AB</v>
          </cell>
          <cell r="P1362" t="str">
            <v>AGYA</v>
          </cell>
          <cell r="Q1362" t="e">
            <v>#N/A</v>
          </cell>
          <cell r="R1362" t="str">
            <v>A351RA-GBEFJ-AB</v>
          </cell>
          <cell r="S1362" t="str">
            <v>AGYA</v>
          </cell>
          <cell r="T1362" t="e">
            <v>#N/A</v>
          </cell>
          <cell r="U1362" t="str">
            <v>AGYA G A/T</v>
          </cell>
        </row>
        <row r="1363">
          <cell r="D1363" t="str">
            <v>MZRA90R-BPXRH-AB</v>
          </cell>
          <cell r="E1363" t="str">
            <v>VOXY</v>
          </cell>
          <cell r="F1363" t="str">
            <v>VOXY</v>
          </cell>
          <cell r="G1363" t="str">
            <v>VOXY</v>
          </cell>
          <cell r="H1363" t="str">
            <v>VOXY 2.0 A/T</v>
          </cell>
          <cell r="I1363" t="str">
            <v>VOXY 2.0 A/T</v>
          </cell>
          <cell r="J1363" t="str">
            <v>VOXY 2.0 A/T-TCO</v>
          </cell>
          <cell r="K1363" t="str">
            <v>VOXY</v>
          </cell>
          <cell r="M1363" t="str">
            <v>VOXY</v>
          </cell>
          <cell r="N1363" t="str">
            <v>VOXY</v>
          </cell>
          <cell r="O1363" t="str">
            <v>MZRA90R-BPXRH-AB</v>
          </cell>
          <cell r="P1363" t="str">
            <v>VOXY</v>
          </cell>
          <cell r="Q1363" t="e">
            <v>#N/A</v>
          </cell>
          <cell r="R1363" t="str">
            <v>MZRA90R-BPXRH-AB</v>
          </cell>
          <cell r="S1363" t="str">
            <v>VOXY</v>
          </cell>
          <cell r="T1363" t="e">
            <v>#N/A</v>
          </cell>
          <cell r="U1363" t="str">
            <v>VOXY 2.0 A/T</v>
          </cell>
        </row>
        <row r="1364">
          <cell r="D1364" t="str">
            <v>A351RA-GMNFJ-00</v>
          </cell>
          <cell r="E1364" t="str">
            <v>AGYA</v>
          </cell>
          <cell r="F1364" t="str">
            <v>AGYA</v>
          </cell>
          <cell r="G1364" t="str">
            <v>AGYA</v>
          </cell>
          <cell r="H1364" t="str">
            <v>AGYA E M/T</v>
          </cell>
          <cell r="I1364" t="str">
            <v>AGYA E M/T</v>
          </cell>
          <cell r="J1364" t="str">
            <v>AGYA E M/T</v>
          </cell>
          <cell r="K1364" t="str">
            <v>AGYA</v>
          </cell>
          <cell r="N1364" t="str">
            <v>AGYA</v>
          </cell>
          <cell r="O1364" t="str">
            <v>A351RA-GMNFJ-00</v>
          </cell>
          <cell r="P1364" t="str">
            <v>AGYA</v>
          </cell>
          <cell r="Q1364" t="e">
            <v>#N/A</v>
          </cell>
          <cell r="R1364" t="str">
            <v>A351RA-GMNFJ-00</v>
          </cell>
          <cell r="S1364" t="str">
            <v>AGYA</v>
          </cell>
          <cell r="T1364" t="e">
            <v>#N/A</v>
          </cell>
          <cell r="U1364" t="str">
            <v>AGYA E M/T</v>
          </cell>
        </row>
        <row r="1365">
          <cell r="D1365" t="str">
            <v>A351RA-GMEFJ-AB</v>
          </cell>
          <cell r="E1365" t="str">
            <v>AGYA</v>
          </cell>
          <cell r="F1365" t="str">
            <v>AGYA</v>
          </cell>
          <cell r="G1365" t="str">
            <v>AGYA</v>
          </cell>
          <cell r="H1365" t="str">
            <v>AGYA G M/T</v>
          </cell>
          <cell r="I1365" t="str">
            <v>AGYA G M/T</v>
          </cell>
          <cell r="J1365" t="str">
            <v>AGYA 1.2 G M/T TCO</v>
          </cell>
          <cell r="K1365" t="str">
            <v>AGYA</v>
          </cell>
          <cell r="N1365" t="str">
            <v>AGYA</v>
          </cell>
          <cell r="O1365" t="str">
            <v>A351RA-GMEFJ-AB</v>
          </cell>
          <cell r="P1365" t="str">
            <v>AGYA</v>
          </cell>
          <cell r="Q1365" t="e">
            <v>#N/A</v>
          </cell>
          <cell r="R1365" t="str">
            <v>A351RA-GMEFJ-AB</v>
          </cell>
          <cell r="S1365" t="str">
            <v>AGYA</v>
          </cell>
          <cell r="T1365" t="e">
            <v>#N/A</v>
          </cell>
          <cell r="U1365" t="str">
            <v>AGYA G M/T</v>
          </cell>
        </row>
        <row r="1366">
          <cell r="D1366" t="str">
            <v>FJA300R-GNUSY-02</v>
          </cell>
          <cell r="E1366" t="str">
            <v>LANDCRUISER</v>
          </cell>
          <cell r="F1366" t="str">
            <v>LANDCRUISER</v>
          </cell>
          <cell r="G1366" t="str">
            <v>LANDCRUISER</v>
          </cell>
          <cell r="H1366" t="str">
            <v>LANDCRUISER</v>
          </cell>
          <cell r="I1366" t="str">
            <v>LANDCRUISER GR-S 4x4 A/T</v>
          </cell>
          <cell r="J1366" t="str">
            <v>LANDCRUISER GR-S 4x4 A/T</v>
          </cell>
          <cell r="K1366" t="str">
            <v>LANDCRUISER</v>
          </cell>
          <cell r="M1366" t="str">
            <v>LANDCRUISER</v>
          </cell>
          <cell r="N1366" t="str">
            <v>LANDCRUISER</v>
          </cell>
          <cell r="O1366" t="str">
            <v>FJA300R-GNUSY-02</v>
          </cell>
          <cell r="P1366" t="str">
            <v>LANDCRUISER 300</v>
          </cell>
          <cell r="Q1366" t="e">
            <v>#N/A</v>
          </cell>
          <cell r="R1366" t="str">
            <v>FJA300R-GNUSY-02</v>
          </cell>
          <cell r="S1366" t="str">
            <v>LANDCRUISER</v>
          </cell>
          <cell r="T1366" t="e">
            <v>#N/A</v>
          </cell>
          <cell r="U1366" t="str">
            <v>LANDCRUISER</v>
          </cell>
        </row>
        <row r="1367">
          <cell r="D1367" t="str">
            <v>FJA300R-GNUSY-13</v>
          </cell>
          <cell r="E1367" t="str">
            <v>LANDCRUISER</v>
          </cell>
          <cell r="F1367" t="str">
            <v>LANDCRUISER</v>
          </cell>
          <cell r="G1367" t="str">
            <v>LANDCRUISER</v>
          </cell>
          <cell r="H1367" t="str">
            <v>LANDCRUISER</v>
          </cell>
          <cell r="I1367" t="str">
            <v>LANDCRUISER GR-S 4x4 A/T</v>
          </cell>
          <cell r="J1367" t="str">
            <v>LANDCRUISER GR-S 4x4 A/T</v>
          </cell>
          <cell r="K1367" t="str">
            <v>LANDCRUISER</v>
          </cell>
          <cell r="M1367" t="str">
            <v>LANDCRUISER</v>
          </cell>
          <cell r="N1367" t="str">
            <v>LANDCRUISER</v>
          </cell>
          <cell r="O1367" t="str">
            <v>FJA300R-GNUSY-13</v>
          </cell>
          <cell r="P1367" t="str">
            <v>LANDCRUISER 300</v>
          </cell>
          <cell r="Q1367" t="e">
            <v>#N/A</v>
          </cell>
          <cell r="R1367" t="str">
            <v>FJA300R-GNUSY-13</v>
          </cell>
          <cell r="S1367" t="str">
            <v>LANDCRUISER</v>
          </cell>
          <cell r="T1367" t="e">
            <v>#N/A</v>
          </cell>
          <cell r="U1367" t="str">
            <v>LANDCRUISER</v>
          </cell>
        </row>
        <row r="1368">
          <cell r="D1368" t="str">
            <v>F800RE-GQGFJ-K3</v>
          </cell>
          <cell r="E1368" t="str">
            <v>RUSH</v>
          </cell>
          <cell r="F1368" t="str">
            <v>RUSH</v>
          </cell>
          <cell r="G1368" t="str">
            <v>RUSH</v>
          </cell>
          <cell r="H1368" t="str">
            <v>RUSH S A/T</v>
          </cell>
          <cell r="I1368" t="str">
            <v>RUSH S A/T GR</v>
          </cell>
          <cell r="J1368" t="str">
            <v>RUSH S A/T</v>
          </cell>
          <cell r="K1368" t="str">
            <v>RUSH</v>
          </cell>
          <cell r="M1368" t="str">
            <v>RUSH</v>
          </cell>
          <cell r="N1368" t="str">
            <v>RUSH</v>
          </cell>
          <cell r="O1368" t="str">
            <v>F800RE-GQGFJ-K3</v>
          </cell>
          <cell r="P1368" t="str">
            <v>RUSH</v>
          </cell>
          <cell r="Q1368" t="str">
            <v>RUSH</v>
          </cell>
          <cell r="R1368" t="str">
            <v>F800RE-GQGFJ-K3</v>
          </cell>
          <cell r="S1368" t="str">
            <v>RUSH</v>
          </cell>
          <cell r="T1368" t="e">
            <v>#N/A</v>
          </cell>
          <cell r="U1368" t="str">
            <v>RUSH S A/T</v>
          </cell>
        </row>
        <row r="1369">
          <cell r="D1369" t="str">
            <v>A251RA-GBXFJ-K0</v>
          </cell>
          <cell r="E1369" t="str">
            <v>RAIZE</v>
          </cell>
          <cell r="F1369" t="str">
            <v>RAIZE</v>
          </cell>
          <cell r="G1369" t="str">
            <v>RAIZE</v>
          </cell>
          <cell r="H1369" t="str">
            <v>RAIZE G A/T</v>
          </cell>
          <cell r="I1369" t="str">
            <v>RAIZE 1.2 G A/T</v>
          </cell>
          <cell r="J1369" t="str">
            <v>RAIZE 1.2 G A/T ONE TONE</v>
          </cell>
          <cell r="K1369" t="str">
            <v>RAIZE</v>
          </cell>
          <cell r="M1369" t="str">
            <v>RAIZE</v>
          </cell>
          <cell r="N1369" t="str">
            <v>RAIZE</v>
          </cell>
          <cell r="O1369" t="str">
            <v>A251RA-GBXFJ-K0</v>
          </cell>
          <cell r="P1369" t="str">
            <v>RAIZE</v>
          </cell>
          <cell r="Q1369" t="e">
            <v>#N/A</v>
          </cell>
          <cell r="R1369" t="str">
            <v>A251RA-GBXFJ-K0</v>
          </cell>
          <cell r="S1369" t="str">
            <v>RAIZE</v>
          </cell>
          <cell r="T1369" t="e">
            <v>#N/A</v>
          </cell>
          <cell r="U1369" t="str">
            <v>RAIZE G A/T</v>
          </cell>
        </row>
        <row r="1370">
          <cell r="D1370" t="str">
            <v>W101RE-LBVFJ-K3</v>
          </cell>
          <cell r="E1370" t="str">
            <v>VELOZ</v>
          </cell>
          <cell r="F1370" t="str">
            <v>VELOZ</v>
          </cell>
          <cell r="G1370" t="str">
            <v>VELOZ</v>
          </cell>
          <cell r="H1370" t="str">
            <v>VELOZ A/T</v>
          </cell>
          <cell r="I1370" t="str">
            <v>VELOZ Q A/T TSS</v>
          </cell>
          <cell r="J1370" t="str">
            <v>VELOZ Q A/T TSS</v>
          </cell>
          <cell r="K1370" t="str">
            <v>VELOZ</v>
          </cell>
          <cell r="M1370" t="str">
            <v>VELOZ</v>
          </cell>
          <cell r="N1370" t="str">
            <v>VELOZ</v>
          </cell>
          <cell r="O1370" t="str">
            <v>W101RE-LBVFJ-K3</v>
          </cell>
          <cell r="P1370" t="str">
            <v>VELOZ NEW</v>
          </cell>
          <cell r="Q1370" t="e">
            <v>#N/A</v>
          </cell>
          <cell r="R1370" t="str">
            <v>W101RE-LBVFJ-K3</v>
          </cell>
          <cell r="S1370" t="str">
            <v>VELOZ</v>
          </cell>
          <cell r="T1370" t="e">
            <v>#N/A</v>
          </cell>
          <cell r="U1370" t="str">
            <v>VELOZ A/T</v>
          </cell>
        </row>
        <row r="1371">
          <cell r="D1371" t="str">
            <v>W101RE-LBMFJ-K0</v>
          </cell>
          <cell r="E1371" t="str">
            <v>AVANZA</v>
          </cell>
          <cell r="F1371" t="str">
            <v>AVANZA</v>
          </cell>
          <cell r="G1371" t="str">
            <v>AVANZA</v>
          </cell>
          <cell r="H1371" t="str">
            <v>AVANZA G A/T</v>
          </cell>
          <cell r="I1371" t="str">
            <v>AVANZA G A/T</v>
          </cell>
          <cell r="J1371" t="str">
            <v>AVANZA G A/T</v>
          </cell>
          <cell r="K1371" t="str">
            <v>AVANZA</v>
          </cell>
          <cell r="M1371" t="str">
            <v>AVANZA</v>
          </cell>
          <cell r="N1371" t="str">
            <v>AVANZA</v>
          </cell>
          <cell r="O1371" t="str">
            <v>W101RE-LBMFJ-K0</v>
          </cell>
          <cell r="P1371" t="str">
            <v>AVANZA</v>
          </cell>
          <cell r="Q1371" t="e">
            <v>#N/A</v>
          </cell>
          <cell r="R1371" t="str">
            <v>W101RE-LBMFJ-K0</v>
          </cell>
          <cell r="S1371" t="str">
            <v>AVANZA</v>
          </cell>
          <cell r="T1371" t="e">
            <v>#N/A</v>
          </cell>
          <cell r="U1371" t="str">
            <v>AVANZA G A/T</v>
          </cell>
        </row>
        <row r="1372">
          <cell r="D1372" t="str">
            <v>W100RE-LBDFJ-K0</v>
          </cell>
          <cell r="E1372" t="str">
            <v>AVANZA</v>
          </cell>
          <cell r="F1372" t="str">
            <v>AVANZA</v>
          </cell>
          <cell r="G1372" t="str">
            <v>AVANZA</v>
          </cell>
          <cell r="H1372" t="str">
            <v>AVANZA E A/T</v>
          </cell>
          <cell r="I1372" t="str">
            <v>AVANZA E A/T</v>
          </cell>
          <cell r="J1372" t="str">
            <v>AVANZA E A/T</v>
          </cell>
          <cell r="K1372" t="str">
            <v>AVANZA</v>
          </cell>
          <cell r="M1372" t="str">
            <v>AVANZA</v>
          </cell>
          <cell r="N1372" t="str">
            <v>AVANZA</v>
          </cell>
          <cell r="O1372" t="str">
            <v>W100RE-LBDFJ-K0</v>
          </cell>
          <cell r="P1372" t="str">
            <v>AVANZA</v>
          </cell>
          <cell r="Q1372" t="e">
            <v>#N/A</v>
          </cell>
          <cell r="R1372" t="str">
            <v>W100RE-LBDFJ-K0</v>
          </cell>
          <cell r="S1372" t="str">
            <v>AVANZA</v>
          </cell>
          <cell r="T1372" t="e">
            <v>#N/A</v>
          </cell>
          <cell r="U1372" t="str">
            <v>AVANZA E A/T</v>
          </cell>
        </row>
        <row r="1373">
          <cell r="D1373" t="str">
            <v>A250RA-GBXVJ-K0</v>
          </cell>
          <cell r="E1373" t="str">
            <v>RAIZE</v>
          </cell>
          <cell r="F1373" t="str">
            <v>RAIZE</v>
          </cell>
          <cell r="G1373" t="str">
            <v>RAIZE</v>
          </cell>
          <cell r="H1373" t="str">
            <v>RAIZE G A/T</v>
          </cell>
          <cell r="I1373" t="str">
            <v>RAIZE 1.0T G A/T</v>
          </cell>
          <cell r="J1373" t="str">
            <v>RAIZE 1.0T G A/T ONE TONE</v>
          </cell>
          <cell r="K1373" t="str">
            <v>RAIZE</v>
          </cell>
          <cell r="M1373" t="str">
            <v>RAIZE</v>
          </cell>
          <cell r="N1373" t="str">
            <v>RAIZE</v>
          </cell>
          <cell r="O1373" t="str">
            <v>A250RA-GBXVJ-K0</v>
          </cell>
          <cell r="P1373" t="str">
            <v>RAIZE</v>
          </cell>
          <cell r="Q1373" t="e">
            <v>#N/A</v>
          </cell>
          <cell r="R1373" t="str">
            <v>A250RA-GBXVJ-K0</v>
          </cell>
          <cell r="S1373" t="str">
            <v>RAIZE</v>
          </cell>
          <cell r="T1373" t="e">
            <v>#N/A</v>
          </cell>
          <cell r="U1373" t="str">
            <v>RAIZE G A/T</v>
          </cell>
        </row>
        <row r="1374">
          <cell r="D1374" t="str">
            <v>A250RA-GBVVJ-K0</v>
          </cell>
          <cell r="E1374" t="str">
            <v>RAIZE</v>
          </cell>
          <cell r="F1374" t="str">
            <v>RAIZE</v>
          </cell>
          <cell r="G1374" t="str">
            <v>RAIZE</v>
          </cell>
          <cell r="H1374" t="str">
            <v>RAIZE S A/T</v>
          </cell>
          <cell r="I1374" t="str">
            <v>RAIZE 1.0T S A/T</v>
          </cell>
          <cell r="J1374" t="str">
            <v>RAIZE 1.0T S A/T ONE TONE</v>
          </cell>
          <cell r="K1374" t="str">
            <v>RAIZE</v>
          </cell>
          <cell r="M1374" t="str">
            <v>RAIZE</v>
          </cell>
          <cell r="N1374" t="str">
            <v>RAIZE</v>
          </cell>
          <cell r="O1374" t="str">
            <v>A250RA-GBVVJ-K0</v>
          </cell>
          <cell r="P1374" t="str">
            <v>RAIZE</v>
          </cell>
          <cell r="Q1374" t="e">
            <v>#N/A</v>
          </cell>
          <cell r="R1374" t="str">
            <v>A250RA-GBVVJ-K0</v>
          </cell>
          <cell r="S1374" t="str">
            <v>RAIZE</v>
          </cell>
          <cell r="T1374" t="e">
            <v>#N/A</v>
          </cell>
          <cell r="U1374" t="str">
            <v>RAIZE S A/T</v>
          </cell>
        </row>
        <row r="1375">
          <cell r="D1375" t="str">
            <v>W101RE-LBVFJ-K2</v>
          </cell>
          <cell r="E1375" t="str">
            <v>VELOZ</v>
          </cell>
          <cell r="F1375" t="str">
            <v>VELOZ</v>
          </cell>
          <cell r="G1375" t="str">
            <v>VELOZ</v>
          </cell>
          <cell r="H1375" t="str">
            <v>VELOZ A/T</v>
          </cell>
          <cell r="I1375" t="str">
            <v>VELOZ Q A/T</v>
          </cell>
          <cell r="J1375" t="str">
            <v>VELOZ Q A/T</v>
          </cell>
          <cell r="K1375" t="str">
            <v>VELOZ</v>
          </cell>
          <cell r="M1375" t="str">
            <v>VELOZ</v>
          </cell>
          <cell r="N1375" t="str">
            <v>VELOZ</v>
          </cell>
          <cell r="O1375" t="str">
            <v>W101RE-LBVFJ-K2</v>
          </cell>
          <cell r="P1375" t="str">
            <v>VELOZ NEW</v>
          </cell>
          <cell r="Q1375" t="e">
            <v>#N/A</v>
          </cell>
          <cell r="R1375" t="str">
            <v>W101RE-LBVFJ-K2</v>
          </cell>
          <cell r="S1375" t="str">
            <v>VELOZ</v>
          </cell>
          <cell r="T1375" t="e">
            <v>#N/A</v>
          </cell>
          <cell r="U1375" t="str">
            <v>VELOZ A/T</v>
          </cell>
        </row>
        <row r="1376">
          <cell r="D1376" t="str">
            <v>W101RE-LBVFJ-K0</v>
          </cell>
          <cell r="E1376" t="str">
            <v>VELOZ</v>
          </cell>
          <cell r="F1376" t="str">
            <v>VELOZ</v>
          </cell>
          <cell r="G1376" t="str">
            <v>VELOZ</v>
          </cell>
          <cell r="H1376" t="str">
            <v>VELOZ A/T</v>
          </cell>
          <cell r="I1376" t="str">
            <v>VELOZ Q A/T</v>
          </cell>
          <cell r="J1376" t="str">
            <v>VELOZ Q A/T</v>
          </cell>
          <cell r="K1376" t="str">
            <v>VELOZ</v>
          </cell>
          <cell r="M1376" t="str">
            <v>VELOZ</v>
          </cell>
          <cell r="N1376" t="str">
            <v>VELOZ</v>
          </cell>
          <cell r="O1376" t="str">
            <v>W101RE-LBVFJ-K0</v>
          </cell>
          <cell r="P1376" t="str">
            <v>VELOZ NEW</v>
          </cell>
          <cell r="Q1376" t="e">
            <v>#N/A</v>
          </cell>
          <cell r="R1376" t="str">
            <v>W101RE-LBVFJ-K0</v>
          </cell>
          <cell r="S1376" t="str">
            <v>VELOZ</v>
          </cell>
          <cell r="T1376" t="e">
            <v>#N/A</v>
          </cell>
          <cell r="U1376" t="str">
            <v>VELOZ A/T</v>
          </cell>
        </row>
        <row r="1377">
          <cell r="D1377" t="str">
            <v>W101RE-LMSFJ-K0</v>
          </cell>
          <cell r="E1377" t="str">
            <v>VELOZ</v>
          </cell>
          <cell r="F1377" t="str">
            <v>VELOZ</v>
          </cell>
          <cell r="G1377" t="str">
            <v>VELOZ</v>
          </cell>
          <cell r="H1377" t="str">
            <v>VELOZ M/T</v>
          </cell>
          <cell r="I1377" t="str">
            <v>VELOZ M/T</v>
          </cell>
          <cell r="J1377" t="str">
            <v>VELOZ M/T</v>
          </cell>
          <cell r="K1377" t="str">
            <v>VELOZ</v>
          </cell>
          <cell r="M1377" t="str">
            <v>VELOZ</v>
          </cell>
          <cell r="N1377" t="str">
            <v>VELOZ</v>
          </cell>
          <cell r="O1377" t="str">
            <v>W101RE-LMSFJ-K0</v>
          </cell>
          <cell r="P1377" t="str">
            <v>VELOZ NEW</v>
          </cell>
          <cell r="Q1377" t="e">
            <v>#N/A</v>
          </cell>
          <cell r="R1377" t="str">
            <v>W101RE-LMSFJ-K0</v>
          </cell>
          <cell r="S1377" t="str">
            <v>VELOZ</v>
          </cell>
          <cell r="T1377" t="e">
            <v>#N/A</v>
          </cell>
          <cell r="U1377" t="str">
            <v>VELOZ M/T</v>
          </cell>
        </row>
        <row r="1378">
          <cell r="D1378" t="str">
            <v>W101RE-LMMFJ-K0</v>
          </cell>
          <cell r="E1378" t="str">
            <v>AVANZA</v>
          </cell>
          <cell r="F1378" t="str">
            <v>AVANZA</v>
          </cell>
          <cell r="G1378" t="str">
            <v>AVANZA</v>
          </cell>
          <cell r="H1378" t="str">
            <v>AVANZA G M/T</v>
          </cell>
          <cell r="I1378" t="str">
            <v>AVANZA G M/T</v>
          </cell>
          <cell r="J1378" t="str">
            <v>AVANZA G M/T</v>
          </cell>
          <cell r="K1378" t="str">
            <v>AVANZA</v>
          </cell>
          <cell r="M1378" t="str">
            <v>AVANZA</v>
          </cell>
          <cell r="N1378" t="str">
            <v>AVANZA</v>
          </cell>
          <cell r="O1378" t="str">
            <v>W101RE-LMMFJ-K0</v>
          </cell>
          <cell r="P1378" t="str">
            <v>AVANZA</v>
          </cell>
          <cell r="Q1378" t="e">
            <v>#N/A</v>
          </cell>
          <cell r="R1378" t="str">
            <v>W101RE-LMMFJ-K0</v>
          </cell>
          <cell r="S1378" t="str">
            <v>AVANZA</v>
          </cell>
          <cell r="T1378" t="e">
            <v>#N/A</v>
          </cell>
          <cell r="U1378" t="str">
            <v>AVANZA G M/T</v>
          </cell>
        </row>
        <row r="1379">
          <cell r="D1379" t="str">
            <v>W100RE-LMDFJ-K0</v>
          </cell>
          <cell r="E1379" t="str">
            <v>AVANZA</v>
          </cell>
          <cell r="F1379" t="str">
            <v>AVANZA</v>
          </cell>
          <cell r="G1379" t="str">
            <v>AVANZA</v>
          </cell>
          <cell r="H1379" t="str">
            <v>AVANZA E M/T</v>
          </cell>
          <cell r="I1379" t="str">
            <v>AVANZA E M/T</v>
          </cell>
          <cell r="J1379" t="str">
            <v>AVANZA E M/T</v>
          </cell>
          <cell r="K1379" t="str">
            <v>AVANZA</v>
          </cell>
          <cell r="M1379" t="str">
            <v>AVANZA</v>
          </cell>
          <cell r="N1379" t="str">
            <v>AVANZA</v>
          </cell>
          <cell r="O1379" t="str">
            <v>W100RE-LMDFJ-K0</v>
          </cell>
          <cell r="P1379" t="str">
            <v>AVANZA</v>
          </cell>
          <cell r="Q1379" t="e">
            <v>#N/A</v>
          </cell>
          <cell r="R1379" t="str">
            <v>W100RE-LMDFJ-K0</v>
          </cell>
          <cell r="S1379" t="str">
            <v>AVANZA</v>
          </cell>
          <cell r="T1379" t="e">
            <v>#N/A</v>
          </cell>
          <cell r="U1379" t="str">
            <v>AVANZA E M/T</v>
          </cell>
        </row>
        <row r="1380">
          <cell r="D1380" t="str">
            <v>W101RE-LBSFJ-K1</v>
          </cell>
          <cell r="E1380" t="str">
            <v>VELOZ</v>
          </cell>
          <cell r="F1380" t="str">
            <v>VELOZ</v>
          </cell>
          <cell r="G1380" t="str">
            <v>VELOZ</v>
          </cell>
          <cell r="H1380" t="str">
            <v>VELOZ A/T</v>
          </cell>
          <cell r="I1380" t="str">
            <v>VELOZ A/T</v>
          </cell>
          <cell r="J1380" t="str">
            <v>VELOZ A/T</v>
          </cell>
          <cell r="K1380" t="str">
            <v>VELOZ</v>
          </cell>
          <cell r="M1380" t="str">
            <v>VELOZ</v>
          </cell>
          <cell r="N1380" t="str">
            <v>VELOZ</v>
          </cell>
          <cell r="O1380" t="str">
            <v>W101RE-LBSFJ-K1</v>
          </cell>
          <cell r="P1380" t="str">
            <v>VELOZ NEW</v>
          </cell>
          <cell r="Q1380" t="e">
            <v>#N/A</v>
          </cell>
          <cell r="R1380" t="str">
            <v>W101RE-LBSFJ-K1</v>
          </cell>
          <cell r="S1380" t="str">
            <v>VELOZ</v>
          </cell>
          <cell r="T1380" t="e">
            <v>#N/A</v>
          </cell>
          <cell r="U1380" t="str">
            <v>VELOZ A/T</v>
          </cell>
        </row>
        <row r="1381">
          <cell r="D1381" t="str">
            <v>GUN155R-SDTSHD-10</v>
          </cell>
          <cell r="E1381" t="str">
            <v>FORTUNER</v>
          </cell>
          <cell r="F1381" t="str">
            <v>FORTUNER 4X4</v>
          </cell>
          <cell r="G1381" t="str">
            <v>FORTUNER 4X4</v>
          </cell>
          <cell r="H1381" t="str">
            <v>FORTUNER 4X4 G A/T DIESEL</v>
          </cell>
          <cell r="I1381" t="str">
            <v>FORTUNER 4X4 G A/T DIESEL</v>
          </cell>
          <cell r="J1381" t="str">
            <v>FORTUNER 4X4 G A/T DIESEL</v>
          </cell>
          <cell r="K1381" t="str">
            <v>FORTUNER 4X4</v>
          </cell>
          <cell r="L1381" t="str">
            <v>GUN55GA/T10M</v>
          </cell>
          <cell r="M1381" t="str">
            <v>FORTUNER</v>
          </cell>
          <cell r="N1381" t="str">
            <v>FORTUNER 4X4</v>
          </cell>
          <cell r="O1381" t="str">
            <v>GUN155R-SDTSHD-10</v>
          </cell>
          <cell r="P1381" t="e">
            <v>#N/A</v>
          </cell>
          <cell r="Q1381" t="e">
            <v>#N/A</v>
          </cell>
          <cell r="R1381" t="str">
            <v>GUN155R-SDTSHD-10</v>
          </cell>
          <cell r="S1381" t="str">
            <v>FORTUNER</v>
          </cell>
          <cell r="T1381" t="e">
            <v>#N/A</v>
          </cell>
          <cell r="U1381" t="str">
            <v>FORTUNER 4X4 G A/T DIESEL</v>
          </cell>
        </row>
        <row r="1382">
          <cell r="D1382" t="str">
            <v>A250RA-GBVVJ-K3</v>
          </cell>
          <cell r="E1382" t="str">
            <v>RAIZE</v>
          </cell>
          <cell r="F1382" t="str">
            <v>RAIZE</v>
          </cell>
          <cell r="G1382" t="str">
            <v>RAIZE</v>
          </cell>
          <cell r="H1382" t="str">
            <v>RAIZE S A/T</v>
          </cell>
          <cell r="I1382" t="str">
            <v>RAIZE 1.0T S A/T GR TSS</v>
          </cell>
          <cell r="J1382" t="str">
            <v>RAIZE 1.0T S A/T GR TSS - TWO TONE</v>
          </cell>
          <cell r="K1382" t="str">
            <v>RAIZE</v>
          </cell>
          <cell r="M1382" t="str">
            <v>RAIZE</v>
          </cell>
          <cell r="N1382" t="str">
            <v>RAIZE</v>
          </cell>
          <cell r="O1382" t="str">
            <v>A250RA-GBVVJ-K3</v>
          </cell>
          <cell r="P1382" t="str">
            <v>RAIZE</v>
          </cell>
          <cell r="Q1382" t="e">
            <v>#N/A</v>
          </cell>
          <cell r="R1382" t="str">
            <v>A250RA-GBVVJ-K3</v>
          </cell>
          <cell r="S1382" t="str">
            <v>RAIZE</v>
          </cell>
          <cell r="T1382" t="e">
            <v>#N/A</v>
          </cell>
          <cell r="U1382" t="str">
            <v>RAIZE S A/T</v>
          </cell>
        </row>
        <row r="1383">
          <cell r="D1383" t="str">
            <v>A250RA-GBVVJ-K1</v>
          </cell>
          <cell r="E1383" t="str">
            <v>RAIZE</v>
          </cell>
          <cell r="F1383" t="str">
            <v>RAIZE</v>
          </cell>
          <cell r="G1383" t="str">
            <v>RAIZE</v>
          </cell>
          <cell r="H1383" t="str">
            <v>RAIZE S A/T</v>
          </cell>
          <cell r="I1383" t="str">
            <v>RAIZE 1.0T S A/T GR</v>
          </cell>
          <cell r="J1383" t="str">
            <v>RAIZE 1.0T S A/T GR - TWO TONE</v>
          </cell>
          <cell r="K1383" t="str">
            <v>RAIZE</v>
          </cell>
          <cell r="M1383" t="str">
            <v>RAIZE</v>
          </cell>
          <cell r="N1383" t="str">
            <v>RAIZE</v>
          </cell>
          <cell r="O1383" t="str">
            <v>A250RA-GBVVJ-K1</v>
          </cell>
          <cell r="P1383" t="str">
            <v>RAIZE</v>
          </cell>
          <cell r="Q1383" t="e">
            <v>#N/A</v>
          </cell>
          <cell r="R1383" t="str">
            <v>A250RA-GBVVJ-K1</v>
          </cell>
          <cell r="S1383" t="str">
            <v>RAIZE</v>
          </cell>
          <cell r="T1383" t="e">
            <v>#N/A</v>
          </cell>
          <cell r="U1383" t="str">
            <v>RAIZE S A/T</v>
          </cell>
        </row>
        <row r="1384">
          <cell r="D1384" t="str">
            <v>ZN8-CKE7-01</v>
          </cell>
          <cell r="E1384" t="str">
            <v>FT86</v>
          </cell>
          <cell r="F1384" t="str">
            <v>FT86</v>
          </cell>
          <cell r="G1384" t="str">
            <v>FT86</v>
          </cell>
          <cell r="H1384" t="str">
            <v>GR 86 A/T</v>
          </cell>
          <cell r="I1384" t="str">
            <v>GR 86 A/T</v>
          </cell>
          <cell r="J1384" t="str">
            <v>GR 86 A/T</v>
          </cell>
          <cell r="K1384" t="str">
            <v>FT86</v>
          </cell>
          <cell r="M1384" t="str">
            <v>FT86</v>
          </cell>
          <cell r="N1384" t="str">
            <v>FT86</v>
          </cell>
          <cell r="O1384" t="str">
            <v>ZN8-CKE7-01</v>
          </cell>
          <cell r="P1384" t="str">
            <v>GR86</v>
          </cell>
          <cell r="Q1384" t="e">
            <v>#N/A</v>
          </cell>
          <cell r="R1384" t="str">
            <v>ZN8-CKE7-01</v>
          </cell>
          <cell r="S1384" t="str">
            <v>FT86</v>
          </cell>
          <cell r="T1384" t="e">
            <v>#N/A</v>
          </cell>
          <cell r="U1384" t="str">
            <v>FT 86 A/T</v>
          </cell>
        </row>
        <row r="1385">
          <cell r="D1385" t="str">
            <v>GUN125R-DTFLXD-41</v>
          </cell>
          <cell r="E1385" t="str">
            <v>HILUX</v>
          </cell>
          <cell r="F1385" t="str">
            <v>HILUX DC</v>
          </cell>
          <cell r="G1385" t="str">
            <v>HILUX DC</v>
          </cell>
          <cell r="H1385" t="str">
            <v>HILUX DC E M/T DIESEL</v>
          </cell>
          <cell r="I1385" t="str">
            <v>HILUX DC E M/T DIESEL RTS</v>
          </cell>
          <cell r="J1385" t="str">
            <v>HILUX DC E M/T DIESEL RTS</v>
          </cell>
          <cell r="K1385" t="str">
            <v>HILUX DC</v>
          </cell>
          <cell r="M1385" t="str">
            <v>HILUX</v>
          </cell>
          <cell r="N1385" t="str">
            <v>HILUX DC</v>
          </cell>
          <cell r="O1385" t="str">
            <v>GUN125R-DTFLXD-41</v>
          </cell>
          <cell r="P1385" t="e">
            <v>#N/A</v>
          </cell>
          <cell r="Q1385" t="e">
            <v>#N/A</v>
          </cell>
          <cell r="R1385" t="str">
            <v>GUN125R-DTFLXD-41</v>
          </cell>
          <cell r="S1385" t="str">
            <v>HILUX</v>
          </cell>
          <cell r="T1385" t="e">
            <v>#N/A</v>
          </cell>
          <cell r="U1385" t="str">
            <v>HILUX DC E M/T DIESEL</v>
          </cell>
        </row>
        <row r="1386">
          <cell r="D1386" t="str">
            <v>GUN125R-DTFLXD-40</v>
          </cell>
          <cell r="E1386" t="str">
            <v>HILUX</v>
          </cell>
          <cell r="F1386" t="str">
            <v>HILUX DC</v>
          </cell>
          <cell r="G1386" t="str">
            <v>HILUX DC</v>
          </cell>
          <cell r="H1386" t="str">
            <v>HILUX DC E M/T DIESEL</v>
          </cell>
          <cell r="I1386" t="str">
            <v>HILUX DC E M/T DIESEL</v>
          </cell>
          <cell r="J1386" t="str">
            <v>HILUX DC E M/T DIESEL</v>
          </cell>
          <cell r="K1386" t="str">
            <v>HILUX DC</v>
          </cell>
          <cell r="M1386" t="str">
            <v>HILUX</v>
          </cell>
          <cell r="N1386" t="str">
            <v>HILUX DC</v>
          </cell>
          <cell r="O1386" t="str">
            <v>GUN125R-DTFLXD-40</v>
          </cell>
          <cell r="P1386" t="str">
            <v>HILUX D-CAB</v>
          </cell>
          <cell r="Q1386" t="e">
            <v>#N/A</v>
          </cell>
          <cell r="R1386" t="str">
            <v>GUN125R-DTFLXD-40</v>
          </cell>
          <cell r="S1386" t="str">
            <v>HILUX</v>
          </cell>
          <cell r="T1386" t="str">
            <v>HILUX</v>
          </cell>
          <cell r="U1386" t="str">
            <v>HILUX DC E M/T DIESEL</v>
          </cell>
        </row>
        <row r="1387">
          <cell r="D1387" t="str">
            <v>GUN125R-DTTHXD-40</v>
          </cell>
          <cell r="E1387" t="str">
            <v>HILUX</v>
          </cell>
          <cell r="F1387" t="str">
            <v>HILUX DC</v>
          </cell>
          <cell r="G1387" t="str">
            <v>HILUX DC</v>
          </cell>
          <cell r="H1387" t="str">
            <v>HILUX DC V A/T DIESEL</v>
          </cell>
          <cell r="I1387" t="str">
            <v>HILUX DC V A/T DIESEL</v>
          </cell>
          <cell r="J1387" t="str">
            <v>HILUX DC V A/T DIESEL</v>
          </cell>
          <cell r="K1387" t="str">
            <v>HILUX DC</v>
          </cell>
          <cell r="M1387" t="str">
            <v>HILUX</v>
          </cell>
          <cell r="N1387" t="str">
            <v>HILUX DC</v>
          </cell>
          <cell r="O1387" t="str">
            <v>GUN125R-DTTHXD-40</v>
          </cell>
          <cell r="P1387" t="str">
            <v>HILUX D-CAB</v>
          </cell>
          <cell r="Q1387" t="e">
            <v>#N/A</v>
          </cell>
          <cell r="R1387" t="str">
            <v>GUN125R-DTTHXD-40</v>
          </cell>
          <cell r="S1387" t="str">
            <v>HILUX</v>
          </cell>
          <cell r="T1387" t="str">
            <v>HILUX</v>
          </cell>
          <cell r="U1387" t="str">
            <v>HILUX DC V A/T DIESEL</v>
          </cell>
        </row>
        <row r="1388">
          <cell r="D1388" t="str">
            <v>GUN125R-DTFSXD-30</v>
          </cell>
          <cell r="E1388" t="str">
            <v>HILUX</v>
          </cell>
          <cell r="F1388" t="str">
            <v>HILUX DC</v>
          </cell>
          <cell r="G1388" t="str">
            <v>HILUX DC</v>
          </cell>
          <cell r="H1388" t="str">
            <v>HILUX DC G M/T DIESEL</v>
          </cell>
          <cell r="I1388" t="str">
            <v>HILUX DC G M/T DIESEL</v>
          </cell>
          <cell r="J1388" t="str">
            <v>HILUX DC G M/T DIESEL</v>
          </cell>
          <cell r="K1388" t="str">
            <v>HILUX DC</v>
          </cell>
          <cell r="M1388" t="str">
            <v>HILUX</v>
          </cell>
          <cell r="N1388" t="str">
            <v>HILUX DC</v>
          </cell>
          <cell r="O1388" t="str">
            <v>GUN125R-DTFSXD-30</v>
          </cell>
          <cell r="P1388" t="str">
            <v>HILUX D-CAB</v>
          </cell>
          <cell r="Q1388" t="e">
            <v>#N/A</v>
          </cell>
          <cell r="R1388" t="str">
            <v>GUN125R-DTFSXD-30</v>
          </cell>
          <cell r="S1388" t="str">
            <v>HILUX</v>
          </cell>
          <cell r="T1388" t="str">
            <v>HILUX</v>
          </cell>
          <cell r="U1388" t="str">
            <v>HILUX DC G M/T DIESEL</v>
          </cell>
        </row>
        <row r="1389">
          <cell r="D1389" t="str">
            <v>GUN125R-DTFLXD-11</v>
          </cell>
          <cell r="E1389" t="str">
            <v>HILUX</v>
          </cell>
          <cell r="F1389" t="str">
            <v>HILUX DC</v>
          </cell>
          <cell r="G1389" t="str">
            <v>HILUX DC</v>
          </cell>
          <cell r="H1389" t="str">
            <v>HILUX DC E M/T DIESEL</v>
          </cell>
          <cell r="I1389" t="str">
            <v>HILUX DC E M/T DIESEL RTS</v>
          </cell>
          <cell r="J1389" t="str">
            <v>HILUX DC E M/T DIESEL RTS</v>
          </cell>
          <cell r="K1389" t="str">
            <v>HILUX DC</v>
          </cell>
          <cell r="M1389" t="str">
            <v>HILUX</v>
          </cell>
          <cell r="N1389" t="str">
            <v>HILUX DC</v>
          </cell>
          <cell r="O1389" t="str">
            <v>GUN125R-DTFLXD-11</v>
          </cell>
          <cell r="P1389" t="str">
            <v>HILUX D-CAB</v>
          </cell>
          <cell r="Q1389" t="e">
            <v>#N/A</v>
          </cell>
          <cell r="R1389" t="str">
            <v>GUN125R-DTFLXD-11</v>
          </cell>
          <cell r="S1389" t="str">
            <v>HILUX</v>
          </cell>
          <cell r="T1389" t="e">
            <v>#N/A</v>
          </cell>
          <cell r="U1389" t="str">
            <v>HILUX DC E M/T DIESEL</v>
          </cell>
        </row>
        <row r="1390">
          <cell r="D1390" t="str">
            <v>NGC200R-DHXMKD-K0</v>
          </cell>
          <cell r="E1390" t="str">
            <v>YARIS</v>
          </cell>
          <cell r="F1390" t="str">
            <v>YARIS</v>
          </cell>
          <cell r="G1390" t="str">
            <v>YARIS CROSS</v>
          </cell>
          <cell r="H1390" t="str">
            <v>YARIS CROSS G A/T</v>
          </cell>
          <cell r="I1390" t="str">
            <v>YARIS CROSS G A/T</v>
          </cell>
          <cell r="J1390" t="str">
            <v>YARIS CROSS G A/T</v>
          </cell>
          <cell r="K1390" t="str">
            <v>YARIS CROSS</v>
          </cell>
          <cell r="N1390" t="str">
            <v>YARIS CROSS</v>
          </cell>
          <cell r="O1390" t="str">
            <v>NGC200R-DHXMKD-K0</v>
          </cell>
          <cell r="P1390" t="str">
            <v>YARIS CROSS GAS</v>
          </cell>
          <cell r="Q1390" t="e">
            <v>#N/A</v>
          </cell>
          <cell r="R1390" t="str">
            <v>NGC200R-DHXMKD-K0</v>
          </cell>
          <cell r="S1390" t="str">
            <v>YARIS</v>
          </cell>
          <cell r="T1390" t="e">
            <v>#N/A</v>
          </cell>
          <cell r="U1390" t="str">
            <v>YARIS CROSS G A/T</v>
          </cell>
        </row>
        <row r="1391">
          <cell r="D1391" t="str">
            <v>AAHH40R-PFXZB-00</v>
          </cell>
          <cell r="E1391" t="str">
            <v>VELLFIRE</v>
          </cell>
          <cell r="F1391" t="str">
            <v>VELLFIRE</v>
          </cell>
          <cell r="G1391" t="str">
            <v>VELLFIRE</v>
          </cell>
          <cell r="H1391" t="str">
            <v>VELLFIRE A/T HYBRID</v>
          </cell>
          <cell r="I1391" t="str">
            <v>VELLFIRE A/T HYBRID</v>
          </cell>
          <cell r="J1391" t="str">
            <v>VELLFIRE A/T HYBRID</v>
          </cell>
          <cell r="K1391" t="str">
            <v>VELLFIRE</v>
          </cell>
          <cell r="N1391" t="str">
            <v>VELLFIRE</v>
          </cell>
          <cell r="O1391" t="str">
            <v>AAHH40R-PFXZB-00</v>
          </cell>
          <cell r="P1391" t="str">
            <v>VELLFIRE</v>
          </cell>
          <cell r="Q1391" t="e">
            <v>#N/A</v>
          </cell>
          <cell r="R1391" t="str">
            <v>AAHH40R-PFXZB-00</v>
          </cell>
          <cell r="S1391" t="str">
            <v>VELLFIRE</v>
          </cell>
          <cell r="T1391" t="str">
            <v>VELLFIRE</v>
          </cell>
          <cell r="U1391" t="str">
            <v>VELLFIRE A/T HYBRID</v>
          </cell>
        </row>
        <row r="1392">
          <cell r="D1392" t="str">
            <v>AAHH40R-PFXZB-01</v>
          </cell>
          <cell r="E1392" t="str">
            <v>VELLFIRE</v>
          </cell>
          <cell r="F1392" t="str">
            <v>VELLFIRE</v>
          </cell>
          <cell r="G1392" t="str">
            <v>VELLFIRE</v>
          </cell>
          <cell r="H1392" t="str">
            <v>VELLFIRE A/T HYBRID</v>
          </cell>
          <cell r="I1392" t="str">
            <v>VELLFIRE A/T HYBRID</v>
          </cell>
          <cell r="J1392" t="str">
            <v>VELLFIRE A/T HYBRID</v>
          </cell>
          <cell r="K1392" t="str">
            <v>VELLFIRE</v>
          </cell>
          <cell r="N1392" t="str">
            <v>VELLFIRE</v>
          </cell>
          <cell r="O1392" t="str">
            <v>AAHH40R-PFXZB-01</v>
          </cell>
          <cell r="P1392" t="str">
            <v>VELLFIRE</v>
          </cell>
          <cell r="Q1392" t="e">
            <v>#N/A</v>
          </cell>
          <cell r="R1392" t="str">
            <v>AAHH40R-PFXZB-01</v>
          </cell>
          <cell r="S1392" t="str">
            <v>VELLFIRE</v>
          </cell>
          <cell r="T1392" t="str">
            <v>VELLFIRE</v>
          </cell>
          <cell r="U1392" t="str">
            <v>VELLFIRE A/T HYBRID</v>
          </cell>
        </row>
        <row r="1393">
          <cell r="D1393" t="str">
            <v>FJA300R-GNUSY-AA</v>
          </cell>
          <cell r="E1393" t="str">
            <v>LANDCRUISER</v>
          </cell>
          <cell r="F1393" t="str">
            <v>LANDCRUISER</v>
          </cell>
          <cell r="G1393" t="str">
            <v>LANDCRUISER</v>
          </cell>
          <cell r="H1393" t="str">
            <v>LANDCRUISER</v>
          </cell>
          <cell r="I1393" t="str">
            <v>LANDCRUISER GR-S 4x4 A/T</v>
          </cell>
          <cell r="J1393" t="str">
            <v>LANDCRUISER GR-S 4x4 A/T TCO</v>
          </cell>
          <cell r="K1393" t="str">
            <v>LANDCRUISER</v>
          </cell>
          <cell r="M1393" t="str">
            <v>LANDCRUISER</v>
          </cell>
          <cell r="N1393" t="str">
            <v>LANDCRUISER</v>
          </cell>
          <cell r="O1393" t="str">
            <v>FJA300R-GNUSY-AA</v>
          </cell>
          <cell r="P1393" t="str">
            <v>LANDCRUISER 300</v>
          </cell>
          <cell r="Q1393" t="e">
            <v>#N/A</v>
          </cell>
          <cell r="R1393" t="str">
            <v>FJA300R-GNUSY-AA</v>
          </cell>
          <cell r="S1393" t="str">
            <v>LANDCRUISER</v>
          </cell>
          <cell r="T1393" t="e">
            <v>#N/A</v>
          </cell>
          <cell r="U1393" t="str">
            <v>LANDCRUISER</v>
          </cell>
        </row>
        <row r="1394">
          <cell r="D1394" t="str">
            <v>B401RA-GMZFJ-BA</v>
          </cell>
          <cell r="E1394" t="str">
            <v>CALYA</v>
          </cell>
          <cell r="F1394" t="str">
            <v>CALYA</v>
          </cell>
          <cell r="G1394" t="str">
            <v>CALYA</v>
          </cell>
          <cell r="H1394" t="str">
            <v>CALYA G M/T</v>
          </cell>
          <cell r="I1394" t="str">
            <v>CALYA G M/T</v>
          </cell>
          <cell r="J1394" t="str">
            <v>CALYA G M/T TCO</v>
          </cell>
          <cell r="K1394" t="str">
            <v>CALYA</v>
          </cell>
          <cell r="N1394" t="str">
            <v>CALYA</v>
          </cell>
          <cell r="O1394" t="str">
            <v>B401RA-GMZFJ-BA</v>
          </cell>
          <cell r="P1394" t="str">
            <v>CALYA</v>
          </cell>
          <cell r="Q1394" t="e">
            <v>#N/A</v>
          </cell>
          <cell r="R1394" t="str">
            <v>B401RA-GMZFJ-BA</v>
          </cell>
          <cell r="S1394" t="str">
            <v>CALYA</v>
          </cell>
          <cell r="T1394" t="e">
            <v>#N/A</v>
          </cell>
          <cell r="U1394" t="str">
            <v>CALYA G M/T</v>
          </cell>
        </row>
        <row r="1395">
          <cell r="D1395" t="str">
            <v>FJA300R-GNUZY-AA</v>
          </cell>
          <cell r="E1395" t="str">
            <v>LANDCRUISER</v>
          </cell>
          <cell r="F1395" t="str">
            <v>LANDCRUISER</v>
          </cell>
          <cell r="G1395" t="str">
            <v>LANDCRUISER</v>
          </cell>
          <cell r="H1395" t="str">
            <v>LANDCRUISER</v>
          </cell>
          <cell r="I1395" t="str">
            <v>LANDCRUISER VX-R 4x4 A/T</v>
          </cell>
          <cell r="J1395" t="str">
            <v>LANDCRUISER VX-R 4x4 A/T TCO</v>
          </cell>
          <cell r="K1395" t="str">
            <v>LANDCRUISER</v>
          </cell>
          <cell r="M1395" t="str">
            <v>LANDCRUISER</v>
          </cell>
          <cell r="N1395" t="str">
            <v>LANDCRUISER</v>
          </cell>
          <cell r="O1395" t="str">
            <v>FJA300R-GNUZY-AA</v>
          </cell>
          <cell r="P1395" t="str">
            <v>LANDCRUISER 300</v>
          </cell>
          <cell r="Q1395" t="e">
            <v>#N/A</v>
          </cell>
          <cell r="R1395" t="str">
            <v>FJA300R-GNUZY-AA</v>
          </cell>
          <cell r="S1395" t="str">
            <v>LANDCRUISER</v>
          </cell>
          <cell r="T1395" t="e">
            <v>#N/A</v>
          </cell>
          <cell r="U1395" t="str">
            <v>LANDCRUISER</v>
          </cell>
        </row>
        <row r="1396">
          <cell r="D1396" t="str">
            <v>FJA300R-GNUZY-AB</v>
          </cell>
          <cell r="E1396" t="str">
            <v>LANDCRUISER</v>
          </cell>
          <cell r="F1396" t="str">
            <v>LANDCRUISER</v>
          </cell>
          <cell r="G1396" t="str">
            <v>LANDCRUISER</v>
          </cell>
          <cell r="H1396" t="str">
            <v>LANDCRUISER</v>
          </cell>
          <cell r="I1396" t="str">
            <v>LANDCRUISER VX-R 4x4 A/T</v>
          </cell>
          <cell r="J1396" t="str">
            <v>LANDCRUISER VX-R 4x4 A/T TCO</v>
          </cell>
          <cell r="K1396" t="str">
            <v>LANDCRUISER</v>
          </cell>
          <cell r="M1396" t="str">
            <v>LANDCRUISER</v>
          </cell>
          <cell r="N1396" t="str">
            <v>LANDCRUISER</v>
          </cell>
          <cell r="O1396" t="str">
            <v>FJA300R-GNUZY-AB</v>
          </cell>
          <cell r="P1396" t="str">
            <v>LANDCRUISER 300</v>
          </cell>
          <cell r="Q1396" t="e">
            <v>#N/A</v>
          </cell>
          <cell r="R1396" t="str">
            <v>FJA300R-GNUZY-AB</v>
          </cell>
          <cell r="S1396" t="str">
            <v>LANDCRUISER</v>
          </cell>
          <cell r="T1396" t="e">
            <v>#N/A</v>
          </cell>
          <cell r="U1396" t="str">
            <v>LANDCRUISER</v>
          </cell>
        </row>
        <row r="1397">
          <cell r="D1397" t="str">
            <v>ZRE211R-GEXGKD-24</v>
          </cell>
          <cell r="E1397" t="str">
            <v>COROLLA</v>
          </cell>
          <cell r="F1397" t="str">
            <v>COROLLA ALTIS</v>
          </cell>
          <cell r="G1397" t="str">
            <v>COROLLA ALTIS</v>
          </cell>
          <cell r="H1397" t="str">
            <v>COROLLA ALTIS V A/T</v>
          </cell>
          <cell r="I1397" t="str">
            <v>COROLLA ALTIS V A/T</v>
          </cell>
          <cell r="J1397" t="str">
            <v>COROLLA ALTIS V A/T</v>
          </cell>
          <cell r="K1397" t="str">
            <v>COROLLA ALTIS</v>
          </cell>
          <cell r="M1397" t="str">
            <v>COROLLA ALTIS</v>
          </cell>
          <cell r="N1397" t="str">
            <v>COROLLA ALTIS</v>
          </cell>
          <cell r="O1397" t="str">
            <v>ZRE211R-GEXGKD-24</v>
          </cell>
          <cell r="P1397" t="str">
            <v>COROLLA</v>
          </cell>
          <cell r="Q1397" t="e">
            <v>#N/A</v>
          </cell>
          <cell r="R1397" t="str">
            <v>ZRE211R-GEXGKD-24</v>
          </cell>
          <cell r="S1397" t="str">
            <v>COROLLA</v>
          </cell>
          <cell r="T1397" t="str">
            <v>COROLLA</v>
          </cell>
          <cell r="U1397" t="str">
            <v>COROLLA ALTIS V A/T</v>
          </cell>
        </row>
        <row r="1398">
          <cell r="D1398" t="str">
            <v>NYC200R-DHXHBD-K3</v>
          </cell>
          <cell r="E1398" t="str">
            <v>YARIS</v>
          </cell>
          <cell r="F1398" t="str">
            <v>YARIS</v>
          </cell>
          <cell r="G1398" t="str">
            <v>YARIS CROSS</v>
          </cell>
          <cell r="H1398" t="str">
            <v>YARIS CROSS S A/T</v>
          </cell>
          <cell r="I1398" t="str">
            <v>YARIS CROSS S A/T TSS GR HYBRID</v>
          </cell>
          <cell r="J1398" t="str">
            <v>YARIS CROSS S A/T TSS GR HYBRID</v>
          </cell>
          <cell r="K1398" t="str">
            <v>YARIS CROSS</v>
          </cell>
          <cell r="N1398" t="str">
            <v>YARIS CROSS</v>
          </cell>
          <cell r="O1398" t="str">
            <v>NYC200R-DHXHBD-K3</v>
          </cell>
          <cell r="P1398" t="str">
            <v>YARIS CROSS HYBRID</v>
          </cell>
          <cell r="Q1398" t="e">
            <v>#N/A</v>
          </cell>
          <cell r="R1398" t="str">
            <v>NYC200R-DHXHBD-K3</v>
          </cell>
          <cell r="S1398" t="str">
            <v>YARIS</v>
          </cell>
          <cell r="T1398" t="e">
            <v>#N/A</v>
          </cell>
          <cell r="U1398" t="str">
            <v>YARIS CROSS S A/T</v>
          </cell>
        </row>
        <row r="1399">
          <cell r="D1399" t="str">
            <v>GUN142R-MDTSXD-EA</v>
          </cell>
          <cell r="E1399" t="str">
            <v>INNOVA</v>
          </cell>
          <cell r="F1399" t="str">
            <v>INNOVA</v>
          </cell>
          <cell r="G1399" t="str">
            <v>INNOVA</v>
          </cell>
          <cell r="H1399" t="str">
            <v>INNOVA G A/T DIESEL</v>
          </cell>
          <cell r="I1399" t="str">
            <v>INNOVA G A/T DIESEL</v>
          </cell>
          <cell r="J1399" t="str">
            <v>INNOVA G A/T DIESEL TCO</v>
          </cell>
          <cell r="K1399" t="str">
            <v>INNOVA REBORN</v>
          </cell>
          <cell r="M1399" t="str">
            <v>INNOVA</v>
          </cell>
          <cell r="N1399" t="str">
            <v>INNOVA REBORN</v>
          </cell>
          <cell r="O1399" t="str">
            <v>GUN142R-MDTSXD-EA</v>
          </cell>
          <cell r="P1399" t="str">
            <v>INNOVA</v>
          </cell>
          <cell r="Q1399" t="e">
            <v>#N/A</v>
          </cell>
          <cell r="R1399" t="str">
            <v>GUN142R-MDTSXD-EA</v>
          </cell>
          <cell r="S1399" t="str">
            <v>INNOVA</v>
          </cell>
          <cell r="T1399" t="str">
            <v>INV REBORN</v>
          </cell>
          <cell r="U1399" t="str">
            <v>INNOVA G A/T DIESEL</v>
          </cell>
        </row>
        <row r="1400">
          <cell r="D1400" t="str">
            <v>NYC200R-DHXHBD-K1</v>
          </cell>
          <cell r="E1400" t="str">
            <v>YARIS</v>
          </cell>
          <cell r="F1400" t="str">
            <v>YARIS</v>
          </cell>
          <cell r="G1400" t="str">
            <v>YARIS CROSS</v>
          </cell>
          <cell r="H1400" t="str">
            <v>YARIS CROSS S A/T</v>
          </cell>
          <cell r="I1400" t="str">
            <v>YARIS CROSS S A/T TSS GR HYBRID</v>
          </cell>
          <cell r="J1400" t="str">
            <v>YARIS CROSS S A/T TSS GR HYBRID</v>
          </cell>
          <cell r="K1400" t="str">
            <v>YARIS CROSS</v>
          </cell>
          <cell r="N1400" t="str">
            <v>YARIS CROSS</v>
          </cell>
          <cell r="O1400" t="str">
            <v>NYC200R-DHXHBD-K1</v>
          </cell>
          <cell r="P1400" t="str">
            <v>YARIS CROSS HYBRID</v>
          </cell>
          <cell r="Q1400" t="e">
            <v>#N/A</v>
          </cell>
          <cell r="R1400" t="str">
            <v>NYC200R-DHXHBD-K1</v>
          </cell>
          <cell r="S1400" t="str">
            <v>YARIS</v>
          </cell>
          <cell r="T1400" t="e">
            <v>#N/A</v>
          </cell>
          <cell r="U1400" t="str">
            <v>YARIS CROSS S A/T</v>
          </cell>
        </row>
        <row r="1401">
          <cell r="D1401" t="str">
            <v>MAGH10R-BPXHBD-02</v>
          </cell>
          <cell r="E1401" t="str">
            <v>INNOVA</v>
          </cell>
          <cell r="F1401" t="str">
            <v>INNOVA</v>
          </cell>
          <cell r="G1401" t="str">
            <v>INNOVA</v>
          </cell>
          <cell r="H1401" t="str">
            <v>INNOVA ZENIX Q A/T HYBRID</v>
          </cell>
          <cell r="I1401" t="str">
            <v>INNOVA ZENIX Q A/T HYBRID TSS</v>
          </cell>
          <cell r="J1401" t="str">
            <v>INNOVA ZENIX Q A/T HYBRID TSS</v>
          </cell>
          <cell r="K1401" t="str">
            <v>INNOVA ZENIX HYBRID</v>
          </cell>
          <cell r="N1401" t="str">
            <v>INNOVA ZENIX HYBRID</v>
          </cell>
          <cell r="O1401" t="str">
            <v>MAGH10R-BPXHBD-02</v>
          </cell>
          <cell r="P1401" t="str">
            <v>INNOVA ZENIX HYBRID</v>
          </cell>
          <cell r="Q1401" t="e">
            <v>#N/A</v>
          </cell>
          <cell r="R1401" t="str">
            <v>MAGH10R-BPXHBD-02</v>
          </cell>
          <cell r="S1401" t="str">
            <v>INNOVA</v>
          </cell>
          <cell r="T1401" t="str">
            <v>INV ZENIX HYBRID</v>
          </cell>
          <cell r="U1401" t="str">
            <v>INNOVA ZENIX Q A/T HYBRID</v>
          </cell>
        </row>
        <row r="1402">
          <cell r="D1402" t="str">
            <v>ZN8-CKE7-00</v>
          </cell>
          <cell r="E1402" t="str">
            <v>FT86</v>
          </cell>
          <cell r="F1402" t="str">
            <v>FT86</v>
          </cell>
          <cell r="G1402" t="str">
            <v>FT86</v>
          </cell>
          <cell r="H1402" t="str">
            <v>GR 86 A/T</v>
          </cell>
          <cell r="I1402" t="str">
            <v>GR 86 A/T</v>
          </cell>
          <cell r="J1402" t="str">
            <v>GR 86 A/T</v>
          </cell>
          <cell r="K1402" t="str">
            <v>FT86</v>
          </cell>
          <cell r="M1402" t="str">
            <v>FT86</v>
          </cell>
          <cell r="N1402" t="str">
            <v>FT86</v>
          </cell>
          <cell r="O1402" t="str">
            <v>ZN8-CKE7-00</v>
          </cell>
          <cell r="P1402" t="str">
            <v>GR86</v>
          </cell>
          <cell r="Q1402" t="e">
            <v>#N/A</v>
          </cell>
          <cell r="R1402" t="str">
            <v>ZN8-CKE7-00</v>
          </cell>
          <cell r="S1402" t="str">
            <v>FT86</v>
          </cell>
          <cell r="T1402" t="e">
            <v>#N/A</v>
          </cell>
          <cell r="U1402" t="str">
            <v>FT 86 A/T</v>
          </cell>
        </row>
        <row r="1403">
          <cell r="D1403" t="str">
            <v>MAGH10R-BPXHBD-BC</v>
          </cell>
          <cell r="E1403" t="str">
            <v>INNOVA</v>
          </cell>
          <cell r="F1403" t="str">
            <v>INNOVA</v>
          </cell>
          <cell r="G1403" t="str">
            <v>INNOVA</v>
          </cell>
          <cell r="H1403" t="str">
            <v>INNOVA ZENIX Q A/T HYBRID</v>
          </cell>
          <cell r="I1403" t="str">
            <v>INNOVA ZENIX Q A/T HYBRID TSS</v>
          </cell>
          <cell r="J1403" t="str">
            <v>INNOVA ZENIX Q A/T HYBRID TSS TCO</v>
          </cell>
          <cell r="K1403" t="str">
            <v>INNOVA ZENIX HYBRID</v>
          </cell>
          <cell r="N1403" t="str">
            <v>INNOVA ZENIX HYBRID</v>
          </cell>
          <cell r="O1403" t="str">
            <v>MAGH10R-BPXHBD-BC</v>
          </cell>
          <cell r="P1403" t="str">
            <v>INNOVA ZENIX HYBRID</v>
          </cell>
          <cell r="Q1403" t="str">
            <v>INNOVA ZENIX HYBRID</v>
          </cell>
          <cell r="R1403" t="str">
            <v>MAGH10R-BPXHBD-BC</v>
          </cell>
          <cell r="S1403" t="str">
            <v>INNOVA</v>
          </cell>
          <cell r="T1403" t="str">
            <v>INV ZENIX HYBRID</v>
          </cell>
          <cell r="U1403" t="str">
            <v>INNOVA ZENIX Q A/T HYBRID</v>
          </cell>
        </row>
        <row r="1404">
          <cell r="D1404" t="str">
            <v>NYC200R-DHXHBD-K5</v>
          </cell>
          <cell r="E1404" t="str">
            <v>YARIS</v>
          </cell>
          <cell r="F1404" t="str">
            <v>YARIS</v>
          </cell>
          <cell r="G1404" t="str">
            <v>YARIS CROSS</v>
          </cell>
          <cell r="H1404" t="str">
            <v>YARIS CROSS S A/T</v>
          </cell>
          <cell r="I1404" t="str">
            <v>YARIS CROSS S A/T TSS GR HYBRID</v>
          </cell>
          <cell r="J1404" t="str">
            <v>YARIS CROSS S A/T TSS GR HYBRID</v>
          </cell>
          <cell r="K1404" t="str">
            <v>YARIS CROSS</v>
          </cell>
          <cell r="N1404" t="str">
            <v>YARIS CROSS</v>
          </cell>
          <cell r="O1404" t="str">
            <v>NYC200R-DHXHBD-K5</v>
          </cell>
          <cell r="P1404" t="str">
            <v>YARIS CROSS HYBRID</v>
          </cell>
          <cell r="Q1404" t="e">
            <v>#N/A</v>
          </cell>
          <cell r="R1404" t="str">
            <v>NYC200R-DHXHBD-K5</v>
          </cell>
          <cell r="S1404" t="str">
            <v>YARIS</v>
          </cell>
          <cell r="T1404" t="e">
            <v>#N/A</v>
          </cell>
          <cell r="U1404" t="str">
            <v>YARIS CROSS S A/T</v>
          </cell>
        </row>
        <row r="1405">
          <cell r="D1405" t="str">
            <v>NYC200R-DHXHBD-K7</v>
          </cell>
          <cell r="E1405" t="str">
            <v>YARIS</v>
          </cell>
          <cell r="F1405" t="str">
            <v>YARIS</v>
          </cell>
          <cell r="G1405" t="str">
            <v>YARIS CROSS</v>
          </cell>
          <cell r="H1405" t="str">
            <v>YARIS CROSS S A/T</v>
          </cell>
          <cell r="I1405" t="str">
            <v>YARIS CROSS S A/T TSS GR HYBRID</v>
          </cell>
          <cell r="J1405" t="str">
            <v>YARIS CROSS S A/T TSS GR HYBRID</v>
          </cell>
          <cell r="K1405" t="str">
            <v>YARIS CROSS</v>
          </cell>
          <cell r="N1405" t="str">
            <v>YARIS CROSS</v>
          </cell>
          <cell r="O1405" t="str">
            <v>NYC200R-DHXHBD-K7</v>
          </cell>
          <cell r="P1405" t="str">
            <v>YARIS CROSS HYBRID</v>
          </cell>
          <cell r="Q1405" t="e">
            <v>#N/A</v>
          </cell>
          <cell r="R1405" t="str">
            <v>NYC200R-DHXHBD-K7</v>
          </cell>
          <cell r="S1405" t="str">
            <v>YARIS</v>
          </cell>
          <cell r="T1405" t="e">
            <v>#N/A</v>
          </cell>
          <cell r="U1405" t="str">
            <v>YARIS CROSS S A/T</v>
          </cell>
        </row>
        <row r="1406">
          <cell r="D1406" t="str">
            <v>F800RE-GMGFJ-40</v>
          </cell>
          <cell r="E1406" t="str">
            <v>RUSH</v>
          </cell>
          <cell r="F1406" t="str">
            <v>RUSH</v>
          </cell>
          <cell r="G1406" t="str">
            <v>RUSH</v>
          </cell>
          <cell r="H1406" t="str">
            <v>RUSH S M/T</v>
          </cell>
          <cell r="I1406" t="str">
            <v>RUSH S M/T GR</v>
          </cell>
          <cell r="J1406" t="str">
            <v>RUSH S M/T GR</v>
          </cell>
          <cell r="K1406" t="str">
            <v>RUSH</v>
          </cell>
          <cell r="M1406" t="str">
            <v>RUSH</v>
          </cell>
          <cell r="N1406" t="str">
            <v>RUSH</v>
          </cell>
          <cell r="O1406" t="str">
            <v>F800RE-GMGFJ-40</v>
          </cell>
          <cell r="P1406" t="str">
            <v>RUSH</v>
          </cell>
          <cell r="Q1406" t="str">
            <v>RUSH</v>
          </cell>
          <cell r="R1406" t="str">
            <v>F800RE-GMGFJ-40</v>
          </cell>
          <cell r="S1406" t="str">
            <v>RUSH</v>
          </cell>
          <cell r="T1406" t="str">
            <v>RUSH</v>
          </cell>
          <cell r="U1406" t="str">
            <v>RUSH S M/T</v>
          </cell>
        </row>
        <row r="1407">
          <cell r="D1407" t="str">
            <v>F800RE-GQGFJ-40</v>
          </cell>
          <cell r="E1407" t="str">
            <v>RUSH</v>
          </cell>
          <cell r="F1407" t="str">
            <v>RUSH</v>
          </cell>
          <cell r="G1407" t="str">
            <v>RUSH</v>
          </cell>
          <cell r="H1407" t="str">
            <v>RUSH S A/T</v>
          </cell>
          <cell r="I1407" t="str">
            <v>RUSH S A/T GR</v>
          </cell>
          <cell r="J1407" t="str">
            <v>RUSH S A/T GR</v>
          </cell>
          <cell r="K1407" t="str">
            <v>RUSH</v>
          </cell>
          <cell r="M1407" t="str">
            <v>RUSH</v>
          </cell>
          <cell r="N1407" t="str">
            <v>RUSH</v>
          </cell>
          <cell r="O1407" t="str">
            <v>F800RE-GQGFJ-40</v>
          </cell>
          <cell r="P1407" t="str">
            <v>RUSH</v>
          </cell>
          <cell r="Q1407" t="str">
            <v>RUSH</v>
          </cell>
          <cell r="R1407" t="str">
            <v>F800RE-GQGFJ-40</v>
          </cell>
          <cell r="S1407" t="str">
            <v>RUSH</v>
          </cell>
          <cell r="T1407" t="str">
            <v>RUSH</v>
          </cell>
          <cell r="U1407" t="str">
            <v>RUSH S A/T</v>
          </cell>
        </row>
        <row r="1408">
          <cell r="D1408" t="str">
            <v>TGN140R-MDMSKD-DA</v>
          </cell>
          <cell r="E1408" t="str">
            <v>INNOVA</v>
          </cell>
          <cell r="F1408" t="str">
            <v>INNOVA</v>
          </cell>
          <cell r="G1408" t="str">
            <v>INNOVA</v>
          </cell>
          <cell r="H1408" t="str">
            <v>INNOVA G M/T</v>
          </cell>
          <cell r="I1408" t="str">
            <v>INNOVA G M/T</v>
          </cell>
          <cell r="J1408" t="str">
            <v xml:space="preserve">INNOVA G M/T </v>
          </cell>
          <cell r="K1408" t="str">
            <v>INNOVA REBORN</v>
          </cell>
          <cell r="M1408" t="str">
            <v>INNOVA</v>
          </cell>
          <cell r="N1408" t="str">
            <v>INNOVA REBORN</v>
          </cell>
          <cell r="O1408" t="str">
            <v>TGN140R-MDMSKD-DA</v>
          </cell>
          <cell r="P1408" t="str">
            <v>INNOVA</v>
          </cell>
          <cell r="Q1408" t="e">
            <v>#N/A</v>
          </cell>
          <cell r="R1408" t="str">
            <v>TGN140R-MDMSKD-DA</v>
          </cell>
          <cell r="S1408" t="str">
            <v>INNOVA</v>
          </cell>
          <cell r="T1408" t="str">
            <v>INV REBORN</v>
          </cell>
          <cell r="U1408" t="str">
            <v>INNOVA G M/T</v>
          </cell>
        </row>
        <row r="1409">
          <cell r="D1409" t="str">
            <v>NYC200R-DHXHBD-K2</v>
          </cell>
          <cell r="E1409" t="str">
            <v>YARIS</v>
          </cell>
          <cell r="F1409" t="str">
            <v>YARIS</v>
          </cell>
          <cell r="G1409" t="str">
            <v>YARIS CROSS</v>
          </cell>
          <cell r="H1409" t="str">
            <v>YARIS CROSS S A/T</v>
          </cell>
          <cell r="I1409" t="str">
            <v>YARIS CROSS S A/T TSS HYBRID</v>
          </cell>
          <cell r="J1409" t="str">
            <v>YARIS CROSS S A/T TSS HYBRID</v>
          </cell>
          <cell r="K1409" t="str">
            <v>YARIS CROSS</v>
          </cell>
          <cell r="N1409" t="str">
            <v>YARIS CROSS</v>
          </cell>
          <cell r="O1409" t="str">
            <v>NYC200R-DHXHBD-K2</v>
          </cell>
          <cell r="P1409" t="str">
            <v>YARIS CROSS HYBRID</v>
          </cell>
          <cell r="Q1409" t="e">
            <v>#N/A</v>
          </cell>
          <cell r="R1409" t="str">
            <v>NYC200R-DHXHBD-K2</v>
          </cell>
          <cell r="S1409" t="str">
            <v>YARIS</v>
          </cell>
          <cell r="T1409" t="e">
            <v>#N/A</v>
          </cell>
          <cell r="U1409" t="str">
            <v>YARIS CROSS S A/T</v>
          </cell>
        </row>
        <row r="1410">
          <cell r="D1410" t="str">
            <v>NYC200R-DHXHBD-02</v>
          </cell>
          <cell r="E1410" t="str">
            <v>YARIS</v>
          </cell>
          <cell r="F1410" t="str">
            <v>YARIS</v>
          </cell>
          <cell r="G1410" t="str">
            <v>YARIS CROSS</v>
          </cell>
          <cell r="H1410" t="str">
            <v>YARIS CROSS S A/T</v>
          </cell>
          <cell r="I1410" t="str">
            <v>YARIS CROSS S A/T TSS HYBRID</v>
          </cell>
          <cell r="J1410" t="str">
            <v>YARIS CROSS S A/T TSS HYBRID</v>
          </cell>
          <cell r="K1410" t="str">
            <v>YARIS CROSS</v>
          </cell>
          <cell r="N1410" t="str">
            <v>YARIS CROSS</v>
          </cell>
          <cell r="O1410" t="str">
            <v>NYC200R-DHXHBD-02</v>
          </cell>
          <cell r="P1410" t="str">
            <v>YARIS CROSS HYBRID</v>
          </cell>
          <cell r="Q1410" t="str">
            <v>YARIS</v>
          </cell>
          <cell r="R1410" t="str">
            <v>NYC200R-DHXHBD-02</v>
          </cell>
          <cell r="S1410" t="str">
            <v>YARIS</v>
          </cell>
          <cell r="T1410" t="str">
            <v>YARIS</v>
          </cell>
          <cell r="U1410" t="str">
            <v>YARIS CROSS S A/T</v>
          </cell>
        </row>
        <row r="1411">
          <cell r="D1411" t="str">
            <v>F800RE-GMGFJ-AD</v>
          </cell>
          <cell r="E1411" t="str">
            <v>RUSH</v>
          </cell>
          <cell r="F1411" t="str">
            <v>RUSH</v>
          </cell>
          <cell r="G1411" t="str">
            <v>RUSH</v>
          </cell>
          <cell r="H1411" t="str">
            <v>RUSH S M/T</v>
          </cell>
          <cell r="I1411" t="str">
            <v>RUSH S M/T GR</v>
          </cell>
          <cell r="J1411" t="str">
            <v>RUSH S M/T GR TCO</v>
          </cell>
          <cell r="K1411" t="str">
            <v>RUSH</v>
          </cell>
          <cell r="M1411" t="str">
            <v>RUSH</v>
          </cell>
          <cell r="N1411" t="str">
            <v>RUSH</v>
          </cell>
          <cell r="O1411" t="str">
            <v>F800RE-GMGFJ-AD</v>
          </cell>
          <cell r="P1411" t="str">
            <v>RUSH</v>
          </cell>
          <cell r="Q1411" t="str">
            <v>RUSH</v>
          </cell>
          <cell r="R1411" t="str">
            <v>F800RE-GMGFJ-AD</v>
          </cell>
          <cell r="S1411" t="str">
            <v>RUSH</v>
          </cell>
          <cell r="T1411" t="e">
            <v>#N/A</v>
          </cell>
          <cell r="U1411" t="str">
            <v>RUSH S M/T</v>
          </cell>
        </row>
        <row r="1412">
          <cell r="D1412" t="str">
            <v>NSP151R-CHXVKD-62</v>
          </cell>
          <cell r="E1412" t="str">
            <v>YARIS</v>
          </cell>
          <cell r="F1412" t="str">
            <v>YARIS</v>
          </cell>
          <cell r="G1412" t="str">
            <v>YARIS</v>
          </cell>
          <cell r="H1412" t="str">
            <v>YARIS S A/T</v>
          </cell>
          <cell r="I1412" t="str">
            <v>YARIS S A/T GR</v>
          </cell>
          <cell r="J1412" t="str">
            <v>YARIS S A/T 7 AIRBAGS GR</v>
          </cell>
          <cell r="K1412" t="str">
            <v>YARIS</v>
          </cell>
          <cell r="M1412" t="str">
            <v>YARIS</v>
          </cell>
          <cell r="N1412" t="str">
            <v>YARIS</v>
          </cell>
          <cell r="O1412" t="str">
            <v>NSP151R-CHXVKD-62</v>
          </cell>
          <cell r="P1412" t="str">
            <v>YARIS</v>
          </cell>
          <cell r="Q1412" t="str">
            <v>YARIS</v>
          </cell>
          <cell r="R1412" t="str">
            <v>NSP151R-CHXVKD-62</v>
          </cell>
          <cell r="S1412" t="str">
            <v>YARIS</v>
          </cell>
          <cell r="T1412" t="e">
            <v>#N/A</v>
          </cell>
          <cell r="U1412" t="str">
            <v>YARIS S A/T</v>
          </cell>
        </row>
        <row r="1413">
          <cell r="D1413" t="str">
            <v>F800RE-GMMFJ-AA</v>
          </cell>
          <cell r="E1413" t="str">
            <v>RUSH</v>
          </cell>
          <cell r="F1413" t="str">
            <v>RUSH</v>
          </cell>
          <cell r="G1413" t="str">
            <v>RUSH</v>
          </cell>
          <cell r="H1413" t="str">
            <v>RUSH G M/T</v>
          </cell>
          <cell r="I1413" t="str">
            <v>RUSH G M/T</v>
          </cell>
          <cell r="J1413" t="str">
            <v>RUSH G M/T TCO</v>
          </cell>
          <cell r="K1413" t="str">
            <v>RUSH</v>
          </cell>
          <cell r="M1413" t="str">
            <v>RUSH</v>
          </cell>
          <cell r="N1413" t="str">
            <v>RUSH</v>
          </cell>
          <cell r="O1413" t="str">
            <v>F800RE-GMMFJ-AA</v>
          </cell>
          <cell r="P1413" t="str">
            <v>RUSH</v>
          </cell>
          <cell r="Q1413" t="e">
            <v>#N/A</v>
          </cell>
          <cell r="R1413" t="str">
            <v>F800RE-GMMFJ-AA</v>
          </cell>
          <cell r="S1413" t="str">
            <v>RUSH</v>
          </cell>
          <cell r="T1413" t="e">
            <v>#N/A</v>
          </cell>
          <cell r="U1413" t="str">
            <v>RUSH G M/T</v>
          </cell>
        </row>
        <row r="1414">
          <cell r="D1414" t="str">
            <v>B401RA-GMZFJ-EA</v>
          </cell>
          <cell r="E1414" t="str">
            <v>CALYA</v>
          </cell>
          <cell r="F1414" t="str">
            <v>CALYA</v>
          </cell>
          <cell r="G1414" t="str">
            <v>CALYA</v>
          </cell>
          <cell r="H1414" t="str">
            <v>CALYA G M/T</v>
          </cell>
          <cell r="I1414" t="str">
            <v>CALYA G M/T</v>
          </cell>
          <cell r="J1414" t="str">
            <v>CALYA G M/T TCO</v>
          </cell>
          <cell r="K1414" t="str">
            <v>CALYA</v>
          </cell>
          <cell r="N1414" t="str">
            <v>CALYA</v>
          </cell>
          <cell r="O1414" t="str">
            <v>B401RA-GMZFJ-EA</v>
          </cell>
          <cell r="P1414" t="str">
            <v>CALYA</v>
          </cell>
          <cell r="Q1414" t="e">
            <v>#N/A</v>
          </cell>
          <cell r="R1414" t="str">
            <v>B401RA-GMZFJ-EA</v>
          </cell>
          <cell r="S1414" t="str">
            <v>CALYA</v>
          </cell>
          <cell r="T1414" t="e">
            <v>#N/A</v>
          </cell>
          <cell r="U1414" t="str">
            <v>CALYA G M/T</v>
          </cell>
        </row>
        <row r="1415">
          <cell r="D1415" t="str">
            <v>ZWE211R-GEXVBD-23</v>
          </cell>
          <cell r="E1415" t="str">
            <v>COROLLA</v>
          </cell>
          <cell r="F1415" t="str">
            <v>COROLLA ALTIS</v>
          </cell>
          <cell r="G1415" t="str">
            <v>COROLLA ALTIS</v>
          </cell>
          <cell r="H1415" t="str">
            <v>COROLLA ALTIS HYBRID A/T</v>
          </cell>
          <cell r="I1415" t="str">
            <v>COROLLA ALTIS HYBRID A/T</v>
          </cell>
          <cell r="J1415" t="str">
            <v>COROLLA ALTIS HYBRID A/T</v>
          </cell>
          <cell r="K1415" t="str">
            <v>COROLLA ALTIS</v>
          </cell>
          <cell r="N1415" t="str">
            <v>COROLLA ALTIS</v>
          </cell>
          <cell r="O1415" t="str">
            <v>ZWE211R-GEXVBD-23</v>
          </cell>
          <cell r="P1415" t="str">
            <v>COROLLA HYBRID</v>
          </cell>
          <cell r="Q1415" t="e">
            <v>#N/A</v>
          </cell>
          <cell r="R1415" t="str">
            <v>ZWE211R-GEXVBD-23</v>
          </cell>
          <cell r="S1415" t="str">
            <v>COROLLA</v>
          </cell>
          <cell r="T1415" t="e">
            <v>#N/A</v>
          </cell>
          <cell r="U1415" t="str">
            <v>COROLLA ALTIS HYBRID A/T</v>
          </cell>
        </row>
        <row r="1416">
          <cell r="D1416" t="str">
            <v>MAGH10R-BPXHBD-BD</v>
          </cell>
          <cell r="E1416" t="str">
            <v>INNOVA</v>
          </cell>
          <cell r="F1416" t="str">
            <v>INNOVA</v>
          </cell>
          <cell r="G1416" t="str">
            <v>INNOVA</v>
          </cell>
          <cell r="H1416" t="str">
            <v>INNOVA ZENIX Q A/T HYBRID</v>
          </cell>
          <cell r="I1416" t="str">
            <v>INNOVA ZENIX Q A/T HYBRID TSS</v>
          </cell>
          <cell r="J1416" t="str">
            <v>INNOVA ZENIX Q A/T HYBRID TSS TCO</v>
          </cell>
          <cell r="K1416" t="str">
            <v>INNOVA ZENIX HYBRID</v>
          </cell>
          <cell r="N1416" t="str">
            <v>INNOVA ZENIX HYBRID</v>
          </cell>
          <cell r="O1416" t="str">
            <v>MAGH10R-BPXHBD-BD</v>
          </cell>
          <cell r="P1416" t="str">
            <v>INNOVA ZENIX HYBRID</v>
          </cell>
          <cell r="Q1416" t="str">
            <v>INNOVA ZENIX HYBRID</v>
          </cell>
          <cell r="R1416" t="str">
            <v>MAGH10R-BPXHBD-BD</v>
          </cell>
          <cell r="S1416" t="str">
            <v>INNOVA</v>
          </cell>
          <cell r="T1416" t="str">
            <v>INV ZENIX HYBRID</v>
          </cell>
          <cell r="U1416" t="str">
            <v>INNOVA ZENIX Q A/T HYBRID</v>
          </cell>
        </row>
        <row r="1417">
          <cell r="D1417" t="str">
            <v>W101RE-LBVFJ-CB</v>
          </cell>
          <cell r="E1417" t="str">
            <v>VELOZ</v>
          </cell>
          <cell r="F1417" t="str">
            <v>VELOZ</v>
          </cell>
          <cell r="G1417" t="str">
            <v>VELOZ</v>
          </cell>
          <cell r="H1417" t="str">
            <v>VELOZ A/T</v>
          </cell>
          <cell r="I1417" t="str">
            <v>VELOZ Q A/T</v>
          </cell>
          <cell r="J1417" t="str">
            <v>VELOZ Q A/T TCO</v>
          </cell>
          <cell r="K1417" t="str">
            <v>VELOZ</v>
          </cell>
          <cell r="M1417" t="str">
            <v>VELOZ</v>
          </cell>
          <cell r="N1417" t="str">
            <v>VELOZ</v>
          </cell>
          <cell r="O1417" t="str">
            <v>W101RE-LBVFJ-CB</v>
          </cell>
          <cell r="P1417" t="str">
            <v>VELOZ NEW</v>
          </cell>
          <cell r="Q1417" t="e">
            <v>#N/A</v>
          </cell>
          <cell r="R1417" t="str">
            <v>W101RE-LBVFJ-CB</v>
          </cell>
          <cell r="S1417" t="str">
            <v>VELOZ</v>
          </cell>
          <cell r="T1417" t="e">
            <v>#N/A</v>
          </cell>
          <cell r="U1417" t="str">
            <v>VELOZ A/T</v>
          </cell>
        </row>
        <row r="1418">
          <cell r="D1418" t="str">
            <v>GZEA14R-BHFRZE-00</v>
          </cell>
          <cell r="E1418" t="str">
            <v>COROLLA</v>
          </cell>
          <cell r="F1418" t="str">
            <v>GR COROLLA</v>
          </cell>
          <cell r="G1418" t="str">
            <v>GR COROLLA</v>
          </cell>
          <cell r="H1418" t="str">
            <v>GR COROLLA M/T</v>
          </cell>
          <cell r="I1418" t="str">
            <v>GR COROLLA M/T</v>
          </cell>
          <cell r="J1418" t="str">
            <v>GR COROLLA M/T</v>
          </cell>
          <cell r="K1418" t="str">
            <v>GR COROLLA</v>
          </cell>
          <cell r="N1418" t="str">
            <v>GR COROLLA</v>
          </cell>
          <cell r="O1418" t="str">
            <v>GZEA14R-BHFRZE-00</v>
          </cell>
          <cell r="P1418" t="str">
            <v>GR COROLLA</v>
          </cell>
          <cell r="Q1418" t="e">
            <v>#N/A</v>
          </cell>
          <cell r="R1418" t="str">
            <v>GZEA14R-BHFRZE-00</v>
          </cell>
          <cell r="S1418" t="str">
            <v>COROLLA</v>
          </cell>
          <cell r="T1418" t="e">
            <v>#N/A</v>
          </cell>
          <cell r="U1418" t="str">
            <v>GR COROLLA M/T</v>
          </cell>
        </row>
        <row r="1419">
          <cell r="D1419" t="str">
            <v>DB06R-ZURW-10</v>
          </cell>
          <cell r="E1419" t="str">
            <v>SUPRA</v>
          </cell>
          <cell r="F1419" t="str">
            <v>SUPRA</v>
          </cell>
          <cell r="G1419" t="str">
            <v>SUPRA</v>
          </cell>
          <cell r="H1419" t="str">
            <v>SUPRA L A/T</v>
          </cell>
          <cell r="I1419" t="str">
            <v>SUPRA L A/T</v>
          </cell>
          <cell r="J1419" t="str">
            <v>SUPRA L A/T</v>
          </cell>
          <cell r="K1419" t="str">
            <v>SUPRA</v>
          </cell>
          <cell r="N1419" t="str">
            <v>SUPRA</v>
          </cell>
          <cell r="O1419" t="str">
            <v>DB06R-ZURW-10</v>
          </cell>
          <cell r="P1419" t="str">
            <v>SUPRA</v>
          </cell>
          <cell r="Q1419" t="e">
            <v>#N/A</v>
          </cell>
          <cell r="R1419" t="str">
            <v>DB06R-ZURW-10</v>
          </cell>
          <cell r="S1419" t="str">
            <v>SUPRA</v>
          </cell>
          <cell r="T1419" t="e">
            <v>#N/A</v>
          </cell>
          <cell r="U1419" t="str">
            <v>SUPRA L A/T</v>
          </cell>
        </row>
        <row r="1420">
          <cell r="D1420" t="str">
            <v>MAGH10R-BPXHBD-AC</v>
          </cell>
          <cell r="E1420" t="str">
            <v>INNOVA</v>
          </cell>
          <cell r="F1420" t="str">
            <v>INNOVA</v>
          </cell>
          <cell r="G1420" t="str">
            <v>INNOVA</v>
          </cell>
          <cell r="H1420" t="str">
            <v>INNOVA ZENIX Q A/T HYBRID</v>
          </cell>
          <cell r="I1420" t="str">
            <v>INNOVA ZENIX Q A/T HYBRID TSS</v>
          </cell>
          <cell r="J1420" t="str">
            <v>INNOVA ZENIX Q A/T HYBRID TSS TCO</v>
          </cell>
          <cell r="K1420" t="str">
            <v>INNOVA ZENIX HYBRID</v>
          </cell>
          <cell r="N1420" t="str">
            <v>INNOVA ZENIX HYBRID</v>
          </cell>
          <cell r="O1420" t="str">
            <v>MAGH10R-BPXHBD-AC</v>
          </cell>
          <cell r="P1420" t="str">
            <v>INNOVA ZENIX HYBRID</v>
          </cell>
          <cell r="Q1420" t="e">
            <v>#N/A</v>
          </cell>
          <cell r="R1420" t="str">
            <v>MAGH10R-BPXHBD-AC</v>
          </cell>
          <cell r="S1420" t="str">
            <v>INNOVA</v>
          </cell>
          <cell r="T1420" t="str">
            <v>INV ZENIX HYBRID</v>
          </cell>
          <cell r="U1420" t="str">
            <v>INNOVA ZENIX Q A/T HYBRID</v>
          </cell>
        </row>
        <row r="1421">
          <cell r="D1421" t="str">
            <v>F800RE-GQGFJ-AD</v>
          </cell>
          <cell r="E1421" t="str">
            <v>RUSH</v>
          </cell>
          <cell r="F1421" t="str">
            <v>RUSH</v>
          </cell>
          <cell r="G1421" t="str">
            <v>RUSH</v>
          </cell>
          <cell r="H1421" t="str">
            <v>RUSH S A/T</v>
          </cell>
          <cell r="I1421" t="str">
            <v>RUSH S A/T GR</v>
          </cell>
          <cell r="J1421" t="str">
            <v>RUSH S A/T GR TCO</v>
          </cell>
          <cell r="K1421" t="str">
            <v>RUSH</v>
          </cell>
          <cell r="M1421" t="str">
            <v>RUSH</v>
          </cell>
          <cell r="N1421" t="str">
            <v>RUSH</v>
          </cell>
          <cell r="O1421" t="str">
            <v>F800RE-GQGFJ-AD</v>
          </cell>
          <cell r="P1421" t="str">
            <v>RUSH</v>
          </cell>
          <cell r="Q1421" t="str">
            <v>RUSH</v>
          </cell>
          <cell r="R1421" t="str">
            <v>F800RE-GQGFJ-AD</v>
          </cell>
          <cell r="S1421" t="str">
            <v>RUSH</v>
          </cell>
          <cell r="T1421" t="str">
            <v>RUSH</v>
          </cell>
          <cell r="U1421" t="str">
            <v>RUSH S A/T</v>
          </cell>
        </row>
        <row r="1422">
          <cell r="D1422" t="str">
            <v>TGN110R-ATMHKD-C4</v>
          </cell>
          <cell r="E1422" t="str">
            <v>HILUX</v>
          </cell>
          <cell r="F1422" t="str">
            <v>HILUX RANGGA</v>
          </cell>
          <cell r="G1422" t="str">
            <v>HILUX RANGGA</v>
          </cell>
          <cell r="H1422" t="str">
            <v>RANGGA-HILUX PU M/T</v>
          </cell>
          <cell r="I1422" t="str">
            <v>RANGGA-HILUX PU M/T</v>
          </cell>
          <cell r="J1422" t="str">
            <v>RANGGA-HILUX PU M/T</v>
          </cell>
          <cell r="K1422" t="str">
            <v>HILUX RANGGA</v>
          </cell>
          <cell r="N1422" t="str">
            <v>HILUX RANGGA</v>
          </cell>
          <cell r="O1422" t="str">
            <v>TGN110R-ATMHKD-C4</v>
          </cell>
          <cell r="P1422" t="str">
            <v>HILUX RANGGA</v>
          </cell>
          <cell r="Q1422" t="e">
            <v>#N/A</v>
          </cell>
          <cell r="R1422" t="str">
            <v>TGN110R-ATMHKD-C4</v>
          </cell>
          <cell r="S1422" t="str">
            <v>HILUX</v>
          </cell>
          <cell r="T1422" t="str">
            <v>HILUX</v>
          </cell>
          <cell r="U1422" t="str">
            <v>RANGGA-HILUX PU M/T</v>
          </cell>
        </row>
        <row r="1423">
          <cell r="D1423" t="str">
            <v>MAGH10R-BPXHBD-AD</v>
          </cell>
          <cell r="E1423" t="str">
            <v>INNOVA</v>
          </cell>
          <cell r="F1423" t="str">
            <v>INNOVA</v>
          </cell>
          <cell r="G1423" t="str">
            <v>INNOVA</v>
          </cell>
          <cell r="H1423" t="str">
            <v>INNOVA ZENIX Q A/T HYBRID</v>
          </cell>
          <cell r="I1423" t="str">
            <v>INNOVA ZENIX Q A/T HYBRID TSS</v>
          </cell>
          <cell r="J1423" t="str">
            <v>INNOVA ZENIX Q A/T HYBRID TSS TCO</v>
          </cell>
          <cell r="K1423" t="str">
            <v>INNOVA ZENIX HYBRID</v>
          </cell>
          <cell r="N1423" t="str">
            <v>INNOVA ZENIX HYBRID</v>
          </cell>
          <cell r="O1423" t="str">
            <v>MAGH10R-BPXHBD-AD</v>
          </cell>
          <cell r="P1423" t="str">
            <v>INNOVA ZENIX HYBRID</v>
          </cell>
          <cell r="Q1423" t="e">
            <v>#N/A</v>
          </cell>
          <cell r="R1423" t="str">
            <v>MAGH10R-BPXHBD-AD</v>
          </cell>
          <cell r="S1423" t="str">
            <v>INNOVA</v>
          </cell>
          <cell r="T1423" t="str">
            <v>INV ZENIX HYBRID</v>
          </cell>
          <cell r="U1423" t="str">
            <v>INNOVA ZENIX Q A/T HYBRID</v>
          </cell>
        </row>
        <row r="1424">
          <cell r="D1424" t="str">
            <v>DB42R-ZRRW-00</v>
          </cell>
          <cell r="E1424" t="str">
            <v>SUPRA</v>
          </cell>
          <cell r="F1424" t="str">
            <v>SUPRA</v>
          </cell>
          <cell r="G1424" t="str">
            <v>SUPRA</v>
          </cell>
          <cell r="H1424" t="str">
            <v>SUPRA L A/T</v>
          </cell>
          <cell r="I1424" t="str">
            <v>SUPRA L A/T</v>
          </cell>
          <cell r="J1424" t="str">
            <v>SUPRA L A/T</v>
          </cell>
          <cell r="K1424" t="str">
            <v>SUPRA</v>
          </cell>
          <cell r="O1424" t="str">
            <v>DB42R-ZRRW-00</v>
          </cell>
          <cell r="P1424" t="str">
            <v>SUPRA</v>
          </cell>
          <cell r="Q1424" t="e">
            <v>#N/A</v>
          </cell>
          <cell r="R1424" t="str">
            <v>DB42R-ZRRW-00</v>
          </cell>
          <cell r="S1424" t="str">
            <v>SUPRA</v>
          </cell>
          <cell r="T1424" t="str">
            <v>SUPRA</v>
          </cell>
          <cell r="U1424" t="str">
            <v>SUPRA L A/T</v>
          </cell>
        </row>
        <row r="1425">
          <cell r="D1425" t="str">
            <v>B401RA-GQZFJ-EA</v>
          </cell>
          <cell r="E1425" t="str">
            <v>CALYA</v>
          </cell>
          <cell r="F1425" t="str">
            <v>CALYA</v>
          </cell>
          <cell r="G1425" t="str">
            <v>CALYA</v>
          </cell>
          <cell r="H1425" t="str">
            <v>CALYA G A/T</v>
          </cell>
          <cell r="I1425" t="str">
            <v>CALYA G A/T</v>
          </cell>
          <cell r="J1425" t="str">
            <v>CALYA G A/T TCO</v>
          </cell>
          <cell r="K1425" t="str">
            <v>CALYA</v>
          </cell>
          <cell r="N1425" t="str">
            <v>CALYA</v>
          </cell>
          <cell r="O1425" t="str">
            <v>B401RA-GQZFJ-EA</v>
          </cell>
          <cell r="P1425" t="str">
            <v>CALYA</v>
          </cell>
          <cell r="Q1425" t="e">
            <v>#N/A</v>
          </cell>
          <cell r="R1425" t="str">
            <v>B401RA-GQZFJ-EA</v>
          </cell>
          <cell r="S1425" t="str">
            <v>CALYA</v>
          </cell>
          <cell r="T1425" t="str">
            <v>CALYA</v>
          </cell>
          <cell r="U1425" t="str">
            <v>CALYA G A/T</v>
          </cell>
        </row>
        <row r="1426">
          <cell r="D1426" t="str">
            <v>NYC200R-DHXHBD-00</v>
          </cell>
          <cell r="E1426" t="str">
            <v>YARIS</v>
          </cell>
          <cell r="F1426" t="str">
            <v>YARIS</v>
          </cell>
          <cell r="G1426" t="str">
            <v>YARIS CROSS</v>
          </cell>
          <cell r="H1426" t="str">
            <v>YARIS CROSS S A/T</v>
          </cell>
          <cell r="I1426" t="str">
            <v>YARIS CROSS S A/T TSS HYBRID</v>
          </cell>
          <cell r="J1426" t="str">
            <v>YARIS CROSS S A/T TSS HYBRID</v>
          </cell>
          <cell r="K1426" t="str">
            <v>YARIS CROSS</v>
          </cell>
          <cell r="N1426" t="str">
            <v>YARIS CROSS</v>
          </cell>
          <cell r="O1426" t="str">
            <v>NYC200R-DHXHBD-00</v>
          </cell>
          <cell r="P1426" t="str">
            <v>YARIS CROSS HYBRID</v>
          </cell>
          <cell r="Q1426" t="str">
            <v>YARIS</v>
          </cell>
          <cell r="R1426" t="str">
            <v>NYC200R-DHXHBD-00</v>
          </cell>
          <cell r="S1426" t="str">
            <v>YARIS</v>
          </cell>
          <cell r="T1426" t="str">
            <v>YARIS</v>
          </cell>
          <cell r="U1426" t="str">
            <v>YARIS CROSS S A/T</v>
          </cell>
        </row>
        <row r="1427">
          <cell r="D1427" t="str">
            <v>TGN110R-ATMHKD-C3</v>
          </cell>
          <cell r="E1427" t="str">
            <v>HILUX</v>
          </cell>
          <cell r="F1427" t="str">
            <v>HILUX RANGGA</v>
          </cell>
          <cell r="G1427" t="str">
            <v>HILUX RANGGA</v>
          </cell>
          <cell r="H1427" t="str">
            <v>RANGGA-HILUX PU M/T</v>
          </cell>
          <cell r="I1427" t="str">
            <v>RANGGA-HILUX PU M/T</v>
          </cell>
          <cell r="J1427" t="str">
            <v>RANGGA-HILUX PU M/T</v>
          </cell>
          <cell r="K1427" t="str">
            <v>HILUX RANGGA</v>
          </cell>
          <cell r="N1427" t="str">
            <v>HILUX RANGGA</v>
          </cell>
          <cell r="O1427" t="str">
            <v>TGN110R-ATMHKD-C3</v>
          </cell>
          <cell r="P1427" t="str">
            <v>HILUX RANGGA</v>
          </cell>
          <cell r="Q1427" t="e">
            <v>#N/A</v>
          </cell>
          <cell r="R1427" t="str">
            <v>TGN110R-ATMHKD-C3</v>
          </cell>
          <cell r="S1427" t="str">
            <v>HILUX</v>
          </cell>
          <cell r="T1427" t="str">
            <v>HILUX</v>
          </cell>
          <cell r="U1427" t="str">
            <v>RANGGA-HILUX PU M/T</v>
          </cell>
        </row>
        <row r="1428">
          <cell r="D1428" t="str">
            <v>GUN142R-MDTSXD-EB</v>
          </cell>
          <cell r="E1428" t="str">
            <v>INNOVA</v>
          </cell>
          <cell r="F1428" t="str">
            <v>INNOVA</v>
          </cell>
          <cell r="G1428" t="str">
            <v>INNOVA</v>
          </cell>
          <cell r="H1428" t="str">
            <v>INNOVA G A/T DIESEL</v>
          </cell>
          <cell r="I1428" t="str">
            <v>INNOVA G A/T DIESEL</v>
          </cell>
          <cell r="J1428" t="str">
            <v>INNOVA G A/T DIESEL TCO</v>
          </cell>
          <cell r="K1428" t="str">
            <v>INNOVA REBORN</v>
          </cell>
          <cell r="M1428" t="str">
            <v>INNOVA</v>
          </cell>
          <cell r="N1428" t="str">
            <v>INNOVA REBORN</v>
          </cell>
          <cell r="O1428" t="str">
            <v>GUN142R-MDTSXD-EB</v>
          </cell>
          <cell r="P1428" t="str">
            <v>INNOVA</v>
          </cell>
          <cell r="Q1428" t="e">
            <v>#N/A</v>
          </cell>
          <cell r="R1428" t="str">
            <v>GUN142R-MDTSXD-EB</v>
          </cell>
          <cell r="S1428" t="str">
            <v>INNOVA</v>
          </cell>
          <cell r="T1428" t="str">
            <v>INV REBORN</v>
          </cell>
          <cell r="U1428" t="str">
            <v>INNOVA G A/T DIESEL</v>
          </cell>
        </row>
        <row r="1429">
          <cell r="D1429" t="str">
            <v>XEAM10R-MWDHSW-A3</v>
          </cell>
          <cell r="E1429" t="str">
            <v>BZ4X</v>
          </cell>
          <cell r="F1429" t="str">
            <v>BZ4X</v>
          </cell>
          <cell r="G1429" t="str">
            <v>BZ4X</v>
          </cell>
          <cell r="H1429" t="str">
            <v>BZ4X A/T</v>
          </cell>
          <cell r="I1429" t="str">
            <v>BZ4X A/T</v>
          </cell>
          <cell r="J1429" t="str">
            <v>BZ4X A/T</v>
          </cell>
          <cell r="K1429" t="str">
            <v>BZ4X</v>
          </cell>
          <cell r="N1429" t="str">
            <v>BZ4X</v>
          </cell>
          <cell r="O1429" t="str">
            <v>XEAM10R-MWDHSW-A3</v>
          </cell>
          <cell r="P1429" t="str">
            <v>BZ4X</v>
          </cell>
          <cell r="Q1429" t="e">
            <v>#N/A</v>
          </cell>
          <cell r="R1429" t="str">
            <v>XEAM10R-MWDHSW-A3</v>
          </cell>
          <cell r="S1429" t="str">
            <v>BZ4X</v>
          </cell>
          <cell r="T1429" t="str">
            <v>BZ4X</v>
          </cell>
          <cell r="U1429" t="str">
            <v>BZ4X A/T</v>
          </cell>
        </row>
        <row r="1430">
          <cell r="D1430" t="str">
            <v>GUN155R-SDTSHD-H0</v>
          </cell>
          <cell r="E1430" t="str">
            <v>FORTUNER</v>
          </cell>
          <cell r="F1430" t="str">
            <v>FORTUNER 4X4</v>
          </cell>
          <cell r="G1430" t="str">
            <v>FORTUNER 4X4</v>
          </cell>
          <cell r="H1430" t="str">
            <v>FORTUNER 4X4 G A/T DIESEL</v>
          </cell>
          <cell r="I1430" t="str">
            <v>FORTUNER 4X4 G A/T DIESEL</v>
          </cell>
          <cell r="J1430" t="str">
            <v>FORTUNER 4X4 G A/T DIESEL</v>
          </cell>
          <cell r="K1430" t="str">
            <v>FORTUNER 4X4</v>
          </cell>
          <cell r="L1430" t="str">
            <v>GUN55GA/TH0M</v>
          </cell>
          <cell r="M1430" t="str">
            <v>FORTUNER</v>
          </cell>
          <cell r="N1430" t="str">
            <v>FORTUNER 4X4</v>
          </cell>
          <cell r="O1430" t="str">
            <v>GUN155R-SDTSHD-H0</v>
          </cell>
          <cell r="P1430" t="str">
            <v>FORTUNER 4X4</v>
          </cell>
          <cell r="Q1430" t="e">
            <v>#N/A</v>
          </cell>
          <cell r="R1430" t="str">
            <v>GUN155R-SDTSHD-H0</v>
          </cell>
          <cell r="S1430" t="str">
            <v>FORTUNER</v>
          </cell>
          <cell r="T1430" t="e">
            <v>#N/A</v>
          </cell>
          <cell r="U1430" t="str">
            <v>FORTUNER 4X4 G A/T DIESEL</v>
          </cell>
        </row>
        <row r="1431">
          <cell r="D1431" t="str">
            <v>GUN155R-SDTSXD-00</v>
          </cell>
          <cell r="E1431" t="str">
            <v>FORTUNER</v>
          </cell>
          <cell r="F1431" t="str">
            <v>FORTUNER 4X4</v>
          </cell>
          <cell r="G1431" t="str">
            <v>FORTUNER 4X4</v>
          </cell>
          <cell r="H1431" t="str">
            <v>FORTUNER 4X4 G A/T DIESEL</v>
          </cell>
          <cell r="I1431" t="str">
            <v xml:space="preserve">FORTUNER 4X4 G A/T DIESEL </v>
          </cell>
          <cell r="J1431" t="str">
            <v xml:space="preserve">FORTUNER 4X4 G A/T DIESEL </v>
          </cell>
          <cell r="K1431" t="str">
            <v>FORTUNER 4X4</v>
          </cell>
          <cell r="L1431" t="str">
            <v>GUN55GXA/T00M</v>
          </cell>
          <cell r="M1431" t="str">
            <v>FORTUNER</v>
          </cell>
          <cell r="N1431" t="str">
            <v>FORTUNER 4X4</v>
          </cell>
          <cell r="O1431" t="str">
            <v>GUN155R-SDTSXD-00</v>
          </cell>
          <cell r="P1431" t="str">
            <v>FORTUNER 4X4</v>
          </cell>
          <cell r="Q1431" t="e">
            <v>#N/A</v>
          </cell>
          <cell r="R1431" t="str">
            <v>GUN155R-SDTSXD-00</v>
          </cell>
          <cell r="S1431" t="str">
            <v>FORTUNER</v>
          </cell>
          <cell r="T1431" t="e">
            <v>#N/A</v>
          </cell>
          <cell r="U1431" t="str">
            <v>FORTUNER 4X4 G A/T DIESEL</v>
          </cell>
        </row>
        <row r="1432">
          <cell r="D1432" t="str">
            <v>GUN155R-SDTSXD-10</v>
          </cell>
          <cell r="E1432" t="str">
            <v>FORTUNER</v>
          </cell>
          <cell r="F1432" t="str">
            <v>FORTUNER 4X4</v>
          </cell>
          <cell r="G1432" t="str">
            <v>FORTUNER 4X4</v>
          </cell>
          <cell r="H1432" t="str">
            <v>FORTUNER 4X4 G A/T DIESEL</v>
          </cell>
          <cell r="I1432" t="str">
            <v xml:space="preserve">FORTUNER 4X4 G A/T DIESEL </v>
          </cell>
          <cell r="J1432" t="str">
            <v xml:space="preserve">FORTUNER 4X4 G A/T DIESEL </v>
          </cell>
          <cell r="K1432" t="str">
            <v>FORTUNER 4X4</v>
          </cell>
          <cell r="L1432" t="str">
            <v>GUN55GXA/T10M</v>
          </cell>
          <cell r="M1432" t="str">
            <v>FORTUNER</v>
          </cell>
          <cell r="N1432" t="str">
            <v>FORTUNER 4X4</v>
          </cell>
          <cell r="O1432" t="str">
            <v>GUN155R-SDTSXD-10</v>
          </cell>
          <cell r="P1432" t="str">
            <v>FORTUNER 4X4</v>
          </cell>
          <cell r="Q1432" t="e">
            <v>#N/A</v>
          </cell>
          <cell r="R1432" t="str">
            <v>GUN155R-SDTSXD-10</v>
          </cell>
          <cell r="S1432" t="str">
            <v>FORTUNER</v>
          </cell>
          <cell r="T1432" t="e">
            <v>#N/A</v>
          </cell>
          <cell r="U1432" t="str">
            <v>FORTUNER 4X4 G A/T DIESEL</v>
          </cell>
        </row>
        <row r="1433">
          <cell r="D1433" t="e">
            <v>#N/A</v>
          </cell>
          <cell r="E1433" t="str">
            <v>FORTUNER</v>
          </cell>
          <cell r="F1433" t="str">
            <v>FORTUNER 4X4</v>
          </cell>
          <cell r="G1433" t="str">
            <v>FORTUNER 4X4</v>
          </cell>
          <cell r="H1433" t="str">
            <v>FORTUNER 4X4 V A/T BENSIN</v>
          </cell>
          <cell r="I1433" t="str">
            <v>FORTUNER 4X4 V A/T BENSIN</v>
          </cell>
          <cell r="J1433" t="str">
            <v>FORTUNER 4X4 V A/T BENSIN</v>
          </cell>
          <cell r="K1433" t="str">
            <v>FORTUNER 4X4</v>
          </cell>
          <cell r="L1433" t="str">
            <v>TG51VA/T10M</v>
          </cell>
          <cell r="M1433" t="str">
            <v>FORTUNER</v>
          </cell>
          <cell r="N1433" t="str">
            <v>FORTUNER 4X4</v>
          </cell>
          <cell r="O1433" t="e">
            <v>#N/A</v>
          </cell>
          <cell r="P1433" t="str">
            <v>FORTUNER 4X4</v>
          </cell>
          <cell r="Q1433" t="e">
            <v>#N/A</v>
          </cell>
          <cell r="R1433" t="e">
            <v>#N/A</v>
          </cell>
          <cell r="S1433" t="str">
            <v>FORTUNER</v>
          </cell>
          <cell r="T1433" t="e">
            <v>#N/A</v>
          </cell>
          <cell r="U1433" t="str">
            <v>FORTUNER 4X4 V A/T BENSIN</v>
          </cell>
        </row>
        <row r="1434">
          <cell r="D1434" t="e">
            <v>#N/A</v>
          </cell>
          <cell r="E1434" t="str">
            <v>FORTUNER</v>
          </cell>
          <cell r="F1434" t="str">
            <v>FORTUNER 4X4</v>
          </cell>
          <cell r="G1434" t="str">
            <v>FORTUNER 4X4</v>
          </cell>
          <cell r="H1434" t="str">
            <v>FORTUNER 4X4 V A/T BENSIN</v>
          </cell>
          <cell r="I1434" t="str">
            <v>FORTUNER 4X4 V A/T BENSIN</v>
          </cell>
          <cell r="J1434" t="str">
            <v>FORTUNER 4X4 V A/T BENSIN</v>
          </cell>
          <cell r="K1434" t="str">
            <v>FORTUNER 4X4</v>
          </cell>
          <cell r="L1434" t="str">
            <v>TG51VA/T20</v>
          </cell>
          <cell r="M1434" t="str">
            <v>FORTUNER</v>
          </cell>
          <cell r="N1434" t="str">
            <v>FORTUNER 4X4</v>
          </cell>
          <cell r="O1434" t="e">
            <v>#N/A</v>
          </cell>
          <cell r="P1434" t="str">
            <v>FORTUNER 4X4</v>
          </cell>
          <cell r="Q1434" t="e">
            <v>#N/A</v>
          </cell>
          <cell r="R1434" t="e">
            <v>#N/A</v>
          </cell>
          <cell r="S1434" t="str">
            <v>FORTUNER</v>
          </cell>
          <cell r="T1434" t="e">
            <v>#N/A</v>
          </cell>
          <cell r="U1434" t="str">
            <v>FORTUNER 4X4 V A/T BENSIN</v>
          </cell>
        </row>
        <row r="1435">
          <cell r="D1435" t="e">
            <v>#N/A</v>
          </cell>
          <cell r="E1435" t="str">
            <v>FORTUNER</v>
          </cell>
          <cell r="F1435" t="str">
            <v>FORTUNER 4X4</v>
          </cell>
          <cell r="G1435" t="str">
            <v>FORTUNER 4X4</v>
          </cell>
          <cell r="H1435" t="str">
            <v>FORTUNER 4X4 V A/T BENSIN</v>
          </cell>
          <cell r="I1435" t="str">
            <v>FORTUNER 4X4 V A/T BENSIN</v>
          </cell>
          <cell r="J1435" t="str">
            <v>FORTUNER 4X4 V A/T BENSIN</v>
          </cell>
          <cell r="K1435" t="str">
            <v>FORTUNER 4X4</v>
          </cell>
          <cell r="L1435" t="str">
            <v>TG51VA/T20M</v>
          </cell>
          <cell r="M1435" t="str">
            <v>FORTUNER</v>
          </cell>
          <cell r="N1435" t="str">
            <v>FORTUNER 4X4</v>
          </cell>
          <cell r="O1435" t="e">
            <v>#N/A</v>
          </cell>
          <cell r="P1435" t="str">
            <v>FORTUNER 4X4</v>
          </cell>
          <cell r="Q1435" t="e">
            <v>#N/A</v>
          </cell>
          <cell r="R1435" t="e">
            <v>#N/A</v>
          </cell>
          <cell r="S1435" t="str">
            <v>FORTUNER</v>
          </cell>
          <cell r="T1435" t="e">
            <v>#N/A</v>
          </cell>
          <cell r="U1435" t="str">
            <v>FORTUNER 4X4 V A/T BENSIN</v>
          </cell>
        </row>
        <row r="1436">
          <cell r="D1436" t="e">
            <v>#N/A</v>
          </cell>
          <cell r="E1436" t="str">
            <v>FORTUNER</v>
          </cell>
          <cell r="F1436" t="str">
            <v>FORTUNER 4X4</v>
          </cell>
          <cell r="G1436" t="str">
            <v>FORTUNER 4X4</v>
          </cell>
          <cell r="H1436" t="str">
            <v>FORTUNER 4X4 V A/T BENSIN</v>
          </cell>
          <cell r="I1436" t="str">
            <v>FORTUNER 4X4 V A/T BENSIN</v>
          </cell>
          <cell r="J1436" t="str">
            <v>FORTUNER 4X4 V A/T BENSIN</v>
          </cell>
          <cell r="K1436" t="str">
            <v>FORTUNER 4X4</v>
          </cell>
          <cell r="L1436" t="str">
            <v>TG51VA/T40</v>
          </cell>
          <cell r="M1436" t="str">
            <v>FORTUNER</v>
          </cell>
          <cell r="N1436" t="str">
            <v>FORTUNER 4X4</v>
          </cell>
          <cell r="O1436" t="e">
            <v>#N/A</v>
          </cell>
          <cell r="P1436" t="str">
            <v>FORTUNER 4X4</v>
          </cell>
          <cell r="Q1436" t="e">
            <v>#N/A</v>
          </cell>
          <cell r="R1436" t="e">
            <v>#N/A</v>
          </cell>
          <cell r="S1436" t="str">
            <v>FORTUNER</v>
          </cell>
          <cell r="T1436" t="e">
            <v>#N/A</v>
          </cell>
          <cell r="U1436" t="str">
            <v>FORTUNER 4X4 V A/T BENSIN</v>
          </cell>
        </row>
        <row r="1437">
          <cell r="D1437" t="e">
            <v>#N/A</v>
          </cell>
          <cell r="E1437" t="str">
            <v>FORTUNER</v>
          </cell>
          <cell r="F1437" t="str">
            <v>FORTUNER 4X4</v>
          </cell>
          <cell r="G1437" t="str">
            <v>FORTUNER 4X4</v>
          </cell>
          <cell r="H1437" t="str">
            <v>FORTUNER 4X4 V A/T BENSIN</v>
          </cell>
          <cell r="I1437" t="str">
            <v>FORTUNER 4X4 V A/T BENSIN</v>
          </cell>
          <cell r="J1437" t="str">
            <v>FORTUNER 4X4 V A/T BENSIN</v>
          </cell>
          <cell r="K1437" t="str">
            <v>FORTUNER 4X4</v>
          </cell>
          <cell r="L1437" t="str">
            <v>TG51VA/T40m</v>
          </cell>
          <cell r="M1437" t="str">
            <v>FORTUNER</v>
          </cell>
          <cell r="N1437" t="str">
            <v>FORTUNER 4X4</v>
          </cell>
          <cell r="O1437" t="e">
            <v>#N/A</v>
          </cell>
          <cell r="P1437" t="str">
            <v>FORTUNER 4X4</v>
          </cell>
          <cell r="Q1437" t="e">
            <v>#N/A</v>
          </cell>
          <cell r="R1437" t="e">
            <v>#N/A</v>
          </cell>
          <cell r="S1437" t="str">
            <v>FORTUNER</v>
          </cell>
          <cell r="T1437" t="e">
            <v>#N/A</v>
          </cell>
          <cell r="U1437" t="str">
            <v>FORTUNER 4X4 V A/T BENSIN</v>
          </cell>
        </row>
        <row r="1438">
          <cell r="D1438" t="str">
            <v>MAGH10R-BPXHBD-04</v>
          </cell>
          <cell r="E1438" t="str">
            <v>INNOVA</v>
          </cell>
          <cell r="F1438" t="str">
            <v>INNOVA</v>
          </cell>
          <cell r="G1438" t="str">
            <v>INNOVA</v>
          </cell>
          <cell r="H1438" t="str">
            <v>INNOVA ZENIX Q A/T HYBRID</v>
          </cell>
          <cell r="I1438" t="str">
            <v>INNOVA ZENIX Q A/T HYBRID TSS</v>
          </cell>
          <cell r="J1438" t="str">
            <v>INNOVA ZENIX Q A/T HYBRID TSS</v>
          </cell>
          <cell r="K1438" t="str">
            <v>INNOVA ZENIX HYBRID</v>
          </cell>
          <cell r="N1438" t="str">
            <v>INNOVA ZENIX HYBRID</v>
          </cell>
          <cell r="O1438" t="str">
            <v>MAGH10R-BPXHBD-04</v>
          </cell>
          <cell r="P1438" t="str">
            <v>INNOVA ZENIX HYBRID</v>
          </cell>
          <cell r="Q1438" t="str">
            <v>INNOVA ZENIX HYBRID</v>
          </cell>
          <cell r="R1438" t="str">
            <v>MAGH10R-BPXHBD-04</v>
          </cell>
          <cell r="S1438" t="str">
            <v>INNOVA</v>
          </cell>
          <cell r="T1438" t="str">
            <v>INV ZENIX HYBRID</v>
          </cell>
          <cell r="U1438" t="str">
            <v>INNOVA ZENIX Q A/T HYBRID</v>
          </cell>
        </row>
        <row r="1439">
          <cell r="D1439" t="str">
            <v>MAGH10R-BPXHBD-05</v>
          </cell>
          <cell r="E1439" t="str">
            <v>INNOVA</v>
          </cell>
          <cell r="F1439" t="str">
            <v>INNOVA</v>
          </cell>
          <cell r="G1439" t="str">
            <v>INNOVA</v>
          </cell>
          <cell r="H1439" t="str">
            <v>INNOVA ZENIX Q A/T HYBRID</v>
          </cell>
          <cell r="I1439" t="str">
            <v>INNOVA ZENIX Q A/T HYBRID TSS</v>
          </cell>
          <cell r="J1439" t="str">
            <v>INNOVA ZENIX Q A/T HYBRID TSS</v>
          </cell>
          <cell r="K1439" t="str">
            <v>INNOVA ZENIX HYBRID</v>
          </cell>
          <cell r="N1439" t="str">
            <v>INNOVA ZENIX HYBRID</v>
          </cell>
          <cell r="O1439" t="str">
            <v>MAGH10R-BPXHBD-05</v>
          </cell>
          <cell r="P1439" t="str">
            <v>INNOVA ZENIX HYBRID</v>
          </cell>
          <cell r="Q1439" t="str">
            <v>INNOVA ZENIX HYBRID</v>
          </cell>
          <cell r="R1439" t="str">
            <v>MAGH10R-BPXHBD-05</v>
          </cell>
          <cell r="S1439" t="str">
            <v>INNOVA</v>
          </cell>
          <cell r="T1439" t="str">
            <v>INV ZENIX HYBRID</v>
          </cell>
          <cell r="U1439" t="str">
            <v>INNOVA ZENIX Q A/T HYBRID</v>
          </cell>
        </row>
        <row r="1440">
          <cell r="D1440" t="str">
            <v>MAGH10R-BPXHBD-FC</v>
          </cell>
          <cell r="E1440" t="str">
            <v>INNOVA</v>
          </cell>
          <cell r="F1440" t="str">
            <v>INNOVA</v>
          </cell>
          <cell r="G1440" t="str">
            <v>INNOVA</v>
          </cell>
          <cell r="H1440" t="str">
            <v>INNOVA ZENIX Q A/T HYBRID</v>
          </cell>
          <cell r="I1440" t="str">
            <v>INNOVA ZENIX Q A/T HYBRID TSS</v>
          </cell>
          <cell r="J1440" t="str">
            <v>INNOVA ZENIX Q A/T HYBRID TSS TCO</v>
          </cell>
          <cell r="K1440" t="str">
            <v>INNOVA ZENIX HYBRID</v>
          </cell>
          <cell r="N1440" t="str">
            <v>INNOVA ZENIX HYBRID</v>
          </cell>
          <cell r="O1440" t="str">
            <v>MAGH10R-BPXHBD-FC</v>
          </cell>
          <cell r="P1440" t="str">
            <v>INNOVA ZENIX HYBRID</v>
          </cell>
          <cell r="Q1440" t="str">
            <v>INNOVA ZENIX HYBRID</v>
          </cell>
          <cell r="R1440" t="str">
            <v>MAGH10R-BPXHBD-FC</v>
          </cell>
          <cell r="S1440" t="str">
            <v>INNOVA</v>
          </cell>
          <cell r="T1440" t="str">
            <v>INV ZENIX HYBRID</v>
          </cell>
          <cell r="U1440" t="str">
            <v>INNOVA ZENIX Q A/T HYBRID</v>
          </cell>
        </row>
        <row r="1441">
          <cell r="D1441" t="str">
            <v>MAGH10R-BPXHBD-FD</v>
          </cell>
          <cell r="E1441" t="str">
            <v>INNOVA</v>
          </cell>
          <cell r="F1441" t="str">
            <v>INNOVA</v>
          </cell>
          <cell r="G1441" t="str">
            <v>INNOVA</v>
          </cell>
          <cell r="H1441" t="str">
            <v>INNOVA ZENIX Q A/T HYBRID</v>
          </cell>
          <cell r="I1441" t="str">
            <v>INNOVA ZENIX Q A/T HYBRID TSS</v>
          </cell>
          <cell r="J1441" t="str">
            <v>INNOVA ZENIX Q A/T HYBRID TSS TCO</v>
          </cell>
          <cell r="K1441" t="str">
            <v>INNOVA ZENIX HYBRID</v>
          </cell>
          <cell r="N1441" t="str">
            <v>INNOVA ZENIX HYBRID</v>
          </cell>
          <cell r="O1441" t="str">
            <v>MAGH10R-BPXHBD-FD</v>
          </cell>
          <cell r="P1441" t="str">
            <v>INNOVA ZENIX HYBRID</v>
          </cell>
          <cell r="Q1441" t="e">
            <v>#N/A</v>
          </cell>
          <cell r="R1441" t="str">
            <v>MAGH10R-BPXHBD-FD</v>
          </cell>
          <cell r="S1441" t="str">
            <v>INNOVA</v>
          </cell>
          <cell r="T1441" t="str">
            <v>INV ZENIX HYBRID</v>
          </cell>
          <cell r="U1441" t="str">
            <v>INNOVA ZENIX Q A/T HYBRID</v>
          </cell>
        </row>
        <row r="1442">
          <cell r="D1442" t="str">
            <v>MAGA10R-BRXMBD-00</v>
          </cell>
          <cell r="E1442" t="str">
            <v>INNOVA</v>
          </cell>
          <cell r="F1442" t="str">
            <v>INNOVA</v>
          </cell>
          <cell r="G1442" t="str">
            <v>INNOVA</v>
          </cell>
          <cell r="H1442" t="str">
            <v>INNOVA ZENIX V A/T</v>
          </cell>
          <cell r="I1442" t="str">
            <v>INNOVA ZENIX V A/T</v>
          </cell>
          <cell r="J1442" t="str">
            <v>INNOVA ZENIX V A/T</v>
          </cell>
          <cell r="K1442" t="str">
            <v>INNOVA ZENIX GAS</v>
          </cell>
          <cell r="N1442" t="str">
            <v>INNOVA ZENIX GAS</v>
          </cell>
          <cell r="O1442" t="str">
            <v>MAGA10R-BRXMBD-00</v>
          </cell>
          <cell r="P1442" t="str">
            <v>INNOVA ZENIX</v>
          </cell>
          <cell r="Q1442" t="str">
            <v>INNOVA ZENIX V BENSIN</v>
          </cell>
          <cell r="R1442" t="str">
            <v>MAGA10R-BRXMBD-00</v>
          </cell>
          <cell r="S1442" t="str">
            <v>INNOVA</v>
          </cell>
          <cell r="T1442" t="str">
            <v>INV ZENIX GAS</v>
          </cell>
          <cell r="U1442" t="str">
            <v>INNOVA ZENIX V A/T</v>
          </cell>
        </row>
        <row r="1443">
          <cell r="D1443" t="str">
            <v>GUN112R-ATMSXD-GB</v>
          </cell>
          <cell r="E1443" t="str">
            <v>HILUX</v>
          </cell>
          <cell r="F1443" t="str">
            <v>HILUX RANGGA</v>
          </cell>
          <cell r="G1443" t="str">
            <v>HILUX RANGGA</v>
          </cell>
          <cell r="H1443" t="str">
            <v>RANGGA-HILUX PU DIESEL M/T</v>
          </cell>
          <cell r="I1443" t="str">
            <v>RANGGA-HILUX PU DIESEL M/T</v>
          </cell>
          <cell r="J1443" t="str">
            <v>RANGGA-HILUX PU M/T DIESEL</v>
          </cell>
          <cell r="K1443" t="str">
            <v>HILUX RANGGA</v>
          </cell>
          <cell r="N1443" t="str">
            <v>HILUX RANGGA</v>
          </cell>
          <cell r="O1443" t="str">
            <v>GUN112R-ATMSXD-GB</v>
          </cell>
          <cell r="P1443" t="str">
            <v>HILUX RANGGA</v>
          </cell>
          <cell r="Q1443" t="e">
            <v>#N/A</v>
          </cell>
          <cell r="R1443" t="str">
            <v>GUN112R-ATMSXD-GB</v>
          </cell>
          <cell r="S1443" t="str">
            <v>HILUX</v>
          </cell>
          <cell r="T1443" t="str">
            <v>HILUX</v>
          </cell>
          <cell r="U1443" t="str">
            <v>RANGGA-HILUX PU DIESEL M/T</v>
          </cell>
        </row>
        <row r="1444">
          <cell r="D1444" t="str">
            <v>ZRE211R-GEXGKD-25</v>
          </cell>
          <cell r="E1444" t="str">
            <v>COROLLA</v>
          </cell>
          <cell r="F1444" t="str">
            <v>COROLLA ALTIS</v>
          </cell>
          <cell r="G1444" t="str">
            <v>COROLLA ALTIS</v>
          </cell>
          <cell r="H1444" t="str">
            <v>COROLLA ALTIS V A/T</v>
          </cell>
          <cell r="I1444" t="str">
            <v>COROLLA ALTIS V A/T</v>
          </cell>
          <cell r="J1444" t="str">
            <v>COROLLA ALTIS V A/T</v>
          </cell>
          <cell r="K1444" t="str">
            <v>COROLLA ALTIS</v>
          </cell>
          <cell r="M1444" t="str">
            <v>COROLLA ALTIS</v>
          </cell>
          <cell r="N1444" t="str">
            <v>COROLLA ALTIS</v>
          </cell>
          <cell r="O1444" t="str">
            <v>ZRE211R-GEXGKD-25</v>
          </cell>
          <cell r="P1444" t="str">
            <v>COROLLA</v>
          </cell>
          <cell r="Q1444" t="e">
            <v>#N/A</v>
          </cell>
          <cell r="R1444" t="str">
            <v>ZRE211R-GEXGKD-25</v>
          </cell>
          <cell r="S1444" t="str">
            <v>COROLLA</v>
          </cell>
          <cell r="T1444" t="str">
            <v>COROLLA</v>
          </cell>
          <cell r="U1444" t="str">
            <v>COROLLA ALTIS V A/T</v>
          </cell>
        </row>
        <row r="1445">
          <cell r="D1445" t="e">
            <v>#N/A</v>
          </cell>
          <cell r="E1445" t="str">
            <v>FORTUNER</v>
          </cell>
          <cell r="F1445" t="str">
            <v>FORTUNER 4X4</v>
          </cell>
          <cell r="G1445" t="str">
            <v>FORTUNER 4X4</v>
          </cell>
          <cell r="H1445" t="str">
            <v>FORTUNER 4X4 V A/T BENSIN</v>
          </cell>
          <cell r="I1445" t="str">
            <v>FORTUNER 4X4 V A/T BENSIN</v>
          </cell>
          <cell r="J1445" t="str">
            <v>FORTUNER 4X4 V A/T BENSIN</v>
          </cell>
          <cell r="K1445" t="str">
            <v>FORTUNER 4X4</v>
          </cell>
          <cell r="L1445" t="str">
            <v>TG51VA/T50M</v>
          </cell>
          <cell r="M1445" t="str">
            <v>FORTUNER</v>
          </cell>
          <cell r="N1445" t="str">
            <v>FORTUNER 4X4</v>
          </cell>
          <cell r="O1445" t="e">
            <v>#N/A</v>
          </cell>
          <cell r="P1445" t="str">
            <v>FORTUNER 4X4</v>
          </cell>
          <cell r="Q1445" t="e">
            <v>#N/A</v>
          </cell>
          <cell r="R1445" t="e">
            <v>#N/A</v>
          </cell>
          <cell r="S1445" t="str">
            <v>FORTUNER</v>
          </cell>
          <cell r="T1445" t="e">
            <v>#N/A</v>
          </cell>
          <cell r="U1445" t="str">
            <v>FORTUNER 4X4 V A/T BENSIN</v>
          </cell>
        </row>
        <row r="1446">
          <cell r="D1446" t="e">
            <v>#N/A</v>
          </cell>
          <cell r="E1446" t="str">
            <v>FORTUNER</v>
          </cell>
          <cell r="F1446" t="str">
            <v>FORTUNER 4X4</v>
          </cell>
          <cell r="G1446" t="str">
            <v>FORTUNER 4X4</v>
          </cell>
          <cell r="H1446" t="str">
            <v>FORTUNER 4X4 V A/T BENSIN</v>
          </cell>
          <cell r="I1446" t="str">
            <v>FORTUNER 4X4 V A/T BENSIN</v>
          </cell>
          <cell r="J1446" t="str">
            <v>FORTUNER 4X4 V A/T BENSIN</v>
          </cell>
          <cell r="K1446" t="str">
            <v>FORTUNER 4X4</v>
          </cell>
          <cell r="L1446" t="str">
            <v>TG51VA/T60M</v>
          </cell>
          <cell r="M1446" t="str">
            <v>FORTUNER</v>
          </cell>
          <cell r="N1446" t="str">
            <v>FORTUNER 4X4</v>
          </cell>
          <cell r="O1446" t="e">
            <v>#N/A</v>
          </cell>
          <cell r="P1446" t="str">
            <v>FORTUNER 4X4</v>
          </cell>
          <cell r="Q1446" t="e">
            <v>#N/A</v>
          </cell>
          <cell r="R1446" t="e">
            <v>#N/A</v>
          </cell>
          <cell r="S1446" t="str">
            <v>FORTUNER</v>
          </cell>
          <cell r="T1446" t="e">
            <v>#N/A</v>
          </cell>
          <cell r="U1446" t="str">
            <v>FORTUNER 4X4 V A/T BENSIN</v>
          </cell>
        </row>
        <row r="1447">
          <cell r="D1447" t="str">
            <v>MAGH10R-BPXHBD-03</v>
          </cell>
          <cell r="E1447" t="str">
            <v>INNOVA</v>
          </cell>
          <cell r="F1447" t="str">
            <v>INNOVA</v>
          </cell>
          <cell r="G1447" t="str">
            <v>INNOVA</v>
          </cell>
          <cell r="H1447" t="str">
            <v>INNOVA ZENIX Q A/T HYBRID</v>
          </cell>
          <cell r="I1447" t="str">
            <v>INNOVA ZENIX Q A/T HYBRID TSS</v>
          </cell>
          <cell r="J1447" t="str">
            <v>INNOVA ZENIX Q A/T HYBRID TSS</v>
          </cell>
          <cell r="K1447" t="str">
            <v>INNOVA ZENIX HYBRID</v>
          </cell>
          <cell r="N1447" t="str">
            <v>INNOVA ZENIX HYBRID</v>
          </cell>
          <cell r="O1447" t="str">
            <v>MAGH10R-BPXHBD-03</v>
          </cell>
          <cell r="P1447" t="str">
            <v>INNOVA ZENIX HYBRID</v>
          </cell>
          <cell r="Q1447" t="str">
            <v>INNOVA ZENIX HYBRID</v>
          </cell>
          <cell r="R1447" t="str">
            <v>MAGH10R-BPXHBD-03</v>
          </cell>
          <cell r="S1447" t="str">
            <v>INNOVA</v>
          </cell>
          <cell r="T1447" t="str">
            <v>INV ZENIX HYBRID</v>
          </cell>
          <cell r="U1447" t="str">
            <v>INNOVA ZENIX Q A/T HYBRID</v>
          </cell>
        </row>
        <row r="1448">
          <cell r="D1448" t="str">
            <v>TGN110R-ATMHKD-IA</v>
          </cell>
          <cell r="E1448" t="str">
            <v>HILUX</v>
          </cell>
          <cell r="F1448" t="str">
            <v>HILUX RANGGA</v>
          </cell>
          <cell r="G1448" t="str">
            <v>HILUX RANGGA</v>
          </cell>
          <cell r="H1448" t="str">
            <v>RANGGA-HILUX PU M/T</v>
          </cell>
          <cell r="I1448" t="str">
            <v>RANGGA-HILUX PU HIGH M/T</v>
          </cell>
          <cell r="J1448" t="str">
            <v>RANGGA-HILUX PU HIGH M/T TCO</v>
          </cell>
          <cell r="K1448" t="str">
            <v>HILUX RANGGA</v>
          </cell>
          <cell r="N1448" t="str">
            <v>HILUX RANGGA</v>
          </cell>
          <cell r="O1448" t="str">
            <v>TGN110R-ATMHKD-IA</v>
          </cell>
          <cell r="P1448" t="str">
            <v>HILUX RANGGA</v>
          </cell>
          <cell r="Q1448" t="e">
            <v>#N/A</v>
          </cell>
          <cell r="R1448" t="str">
            <v>TGN110R-ATMHKD-IA</v>
          </cell>
          <cell r="S1448" t="str">
            <v>HILUX</v>
          </cell>
          <cell r="T1448" t="str">
            <v>HILUX</v>
          </cell>
          <cell r="U1448" t="str">
            <v>RANGGA-HILUX PU M/T</v>
          </cell>
        </row>
        <row r="1449">
          <cell r="D1449" t="str">
            <v>MAGH10R-BPXHBD-FE</v>
          </cell>
          <cell r="E1449" t="str">
            <v>INNOVA</v>
          </cell>
          <cell r="F1449" t="str">
            <v>INNOVA</v>
          </cell>
          <cell r="G1449" t="str">
            <v>INNOVA</v>
          </cell>
          <cell r="H1449" t="str">
            <v>INNOVA ZENIX Q A/T HYBRID</v>
          </cell>
          <cell r="I1449" t="str">
            <v>INNOVA ZENIX Q A/T HYBRID TSS</v>
          </cell>
          <cell r="J1449" t="str">
            <v>INNOVA ZENIX Q A/T HYBRID TSS TCO</v>
          </cell>
          <cell r="K1449" t="str">
            <v>INNOVA ZENIX HYBRID</v>
          </cell>
          <cell r="N1449" t="str">
            <v>INNOVA ZENIX HYBRID</v>
          </cell>
          <cell r="O1449" t="str">
            <v>MAGH10R-BPXHBD-FE</v>
          </cell>
          <cell r="P1449" t="str">
            <v>INNOVA ZENIX HYBRID</v>
          </cell>
          <cell r="Q1449" t="e">
            <v>#N/A</v>
          </cell>
          <cell r="R1449" t="str">
            <v>MAGH10R-BPXHBD-FE</v>
          </cell>
          <cell r="S1449" t="str">
            <v>INNOVA</v>
          </cell>
          <cell r="T1449" t="str">
            <v>INV ZENIX HYBRID</v>
          </cell>
          <cell r="U1449" t="str">
            <v>INNOVA ZENIX Q A/T HYBRID</v>
          </cell>
        </row>
        <row r="1450">
          <cell r="D1450" t="str">
            <v>GUN142R-MDTSXD-DB</v>
          </cell>
          <cell r="E1450" t="str">
            <v>INNOVA</v>
          </cell>
          <cell r="F1450" t="str">
            <v>INNOVA</v>
          </cell>
          <cell r="G1450" t="str">
            <v>INNOVA</v>
          </cell>
          <cell r="H1450" t="str">
            <v>INNOVA G A/T DIESEL</v>
          </cell>
          <cell r="I1450" t="str">
            <v>INNOVA G A/T DIESEL</v>
          </cell>
          <cell r="J1450" t="str">
            <v>INNOVA G A/T DIESEL TCO</v>
          </cell>
          <cell r="K1450" t="str">
            <v>INNOVA REBORN</v>
          </cell>
          <cell r="M1450" t="str">
            <v>INNOVA</v>
          </cell>
          <cell r="N1450" t="str">
            <v>INNOVA REBORN</v>
          </cell>
          <cell r="O1450" t="str">
            <v>GUN142R-MDTSXD-DB</v>
          </cell>
          <cell r="P1450" t="str">
            <v>INNOVA</v>
          </cell>
          <cell r="Q1450" t="str">
            <v>INNOVA OLD</v>
          </cell>
          <cell r="R1450" t="str">
            <v>GUN142R-MDTSXD-DB</v>
          </cell>
          <cell r="S1450" t="str">
            <v>INNOVA</v>
          </cell>
          <cell r="T1450" t="str">
            <v>INV REBORN</v>
          </cell>
          <cell r="U1450" t="str">
            <v>INNOVA G A/T DIESEL</v>
          </cell>
        </row>
        <row r="1451">
          <cell r="D1451" t="str">
            <v>TGN110R-ATMSKD3-C8</v>
          </cell>
          <cell r="E1451" t="str">
            <v>HILUX</v>
          </cell>
          <cell r="F1451" t="str">
            <v>HILUX RANGGA</v>
          </cell>
          <cell r="G1451" t="str">
            <v>HILUX RANGGA</v>
          </cell>
          <cell r="H1451" t="str">
            <v>RANGGA-HILUX CHASIS PU STANDAR M/T</v>
          </cell>
          <cell r="I1451" t="str">
            <v>RANGGA-HILUX CHASIS PU STANDAR M/T</v>
          </cell>
          <cell r="J1451" t="str">
            <v>RANGGA-HILUX CHASIS PU M/T STANDAR</v>
          </cell>
          <cell r="K1451" t="str">
            <v>HILUX RANGGA</v>
          </cell>
          <cell r="N1451" t="str">
            <v>HILUX RANGGA</v>
          </cell>
          <cell r="O1451" t="str">
            <v>TGN110R-ATMSKD3-C8</v>
          </cell>
          <cell r="P1451" t="str">
            <v>HILUX RANGGA</v>
          </cell>
          <cell r="Q1451" t="e">
            <v>#N/A</v>
          </cell>
          <cell r="R1451" t="str">
            <v>TGN110R-ATMSKD3-C8</v>
          </cell>
          <cell r="S1451" t="str">
            <v>HILUX</v>
          </cell>
          <cell r="T1451" t="str">
            <v>HILUX</v>
          </cell>
          <cell r="U1451" t="str">
            <v>RANGGA-HILUX CHASIS PU STANDAR M/T</v>
          </cell>
        </row>
        <row r="1452">
          <cell r="D1452" t="str">
            <v>GUN110R-ATTHXD-00</v>
          </cell>
          <cell r="E1452" t="str">
            <v>HILUX</v>
          </cell>
          <cell r="F1452" t="str">
            <v>HILUX RANGGA</v>
          </cell>
          <cell r="G1452" t="str">
            <v>HILUX RANGGA</v>
          </cell>
          <cell r="H1452" t="str">
            <v>RANGGA-HILUX PU DIESEL A/T</v>
          </cell>
          <cell r="I1452" t="str">
            <v>RANGGA-HILUX PU DIESEL HIGH A/T</v>
          </cell>
          <cell r="J1452" t="str">
            <v>RANGGA-HILUX PU DIESEL HIGH A/T</v>
          </cell>
          <cell r="K1452" t="str">
            <v>HILUX RANGGA</v>
          </cell>
          <cell r="N1452" t="str">
            <v>HILUX RANGGA</v>
          </cell>
          <cell r="O1452" t="str">
            <v>GUN110R-ATTHXD-00</v>
          </cell>
          <cell r="P1452" t="str">
            <v>HILUX RANGGA</v>
          </cell>
          <cell r="Q1452" t="e">
            <v>#N/A</v>
          </cell>
          <cell r="R1452" t="str">
            <v>GUN110R-ATTHXD-00</v>
          </cell>
          <cell r="S1452" t="str">
            <v>HILUX</v>
          </cell>
          <cell r="T1452" t="str">
            <v>HILUX</v>
          </cell>
          <cell r="U1452" t="str">
            <v>RANGGA-HILUX PU DIESEL A/T</v>
          </cell>
        </row>
        <row r="1453">
          <cell r="D1453" t="str">
            <v>GUN110R-ATTHXD3-01</v>
          </cell>
          <cell r="E1453" t="str">
            <v>HILUX</v>
          </cell>
          <cell r="F1453" t="str">
            <v>HILUX RANGGA</v>
          </cell>
          <cell r="G1453" t="str">
            <v>HILUX RANGGA</v>
          </cell>
          <cell r="H1453" t="str">
            <v>RANGGA-HILUX CAB-CHASSIS MB DIESEL A/T</v>
          </cell>
          <cell r="I1453" t="str">
            <v>RANGGA-HILUX CAB-CHASSIS MB DIESEL HIGH A/T</v>
          </cell>
          <cell r="J1453" t="str">
            <v>RANGGA-HILUX CAB-CHASSIS MB DIESEL HIGH A/T</v>
          </cell>
          <cell r="K1453" t="str">
            <v>HILUX RANGGA</v>
          </cell>
          <cell r="N1453" t="str">
            <v>HILUX RANGGA</v>
          </cell>
          <cell r="O1453" t="str">
            <v>GUN110R-ATTHXD3-01</v>
          </cell>
          <cell r="P1453" t="str">
            <v>HILUX RANGGA</v>
          </cell>
          <cell r="Q1453" t="e">
            <v>#N/A</v>
          </cell>
          <cell r="R1453" t="str">
            <v>GUN110R-ATTHXD3-01</v>
          </cell>
          <cell r="S1453" t="str">
            <v>HILUX</v>
          </cell>
          <cell r="T1453" t="str">
            <v>HILUX</v>
          </cell>
          <cell r="U1453" t="str">
            <v>RANGGA-HILUX CAB-CHASSIS MB DIESEL A/T</v>
          </cell>
        </row>
        <row r="1454">
          <cell r="D1454" t="str">
            <v>GUN110R-ATTHXD3-00</v>
          </cell>
          <cell r="E1454" t="str">
            <v>HILUX</v>
          </cell>
          <cell r="F1454" t="str">
            <v>HILUX RANGGA</v>
          </cell>
          <cell r="G1454" t="str">
            <v>HILUX RANGGA</v>
          </cell>
          <cell r="H1454" t="str">
            <v>RANGGA-HILUX CAB-CHASSIS PU DIESEL A/T</v>
          </cell>
          <cell r="I1454" t="str">
            <v>RANGGA-HILUX CAB-CHASSIS PU DIESEL HIGH A/T</v>
          </cell>
          <cell r="J1454" t="str">
            <v>RANGGA-HILUX CAB-CHASSIS PU DIESEL HIGH A/T</v>
          </cell>
          <cell r="K1454" t="str">
            <v>HILUX RANGGA</v>
          </cell>
          <cell r="N1454" t="str">
            <v>HILUX RANGGA</v>
          </cell>
          <cell r="O1454" t="str">
            <v>GUN110R-ATTHXD3-00</v>
          </cell>
          <cell r="P1454" t="str">
            <v>HILUX RANGGA</v>
          </cell>
          <cell r="Q1454" t="e">
            <v>#N/A</v>
          </cell>
          <cell r="R1454" t="str">
            <v>GUN110R-ATTHXD3-00</v>
          </cell>
          <cell r="S1454" t="str">
            <v>HILUX</v>
          </cell>
          <cell r="T1454" t="str">
            <v>HILUX</v>
          </cell>
          <cell r="U1454" t="str">
            <v>RANGGA-HILUX CAB-CHASSIS PU DIESEL A/T</v>
          </cell>
        </row>
        <row r="1455">
          <cell r="D1455" t="str">
            <v>GUN112R-ATMHXD-00</v>
          </cell>
          <cell r="E1455" t="str">
            <v>HILUX</v>
          </cell>
          <cell r="F1455" t="str">
            <v>HILUX RANGGA</v>
          </cell>
          <cell r="G1455" t="str">
            <v>HILUX RANGGA</v>
          </cell>
          <cell r="H1455" t="str">
            <v>RANGGA-HILUX PU DIESEL M/T</v>
          </cell>
          <cell r="I1455" t="str">
            <v>RANGGA-HILUX PU DIESEL HIGHT M/T</v>
          </cell>
          <cell r="J1455" t="str">
            <v>RANGGA-HILUX PU DIESEL HIGHT M/T</v>
          </cell>
          <cell r="K1455" t="str">
            <v>HILUX RANGGA</v>
          </cell>
          <cell r="N1455" t="str">
            <v>HILUX RANGGA</v>
          </cell>
          <cell r="O1455" t="str">
            <v>GUN112R-ATMHXD-00</v>
          </cell>
          <cell r="P1455" t="str">
            <v>HILUX RANGGA</v>
          </cell>
          <cell r="Q1455" t="e">
            <v>#N/A</v>
          </cell>
          <cell r="R1455" t="str">
            <v>GUN112R-ATMHXD-00</v>
          </cell>
          <cell r="S1455" t="str">
            <v>HILUX</v>
          </cell>
          <cell r="T1455" t="str">
            <v>HILUX</v>
          </cell>
          <cell r="U1455" t="str">
            <v>RANGGA-HILUX PU DIESEL M/T</v>
          </cell>
        </row>
        <row r="1456">
          <cell r="D1456" t="str">
            <v>GUN112R-ATMSXD-00</v>
          </cell>
          <cell r="E1456" t="str">
            <v>HILUX</v>
          </cell>
          <cell r="F1456" t="str">
            <v>HILUX RANGGA</v>
          </cell>
          <cell r="G1456" t="str">
            <v>HILUX RANGGA</v>
          </cell>
          <cell r="H1456" t="str">
            <v>RANGGA-HILUX PU DIESEL M/T</v>
          </cell>
          <cell r="I1456" t="str">
            <v>RANGGA-HILUX PU DIESEL STANDAR M/T</v>
          </cell>
          <cell r="J1456" t="str">
            <v>RANGGA-HILUX PU DIESEL STANDAR M/T</v>
          </cell>
          <cell r="K1456" t="str">
            <v>HILUX RANGGA</v>
          </cell>
          <cell r="N1456" t="str">
            <v>HILUX RANGGA</v>
          </cell>
          <cell r="O1456" t="str">
            <v>GUN112R-ATMSXD-00</v>
          </cell>
          <cell r="P1456" t="str">
            <v>HILUX RANGGA</v>
          </cell>
          <cell r="Q1456" t="e">
            <v>#N/A</v>
          </cell>
          <cell r="R1456" t="str">
            <v>GUN112R-ATMSXD-00</v>
          </cell>
          <cell r="S1456" t="str">
            <v>HILUX</v>
          </cell>
          <cell r="T1456" t="str">
            <v>HILUX</v>
          </cell>
          <cell r="U1456" t="str">
            <v>RANGGA-HILUX PU DIESEL M/T</v>
          </cell>
        </row>
        <row r="1457">
          <cell r="D1457" t="str">
            <v>GUN112R-ATMSXD3-01</v>
          </cell>
          <cell r="E1457" t="str">
            <v>HILUX</v>
          </cell>
          <cell r="F1457" t="str">
            <v>HILUX RANGGA</v>
          </cell>
          <cell r="G1457" t="str">
            <v>HILUX RANGGA</v>
          </cell>
          <cell r="H1457" t="str">
            <v>RANGGA-HILUX CAB-CHASSIS MB DIESEL M/T</v>
          </cell>
          <cell r="I1457" t="str">
            <v>RANGGA-HILUX CAB-CHASSIS MB DIESEL STANDAR M/T</v>
          </cell>
          <cell r="J1457" t="str">
            <v>RANGGA-HILUX CAB-CHASSIS MB DIESEL STANDARD M/T</v>
          </cell>
          <cell r="K1457" t="str">
            <v>HILUX RANGGA</v>
          </cell>
          <cell r="N1457" t="str">
            <v>HILUX RANGGA</v>
          </cell>
          <cell r="O1457" t="str">
            <v>GUN112R-ATMSXD3-01</v>
          </cell>
          <cell r="P1457" t="str">
            <v>HILUX RANGGA</v>
          </cell>
          <cell r="Q1457" t="e">
            <v>#N/A</v>
          </cell>
          <cell r="R1457" t="str">
            <v>GUN112R-ATMSXD3-01</v>
          </cell>
          <cell r="S1457" t="str">
            <v>HILUX</v>
          </cell>
          <cell r="T1457" t="str">
            <v>HILUX</v>
          </cell>
          <cell r="U1457" t="str">
            <v>RANGGA-HILUX CAB-CHASSIS MB DIESEL M/T</v>
          </cell>
        </row>
        <row r="1458">
          <cell r="D1458" t="str">
            <v>GUN112R-ATMSXD3-00</v>
          </cell>
          <cell r="E1458" t="str">
            <v>HILUX</v>
          </cell>
          <cell r="F1458" t="str">
            <v>HILUX RANGGA</v>
          </cell>
          <cell r="G1458" t="str">
            <v>HILUX RANGGA</v>
          </cell>
          <cell r="H1458" t="str">
            <v>RANGGA-HILUX CAB-CHASSIS PU DIESEL M/T</v>
          </cell>
          <cell r="I1458" t="str">
            <v>RANGGA-HILUX CAB-CHASSIS PU DIESEL STANDAR M/T</v>
          </cell>
          <cell r="J1458" t="str">
            <v>RANGGA-HILUX CAB-CHASSIS PU DIESEL STANDARD M/T</v>
          </cell>
          <cell r="K1458" t="str">
            <v>HILUX RANGGA</v>
          </cell>
          <cell r="N1458" t="str">
            <v>HILUX RANGGA</v>
          </cell>
          <cell r="O1458" t="str">
            <v>GUN112R-ATMSXD3-00</v>
          </cell>
          <cell r="P1458" t="str">
            <v>HILUX RANGGA</v>
          </cell>
          <cell r="Q1458" t="e">
            <v>#N/A</v>
          </cell>
          <cell r="R1458" t="str">
            <v>GUN112R-ATMSXD3-00</v>
          </cell>
          <cell r="S1458" t="str">
            <v>HILUX</v>
          </cell>
          <cell r="T1458" t="str">
            <v>HILUX</v>
          </cell>
          <cell r="U1458" t="str">
            <v>RANGGA-HILUX CAB-CHASSIS PU DIESEL M/T</v>
          </cell>
        </row>
        <row r="1459">
          <cell r="D1459" t="str">
            <v>TGN110R-ATMHKD-00</v>
          </cell>
          <cell r="E1459" t="str">
            <v>HILUX</v>
          </cell>
          <cell r="F1459" t="str">
            <v>HILUX RANGGA</v>
          </cell>
          <cell r="G1459" t="str">
            <v>HILUX RANGGA</v>
          </cell>
          <cell r="H1459" t="str">
            <v>RANGGA-HILUX PU M/T</v>
          </cell>
          <cell r="I1459" t="str">
            <v>RANGGA-HILUX PU HIGH M/T</v>
          </cell>
          <cell r="J1459" t="str">
            <v>RANGGA-HILUX PU HIGH M/T</v>
          </cell>
          <cell r="K1459" t="str">
            <v>HILUX RANGGA</v>
          </cell>
          <cell r="N1459" t="str">
            <v>HILUX RANGGA</v>
          </cell>
          <cell r="O1459" t="str">
            <v>TGN110R-ATMHKD-00</v>
          </cell>
          <cell r="P1459" t="str">
            <v>HILUX RANGGA</v>
          </cell>
          <cell r="Q1459" t="e">
            <v>#N/A</v>
          </cell>
          <cell r="R1459" t="str">
            <v>TGN110R-ATMHKD-00</v>
          </cell>
          <cell r="S1459" t="str">
            <v>HILUX</v>
          </cell>
          <cell r="T1459" t="str">
            <v>HILUX</v>
          </cell>
          <cell r="U1459" t="str">
            <v>RANGGA-HILUX PU M/T</v>
          </cell>
        </row>
        <row r="1460">
          <cell r="D1460" t="str">
            <v>TGN110R-ATMSKD-01</v>
          </cell>
          <cell r="E1460" t="str">
            <v>HILUX</v>
          </cell>
          <cell r="F1460" t="str">
            <v>HILUX RANGGA</v>
          </cell>
          <cell r="G1460" t="str">
            <v>HILUX RANGGA</v>
          </cell>
          <cell r="H1460" t="str">
            <v>RANGGA-HILUX PU M/T</v>
          </cell>
          <cell r="I1460" t="str">
            <v>RANGGA-HILUX PU STANDARD M/T</v>
          </cell>
          <cell r="J1460" t="str">
            <v>RANGGA-HILUX PU STANDARD 3WAY M/T</v>
          </cell>
          <cell r="K1460" t="str">
            <v>HILUX RANGGA</v>
          </cell>
          <cell r="N1460" t="str">
            <v>HILUX RANGGA</v>
          </cell>
          <cell r="O1460" t="str">
            <v>TGN110R-ATMSKD-01</v>
          </cell>
          <cell r="P1460" t="str">
            <v>HILUX RANGGA</v>
          </cell>
          <cell r="Q1460" t="e">
            <v>#N/A</v>
          </cell>
          <cell r="R1460" t="str">
            <v>TGN110R-ATMSKD-01</v>
          </cell>
          <cell r="S1460" t="str">
            <v>HILUX</v>
          </cell>
          <cell r="T1460" t="str">
            <v>HILUX</v>
          </cell>
          <cell r="U1460" t="str">
            <v>RANGGA-HILUX PU M/T</v>
          </cell>
        </row>
        <row r="1461">
          <cell r="D1461" t="str">
            <v>TGN110R-ATMSKD-00</v>
          </cell>
          <cell r="E1461" t="str">
            <v>HILUX</v>
          </cell>
          <cell r="F1461" t="str">
            <v>HILUX RANGGA</v>
          </cell>
          <cell r="G1461" t="str">
            <v>HILUX RANGGA</v>
          </cell>
          <cell r="H1461" t="str">
            <v>RANGGA-HILUX PU M/T</v>
          </cell>
          <cell r="I1461" t="str">
            <v>RANGGA-HILUX PU STANDARD M/T</v>
          </cell>
          <cell r="J1461" t="str">
            <v>RANGGA-HILUX PU STANDARD M/T</v>
          </cell>
          <cell r="K1461" t="str">
            <v>HILUX RANGGA</v>
          </cell>
          <cell r="N1461" t="str">
            <v>HILUX RANGGA</v>
          </cell>
          <cell r="O1461" t="str">
            <v>TGN110R-ATMSKD-00</v>
          </cell>
          <cell r="P1461" t="str">
            <v>HILUX RANGGA</v>
          </cell>
          <cell r="Q1461" t="e">
            <v>#N/A</v>
          </cell>
          <cell r="R1461" t="str">
            <v>TGN110R-ATMSKD-00</v>
          </cell>
          <cell r="S1461" t="str">
            <v>HILUX</v>
          </cell>
          <cell r="T1461" t="str">
            <v>HILUX</v>
          </cell>
          <cell r="U1461" t="str">
            <v>RANGGA-HILUX PU M/T</v>
          </cell>
        </row>
        <row r="1462">
          <cell r="D1462" t="str">
            <v>TGN110R-ATMSKD3-01</v>
          </cell>
          <cell r="E1462" t="str">
            <v>HILUX</v>
          </cell>
          <cell r="F1462" t="str">
            <v>HILUX RANGGA</v>
          </cell>
          <cell r="G1462" t="str">
            <v>HILUX RANGGA</v>
          </cell>
          <cell r="H1462" t="str">
            <v>RANGGA-HILUX CAB-CHASSIS MB M/T</v>
          </cell>
          <cell r="I1462" t="str">
            <v>RANGGA-HILUX CAB-CHASSIS MB STANDAR M/T</v>
          </cell>
          <cell r="J1462" t="str">
            <v>RANGGA-HILUX CAB-CHASSIS MB STANDAR M/T</v>
          </cell>
          <cell r="K1462" t="str">
            <v>HILUX RANGGA</v>
          </cell>
          <cell r="N1462" t="str">
            <v>HILUX RANGGA</v>
          </cell>
          <cell r="O1462" t="str">
            <v>TGN110R-ATMSKD3-01</v>
          </cell>
          <cell r="P1462" t="str">
            <v>HILUX RANGGA</v>
          </cell>
          <cell r="Q1462" t="e">
            <v>#N/A</v>
          </cell>
          <cell r="R1462" t="str">
            <v>TGN110R-ATMSKD3-01</v>
          </cell>
          <cell r="S1462" t="str">
            <v>HILUX</v>
          </cell>
          <cell r="T1462" t="str">
            <v>HILUX</v>
          </cell>
          <cell r="U1462" t="str">
            <v>RANGGA-HILUX CAB-CHASSIS MB M/T</v>
          </cell>
        </row>
        <row r="1463">
          <cell r="D1463" t="str">
            <v>TGN110R-ATMSKD3-00</v>
          </cell>
          <cell r="E1463" t="str">
            <v>HILUX</v>
          </cell>
          <cell r="F1463" t="str">
            <v>HILUX RANGGA</v>
          </cell>
          <cell r="G1463" t="str">
            <v>HILUX RANGGA</v>
          </cell>
          <cell r="H1463" t="str">
            <v>RANGGA-HILUX CAB-CHASSIS PU M/T</v>
          </cell>
          <cell r="I1463" t="str">
            <v>RANGGA-HILUX CAB-CHASSIS PU STANDAR M/T</v>
          </cell>
          <cell r="J1463" t="str">
            <v>RANGGA-HILUX CAB-CHASSIS PU STANDAR M/T</v>
          </cell>
          <cell r="K1463" t="str">
            <v>HILUX RANGGA</v>
          </cell>
          <cell r="N1463" t="str">
            <v>HILUX RANGGA</v>
          </cell>
          <cell r="O1463" t="str">
            <v>TGN110R-ATMSKD3-00</v>
          </cell>
          <cell r="P1463" t="str">
            <v>HILUX RANGGA</v>
          </cell>
          <cell r="Q1463" t="e">
            <v>#N/A</v>
          </cell>
          <cell r="R1463" t="str">
            <v>TGN110R-ATMSKD3-00</v>
          </cell>
          <cell r="S1463" t="str">
            <v>HILUX</v>
          </cell>
          <cell r="T1463" t="str">
            <v>HILUX</v>
          </cell>
          <cell r="U1463" t="str">
            <v>RANGGA-HILUX CAB-CHASSIS PU M/T</v>
          </cell>
        </row>
        <row r="1464">
          <cell r="D1464" t="str">
            <v>GUN112R-ATMSXD-01</v>
          </cell>
          <cell r="E1464" t="str">
            <v>HILUX</v>
          </cell>
          <cell r="F1464" t="str">
            <v>HILUX RANGGA</v>
          </cell>
          <cell r="G1464" t="str">
            <v>HILUX RANGGA</v>
          </cell>
          <cell r="H1464" t="str">
            <v>RANGGA-HILUX PU DIESEL M/T</v>
          </cell>
          <cell r="I1464" t="str">
            <v>RANGGA-HILUX PU DIESEL STANDAR M/T</v>
          </cell>
          <cell r="J1464" t="str">
            <v>RANGGA-HILUX PU DIESEL STANDAR M/T</v>
          </cell>
          <cell r="K1464" t="str">
            <v>HILUX RANGGA</v>
          </cell>
          <cell r="N1464" t="str">
            <v>HILUX RANGGA</v>
          </cell>
          <cell r="O1464" t="str">
            <v>GUN112R-ATMSXD-01</v>
          </cell>
          <cell r="P1464" t="str">
            <v>HILUX RANGGA</v>
          </cell>
          <cell r="Q1464" t="e">
            <v>#N/A</v>
          </cell>
          <cell r="R1464" t="str">
            <v>GUN112R-ATMSXD-01</v>
          </cell>
          <cell r="S1464" t="str">
            <v>HILUX</v>
          </cell>
          <cell r="T1464" t="str">
            <v>HILUX</v>
          </cell>
          <cell r="U1464" t="str">
            <v>RANGGA-HILUX PU DIESEL M/T</v>
          </cell>
        </row>
        <row r="1465">
          <cell r="D1465" t="str">
            <v>GUN112R-ATMSXD3-B1</v>
          </cell>
          <cell r="E1465" t="str">
            <v>HILUX</v>
          </cell>
          <cell r="F1465" t="str">
            <v>HILUX RANGGA</v>
          </cell>
          <cell r="G1465" t="str">
            <v>HILUX RANGGA</v>
          </cell>
          <cell r="H1465" t="str">
            <v>RANGGA-HILUX CAB-CHASSIS PU DIESEL M/T</v>
          </cell>
          <cell r="I1465" t="str">
            <v>RANGGA-HILUX CAB-CHASSIS PU DIESEL STANDAR M/T</v>
          </cell>
          <cell r="J1465" t="str">
            <v>RANGGA-HILUX CAB-CHASSIS PU DIESEL STANDARD M/T</v>
          </cell>
          <cell r="K1465" t="str">
            <v>HILUX RANGGA</v>
          </cell>
          <cell r="N1465" t="str">
            <v>HILUX RANGGA</v>
          </cell>
          <cell r="O1465" t="str">
            <v>GUN112R-ATMSXD3-B1</v>
          </cell>
          <cell r="P1465" t="str">
            <v>HILUX RANGGA</v>
          </cell>
          <cell r="Q1465" t="e">
            <v>#N/A</v>
          </cell>
          <cell r="R1465" t="str">
            <v>GUN112R-ATMSXD3-B1</v>
          </cell>
          <cell r="S1465" t="str">
            <v>HILUX</v>
          </cell>
          <cell r="T1465" t="str">
            <v>HILUX</v>
          </cell>
          <cell r="U1465" t="str">
            <v>RANGGA-HILUX CAB-CHASSIS PU DIESEL M/T</v>
          </cell>
        </row>
        <row r="1466">
          <cell r="D1466" t="str">
            <v>GUN142R-MDMSXD-FA</v>
          </cell>
          <cell r="E1466" t="str">
            <v>INNOVA</v>
          </cell>
          <cell r="F1466" t="str">
            <v>INNOVA</v>
          </cell>
          <cell r="G1466" t="str">
            <v>INNOVA</v>
          </cell>
          <cell r="H1466" t="str">
            <v>INNOVA G M/T DIESEL</v>
          </cell>
          <cell r="I1466" t="str">
            <v>INNOVA G M/T DIESEL</v>
          </cell>
          <cell r="J1466" t="str">
            <v>INNOVA G M/T DIESEL TCO</v>
          </cell>
          <cell r="K1466" t="str">
            <v>INNOVA REBORN</v>
          </cell>
          <cell r="M1466" t="str">
            <v>INNOVA</v>
          </cell>
          <cell r="N1466" t="str">
            <v>INNOVA REBORN</v>
          </cell>
          <cell r="O1466" t="str">
            <v>GUN142R-MDMSXD-FA</v>
          </cell>
          <cell r="P1466" t="str">
            <v>INNOVA</v>
          </cell>
          <cell r="Q1466" t="str">
            <v>INNOVA OLD</v>
          </cell>
          <cell r="R1466" t="str">
            <v>GUN142R-MDMSXD-FA</v>
          </cell>
          <cell r="S1466" t="str">
            <v>INNOVA</v>
          </cell>
          <cell r="T1466" t="str">
            <v>INV REBORN</v>
          </cell>
          <cell r="U1466" t="str">
            <v>INNOVA G M/T DIESEL</v>
          </cell>
        </row>
        <row r="1467">
          <cell r="D1467" t="str">
            <v>MAGH10R-BPXHBD-GB</v>
          </cell>
          <cell r="E1467" t="str">
            <v>INNOVA</v>
          </cell>
          <cell r="F1467" t="str">
            <v>INNOVA</v>
          </cell>
          <cell r="G1467" t="str">
            <v>INNOVA</v>
          </cell>
          <cell r="H1467" t="str">
            <v>INNOVA ZENIX Q A/T HYBRID</v>
          </cell>
          <cell r="I1467" t="str">
            <v>INNOVA ZENIX Q A/T HYBRID TSS</v>
          </cell>
          <cell r="J1467" t="str">
            <v>INNOVA ZENIX Q A/T HYBRID TSS TCO</v>
          </cell>
          <cell r="K1467" t="str">
            <v>INNOVA ZENIX HYBRID</v>
          </cell>
          <cell r="N1467" t="str">
            <v>INNOVA ZENIX HYBRID</v>
          </cell>
          <cell r="O1467" t="str">
            <v>MAGH10R-BPXHBD-GB</v>
          </cell>
          <cell r="P1467" t="str">
            <v>INNOVA ZENIX HYBRID</v>
          </cell>
          <cell r="Q1467" t="e">
            <v>#N/A</v>
          </cell>
          <cell r="R1467" t="str">
            <v>MAGH10R-BPXHBD-GB</v>
          </cell>
          <cell r="S1467" t="str">
            <v>INNOVA</v>
          </cell>
          <cell r="T1467" t="str">
            <v>INV ZENIX HYBRID</v>
          </cell>
          <cell r="U1467" t="str">
            <v>INNOVA ZENIX Q A/T HYBRID</v>
          </cell>
        </row>
        <row r="1468">
          <cell r="D1468" t="str">
            <v>NYC200R-DHXHBD-04</v>
          </cell>
          <cell r="E1468" t="str">
            <v>YARIS</v>
          </cell>
          <cell r="F1468" t="str">
            <v>YARIS</v>
          </cell>
          <cell r="G1468" t="str">
            <v>YARIS CROSS</v>
          </cell>
          <cell r="H1468" t="str">
            <v>YARIS CROSS S A/T</v>
          </cell>
          <cell r="I1468" t="str">
            <v>YARIS CROSS S A/T TSS HYBRID</v>
          </cell>
          <cell r="J1468" t="str">
            <v>YARIS CROSS S A/T TSS HYBRID</v>
          </cell>
          <cell r="K1468" t="str">
            <v>YARIS CROSS</v>
          </cell>
          <cell r="N1468" t="str">
            <v>YARIS CROSS</v>
          </cell>
          <cell r="O1468" t="str">
            <v>NYC200R-DHXHBD-04</v>
          </cell>
          <cell r="P1468" t="str">
            <v>YARIS CROSS HYBRID</v>
          </cell>
          <cell r="Q1468" t="e">
            <v>#N/A</v>
          </cell>
          <cell r="R1468" t="str">
            <v>NYC200R-DHXHBD-04</v>
          </cell>
          <cell r="S1468" t="str">
            <v>YARIS</v>
          </cell>
          <cell r="T1468" t="str">
            <v>YARIS</v>
          </cell>
          <cell r="U1468" t="str">
            <v>YARIS CROSS S A/T</v>
          </cell>
        </row>
        <row r="1469">
          <cell r="D1469" t="e">
            <v>#N/A</v>
          </cell>
          <cell r="E1469" t="str">
            <v>FORTUNER</v>
          </cell>
          <cell r="F1469" t="str">
            <v>FORTUNER 4X4</v>
          </cell>
          <cell r="G1469" t="str">
            <v>FORTUNER 4X4</v>
          </cell>
          <cell r="H1469" t="str">
            <v>FORTUNER 4X4 V A/T BENSIN</v>
          </cell>
          <cell r="I1469" t="str">
            <v>FORTUNER 4X4 V A/T BENSIN</v>
          </cell>
          <cell r="J1469" t="str">
            <v>FORTUNER 4X4 V A/T BENSIN</v>
          </cell>
          <cell r="K1469" t="str">
            <v>FORTUNER 4X4</v>
          </cell>
          <cell r="L1469" t="str">
            <v>TG51VA/TM</v>
          </cell>
          <cell r="M1469" t="str">
            <v>FORTUNER</v>
          </cell>
          <cell r="N1469" t="str">
            <v>FORTUNER 4X4</v>
          </cell>
          <cell r="O1469" t="e">
            <v>#N/A</v>
          </cell>
          <cell r="P1469" t="str">
            <v>FORTUNER 4X4</v>
          </cell>
          <cell r="Q1469" t="e">
            <v>#N/A</v>
          </cell>
          <cell r="R1469" t="e">
            <v>#N/A</v>
          </cell>
          <cell r="S1469" t="str">
            <v>FORTUNER</v>
          </cell>
          <cell r="T1469" t="e">
            <v>#N/A</v>
          </cell>
          <cell r="U1469" t="str">
            <v>FORTUNER 4X4 V A/T BENSIN</v>
          </cell>
        </row>
        <row r="1470">
          <cell r="D1470" t="str">
            <v>ZVW60R-AHXEB-00</v>
          </cell>
          <cell r="E1470" t="str">
            <v>PRIUS</v>
          </cell>
          <cell r="F1470" t="str">
            <v>PRIUS</v>
          </cell>
          <cell r="G1470" t="str">
            <v>PRIUS</v>
          </cell>
          <cell r="H1470" t="str">
            <v>PRIUS AT HYBRID</v>
          </cell>
          <cell r="I1470" t="str">
            <v>PRIUS AT HYBRID</v>
          </cell>
          <cell r="J1470" t="str">
            <v>PRIUS AT HYBRID</v>
          </cell>
          <cell r="K1470" t="str">
            <v>PRIUS</v>
          </cell>
          <cell r="M1470" t="str">
            <v>PRIUS</v>
          </cell>
          <cell r="N1470" t="str">
            <v>PRIUS</v>
          </cell>
          <cell r="O1470" t="str">
            <v>ZVW60R-AHXEB-00</v>
          </cell>
          <cell r="P1470" t="str">
            <v>PRIUS</v>
          </cell>
          <cell r="Q1470" t="e">
            <v>#N/A</v>
          </cell>
          <cell r="R1470" t="str">
            <v>ZVW60R-AHXEB-00</v>
          </cell>
          <cell r="S1470" t="str">
            <v>PRIUS</v>
          </cell>
          <cell r="T1470" t="str">
            <v>PRIUS</v>
          </cell>
          <cell r="U1470" t="str">
            <v>PRIUS AT HYBRID</v>
          </cell>
        </row>
        <row r="1471">
          <cell r="D1471" t="str">
            <v>A351RA-GBEFJ-EA</v>
          </cell>
          <cell r="E1471" t="str">
            <v>AGYA</v>
          </cell>
          <cell r="F1471" t="str">
            <v>AGYA</v>
          </cell>
          <cell r="G1471" t="str">
            <v>AGYA</v>
          </cell>
          <cell r="H1471" t="str">
            <v>AGYA G A/T</v>
          </cell>
          <cell r="I1471" t="str">
            <v>AGYA G A/T</v>
          </cell>
          <cell r="J1471" t="str">
            <v>AGYA 1.2 G A/T-TCO</v>
          </cell>
          <cell r="K1471" t="str">
            <v>AGYA</v>
          </cell>
          <cell r="N1471" t="str">
            <v>AGYA</v>
          </cell>
          <cell r="O1471" t="str">
            <v>A351RA-GBEFJ-EA</v>
          </cell>
          <cell r="P1471" t="str">
            <v>AGYA</v>
          </cell>
          <cell r="Q1471" t="e">
            <v>#N/A</v>
          </cell>
          <cell r="R1471" t="str">
            <v>A351RA-GBEFJ-EA</v>
          </cell>
          <cell r="S1471" t="str">
            <v>AGYA</v>
          </cell>
          <cell r="T1471" t="str">
            <v>AGYA</v>
          </cell>
          <cell r="U1471" t="str">
            <v>AGYA G A/T</v>
          </cell>
        </row>
        <row r="1472">
          <cell r="D1472" t="str">
            <v>MAGA10R-BRXMBD-EB</v>
          </cell>
          <cell r="E1472" t="str">
            <v>INNOVA</v>
          </cell>
          <cell r="F1472" t="str">
            <v>INNOVA</v>
          </cell>
          <cell r="G1472" t="str">
            <v>INNOVA</v>
          </cell>
          <cell r="H1472" t="str">
            <v>INNOVA ZENIX V A/T</v>
          </cell>
          <cell r="I1472" t="str">
            <v>INNOVA ZENIX V A/T</v>
          </cell>
          <cell r="J1472" t="str">
            <v>INNOVA ZENIX V A/T TCO</v>
          </cell>
          <cell r="K1472" t="str">
            <v>INNOVA ZENIX GAS</v>
          </cell>
          <cell r="N1472" t="str">
            <v>INNOVA ZENIX GAS</v>
          </cell>
          <cell r="O1472" t="str">
            <v>MAGA10R-BRXMBD-EB</v>
          </cell>
          <cell r="P1472" t="str">
            <v>INNOVA ZENIX</v>
          </cell>
          <cell r="Q1472" t="e">
            <v>#N/A</v>
          </cell>
          <cell r="R1472" t="str">
            <v>MAGA10R-BRXMBD-EB</v>
          </cell>
          <cell r="S1472" t="str">
            <v>INNOVA</v>
          </cell>
          <cell r="T1472" t="str">
            <v>INV ZENIX GAS</v>
          </cell>
          <cell r="U1472" t="str">
            <v>INNOVA ZENIX V A/T</v>
          </cell>
        </row>
        <row r="1473">
          <cell r="D1473" t="str">
            <v>GUN142R-MDMSXD-EB</v>
          </cell>
          <cell r="E1473" t="str">
            <v>INNOVA</v>
          </cell>
          <cell r="F1473" t="str">
            <v>INNOVA</v>
          </cell>
          <cell r="G1473" t="str">
            <v>INNOVA</v>
          </cell>
          <cell r="H1473" t="str">
            <v>INNOVA G M/T DIESEL</v>
          </cell>
          <cell r="I1473" t="str">
            <v>INNOVA G M/T DIESEL</v>
          </cell>
          <cell r="J1473" t="str">
            <v>INNOVA G M/T DIESEL TCO</v>
          </cell>
          <cell r="K1473" t="str">
            <v>INNOVA REBORN</v>
          </cell>
          <cell r="M1473" t="str">
            <v>INNOVA</v>
          </cell>
          <cell r="N1473" t="str">
            <v>INNOVA REBORN</v>
          </cell>
          <cell r="O1473" t="str">
            <v>GUN142R-MDMSXD-EB</v>
          </cell>
          <cell r="P1473" t="str">
            <v>INNOVA</v>
          </cell>
          <cell r="Q1473" t="e">
            <v>#N/A</v>
          </cell>
          <cell r="R1473" t="str">
            <v>GUN142R-MDMSXD-EB</v>
          </cell>
          <cell r="S1473" t="str">
            <v>INNOVA</v>
          </cell>
          <cell r="T1473" t="str">
            <v>INV REBORN</v>
          </cell>
          <cell r="U1473" t="str">
            <v>INNOVA G M/T DIESEL</v>
          </cell>
        </row>
        <row r="1474">
          <cell r="D1474" t="str">
            <v>GXPA16R-AGFGZW-10</v>
          </cell>
          <cell r="E1474" t="str">
            <v>YARIS</v>
          </cell>
          <cell r="F1474" t="str">
            <v>YARIS</v>
          </cell>
          <cell r="G1474" t="str">
            <v>YARIS</v>
          </cell>
          <cell r="H1474" t="str">
            <v>GR YARIS M/T</v>
          </cell>
          <cell r="I1474" t="str">
            <v>GR YARIS M/T</v>
          </cell>
          <cell r="J1474" t="str">
            <v>GR YARIS M/T</v>
          </cell>
          <cell r="K1474" t="str">
            <v>GR YARIS</v>
          </cell>
          <cell r="M1474" t="str">
            <v>YARIS</v>
          </cell>
          <cell r="N1474" t="str">
            <v>YARIS</v>
          </cell>
          <cell r="O1474" t="str">
            <v>GXPA16R-AGFGZW-10</v>
          </cell>
          <cell r="P1474" t="str">
            <v>YARIS</v>
          </cell>
          <cell r="Q1474" t="str">
            <v>YARIS</v>
          </cell>
          <cell r="R1474" t="str">
            <v>GXPA16R-AGFGZW-10</v>
          </cell>
          <cell r="S1474" t="str">
            <v>YARIS</v>
          </cell>
          <cell r="T1474" t="str">
            <v>YARIS</v>
          </cell>
          <cell r="U1474" t="str">
            <v>GR YARIS M/T</v>
          </cell>
        </row>
        <row r="1475">
          <cell r="D1475" t="str">
            <v>GUN155R-SDTMHD-20</v>
          </cell>
          <cell r="E1475" t="str">
            <v>FORTUNER</v>
          </cell>
          <cell r="F1475" t="str">
            <v>FORTUNER 4X4</v>
          </cell>
          <cell r="G1475" t="str">
            <v>FORTUNER 4X4</v>
          </cell>
          <cell r="H1475" t="str">
            <v>FORTUNER 4X4 VRZ A/T DIESEL</v>
          </cell>
          <cell r="I1475" t="str">
            <v>FORTUNER 4X4 VRZ A/T DIESEL</v>
          </cell>
          <cell r="J1475" t="str">
            <v>FORTUNER 4X4 VRZ A/T DIESEL</v>
          </cell>
          <cell r="K1475" t="str">
            <v>FORTUNER 4X4</v>
          </cell>
          <cell r="L1475" t="str">
            <v>GUN55VRZA/T20M</v>
          </cell>
          <cell r="M1475" t="str">
            <v>FORTUNER</v>
          </cell>
          <cell r="N1475" t="str">
            <v>FORTUNER 4X4</v>
          </cell>
          <cell r="O1475" t="str">
            <v>GUN155R-SDTMHD-20</v>
          </cell>
          <cell r="P1475" t="str">
            <v>FORTUNER 4X4</v>
          </cell>
          <cell r="Q1475" t="e">
            <v>#N/A</v>
          </cell>
          <cell r="R1475" t="str">
            <v>GUN155R-SDTMHD-20</v>
          </cell>
          <cell r="S1475" t="str">
            <v>FORTUNER</v>
          </cell>
          <cell r="T1475" t="e">
            <v>#N/A</v>
          </cell>
          <cell r="U1475" t="str">
            <v>FORTUNER 4X4 VRZ A/T DIESEL</v>
          </cell>
        </row>
        <row r="1476">
          <cell r="D1476" t="str">
            <v>GXPA16R-AGZGZW-00</v>
          </cell>
          <cell r="E1476" t="str">
            <v>YARIS</v>
          </cell>
          <cell r="F1476" t="str">
            <v>YARIS</v>
          </cell>
          <cell r="G1476" t="str">
            <v>YARIS</v>
          </cell>
          <cell r="H1476" t="str">
            <v>GR YARIS M/T</v>
          </cell>
          <cell r="I1476" t="str">
            <v>GR YARIS M/T</v>
          </cell>
          <cell r="J1476" t="str">
            <v>GR YARIS M/T</v>
          </cell>
          <cell r="K1476" t="str">
            <v>GR YARIS</v>
          </cell>
          <cell r="M1476" t="str">
            <v>YARIS</v>
          </cell>
          <cell r="N1476" t="str">
            <v>YARIS</v>
          </cell>
          <cell r="O1476" t="str">
            <v>GXPA16R-AGZGZW-00</v>
          </cell>
          <cell r="P1476" t="str">
            <v>GR YARIS</v>
          </cell>
          <cell r="Q1476" t="str">
            <v>YARIS</v>
          </cell>
          <cell r="R1476" t="str">
            <v>GXPA16R-AGZGZW-00</v>
          </cell>
          <cell r="S1476" t="str">
            <v>YARIS</v>
          </cell>
          <cell r="T1476" t="str">
            <v>YARIS</v>
          </cell>
          <cell r="U1476" t="str">
            <v>GR YARIS M/T</v>
          </cell>
        </row>
        <row r="1477">
          <cell r="D1477" t="str">
            <v>F800RE-GQGFJ-BD</v>
          </cell>
          <cell r="E1477" t="str">
            <v>RUSH</v>
          </cell>
          <cell r="F1477" t="str">
            <v>RUSH</v>
          </cell>
          <cell r="G1477" t="str">
            <v>RUSH</v>
          </cell>
          <cell r="H1477" t="str">
            <v>RUSH S A/T</v>
          </cell>
          <cell r="I1477" t="str">
            <v>RUSH S A/T GR</v>
          </cell>
          <cell r="J1477" t="str">
            <v>RUSH S A/T GR TCO</v>
          </cell>
          <cell r="K1477" t="str">
            <v>RUSH</v>
          </cell>
          <cell r="M1477" t="str">
            <v>RUSH</v>
          </cell>
          <cell r="N1477" t="str">
            <v>RUSH</v>
          </cell>
          <cell r="O1477" t="str">
            <v>F800RE-GQGFJ-BD</v>
          </cell>
          <cell r="P1477" t="str">
            <v>RUSH</v>
          </cell>
          <cell r="Q1477" t="str">
            <v>RUSH</v>
          </cell>
          <cell r="R1477" t="str">
            <v>F800RE-GQGFJ-BD</v>
          </cell>
          <cell r="S1477" t="str">
            <v>RUSH</v>
          </cell>
          <cell r="T1477" t="str">
            <v>RUSH</v>
          </cell>
          <cell r="U1477" t="str">
            <v>RUSH S A/T</v>
          </cell>
        </row>
        <row r="1478">
          <cell r="D1478" t="str">
            <v>GUN142R-MDTSXD-FA</v>
          </cell>
          <cell r="E1478" t="str">
            <v>INNOVA</v>
          </cell>
          <cell r="F1478" t="str">
            <v>INNOVA</v>
          </cell>
          <cell r="G1478" t="str">
            <v>INNOVA</v>
          </cell>
          <cell r="H1478" t="str">
            <v>INNOVA G A/T DIESEL</v>
          </cell>
          <cell r="I1478" t="str">
            <v>INNOVA G A/T DIESEL</v>
          </cell>
          <cell r="J1478" t="str">
            <v>INNOVA G A/T DIESEL TCO</v>
          </cell>
          <cell r="K1478" t="str">
            <v>INNOVA REBORN</v>
          </cell>
          <cell r="M1478" t="str">
            <v>INNOVA</v>
          </cell>
          <cell r="N1478" t="str">
            <v>INNOVA REBORN</v>
          </cell>
          <cell r="O1478" t="str">
            <v>GUN142R-MDTSXD-FA</v>
          </cell>
          <cell r="P1478" t="str">
            <v>INNOVA</v>
          </cell>
          <cell r="Q1478" t="str">
            <v>INNOVA OLD</v>
          </cell>
          <cell r="R1478" t="str">
            <v>GUN142R-MDTSXD-FA</v>
          </cell>
          <cell r="S1478" t="str">
            <v>INNOVA</v>
          </cell>
          <cell r="T1478" t="str">
            <v>INV REBORN</v>
          </cell>
          <cell r="U1478" t="str">
            <v>INNOVA G A/T DIESEL</v>
          </cell>
        </row>
        <row r="1479">
          <cell r="D1479" t="str">
            <v>F800RE-GMGFJ-BD</v>
          </cell>
          <cell r="E1479" t="str">
            <v>RUSH</v>
          </cell>
          <cell r="F1479" t="str">
            <v>RUSH</v>
          </cell>
          <cell r="G1479" t="str">
            <v>RUSH</v>
          </cell>
          <cell r="H1479" t="str">
            <v>RUSH S M/T</v>
          </cell>
          <cell r="I1479" t="str">
            <v>RUSH S M/T GR</v>
          </cell>
          <cell r="J1479" t="str">
            <v>RUSH S M/T GR TCO</v>
          </cell>
          <cell r="K1479" t="str">
            <v>RUSH</v>
          </cell>
          <cell r="M1479" t="str">
            <v>RUSH</v>
          </cell>
          <cell r="N1479" t="str">
            <v>RUSH</v>
          </cell>
          <cell r="O1479" t="str">
            <v>F800RE-GMGFJ-BD</v>
          </cell>
          <cell r="P1479" t="str">
            <v>RUSH</v>
          </cell>
          <cell r="Q1479" t="str">
            <v>RUSH</v>
          </cell>
          <cell r="R1479" t="str">
            <v>F800RE-GMGFJ-BD</v>
          </cell>
          <cell r="S1479" t="str">
            <v>RUSH</v>
          </cell>
          <cell r="T1479" t="str">
            <v>RUSH</v>
          </cell>
          <cell r="U1479" t="str">
            <v>RUSH S M/T</v>
          </cell>
        </row>
        <row r="1480">
          <cell r="D1480" t="str">
            <v>FJA300R-GNUZY-14</v>
          </cell>
          <cell r="E1480" t="str">
            <v>LANDCRUISER</v>
          </cell>
          <cell r="F1480" t="str">
            <v>LANDCRUISER</v>
          </cell>
          <cell r="G1480" t="str">
            <v>LANDCRUISER</v>
          </cell>
          <cell r="H1480" t="str">
            <v>LANDCRUISER</v>
          </cell>
          <cell r="I1480" t="str">
            <v>LANDCRUISER VX-R 4x4 A/T</v>
          </cell>
          <cell r="J1480" t="str">
            <v>LANDCRUISER VX-R 4x4 A/T</v>
          </cell>
          <cell r="K1480" t="str">
            <v>LANDCRUISER</v>
          </cell>
          <cell r="M1480" t="str">
            <v>LANDCRUISER</v>
          </cell>
          <cell r="N1480" t="str">
            <v>LANDCRUISER</v>
          </cell>
          <cell r="O1480" t="str">
            <v>FJA300R-GNUZY-14</v>
          </cell>
          <cell r="P1480" t="str">
            <v>LANDCRUISER 300</v>
          </cell>
          <cell r="Q1480" t="e">
            <v>#N/A</v>
          </cell>
          <cell r="R1480" t="str">
            <v>FJA300R-GNUZY-14</v>
          </cell>
          <cell r="S1480" t="str">
            <v>LANDCRUISER</v>
          </cell>
          <cell r="T1480" t="str">
            <v>LANDCRUISER</v>
          </cell>
          <cell r="U1480" t="str">
            <v>LANDCRUISER</v>
          </cell>
        </row>
        <row r="1481">
          <cell r="D1481" t="str">
            <v>FJA300R-GNUSY-22</v>
          </cell>
          <cell r="E1481" t="str">
            <v>LANDCRUISER</v>
          </cell>
          <cell r="F1481" t="str">
            <v>LANDCRUISER</v>
          </cell>
          <cell r="G1481" t="str">
            <v>LANDCRUISER</v>
          </cell>
          <cell r="H1481" t="str">
            <v>LANDCRUISER</v>
          </cell>
          <cell r="I1481" t="str">
            <v>LANDCRUISER GR-S 4x4 A/T</v>
          </cell>
          <cell r="J1481" t="str">
            <v>LANDCRUISER GR-S 4x4 A/T</v>
          </cell>
          <cell r="K1481" t="str">
            <v>LANDCRUISER</v>
          </cell>
          <cell r="M1481" t="str">
            <v>LANDCRUISER</v>
          </cell>
          <cell r="N1481" t="str">
            <v>LANDCRUISER</v>
          </cell>
          <cell r="O1481" t="str">
            <v>FJA300R-GNUSY-22</v>
          </cell>
          <cell r="P1481" t="str">
            <v>LANDCRUISER 300</v>
          </cell>
          <cell r="Q1481" t="e">
            <v>#N/A</v>
          </cell>
          <cell r="R1481" t="str">
            <v>FJA300R-GNUSY-22</v>
          </cell>
          <cell r="S1481" t="str">
            <v>LANDCRUISER</v>
          </cell>
          <cell r="T1481" t="str">
            <v>LANDCRUISER</v>
          </cell>
          <cell r="U1481" t="str">
            <v>LANDCRUISER</v>
          </cell>
        </row>
        <row r="1482">
          <cell r="D1482" t="str">
            <v>A351RA-GBEFJ-10</v>
          </cell>
          <cell r="E1482" t="str">
            <v>AGYA</v>
          </cell>
          <cell r="F1482" t="str">
            <v>AGYA</v>
          </cell>
          <cell r="G1482" t="str">
            <v>AGYA</v>
          </cell>
          <cell r="H1482" t="str">
            <v>AGYA G A/T</v>
          </cell>
          <cell r="I1482" t="str">
            <v>AGYA G A/T</v>
          </cell>
          <cell r="J1482" t="str">
            <v>AGYA 1.2 G A/T</v>
          </cell>
          <cell r="K1482" t="str">
            <v>AGYA</v>
          </cell>
          <cell r="N1482" t="str">
            <v>AGYA</v>
          </cell>
          <cell r="O1482" t="str">
            <v>A351RA-GBEFJ-10</v>
          </cell>
          <cell r="P1482" t="str">
            <v>AGYA</v>
          </cell>
          <cell r="Q1482" t="str">
            <v>AGYA</v>
          </cell>
          <cell r="R1482" t="str">
            <v>A351RA-GBEFJ-10</v>
          </cell>
          <cell r="S1482" t="str">
            <v>AGYA</v>
          </cell>
          <cell r="T1482" t="str">
            <v>AGYA</v>
          </cell>
          <cell r="U1482" t="str">
            <v>AGYA G A/T</v>
          </cell>
        </row>
        <row r="1483">
          <cell r="D1483" t="str">
            <v>FJA300R-GNUSY-18</v>
          </cell>
          <cell r="E1483" t="str">
            <v>LANDCRUISER</v>
          </cell>
          <cell r="F1483" t="str">
            <v>LANDCRUISER</v>
          </cell>
          <cell r="G1483" t="str">
            <v>LANDCRUISER</v>
          </cell>
          <cell r="H1483" t="str">
            <v>LANDCRUISER</v>
          </cell>
          <cell r="I1483" t="str">
            <v>LANDCRUISER GR-S 4x4 A/T</v>
          </cell>
          <cell r="J1483" t="str">
            <v>LANDCRUISER GR-S 4x4 A/T</v>
          </cell>
          <cell r="K1483" t="str">
            <v>LANDCRUISER</v>
          </cell>
          <cell r="M1483" t="str">
            <v>LANDCRUISER</v>
          </cell>
          <cell r="N1483" t="str">
            <v>LANDCRUISER</v>
          </cell>
          <cell r="O1483" t="str">
            <v>FJA300R-GNUSY-18</v>
          </cell>
          <cell r="P1483" t="str">
            <v>LANDCRUISER 300</v>
          </cell>
          <cell r="Q1483" t="e">
            <v>#N/A</v>
          </cell>
          <cell r="R1483" t="str">
            <v>FJA300R-GNUSY-18</v>
          </cell>
          <cell r="S1483" t="str">
            <v>LANDCRUISER</v>
          </cell>
          <cell r="T1483" t="str">
            <v>LANDCRUISER</v>
          </cell>
          <cell r="U1483" t="str">
            <v>LANDCRUISER</v>
          </cell>
        </row>
        <row r="1484">
          <cell r="D1484" t="str">
            <v>FJA300R-GNUSY-19</v>
          </cell>
          <cell r="E1484" t="str">
            <v>LANDCRUISER</v>
          </cell>
          <cell r="F1484" t="str">
            <v>LANDCRUISER</v>
          </cell>
          <cell r="G1484" t="str">
            <v>LANDCRUISER</v>
          </cell>
          <cell r="H1484" t="str">
            <v>LANDCRUISER</v>
          </cell>
          <cell r="I1484" t="str">
            <v>LANDCRUISER GR-S 4x4 A/T</v>
          </cell>
          <cell r="J1484" t="str">
            <v>LANDCRUISER GR-S 4x4 A/T</v>
          </cell>
          <cell r="K1484" t="str">
            <v>LANDCRUISER</v>
          </cell>
          <cell r="M1484" t="str">
            <v>LANDCRUISER</v>
          </cell>
          <cell r="N1484" t="str">
            <v>LANDCRUISER</v>
          </cell>
          <cell r="O1484" t="str">
            <v>FJA300R-GNUSY-19</v>
          </cell>
          <cell r="P1484" t="str">
            <v>LANDCRUISER 300</v>
          </cell>
          <cell r="Q1484" t="e">
            <v>#N/A</v>
          </cell>
          <cell r="R1484" t="str">
            <v>FJA300R-GNUSY-19</v>
          </cell>
          <cell r="S1484" t="str">
            <v>LANDCRUISER</v>
          </cell>
          <cell r="T1484" t="str">
            <v>LANDCRUISER</v>
          </cell>
          <cell r="U1484" t="str">
            <v>LANDCRUISER</v>
          </cell>
        </row>
        <row r="1485">
          <cell r="D1485" t="str">
            <v>GUN142R-MDTSXD-DB</v>
          </cell>
          <cell r="E1485" t="str">
            <v>INNOVA</v>
          </cell>
          <cell r="F1485" t="str">
            <v>INNOVA</v>
          </cell>
          <cell r="G1485" t="str">
            <v>INNOVA</v>
          </cell>
          <cell r="H1485" t="str">
            <v>INNOVA G A/T DIESEL</v>
          </cell>
          <cell r="I1485" t="str">
            <v>INNOVA G A/T DIESEL</v>
          </cell>
          <cell r="J1485" t="str">
            <v>INNOVA G A/T DIESEL TCO</v>
          </cell>
          <cell r="K1485" t="str">
            <v>INNOVA REBORN</v>
          </cell>
          <cell r="M1485" t="str">
            <v>INNOVA</v>
          </cell>
          <cell r="N1485" t="str">
            <v>INNOVA REBORN</v>
          </cell>
          <cell r="O1485" t="str">
            <v>GUN142R-MDTSXD-DB</v>
          </cell>
          <cell r="P1485" t="str">
            <v>INNOVA</v>
          </cell>
          <cell r="Q1485" t="str">
            <v>INNOVA OLD</v>
          </cell>
          <cell r="R1485" t="str">
            <v>GUN142R-MDTSXD-DB</v>
          </cell>
          <cell r="S1485" t="str">
            <v>INNOVA</v>
          </cell>
          <cell r="T1485" t="str">
            <v>INV REBORN</v>
          </cell>
          <cell r="U1485" t="str">
            <v>INNOVA G A/T DIESEL</v>
          </cell>
        </row>
        <row r="1486">
          <cell r="D1486" t="str">
            <v>GUN142R-MDTSXD-HA</v>
          </cell>
          <cell r="E1486" t="str">
            <v>INNOVA</v>
          </cell>
          <cell r="F1486" t="str">
            <v>INNOVA</v>
          </cell>
          <cell r="G1486" t="str">
            <v>INNOVA</v>
          </cell>
          <cell r="H1486" t="str">
            <v>INNOVA G A/T DIESEL</v>
          </cell>
          <cell r="I1486" t="str">
            <v>INNOVA G A/T DIESEL</v>
          </cell>
          <cell r="J1486" t="str">
            <v>INNOVA G A/T DIESEL TCO</v>
          </cell>
          <cell r="K1486" t="str">
            <v>INNOVA REBORN</v>
          </cell>
          <cell r="M1486" t="str">
            <v>INNOVA</v>
          </cell>
          <cell r="N1486" t="str">
            <v>INNOVA REBORN</v>
          </cell>
          <cell r="O1486" t="str">
            <v>GUN142R-MDTSXD-HA</v>
          </cell>
          <cell r="P1486" t="str">
            <v>INNOVA</v>
          </cell>
          <cell r="Q1486" t="str">
            <v>INNOVA OLD</v>
          </cell>
          <cell r="R1486" t="str">
            <v>GUN142R-MDTSXD-HA</v>
          </cell>
          <cell r="S1486" t="str">
            <v>INNOVA</v>
          </cell>
          <cell r="T1486" t="str">
            <v>INV REBORN</v>
          </cell>
          <cell r="U1486" t="str">
            <v>INNOVA G A/T DIESEL</v>
          </cell>
        </row>
        <row r="1487">
          <cell r="D1487" t="str">
            <v>W101RE-LMMFJ-GA</v>
          </cell>
          <cell r="E1487" t="str">
            <v>AVANZA</v>
          </cell>
          <cell r="F1487" t="str">
            <v>AVANZA</v>
          </cell>
          <cell r="G1487" t="str">
            <v>AVANZA</v>
          </cell>
          <cell r="H1487" t="str">
            <v>AVANZA G M/T</v>
          </cell>
          <cell r="I1487" t="str">
            <v>AVANZA G M/T</v>
          </cell>
          <cell r="J1487" t="str">
            <v>AVANZA G M/T TCO</v>
          </cell>
          <cell r="K1487" t="str">
            <v>AVANZA</v>
          </cell>
          <cell r="M1487" t="str">
            <v>AVANZA</v>
          </cell>
          <cell r="N1487" t="str">
            <v>AVANZA</v>
          </cell>
          <cell r="O1487" t="str">
            <v>W101RE-LMMFJ-GA</v>
          </cell>
          <cell r="P1487" t="str">
            <v>AVANZA</v>
          </cell>
          <cell r="Q1487" t="str">
            <v>AVANZA</v>
          </cell>
          <cell r="R1487" t="str">
            <v>W101RE-LMMFJ-GA</v>
          </cell>
          <cell r="S1487" t="str">
            <v>AVANZA</v>
          </cell>
          <cell r="T1487" t="str">
            <v>AVANZA</v>
          </cell>
          <cell r="U1487" t="str">
            <v>AVANZA G M/T</v>
          </cell>
        </row>
        <row r="1488">
          <cell r="D1488" t="str">
            <v>FJA300R-GNUSY-BA</v>
          </cell>
          <cell r="E1488" t="str">
            <v>LANDCRUISER</v>
          </cell>
          <cell r="F1488" t="str">
            <v>LANDCRUISER</v>
          </cell>
          <cell r="G1488" t="str">
            <v>LANDCRUISER</v>
          </cell>
          <cell r="H1488" t="str">
            <v>LANDCRUISER</v>
          </cell>
          <cell r="I1488" t="str">
            <v>LANDCRUISER GR-S 4x4 A/T</v>
          </cell>
          <cell r="J1488" t="str">
            <v>LANDCRUISER GR-S 4x4 A/T TCO</v>
          </cell>
          <cell r="K1488" t="str">
            <v>LANDCRUISER</v>
          </cell>
          <cell r="M1488" t="str">
            <v>LANDCRUISER</v>
          </cell>
          <cell r="N1488" t="str">
            <v>LANDCRUISER</v>
          </cell>
          <cell r="O1488" t="str">
            <v>FJA300R-GNUSY-BA</v>
          </cell>
          <cell r="P1488" t="str">
            <v>LANDCRUISER 300</v>
          </cell>
          <cell r="Q1488" t="e">
            <v>#N/A</v>
          </cell>
          <cell r="R1488" t="str">
            <v>FJA300R-GNUSY-BA</v>
          </cell>
          <cell r="S1488" t="str">
            <v>LANDCRUISER</v>
          </cell>
          <cell r="T1488" t="str">
            <v>LANDCRUISER</v>
          </cell>
          <cell r="U1488" t="str">
            <v>LANDCRUISER</v>
          </cell>
        </row>
        <row r="1489">
          <cell r="D1489" t="str">
            <v>MAGA10R-BRXMBD-DA</v>
          </cell>
          <cell r="E1489" t="str">
            <v>INNOVA</v>
          </cell>
          <cell r="F1489" t="str">
            <v>INNOVA</v>
          </cell>
          <cell r="G1489" t="str">
            <v>INNOVA</v>
          </cell>
          <cell r="H1489" t="str">
            <v>INNOVA ZENIX V A/T</v>
          </cell>
          <cell r="I1489" t="str">
            <v>INNOVA ZENIX V A/T</v>
          </cell>
          <cell r="J1489" t="str">
            <v>INNOVA ZENIX V A/T TCO</v>
          </cell>
          <cell r="K1489" t="str">
            <v>INNOVA ZENIX GAS</v>
          </cell>
          <cell r="N1489" t="str">
            <v>INNOVA ZENIX GAS</v>
          </cell>
          <cell r="O1489" t="str">
            <v>MAGA10R-BRXMBD-DA</v>
          </cell>
          <cell r="P1489" t="str">
            <v>INNOVA ZENIX</v>
          </cell>
          <cell r="Q1489" t="e">
            <v>#N/A</v>
          </cell>
          <cell r="R1489" t="str">
            <v>MAGA10R-BRXMBD-DA</v>
          </cell>
          <cell r="S1489" t="str">
            <v>INNOVA</v>
          </cell>
          <cell r="T1489" t="str">
            <v>INV ZENIX GAS</v>
          </cell>
          <cell r="U1489" t="str">
            <v>INNOVA ZENIX V A/T</v>
          </cell>
        </row>
        <row r="1490">
          <cell r="D1490" t="str">
            <v>MAGH10R-BPXHBD-FD</v>
          </cell>
          <cell r="E1490" t="str">
            <v>INNOVA</v>
          </cell>
          <cell r="F1490" t="str">
            <v>INNOVA</v>
          </cell>
          <cell r="G1490" t="str">
            <v>INNOVA</v>
          </cell>
          <cell r="H1490" t="str">
            <v>INNOVA ZENIX Q A/T HYBRID</v>
          </cell>
          <cell r="I1490" t="str">
            <v>INNOVA ZENIX Q A/T HYBRID TSS</v>
          </cell>
          <cell r="J1490" t="str">
            <v>INNOVA ZENIX Q A/T HYBRID TSS TCO</v>
          </cell>
          <cell r="K1490" t="str">
            <v>INNOVA ZENIX HYBRID</v>
          </cell>
          <cell r="N1490" t="str">
            <v>INNOVA ZENIX HYBRID</v>
          </cell>
          <cell r="O1490" t="str">
            <v>MAGH10R-BPXHBD-FD</v>
          </cell>
          <cell r="P1490" t="str">
            <v>INNOVA ZENIX HYBRID</v>
          </cell>
          <cell r="Q1490" t="e">
            <v>#N/A</v>
          </cell>
          <cell r="R1490" t="str">
            <v>MAGH10R-BPXHBD-FD</v>
          </cell>
          <cell r="S1490" t="str">
            <v>INNOVA</v>
          </cell>
          <cell r="T1490" t="str">
            <v>INV ZENIX HYBRID</v>
          </cell>
          <cell r="U1490" t="str">
            <v>INNOVA ZENIX Q A/T HYBRID</v>
          </cell>
        </row>
        <row r="1491">
          <cell r="D1491" t="str">
            <v>GUN155R-SDTMHD-00</v>
          </cell>
          <cell r="E1491" t="str">
            <v>FORTUNER</v>
          </cell>
          <cell r="F1491" t="str">
            <v>FORTUNER 4X4</v>
          </cell>
          <cell r="G1491" t="str">
            <v>FORTUNER 4X4</v>
          </cell>
          <cell r="H1491" t="str">
            <v>FORTUNER 4X4 VRZ A/T DIESEL</v>
          </cell>
          <cell r="I1491" t="str">
            <v>FORTUNER 4X4 VRZ A/T DIESEL</v>
          </cell>
          <cell r="J1491" t="str">
            <v>FORTUNER 4X4 VRZ A/T DIESEL</v>
          </cell>
          <cell r="K1491" t="str">
            <v>FORTUNER 4X4</v>
          </cell>
          <cell r="L1491" t="str">
            <v>GUN55VRZA/T</v>
          </cell>
          <cell r="M1491" t="str">
            <v>FORTUNER</v>
          </cell>
          <cell r="N1491" t="str">
            <v>FORTUNER 4X4</v>
          </cell>
          <cell r="O1491" t="str">
            <v>GUN155R-SDTMHD-00</v>
          </cell>
          <cell r="P1491" t="str">
            <v>FORTUNER 4X4</v>
          </cell>
          <cell r="Q1491" t="e">
            <v>#N/A</v>
          </cell>
          <cell r="R1491" t="str">
            <v>GUN155R-SDTMHD-00</v>
          </cell>
          <cell r="S1491" t="str">
            <v>FORTUNER</v>
          </cell>
          <cell r="T1491" t="e">
            <v>#N/A</v>
          </cell>
          <cell r="U1491" t="str">
            <v>FORTUNER 4X4 VRZ A/T DIESEL</v>
          </cell>
        </row>
        <row r="1492">
          <cell r="D1492" t="str">
            <v>MAGH10R-BPXHBD-BD</v>
          </cell>
          <cell r="E1492" t="str">
            <v>INNOVA</v>
          </cell>
          <cell r="F1492" t="str">
            <v>INNOVA</v>
          </cell>
          <cell r="G1492" t="str">
            <v>INNOVA</v>
          </cell>
          <cell r="H1492" t="str">
            <v>INNOVA ZENIX Q A/T HYBRID</v>
          </cell>
          <cell r="I1492" t="str">
            <v>INNOVA ZENIX Q A/T HYBRID TSS</v>
          </cell>
          <cell r="J1492" t="str">
            <v>INNOVA ZENIX Q A/T HYBRID TSS TCO</v>
          </cell>
          <cell r="K1492" t="str">
            <v>INNOVA ZENIX HYBRID</v>
          </cell>
          <cell r="N1492" t="str">
            <v>INNOVA ZENIX HYBRID</v>
          </cell>
          <cell r="O1492" t="str">
            <v>MAGH10R-BPXHBD-BD</v>
          </cell>
          <cell r="P1492" t="str">
            <v>INNOVA ZENIX HYBRID</v>
          </cell>
          <cell r="Q1492" t="e">
            <v>#N/A</v>
          </cell>
          <cell r="R1492" t="str">
            <v>MAGH10R-BPXHBD-BD</v>
          </cell>
          <cell r="S1492" t="str">
            <v>INNOVA</v>
          </cell>
          <cell r="T1492" t="str">
            <v>INV ZENIX HYBRID</v>
          </cell>
          <cell r="U1492" t="str">
            <v>INNOVA ZENIX Q A/T HYBRID</v>
          </cell>
        </row>
        <row r="1493">
          <cell r="D1493" t="str">
            <v>GUN142R-MDMSXD-HA</v>
          </cell>
          <cell r="E1493" t="str">
            <v>INNOVA</v>
          </cell>
          <cell r="F1493" t="str">
            <v>INNOVA</v>
          </cell>
          <cell r="G1493" t="str">
            <v>INNOVA</v>
          </cell>
          <cell r="H1493" t="str">
            <v>INNOVA G M/T DIESEL</v>
          </cell>
          <cell r="I1493" t="str">
            <v>INNOVA G M/T DIESEL</v>
          </cell>
          <cell r="J1493" t="str">
            <v>INNOVA G M/T DIESEL TCO</v>
          </cell>
          <cell r="K1493" t="str">
            <v>INNOVA REBORN</v>
          </cell>
          <cell r="M1493" t="str">
            <v>INNOVA</v>
          </cell>
          <cell r="N1493" t="str">
            <v>INNOVA REBORN</v>
          </cell>
          <cell r="O1493" t="str">
            <v>GUN142R-MDMSXD-HA</v>
          </cell>
          <cell r="P1493" t="str">
            <v>INNOVA</v>
          </cell>
          <cell r="Q1493" t="str">
            <v>INNOVA OLD</v>
          </cell>
          <cell r="R1493" t="str">
            <v>GUN142R-MDMSXD-HA</v>
          </cell>
          <cell r="S1493" t="str">
            <v>INNOVA</v>
          </cell>
          <cell r="T1493" t="str">
            <v>INV REBORN</v>
          </cell>
          <cell r="U1493" t="str">
            <v>INNOVA G M/T DIESEL</v>
          </cell>
        </row>
        <row r="1494">
          <cell r="D1494" t="str">
            <v>W101RE-LBMFJ-GA</v>
          </cell>
          <cell r="E1494" t="str">
            <v>AVANZA</v>
          </cell>
          <cell r="F1494" t="str">
            <v>AVANZA</v>
          </cell>
          <cell r="G1494" t="str">
            <v>AVANZA</v>
          </cell>
          <cell r="H1494" t="str">
            <v>AVANZA G A/T</v>
          </cell>
          <cell r="I1494" t="str">
            <v>AVANZA G A/T</v>
          </cell>
          <cell r="J1494" t="str">
            <v>AVANZA G A/T TCO</v>
          </cell>
          <cell r="K1494" t="str">
            <v>AVANZA</v>
          </cell>
          <cell r="M1494" t="str">
            <v>AVANZA</v>
          </cell>
          <cell r="N1494" t="str">
            <v>AVANZA</v>
          </cell>
          <cell r="O1494" t="str">
            <v>W101RE-LBMFJ-GA</v>
          </cell>
          <cell r="P1494" t="str">
            <v>AVANZA</v>
          </cell>
          <cell r="Q1494" t="str">
            <v>AVANZA</v>
          </cell>
          <cell r="R1494" t="str">
            <v>W101RE-LBMFJ-GA</v>
          </cell>
          <cell r="S1494" t="str">
            <v>AVANZA</v>
          </cell>
          <cell r="T1494" t="str">
            <v>AVANZA</v>
          </cell>
          <cell r="U1494" t="str">
            <v>AVANZA G A/T</v>
          </cell>
        </row>
        <row r="1495">
          <cell r="D1495" t="str">
            <v>MAGH10R-BPXHBD-FG</v>
          </cell>
          <cell r="E1495" t="str">
            <v>INNOVA</v>
          </cell>
          <cell r="F1495" t="str">
            <v>INNOVA</v>
          </cell>
          <cell r="G1495" t="str">
            <v>INNOVA</v>
          </cell>
          <cell r="H1495" t="str">
            <v>INNOVA ZENIX Q A/T HYBRID</v>
          </cell>
          <cell r="I1495" t="str">
            <v>INNOVA ZENIX Q A/T HYBRID TSS</v>
          </cell>
          <cell r="J1495" t="str">
            <v>INNOVA ZENIX Q A/T HYBRID TSS TCO</v>
          </cell>
          <cell r="K1495" t="str">
            <v>INNOVA ZENIX HYBRID</v>
          </cell>
          <cell r="N1495" t="str">
            <v>INNOVA ZENIX HYBRID</v>
          </cell>
          <cell r="O1495" t="str">
            <v>MAGH10R-BPXHBD-FG</v>
          </cell>
          <cell r="P1495" t="str">
            <v>INNOVA ZENIX HYBRID</v>
          </cell>
          <cell r="Q1495" t="e">
            <v>#N/A</v>
          </cell>
          <cell r="R1495" t="str">
            <v>MAGH10R-BPXHBD-FG</v>
          </cell>
          <cell r="S1495" t="str">
            <v>INNOVA</v>
          </cell>
          <cell r="T1495" t="str">
            <v>INV ZENIX HYBRID</v>
          </cell>
          <cell r="U1495" t="str">
            <v>INNOVA ZENIX Q A/T HYBRID</v>
          </cell>
        </row>
        <row r="1496">
          <cell r="D1496" t="str">
            <v>F800RE-GMMFJ-BA</v>
          </cell>
          <cell r="E1496" t="str">
            <v>RUSH</v>
          </cell>
          <cell r="F1496" t="str">
            <v>RUSH</v>
          </cell>
          <cell r="G1496" t="str">
            <v>RUSH</v>
          </cell>
          <cell r="H1496" t="str">
            <v>RUSH G M/T</v>
          </cell>
          <cell r="I1496" t="str">
            <v>RUSH G M/T</v>
          </cell>
          <cell r="J1496" t="str">
            <v>RUSH G M/T TCO</v>
          </cell>
          <cell r="K1496" t="str">
            <v>RUSH</v>
          </cell>
          <cell r="M1496" t="str">
            <v>RUSH</v>
          </cell>
          <cell r="N1496" t="str">
            <v>RUSH</v>
          </cell>
          <cell r="O1496" t="str">
            <v>F800RE-GMMFJ-BA</v>
          </cell>
          <cell r="P1496" t="str">
            <v>RUSH</v>
          </cell>
          <cell r="Q1496" t="str">
            <v>RUSH</v>
          </cell>
          <cell r="R1496" t="str">
            <v>F800RE-GMMFJ-BA</v>
          </cell>
          <cell r="S1496" t="str">
            <v>RUSH</v>
          </cell>
          <cell r="T1496" t="str">
            <v>RUSH</v>
          </cell>
          <cell r="U1496" t="str">
            <v>RUSH G M/T</v>
          </cell>
        </row>
        <row r="1497">
          <cell r="D1497" t="str">
            <v>AXVH80R-JEXVBT-00</v>
          </cell>
          <cell r="E1497" t="str">
            <v>CAMRY</v>
          </cell>
          <cell r="F1497" t="str">
            <v>CAMRY</v>
          </cell>
          <cell r="G1497" t="str">
            <v>CAMRY</v>
          </cell>
          <cell r="H1497" t="str">
            <v>CAMRY HYBRID A/T</v>
          </cell>
          <cell r="I1497" t="str">
            <v>CAMRY HYBRID A/T</v>
          </cell>
          <cell r="J1497" t="str">
            <v>CAMRY HYBRID A/T</v>
          </cell>
          <cell r="K1497" t="str">
            <v>CAMRY</v>
          </cell>
          <cell r="M1497" t="str">
            <v>CAMRY</v>
          </cell>
          <cell r="N1497" t="str">
            <v>CAMRY</v>
          </cell>
          <cell r="O1497" t="str">
            <v>AXVH80R-JEXVBT-00</v>
          </cell>
          <cell r="P1497" t="str">
            <v>CAMRY HYBRID</v>
          </cell>
          <cell r="Q1497" t="e">
            <v>#N/A</v>
          </cell>
          <cell r="R1497" t="str">
            <v>AXVH80R-JEXVBT-00</v>
          </cell>
          <cell r="S1497" t="str">
            <v>CAMRY</v>
          </cell>
          <cell r="T1497" t="str">
            <v>CAMRY</v>
          </cell>
          <cell r="U1497" t="str">
            <v>CAMRY HYBRID A/T</v>
          </cell>
        </row>
        <row r="1498">
          <cell r="D1498" t="str">
            <v>MAGH10R-BPXHBD-10</v>
          </cell>
          <cell r="E1498" t="str">
            <v>INNOVA</v>
          </cell>
          <cell r="F1498" t="str">
            <v>INNOVA</v>
          </cell>
          <cell r="G1498" t="str">
            <v>INNOVA</v>
          </cell>
          <cell r="H1498" t="str">
            <v>INNOVA ZENIX Q A/T HYBRID</v>
          </cell>
          <cell r="I1498" t="str">
            <v>INNOVA ZENIX Q A/T HYBRID TSS</v>
          </cell>
          <cell r="J1498" t="str">
            <v>INNOVA ZENIX Q A/T HYBRID TSS</v>
          </cell>
          <cell r="K1498" t="str">
            <v>INNOVA ZENIX HYBRID</v>
          </cell>
          <cell r="N1498" t="str">
            <v>INNOVA ZENIX HYBRID</v>
          </cell>
          <cell r="O1498" t="str">
            <v>MAGH10R-BPXHBD-10</v>
          </cell>
          <cell r="P1498" t="str">
            <v>INNOVA ZENIX HYBRID</v>
          </cell>
          <cell r="Q1498" t="str">
            <v>INNOVA ZENIX HYBRID</v>
          </cell>
          <cell r="R1498" t="str">
            <v>MAGH10R-BPXHBD-10</v>
          </cell>
          <cell r="S1498" t="str">
            <v>INNOVA</v>
          </cell>
          <cell r="T1498" t="str">
            <v>INV ZENIX HYBRID</v>
          </cell>
          <cell r="U1498" t="str">
            <v>INNOVA ZENIX Q A/T HYBRID</v>
          </cell>
        </row>
        <row r="1499">
          <cell r="D1499" t="str">
            <v>ZVG10R-DHXGBD-42</v>
          </cell>
          <cell r="E1499" t="str">
            <v>COROLLA CROSS</v>
          </cell>
          <cell r="F1499" t="str">
            <v>COROLLA CROSS HYBRID</v>
          </cell>
          <cell r="G1499" t="str">
            <v>COROLLA CROSS HYBRID</v>
          </cell>
          <cell r="H1499" t="str">
            <v>COROLLA CROSS A/T HYBRID</v>
          </cell>
          <cell r="I1499" t="str">
            <v>COROLLA CROSS A/T HYBRID</v>
          </cell>
          <cell r="J1499" t="str">
            <v>COROLLA CROSS A/T HYBRID GR</v>
          </cell>
          <cell r="K1499" t="str">
            <v>COROLLA CROSS HYBRID</v>
          </cell>
          <cell r="M1499" t="str">
            <v>COROLLA CROSS</v>
          </cell>
          <cell r="N1499" t="str">
            <v>COROLLA CROSS HYBRID</v>
          </cell>
          <cell r="O1499" t="str">
            <v>ZVG10R-DHXGBD-42</v>
          </cell>
          <cell r="P1499" t="str">
            <v>COROLLA CROSS HYBRID</v>
          </cell>
          <cell r="Q1499" t="e">
            <v>#N/A</v>
          </cell>
          <cell r="R1499" t="str">
            <v>ZVG10R-DHXGBD-42</v>
          </cell>
          <cell r="S1499" t="str">
            <v>COROLLA CROSS</v>
          </cell>
          <cell r="T1499" t="str">
            <v>COROLLA CROSS</v>
          </cell>
          <cell r="U1499" t="str">
            <v>COROLLA CROSS A/T HYBRID</v>
          </cell>
        </row>
        <row r="1500">
          <cell r="D1500" t="str">
            <v>MAGH10R-BPXHBD-11</v>
          </cell>
          <cell r="E1500" t="str">
            <v>INNOVA</v>
          </cell>
          <cell r="F1500" t="str">
            <v>INNOVA</v>
          </cell>
          <cell r="G1500" t="str">
            <v>INNOVA</v>
          </cell>
          <cell r="H1500" t="str">
            <v>INNOVA ZENIX Q A/T HYBRID</v>
          </cell>
          <cell r="I1500" t="str">
            <v>INNOVA ZENIX Q A/T HYBRID TSS</v>
          </cell>
          <cell r="J1500" t="str">
            <v>INNOVA ZENIX Q A/T HYBRID TSS</v>
          </cell>
          <cell r="K1500" t="str">
            <v>INNOVA ZENIX HYBRID</v>
          </cell>
          <cell r="N1500" t="str">
            <v>INNOVA ZENIX HYBRID</v>
          </cell>
          <cell r="O1500" t="str">
            <v>MAGH10R-BPXHBD-11</v>
          </cell>
          <cell r="P1500" t="str">
            <v>INNOVA ZENIX HYBRID</v>
          </cell>
          <cell r="Q1500" t="str">
            <v>INNOVA ZENIX HYBRID</v>
          </cell>
          <cell r="R1500" t="str">
            <v>MAGH10R-BPXHBD-11</v>
          </cell>
          <cell r="S1500" t="str">
            <v>INNOVA</v>
          </cell>
          <cell r="T1500" t="str">
            <v>INV ZENIX HYBRID</v>
          </cell>
          <cell r="U1500" t="str">
            <v>INNOVA ZENIX Q A/T HYBRID</v>
          </cell>
        </row>
        <row r="1501">
          <cell r="D1501" t="str">
            <v>MAGH10R-BPXHBD-14</v>
          </cell>
          <cell r="E1501" t="str">
            <v>INNOVA</v>
          </cell>
          <cell r="F1501" t="str">
            <v>INNOVA</v>
          </cell>
          <cell r="G1501" t="str">
            <v>INNOVA</v>
          </cell>
          <cell r="H1501" t="str">
            <v>INNOVA ZENIX Q A/T HYBRID</v>
          </cell>
          <cell r="I1501" t="str">
            <v>INNOVA ZENIX Q A/T HYBRID TSS</v>
          </cell>
          <cell r="J1501" t="str">
            <v>INNOVA ZENIX Q A/T HYBRID TSS</v>
          </cell>
          <cell r="K1501" t="str">
            <v>INNOVA ZENIX HYBRID</v>
          </cell>
          <cell r="N1501" t="str">
            <v>INNOVA ZENIX HYBRID</v>
          </cell>
          <cell r="O1501" t="str">
            <v>MAGH10R-BPXHBD-14</v>
          </cell>
          <cell r="P1501" t="str">
            <v>INNOVA ZENIX HYBRID</v>
          </cell>
          <cell r="Q1501" t="str">
            <v>INNOVA ZENIX HYBRID</v>
          </cell>
          <cell r="R1501" t="str">
            <v>MAGH10R-BPXHBD-14</v>
          </cell>
          <cell r="S1501" t="str">
            <v>INNOVA</v>
          </cell>
          <cell r="T1501" t="str">
            <v>INV ZENIX HYBRID</v>
          </cell>
          <cell r="U1501" t="str">
            <v>INNOVA ZENIX Q A/T HYBRID</v>
          </cell>
        </row>
        <row r="1502">
          <cell r="D1502" t="str">
            <v>GUN142R-MDTSXD-FA</v>
          </cell>
          <cell r="E1502" t="str">
            <v>INNOVA</v>
          </cell>
          <cell r="F1502" t="str">
            <v>INNOVA</v>
          </cell>
          <cell r="G1502" t="str">
            <v>INNOVA</v>
          </cell>
          <cell r="H1502" t="str">
            <v>INNOVA G A/T DIESEL</v>
          </cell>
          <cell r="I1502" t="str">
            <v>INNOVA G A/T DIESEL</v>
          </cell>
          <cell r="J1502" t="str">
            <v>INNOVA G A/T DIESEL TCO</v>
          </cell>
          <cell r="K1502" t="str">
            <v>INNOVA REBORN</v>
          </cell>
          <cell r="M1502" t="str">
            <v>INNOVA</v>
          </cell>
          <cell r="N1502" t="str">
            <v>INNOVA REBORN</v>
          </cell>
          <cell r="O1502" t="str">
            <v>GUN142R-MDTSXD-FA</v>
          </cell>
          <cell r="P1502" t="str">
            <v>INNOVA</v>
          </cell>
          <cell r="Q1502" t="str">
            <v>INNOVA OLD</v>
          </cell>
          <cell r="R1502" t="str">
            <v>GUN142R-MDTSXD-FA</v>
          </cell>
          <cell r="S1502" t="str">
            <v>INNOVA</v>
          </cell>
          <cell r="T1502" t="str">
            <v>INV REBORN</v>
          </cell>
          <cell r="U1502" t="str">
            <v>INNOVA G A/T DIESEL</v>
          </cell>
        </row>
        <row r="1503">
          <cell r="D1503" t="str">
            <v>MAGH10R-BPXHBD-15</v>
          </cell>
          <cell r="E1503" t="str">
            <v>INNOVA</v>
          </cell>
          <cell r="F1503" t="str">
            <v>INNOVA</v>
          </cell>
          <cell r="G1503" t="str">
            <v>INNOVA</v>
          </cell>
          <cell r="H1503" t="str">
            <v>INNOVA ZENIX Q A/T HYBRID</v>
          </cell>
          <cell r="I1503" t="str">
            <v>INNOVA ZENIX Q A/T HYBRID TSS</v>
          </cell>
          <cell r="J1503" t="str">
            <v>INNOVA ZENIX Q A/T HYBRID TSS</v>
          </cell>
          <cell r="K1503" t="str">
            <v>INNOVA ZENIX HYBRID</v>
          </cell>
          <cell r="N1503" t="str">
            <v>INNOVA ZENIX HYBRID</v>
          </cell>
          <cell r="O1503" t="str">
            <v>MAGH10R-BPXHBD-15</v>
          </cell>
          <cell r="P1503" t="str">
            <v>INNOVA ZENIX HYBRID</v>
          </cell>
          <cell r="Q1503" t="str">
            <v>INNOVA ZENIX HYBRID</v>
          </cell>
          <cell r="R1503" t="str">
            <v>MAGH10R-BPXHBD-15</v>
          </cell>
          <cell r="S1503" t="str">
            <v>INNOVA</v>
          </cell>
          <cell r="T1503" t="str">
            <v>INV ZENIX HYBRID</v>
          </cell>
          <cell r="U1503" t="str">
            <v>INNOVA ZENIX Q A/T HYBRID</v>
          </cell>
        </row>
        <row r="1504">
          <cell r="D1504" t="str">
            <v>MAGH10R-BRXMBD-01</v>
          </cell>
          <cell r="E1504" t="str">
            <v>INNOVA</v>
          </cell>
          <cell r="F1504" t="str">
            <v>INNOVA</v>
          </cell>
          <cell r="G1504" t="str">
            <v>INNOVA</v>
          </cell>
          <cell r="H1504" t="str">
            <v>INNOVA ZENIX V A/T HYBRID</v>
          </cell>
          <cell r="I1504" t="str">
            <v>INNOVA ZENIX V A/T HYBRID</v>
          </cell>
          <cell r="J1504" t="str">
            <v>INNOVA ZENIX V A/T HYBRID</v>
          </cell>
          <cell r="K1504" t="str">
            <v>INNOVA ZENIX HYBRID</v>
          </cell>
          <cell r="N1504" t="str">
            <v>INNOVA ZENIX HYBRID</v>
          </cell>
          <cell r="O1504" t="str">
            <v>MAGH10R-BRXMBD-01</v>
          </cell>
          <cell r="P1504" t="str">
            <v>INNOVA ZENIX HYBRID</v>
          </cell>
          <cell r="Q1504" t="str">
            <v>INNOVA ZENIX HYBRID</v>
          </cell>
          <cell r="R1504" t="str">
            <v>MAGH10R-BRXMBD-01</v>
          </cell>
          <cell r="S1504" t="str">
            <v>INNOVA</v>
          </cell>
          <cell r="T1504" t="str">
            <v>INV ZENIX HYBRID</v>
          </cell>
          <cell r="U1504" t="str">
            <v>INNOVA ZENIX V A/T HYBRID</v>
          </cell>
        </row>
        <row r="1505">
          <cell r="D1505" t="str">
            <v>MAGH10R-BRXMBD-00</v>
          </cell>
          <cell r="E1505" t="str">
            <v>INNOVA</v>
          </cell>
          <cell r="F1505" t="str">
            <v>INNOVA</v>
          </cell>
          <cell r="G1505" t="str">
            <v>INNOVA</v>
          </cell>
          <cell r="H1505" t="str">
            <v>INNOVA ZENIX V A/T HYBRID</v>
          </cell>
          <cell r="I1505" t="str">
            <v>INNOVA ZENIX V A/T HYBRID</v>
          </cell>
          <cell r="J1505" t="str">
            <v>INNOVA ZENIX V A/T HYBRID</v>
          </cell>
          <cell r="K1505" t="str">
            <v>INNOVA ZENIX HYBRID</v>
          </cell>
          <cell r="N1505" t="str">
            <v>INNOVA ZENIX HYBRID</v>
          </cell>
          <cell r="O1505" t="str">
            <v>MAGH10R-BRXMBD-00</v>
          </cell>
          <cell r="P1505" t="str">
            <v>INNOVA ZENIX HYBRID</v>
          </cell>
          <cell r="Q1505" t="str">
            <v>INNOVA ZENIX HYBRID</v>
          </cell>
          <cell r="R1505" t="str">
            <v>MAGH10R-BRXMBD-00</v>
          </cell>
          <cell r="S1505" t="str">
            <v>INNOVA</v>
          </cell>
          <cell r="T1505" t="str">
            <v>INV ZENIX HYBRID</v>
          </cell>
          <cell r="U1505" t="str">
            <v>INNOVA ZENIX V A/T HYBRID</v>
          </cell>
        </row>
        <row r="1506">
          <cell r="D1506" t="str">
            <v>MAGH10R-BRXMBD-CB</v>
          </cell>
          <cell r="E1506" t="str">
            <v>INNOVA</v>
          </cell>
          <cell r="F1506" t="str">
            <v>INNOVA</v>
          </cell>
          <cell r="G1506" t="str">
            <v>INNOVA</v>
          </cell>
          <cell r="H1506" t="str">
            <v>INNOVA ZENIX V A/T HYBRID</v>
          </cell>
          <cell r="I1506" t="str">
            <v>INNOVA ZENIX V A/T HYBRID</v>
          </cell>
          <cell r="J1506" t="str">
            <v>INNOVA ZENIX V A/T HYBRID TCO</v>
          </cell>
          <cell r="K1506" t="str">
            <v>INNOVA ZENIX HYBRID</v>
          </cell>
          <cell r="N1506" t="str">
            <v>INNOVA ZENIX HYBRID</v>
          </cell>
          <cell r="O1506" t="str">
            <v>MAGH10R-BRXMBD-CB</v>
          </cell>
          <cell r="P1506" t="str">
            <v>INNOVA ZENIX HYBRID</v>
          </cell>
          <cell r="Q1506" t="e">
            <v>#N/A</v>
          </cell>
          <cell r="R1506" t="str">
            <v>MAGH10R-BRXMBD-CB</v>
          </cell>
          <cell r="S1506" t="str">
            <v>INNOVA</v>
          </cell>
          <cell r="T1506" t="str">
            <v>INV ZENIX HYBRID</v>
          </cell>
          <cell r="U1506" t="str">
            <v>INNOVA ZENIX V A/T HYBRID</v>
          </cell>
        </row>
        <row r="1507">
          <cell r="D1507" t="str">
            <v>W101RE-LMSFJ-EA</v>
          </cell>
          <cell r="E1507" t="str">
            <v>VELOZ</v>
          </cell>
          <cell r="F1507" t="str">
            <v>VELOZ</v>
          </cell>
          <cell r="G1507" t="str">
            <v>VELOZ</v>
          </cell>
          <cell r="H1507" t="str">
            <v>VELOZ M/T</v>
          </cell>
          <cell r="I1507" t="str">
            <v>VELOZ M/T</v>
          </cell>
          <cell r="J1507" t="str">
            <v>VELOZ M/T TCO</v>
          </cell>
          <cell r="K1507" t="str">
            <v>VELOZ</v>
          </cell>
          <cell r="M1507" t="str">
            <v>VELOZ</v>
          </cell>
          <cell r="N1507" t="str">
            <v>VELOZ</v>
          </cell>
          <cell r="O1507" t="str">
            <v>W101RE-LMSFJ-EA</v>
          </cell>
          <cell r="P1507" t="str">
            <v>VELOZ NEW</v>
          </cell>
          <cell r="Q1507" t="str">
            <v>AVANZA</v>
          </cell>
          <cell r="R1507" t="str">
            <v>W101RE-LMSFJ-EA</v>
          </cell>
          <cell r="S1507" t="str">
            <v>VELOZ</v>
          </cell>
          <cell r="T1507" t="str">
            <v>VELOZ</v>
          </cell>
          <cell r="U1507" t="str">
            <v>VELOZ M/T</v>
          </cell>
        </row>
        <row r="1508">
          <cell r="D1508" t="str">
            <v>W101RE-LBVFJ-EA</v>
          </cell>
          <cell r="E1508" t="str">
            <v>VELOZ</v>
          </cell>
          <cell r="F1508" t="str">
            <v>VELOZ</v>
          </cell>
          <cell r="G1508" t="str">
            <v>VELOZ</v>
          </cell>
          <cell r="H1508" t="str">
            <v>VELOZ A/T</v>
          </cell>
          <cell r="I1508" t="str">
            <v>VELOZ Q A/T</v>
          </cell>
          <cell r="J1508" t="str">
            <v>VELOZ Q A/T TCO</v>
          </cell>
          <cell r="K1508" t="str">
            <v>VELOZ</v>
          </cell>
          <cell r="M1508" t="str">
            <v>VELOZ</v>
          </cell>
          <cell r="N1508" t="str">
            <v>VELOZ</v>
          </cell>
          <cell r="O1508" t="str">
            <v>W101RE-LBVFJ-EA</v>
          </cell>
          <cell r="P1508" t="str">
            <v>VELOZ NEW</v>
          </cell>
          <cell r="Q1508" t="str">
            <v>AVANZA</v>
          </cell>
          <cell r="R1508" t="str">
            <v>W101RE-LBVFJ-EA</v>
          </cell>
          <cell r="S1508" t="str">
            <v>VELOZ</v>
          </cell>
          <cell r="T1508" t="str">
            <v>VELOZ</v>
          </cell>
          <cell r="U1508" t="str">
            <v>VELOZ A/T</v>
          </cell>
        </row>
        <row r="1509">
          <cell r="D1509" t="str">
            <v>NYC200R-DHXHBD-EB</v>
          </cell>
          <cell r="E1509" t="str">
            <v>YARIS</v>
          </cell>
          <cell r="F1509" t="str">
            <v>YARIS</v>
          </cell>
          <cell r="G1509" t="str">
            <v>YARIS CROSS</v>
          </cell>
          <cell r="H1509" t="str">
            <v>YARIS CROSS S A/T</v>
          </cell>
          <cell r="I1509" t="str">
            <v>YARIS CROSS S A/T TSS GR HYBRID</v>
          </cell>
          <cell r="J1509" t="str">
            <v>YARIS CROSS S A/T TSS GR HYBRID TCO</v>
          </cell>
          <cell r="K1509" t="str">
            <v>YARIS CROSS</v>
          </cell>
          <cell r="N1509" t="str">
            <v>YARIS CROSS</v>
          </cell>
          <cell r="O1509" t="str">
            <v>NYC200R-DHXHBD-EB</v>
          </cell>
          <cell r="P1509" t="str">
            <v>YARIS CROSS HYBRID</v>
          </cell>
          <cell r="Q1509" t="str">
            <v>YARIS</v>
          </cell>
          <cell r="R1509" t="str">
            <v>NYC200R-DHXHBD-EB</v>
          </cell>
          <cell r="S1509" t="str">
            <v>YARIS</v>
          </cell>
          <cell r="T1509" t="str">
            <v>YARIS</v>
          </cell>
          <cell r="U1509" t="str">
            <v>YARIS CROSS S A/T</v>
          </cell>
        </row>
        <row r="1510">
          <cell r="D1510" t="str">
            <v>NYC200R-DHXHBD-EF</v>
          </cell>
          <cell r="E1510" t="str">
            <v>YARIS</v>
          </cell>
          <cell r="F1510" t="str">
            <v>YARIS</v>
          </cell>
          <cell r="G1510" t="str">
            <v>YARIS CROSS</v>
          </cell>
          <cell r="H1510" t="str">
            <v>YARIS CROSS S A/T</v>
          </cell>
          <cell r="I1510" t="str">
            <v>YARIS CROSS S A/T TSS GR HYBRID</v>
          </cell>
          <cell r="J1510" t="str">
            <v>YARIS CROSS S A/T TSS GR HYBRID TCO</v>
          </cell>
          <cell r="K1510" t="str">
            <v>YARIS CROSS</v>
          </cell>
          <cell r="N1510" t="str">
            <v>YARIS CROSS</v>
          </cell>
          <cell r="O1510" t="str">
            <v>NYC200R-DHXHBD-EF</v>
          </cell>
          <cell r="P1510" t="str">
            <v>YARIS CROSS HYBRID</v>
          </cell>
          <cell r="Q1510" t="str">
            <v>YARIS</v>
          </cell>
          <cell r="R1510" t="str">
            <v>NYC200R-DHXHBD-EF</v>
          </cell>
          <cell r="S1510" t="str">
            <v>YARIS</v>
          </cell>
          <cell r="T1510" t="str">
            <v>YARIS</v>
          </cell>
          <cell r="U1510" t="str">
            <v>YARIS CROSS S A/T</v>
          </cell>
        </row>
        <row r="1511">
          <cell r="D1511" t="str">
            <v>ZVG10R-DHXGBD-41</v>
          </cell>
          <cell r="E1511" t="str">
            <v>COROLLA CROSS</v>
          </cell>
          <cell r="F1511" t="str">
            <v>COROLLA CROSS HYBRID</v>
          </cell>
          <cell r="G1511" t="str">
            <v>COROLLA CROSS HYBRID</v>
          </cell>
          <cell r="H1511" t="str">
            <v>COROLLA CROSS A/T HYBRID</v>
          </cell>
          <cell r="I1511" t="str">
            <v>COROLLA CROSS A/T HYBRID</v>
          </cell>
          <cell r="J1511" t="str">
            <v>COROLLA CROSS A/T HYBRID GR</v>
          </cell>
          <cell r="K1511" t="str">
            <v>COROLLA CROSS HYBRID</v>
          </cell>
          <cell r="M1511" t="str">
            <v>COROLLA CROSS</v>
          </cell>
          <cell r="N1511" t="str">
            <v>COROLLA CROSS HYBRID</v>
          </cell>
          <cell r="O1511" t="str">
            <v>ZVG10R-DHXGBD-41</v>
          </cell>
          <cell r="P1511" t="str">
            <v>COROLLA CROSS HYBRID</v>
          </cell>
          <cell r="Q1511" t="e">
            <v>#N/A</v>
          </cell>
          <cell r="R1511" t="str">
            <v>ZVG10R-DHXGBD-41</v>
          </cell>
          <cell r="S1511" t="str">
            <v>COROLLA CROSS</v>
          </cell>
          <cell r="T1511" t="str">
            <v>COROLLA CROSS</v>
          </cell>
          <cell r="U1511" t="str">
            <v>COROLLA CROSS A/T HYBRID</v>
          </cell>
        </row>
        <row r="1512">
          <cell r="D1512" t="str">
            <v>MAGH10R-BRXMBD-BB</v>
          </cell>
          <cell r="E1512" t="str">
            <v>INNOVA</v>
          </cell>
          <cell r="F1512" t="str">
            <v>INNOVA</v>
          </cell>
          <cell r="G1512" t="str">
            <v>INNOVA</v>
          </cell>
          <cell r="H1512" t="str">
            <v>INNOVA ZENIX V A/T HYBRID</v>
          </cell>
          <cell r="I1512" t="str">
            <v>INNOVA ZENIX V A/T HYBRID</v>
          </cell>
          <cell r="J1512" t="str">
            <v>INNOVA ZENIX V A/T HYBRID TCO</v>
          </cell>
          <cell r="K1512" t="str">
            <v>INNOVA ZENIX HYBRID</v>
          </cell>
          <cell r="N1512" t="str">
            <v>INNOVA ZENIX HYBRID</v>
          </cell>
          <cell r="O1512" t="str">
            <v>MAGH10R-BRXMBD-BB</v>
          </cell>
          <cell r="P1512" t="str">
            <v>INNOVA ZENIX HYBRID</v>
          </cell>
          <cell r="Q1512" t="e">
            <v>#N/A</v>
          </cell>
          <cell r="R1512" t="str">
            <v>MAGH10R-BRXMBD-BB</v>
          </cell>
          <cell r="S1512" t="str">
            <v>INNOVA</v>
          </cell>
          <cell r="T1512" t="str">
            <v>INV ZENIX HYBRID</v>
          </cell>
          <cell r="U1512" t="str">
            <v>INNOVA ZENIX V A/T HYBRID</v>
          </cell>
        </row>
        <row r="1513">
          <cell r="D1513" t="str">
            <v>GUN155R-SDTMHD-D0</v>
          </cell>
          <cell r="E1513" t="str">
            <v>FORTUNER</v>
          </cell>
          <cell r="F1513" t="str">
            <v>FORTUNER 4X4</v>
          </cell>
          <cell r="G1513" t="str">
            <v>FORTUNER 4X4</v>
          </cell>
          <cell r="H1513" t="str">
            <v>FORTUNER 4X4 VRZ A/T DIESEL</v>
          </cell>
          <cell r="I1513" t="str">
            <v>FORTUNER 4X4 VRZ A/T DIESEL</v>
          </cell>
          <cell r="J1513" t="str">
            <v>FORTUNER 4X4 VRZ A/T DIESEL</v>
          </cell>
          <cell r="K1513" t="str">
            <v>FORTUNER 4X4</v>
          </cell>
          <cell r="L1513" t="str">
            <v>GUN55GA/TD0M</v>
          </cell>
          <cell r="M1513" t="str">
            <v>FORTUNER</v>
          </cell>
          <cell r="N1513" t="str">
            <v>FORTUNER 4X4</v>
          </cell>
          <cell r="O1513" t="str">
            <v>GUN155R-SDTMHD-D0</v>
          </cell>
          <cell r="P1513" t="str">
            <v>FORTUNER 4X4</v>
          </cell>
          <cell r="Q1513" t="e">
            <v>#N/A</v>
          </cell>
          <cell r="R1513" t="str">
            <v>GUN155R-SDTMHD-D0</v>
          </cell>
          <cell r="S1513" t="str">
            <v>FORTUNER</v>
          </cell>
          <cell r="T1513" t="e">
            <v>#N/A</v>
          </cell>
          <cell r="U1513" t="str">
            <v>FORTUNER 4X4 VRZ A/T DIESEL</v>
          </cell>
        </row>
        <row r="1514">
          <cell r="D1514" t="str">
            <v>A250RA-GBXVJ-DA</v>
          </cell>
          <cell r="E1514" t="str">
            <v>RAIZE</v>
          </cell>
          <cell r="F1514" t="str">
            <v>RAIZE</v>
          </cell>
          <cell r="G1514" t="str">
            <v>RAIZE</v>
          </cell>
          <cell r="H1514" t="str">
            <v>RAIZE G A/T</v>
          </cell>
          <cell r="I1514" t="str">
            <v>RAIZE 1.0T G A/T</v>
          </cell>
          <cell r="J1514" t="str">
            <v>RAIZE 1.0T G A/T ONE TONE TCO</v>
          </cell>
          <cell r="K1514" t="str">
            <v>RAIZE</v>
          </cell>
          <cell r="M1514" t="str">
            <v>RAIZE</v>
          </cell>
          <cell r="N1514" t="str">
            <v>RAIZE</v>
          </cell>
          <cell r="O1514" t="str">
            <v>A250RA-GBXVJ-DA</v>
          </cell>
          <cell r="P1514" t="str">
            <v>RAIZE</v>
          </cell>
          <cell r="Q1514" t="e">
            <v>#N/A</v>
          </cell>
          <cell r="R1514" t="str">
            <v>A250RA-GBXVJ-DA</v>
          </cell>
          <cell r="S1514" t="str">
            <v>RAIZE</v>
          </cell>
          <cell r="T1514" t="str">
            <v>RAIZE</v>
          </cell>
          <cell r="U1514" t="str">
            <v>RAIZE G A/T</v>
          </cell>
        </row>
        <row r="1515">
          <cell r="D1515" t="str">
            <v>NYC200R-DHXHBD-EA</v>
          </cell>
          <cell r="E1515" t="str">
            <v>YARIS</v>
          </cell>
          <cell r="F1515" t="str">
            <v>YARIS</v>
          </cell>
          <cell r="G1515" t="str">
            <v>YARIS CROSS</v>
          </cell>
          <cell r="H1515" t="str">
            <v>YARIS CROSS S A/T</v>
          </cell>
          <cell r="I1515" t="str">
            <v>YARIS CROSS S A/T TSS GR HYBRID</v>
          </cell>
          <cell r="J1515" t="str">
            <v>YARIS CROSS S A/T TSS GR HYBRID TCO</v>
          </cell>
          <cell r="K1515" t="str">
            <v>YARIS CROSS</v>
          </cell>
          <cell r="N1515" t="str">
            <v>YARIS CROSS</v>
          </cell>
          <cell r="O1515" t="str">
            <v>NYC200R-DHXHBD-EA</v>
          </cell>
          <cell r="P1515" t="str">
            <v>YARIS CROSS HYBRID</v>
          </cell>
          <cell r="Q1515" t="str">
            <v>YARIS</v>
          </cell>
          <cell r="R1515" t="str">
            <v>NYC200R-DHXHBD-EA</v>
          </cell>
          <cell r="S1515" t="str">
            <v>YARIS</v>
          </cell>
          <cell r="T1515" t="str">
            <v>YARIS</v>
          </cell>
          <cell r="U1515" t="str">
            <v>YARIS CROSS S A/T</v>
          </cell>
        </row>
        <row r="1516">
          <cell r="D1516" t="str">
            <v>GUN155R-SDTMHD-10</v>
          </cell>
          <cell r="E1516" t="str">
            <v>FORTUNER</v>
          </cell>
          <cell r="F1516" t="str">
            <v>FORTUNER 4X4</v>
          </cell>
          <cell r="G1516" t="str">
            <v>FORTUNER 4X4</v>
          </cell>
          <cell r="H1516" t="str">
            <v>FORTUNER 4X4 VRZ A/T DIESEL</v>
          </cell>
          <cell r="I1516" t="str">
            <v>FORTUNER 4X4 VRZ A/T DIESEL</v>
          </cell>
          <cell r="J1516" t="str">
            <v>FORTUNER 4X4 VRZ A/T DIESEL</v>
          </cell>
          <cell r="K1516" t="str">
            <v>FORTUNER 4X4</v>
          </cell>
          <cell r="L1516" t="str">
            <v>GUN55VRZA/T10M</v>
          </cell>
          <cell r="M1516" t="str">
            <v>FORTUNER</v>
          </cell>
          <cell r="N1516" t="str">
            <v>FORTUNER 4X4</v>
          </cell>
          <cell r="O1516" t="str">
            <v>GUN155R-SDTMHD-10</v>
          </cell>
          <cell r="P1516" t="e">
            <v>#N/A</v>
          </cell>
          <cell r="Q1516" t="e">
            <v>#N/A</v>
          </cell>
          <cell r="R1516" t="str">
            <v>GUN155R-SDTMHD-10</v>
          </cell>
          <cell r="S1516" t="str">
            <v>FORTUNER</v>
          </cell>
          <cell r="T1516" t="e">
            <v>#N/A</v>
          </cell>
          <cell r="U1516" t="str">
            <v>FORTUNER 4X4 VRZ A/T DIESEL</v>
          </cell>
        </row>
        <row r="1517">
          <cell r="D1517" t="str">
            <v>GUN155R-SDTMHD-10</v>
          </cell>
          <cell r="E1517" t="str">
            <v>FORTUNER</v>
          </cell>
          <cell r="F1517" t="str">
            <v>FORTUNER 4X4</v>
          </cell>
          <cell r="G1517" t="str">
            <v>FORTUNER 4X4</v>
          </cell>
          <cell r="H1517" t="str">
            <v>FORTUNER 4X4 VRZ A/T DIESEL</v>
          </cell>
          <cell r="I1517" t="str">
            <v>FORTUNER 4X4 VRZ A/T DIESEL</v>
          </cell>
          <cell r="J1517" t="str">
            <v>FORTUNER 4X4 VRZ A/T DIESEL</v>
          </cell>
          <cell r="K1517" t="str">
            <v>FORTUNER 4X4</v>
          </cell>
          <cell r="L1517" t="str">
            <v>GUN55VRZA/TF0M</v>
          </cell>
          <cell r="M1517" t="str">
            <v>FORTUNER</v>
          </cell>
          <cell r="N1517" t="str">
            <v>FORTUNER 4X4</v>
          </cell>
          <cell r="O1517" t="str">
            <v>GUN155R-SDTMHD-10</v>
          </cell>
          <cell r="P1517" t="e">
            <v>#N/A</v>
          </cell>
          <cell r="Q1517" t="e">
            <v>#N/A</v>
          </cell>
          <cell r="R1517" t="str">
            <v>GUN155R-SDTMHD-10</v>
          </cell>
          <cell r="S1517" t="str">
            <v>FORTUNER</v>
          </cell>
          <cell r="T1517" t="e">
            <v>#N/A</v>
          </cell>
          <cell r="U1517" t="str">
            <v>FORTUNER 4X4 VRZ A/T DIESEL</v>
          </cell>
        </row>
        <row r="1518">
          <cell r="D1518" t="str">
            <v>W101RE-LMSFJ-EB</v>
          </cell>
          <cell r="E1518" t="str">
            <v>VELOZ</v>
          </cell>
          <cell r="F1518" t="str">
            <v>VELOZ</v>
          </cell>
          <cell r="G1518" t="str">
            <v>VELOZ</v>
          </cell>
          <cell r="H1518" t="str">
            <v>VELOZ M/T</v>
          </cell>
          <cell r="I1518" t="str">
            <v>VELOZ M/T</v>
          </cell>
          <cell r="J1518" t="str">
            <v>VELOZ M/T TCO</v>
          </cell>
          <cell r="K1518" t="str">
            <v>VELOZ</v>
          </cell>
          <cell r="M1518" t="str">
            <v>VELOZ</v>
          </cell>
          <cell r="N1518" t="str">
            <v>VELOZ</v>
          </cell>
          <cell r="O1518" t="str">
            <v>W101RE-LMSFJ-EB</v>
          </cell>
          <cell r="P1518" t="str">
            <v>VELOZ NEW</v>
          </cell>
          <cell r="Q1518" t="str">
            <v>AVANZA</v>
          </cell>
          <cell r="R1518" t="str">
            <v>W101RE-LMSFJ-EB</v>
          </cell>
          <cell r="S1518" t="str">
            <v>VELOZ</v>
          </cell>
          <cell r="T1518" t="str">
            <v>VELOZ</v>
          </cell>
          <cell r="U1518" t="str">
            <v>VELOZ M/T</v>
          </cell>
        </row>
        <row r="1519">
          <cell r="D1519" t="str">
            <v>GUN156R-SDTHXD-31</v>
          </cell>
          <cell r="E1519" t="str">
            <v>FORTUNER</v>
          </cell>
          <cell r="F1519" t="str">
            <v>FORTUNER 4X4</v>
          </cell>
          <cell r="G1519" t="str">
            <v>FORTUNER 4X4</v>
          </cell>
          <cell r="H1519" t="str">
            <v>FORTUNER 4X4 VRZ A/T DIESEL</v>
          </cell>
          <cell r="I1519" t="str">
            <v>FORTUNER 4X4 VRZ A/T DIESEL</v>
          </cell>
          <cell r="J1519" t="str">
            <v>FORTUNER 4X4 VRZ A/T DIESEL</v>
          </cell>
          <cell r="K1519" t="str">
            <v>FORTUNER 4X4</v>
          </cell>
          <cell r="M1519" t="str">
            <v>FORTUNER</v>
          </cell>
          <cell r="N1519" t="str">
            <v>FORTUNER 4X4</v>
          </cell>
          <cell r="O1519" t="str">
            <v>GUN156R-SDTHXD-31</v>
          </cell>
          <cell r="P1519" t="str">
            <v>FORTUNER 4X4</v>
          </cell>
          <cell r="Q1519" t="e">
            <v>#N/A</v>
          </cell>
          <cell r="R1519" t="str">
            <v>GUN156R-SDTHXD-31</v>
          </cell>
          <cell r="S1519" t="str">
            <v>FORTUNER</v>
          </cell>
          <cell r="T1519" t="str">
            <v>FORTUNER</v>
          </cell>
          <cell r="U1519" t="str">
            <v>FORTUNER 4X4 VRZ A/T DIESEL</v>
          </cell>
        </row>
        <row r="1520">
          <cell r="D1520" t="str">
            <v>GUN155R-SDTHXD-00</v>
          </cell>
          <cell r="E1520" t="str">
            <v>FORTUNER</v>
          </cell>
          <cell r="F1520" t="str">
            <v>FORTUNER 4X4</v>
          </cell>
          <cell r="G1520" t="str">
            <v>FORTUNER 4X4</v>
          </cell>
          <cell r="H1520" t="str">
            <v>FORTUNER 4X4 VRZ A/T DIESEL</v>
          </cell>
          <cell r="I1520" t="str">
            <v xml:space="preserve">FORTUNER 4X4 VRZ A/T DIESEL </v>
          </cell>
          <cell r="J1520" t="str">
            <v xml:space="preserve">FORTUNER 4X4 VRZ A/T DIESEL </v>
          </cell>
          <cell r="K1520" t="str">
            <v>FORTUNER 4X4</v>
          </cell>
          <cell r="L1520" t="str">
            <v>GUN55VRXA/T00M</v>
          </cell>
          <cell r="M1520" t="str">
            <v>FORTUNER</v>
          </cell>
          <cell r="N1520" t="str">
            <v>FORTUNER 4X4</v>
          </cell>
          <cell r="O1520" t="str">
            <v>GUN155R-SDTHXD-00</v>
          </cell>
          <cell r="P1520" t="str">
            <v>FORTUNER 4X4</v>
          </cell>
          <cell r="Q1520" t="e">
            <v>#N/A</v>
          </cell>
          <cell r="R1520" t="str">
            <v>GUN155R-SDTHXD-00</v>
          </cell>
          <cell r="S1520" t="str">
            <v>FORTUNER</v>
          </cell>
          <cell r="T1520" t="e">
            <v>#N/A</v>
          </cell>
          <cell r="U1520" t="str">
            <v>FORTUNER 4X4 VRZ A/T DIESEL</v>
          </cell>
        </row>
        <row r="1521">
          <cell r="D1521" t="str">
            <v>XEAM10R-MWDHSW-B2</v>
          </cell>
          <cell r="E1521" t="str">
            <v>BZ4X</v>
          </cell>
          <cell r="F1521" t="str">
            <v>BZ4X</v>
          </cell>
          <cell r="G1521" t="str">
            <v>BZ4X</v>
          </cell>
          <cell r="H1521" t="str">
            <v>BZ4X A/T</v>
          </cell>
          <cell r="I1521" t="str">
            <v>BZ4X A/T</v>
          </cell>
          <cell r="J1521" t="str">
            <v>BZ4X A/T</v>
          </cell>
          <cell r="K1521" t="str">
            <v>BZ4X</v>
          </cell>
          <cell r="N1521" t="str">
            <v>BZ4X</v>
          </cell>
          <cell r="O1521" t="str">
            <v>XEAM10R-MWDHSW-B2</v>
          </cell>
          <cell r="P1521" t="str">
            <v>BZ4X</v>
          </cell>
          <cell r="Q1521" t="e">
            <v>#N/A</v>
          </cell>
          <cell r="R1521" t="str">
            <v>XEAM10R-MWDHSW-B2</v>
          </cell>
          <cell r="S1521" t="str">
            <v>BZ4X</v>
          </cell>
          <cell r="T1521" t="str">
            <v>BZ4X</v>
          </cell>
          <cell r="U1521" t="str">
            <v>BZ4X A/T</v>
          </cell>
        </row>
        <row r="1522">
          <cell r="D1522" t="str">
            <v>B401RA-GQZFJ-FA</v>
          </cell>
          <cell r="E1522" t="str">
            <v>CALYA</v>
          </cell>
          <cell r="F1522" t="str">
            <v>CALYA</v>
          </cell>
          <cell r="G1522" t="str">
            <v>CALYA</v>
          </cell>
          <cell r="H1522" t="str">
            <v>CALYA G A/T</v>
          </cell>
          <cell r="I1522" t="str">
            <v>CALYA G A/T</v>
          </cell>
          <cell r="J1522" t="str">
            <v>CALYA G A/T TCO</v>
          </cell>
          <cell r="K1522" t="str">
            <v>CALYA</v>
          </cell>
          <cell r="N1522" t="str">
            <v>CALYA</v>
          </cell>
          <cell r="O1522" t="str">
            <v>B401RA-GQZFJ-FA</v>
          </cell>
          <cell r="P1522" t="str">
            <v>CALYA</v>
          </cell>
          <cell r="Q1522" t="e">
            <v>#N/A</v>
          </cell>
          <cell r="R1522" t="str">
            <v>B401RA-GQZFJ-FA</v>
          </cell>
          <cell r="S1522" t="str">
            <v>CALYA</v>
          </cell>
          <cell r="T1522" t="str">
            <v>CALYA</v>
          </cell>
          <cell r="U1522" t="str">
            <v>CALYA G A/T</v>
          </cell>
        </row>
        <row r="1523">
          <cell r="D1523" t="str">
            <v>W101RE-LBVFJ-EB</v>
          </cell>
          <cell r="E1523" t="str">
            <v>VELOZ</v>
          </cell>
          <cell r="F1523" t="str">
            <v>VELOZ</v>
          </cell>
          <cell r="G1523" t="str">
            <v>VELOZ</v>
          </cell>
          <cell r="H1523" t="str">
            <v>VELOZ A/T</v>
          </cell>
          <cell r="I1523" t="str">
            <v>VELOZ Q A/T</v>
          </cell>
          <cell r="J1523" t="str">
            <v>VELOZ Q A/T TCO</v>
          </cell>
          <cell r="K1523" t="str">
            <v>VELOZ</v>
          </cell>
          <cell r="M1523" t="str">
            <v>VELOZ</v>
          </cell>
          <cell r="N1523" t="str">
            <v>VELOZ</v>
          </cell>
          <cell r="O1523" t="str">
            <v>W101RE-LBVFJ-EB</v>
          </cell>
          <cell r="P1523" t="e">
            <v>#N/A</v>
          </cell>
          <cell r="Q1523" t="str">
            <v>AVANZA</v>
          </cell>
          <cell r="R1523" t="str">
            <v>W101RE-LBVFJ-EB</v>
          </cell>
          <cell r="S1523" t="str">
            <v>VELOZ</v>
          </cell>
          <cell r="T1523" t="str">
            <v>AVANZA</v>
          </cell>
          <cell r="U1523" t="str">
            <v>VELOZ A/T</v>
          </cell>
        </row>
        <row r="1524">
          <cell r="D1524" t="str">
            <v>GUN155R-SDTHXD-10</v>
          </cell>
          <cell r="E1524" t="str">
            <v>FORTUNER</v>
          </cell>
          <cell r="F1524" t="str">
            <v>FORTUNER 4X4</v>
          </cell>
          <cell r="G1524" t="str">
            <v>FORTUNER 4X4</v>
          </cell>
          <cell r="H1524" t="str">
            <v>FORTUNER 4X4 VRZ A/T DIESEL</v>
          </cell>
          <cell r="I1524" t="str">
            <v xml:space="preserve">FORTUNER 4X4 VRZ A/T DIESEL </v>
          </cell>
          <cell r="J1524" t="str">
            <v xml:space="preserve">FORTUNER 4X4 VRZ A/T DIESEL </v>
          </cell>
          <cell r="K1524" t="str">
            <v>FORTUNER 4X4</v>
          </cell>
          <cell r="L1524" t="str">
            <v>GUN55VRXA/T10M</v>
          </cell>
          <cell r="M1524" t="str">
            <v>FORTUNER</v>
          </cell>
          <cell r="N1524" t="str">
            <v>FORTUNER 4X4</v>
          </cell>
          <cell r="O1524" t="str">
            <v>GUN155R-SDTHXD-10</v>
          </cell>
          <cell r="P1524" t="str">
            <v>FORTUNER 4X4</v>
          </cell>
          <cell r="Q1524" t="e">
            <v>#N/A</v>
          </cell>
          <cell r="R1524" t="str">
            <v>GUN155R-SDTHXD-10</v>
          </cell>
          <cell r="S1524" t="str">
            <v>FORTUNER</v>
          </cell>
          <cell r="T1524" t="e">
            <v>#N/A</v>
          </cell>
          <cell r="U1524" t="str">
            <v>FORTUNER 4X4 VRZ A/T DIESEL</v>
          </cell>
        </row>
        <row r="1525">
          <cell r="D1525" t="str">
            <v>B401RA-GMZFJ-FA</v>
          </cell>
          <cell r="E1525" t="str">
            <v>CALYA</v>
          </cell>
          <cell r="F1525" t="str">
            <v>CALYA</v>
          </cell>
          <cell r="G1525" t="str">
            <v>CALYA</v>
          </cell>
          <cell r="H1525" t="str">
            <v>CALYA G M/T</v>
          </cell>
          <cell r="I1525" t="str">
            <v>CALYA G M/T</v>
          </cell>
          <cell r="J1525" t="str">
            <v>CALYA G M/T TCO</v>
          </cell>
          <cell r="K1525" t="str">
            <v>CALYA</v>
          </cell>
          <cell r="N1525" t="str">
            <v>CALYA</v>
          </cell>
          <cell r="O1525" t="str">
            <v>B401RA-GMZFJ-FA</v>
          </cell>
          <cell r="P1525" t="str">
            <v>CALYA</v>
          </cell>
          <cell r="Q1525" t="e">
            <v>#N/A</v>
          </cell>
          <cell r="R1525" t="str">
            <v>B401RA-GMZFJ-FA</v>
          </cell>
          <cell r="S1525" t="str">
            <v>CALYA</v>
          </cell>
          <cell r="T1525" t="str">
            <v>CALYA</v>
          </cell>
          <cell r="U1525" t="str">
            <v>CALYA G M/T</v>
          </cell>
        </row>
        <row r="1526">
          <cell r="D1526" t="str">
            <v>GUN156R-SDTHXD-01</v>
          </cell>
          <cell r="E1526" t="str">
            <v>FORTUNER</v>
          </cell>
          <cell r="F1526" t="str">
            <v>FORTUNER 4X4</v>
          </cell>
          <cell r="G1526" t="str">
            <v>FORTUNER 4X2</v>
          </cell>
          <cell r="H1526" t="str">
            <v>FORTUNER 4X2 VRZ A/T DIESEL</v>
          </cell>
          <cell r="I1526" t="str">
            <v>FORTUNER 4X4 VRZ A/T DIESEL GR</v>
          </cell>
          <cell r="J1526" t="str">
            <v>FORTUNER 4X4 VRZ A/T DIESEL GR</v>
          </cell>
          <cell r="K1526" t="str">
            <v>FORTUNER 4X4</v>
          </cell>
          <cell r="L1526" t="str">
            <v>GUN56VRXA/T01M</v>
          </cell>
          <cell r="M1526" t="str">
            <v>FORTUNER</v>
          </cell>
          <cell r="N1526" t="str">
            <v>FORTUNER 4X4</v>
          </cell>
          <cell r="O1526" t="str">
            <v>GUN156R-SDTHXD-01</v>
          </cell>
          <cell r="P1526" t="str">
            <v>FORTUNER 4X4</v>
          </cell>
          <cell r="Q1526" t="e">
            <v>#N/A</v>
          </cell>
          <cell r="R1526" t="str">
            <v>GUN156R-SDTHXD-01</v>
          </cell>
          <cell r="S1526" t="str">
            <v>FORTUNER</v>
          </cell>
          <cell r="T1526" t="e">
            <v>#N/A</v>
          </cell>
          <cell r="U1526" t="str">
            <v>FORTUNER 4X4 VRZ A/T DIESEL</v>
          </cell>
        </row>
        <row r="1527">
          <cell r="D1527" t="str">
            <v>FJA300R-GNUSY-DA</v>
          </cell>
          <cell r="E1527" t="str">
            <v>LANDCRUISER</v>
          </cell>
          <cell r="F1527" t="str">
            <v>LANDCRUISER</v>
          </cell>
          <cell r="G1527" t="str">
            <v>LANDCRUISER</v>
          </cell>
          <cell r="H1527" t="str">
            <v>LANDCRUISER</v>
          </cell>
          <cell r="I1527" t="str">
            <v>LANDCRUISER GR-S 4x4 A/T</v>
          </cell>
          <cell r="J1527" t="str">
            <v>LANDCRUISER GR-S 4x4 A/T TCO</v>
          </cell>
          <cell r="K1527" t="str">
            <v>LANDCRUISER</v>
          </cell>
          <cell r="M1527" t="str">
            <v>LANDCRUISER</v>
          </cell>
          <cell r="N1527" t="str">
            <v>LANDCRUISER</v>
          </cell>
          <cell r="O1527" t="str">
            <v>FJA300R-GNUSY-DA</v>
          </cell>
          <cell r="P1527" t="str">
            <v>LANDCRUISER 300</v>
          </cell>
          <cell r="Q1527" t="e">
            <v>#N/A</v>
          </cell>
          <cell r="R1527" t="str">
            <v>FJA300R-GNUSY-DA</v>
          </cell>
          <cell r="S1527" t="str">
            <v>LANDCRUISER</v>
          </cell>
          <cell r="T1527" t="str">
            <v>LANDCRUISER</v>
          </cell>
          <cell r="U1527" t="str">
            <v>LANDCRUISER</v>
          </cell>
        </row>
        <row r="1528">
          <cell r="D1528" t="str">
            <v>XEAM10R-MWDHSW-B1</v>
          </cell>
          <cell r="E1528" t="str">
            <v>BZ4X</v>
          </cell>
          <cell r="F1528" t="str">
            <v>BZ4X</v>
          </cell>
          <cell r="G1528" t="str">
            <v>BZ4X</v>
          </cell>
          <cell r="H1528" t="str">
            <v>BZ4X A/T</v>
          </cell>
          <cell r="I1528" t="str">
            <v>BZ4X A/T</v>
          </cell>
          <cell r="J1528" t="str">
            <v>BZ4X A/T</v>
          </cell>
          <cell r="K1528" t="str">
            <v>BZ4X</v>
          </cell>
          <cell r="N1528" t="str">
            <v>BZ4X</v>
          </cell>
          <cell r="O1528" t="str">
            <v>XEAM10R-MWDHSW-B1</v>
          </cell>
          <cell r="P1528" t="str">
            <v>BZ4X</v>
          </cell>
          <cell r="Q1528" t="e">
            <v>#N/A</v>
          </cell>
          <cell r="R1528" t="str">
            <v>XEAM10R-MWDHSW-B1</v>
          </cell>
          <cell r="S1528" t="str">
            <v>BZ4X</v>
          </cell>
          <cell r="T1528" t="str">
            <v>BZ4X</v>
          </cell>
          <cell r="U1528" t="str">
            <v>BZ4X A/T</v>
          </cell>
        </row>
        <row r="1529">
          <cell r="D1529" t="str">
            <v>GUN156R-SDTHXD-11</v>
          </cell>
          <cell r="E1529" t="str">
            <v>FORTUNER</v>
          </cell>
          <cell r="F1529" t="str">
            <v>FORTUNER 4X4</v>
          </cell>
          <cell r="G1529" t="str">
            <v>FORTUNER 4X4</v>
          </cell>
          <cell r="H1529" t="str">
            <v>FORTUNER 4X4 VRZ A/T DIESEL</v>
          </cell>
          <cell r="I1529" t="str">
            <v>FORTUNER 4X4 VRZ A/T DIESEL GR</v>
          </cell>
          <cell r="J1529" t="str">
            <v>FORTUNER 4X4 VRZ A/T DIESEL GR</v>
          </cell>
          <cell r="K1529" t="str">
            <v>FORTUNER 4X4</v>
          </cell>
          <cell r="L1529" t="str">
            <v>GUN56VRXA/T11M</v>
          </cell>
          <cell r="M1529" t="str">
            <v>FORTUNER</v>
          </cell>
          <cell r="N1529" t="str">
            <v>FORTUNER 4X4</v>
          </cell>
          <cell r="O1529" t="str">
            <v>GUN156R-SDTHXD-11</v>
          </cell>
          <cell r="P1529" t="e">
            <v>#N/A</v>
          </cell>
          <cell r="Q1529" t="e">
            <v>#N/A</v>
          </cell>
          <cell r="R1529" t="str">
            <v>GUN156R-SDTHXD-11</v>
          </cell>
          <cell r="S1529" t="str">
            <v>FORTUNER</v>
          </cell>
          <cell r="T1529" t="e">
            <v>#N/A</v>
          </cell>
          <cell r="U1529" t="str">
            <v>FORTUNER 4X4 VRZ A/T DIESEL</v>
          </cell>
        </row>
        <row r="1530">
          <cell r="D1530" t="str">
            <v>ZWE211R-GEXVBD-26</v>
          </cell>
          <cell r="E1530" t="str">
            <v>COROLLA</v>
          </cell>
          <cell r="F1530" t="str">
            <v>COROLLA ALTIS</v>
          </cell>
          <cell r="G1530" t="str">
            <v>COROLLA ALTIS</v>
          </cell>
          <cell r="H1530" t="str">
            <v>COROLLA ALTIS HYBRID A/T</v>
          </cell>
          <cell r="I1530" t="str">
            <v>COROLLA ALTIS HYBRID A/T</v>
          </cell>
          <cell r="J1530" t="str">
            <v>COROLLA ALTIS HYBRID A/T</v>
          </cell>
          <cell r="K1530" t="str">
            <v>COROLLA ALTIS</v>
          </cell>
          <cell r="M1530" t="str">
            <v>COROLLA ALTIS</v>
          </cell>
          <cell r="N1530" t="str">
            <v>COROLLA ALTIS</v>
          </cell>
          <cell r="O1530" t="str">
            <v>ZWE211R-GEXVBD-26</v>
          </cell>
          <cell r="P1530" t="str">
            <v>COROLLA HYBRID</v>
          </cell>
          <cell r="Q1530" t="e">
            <v>#N/A</v>
          </cell>
          <cell r="R1530" t="str">
            <v>ZWE211R-GEXVBD-26</v>
          </cell>
          <cell r="S1530" t="str">
            <v>COROLLA</v>
          </cell>
          <cell r="T1530" t="str">
            <v>COROLLA CROSS</v>
          </cell>
          <cell r="U1530" t="str">
            <v>COROLLA ALTIS HYBRID A/T</v>
          </cell>
        </row>
        <row r="1531">
          <cell r="D1531" t="str">
            <v>MAGH10R-BRXMBD-BA</v>
          </cell>
          <cell r="E1531" t="str">
            <v>INNOVA</v>
          </cell>
          <cell r="F1531" t="str">
            <v>INNOVA</v>
          </cell>
          <cell r="G1531" t="str">
            <v>INNOVA</v>
          </cell>
          <cell r="H1531" t="str">
            <v>INNOVA ZENIX V A/T HYBRID</v>
          </cell>
          <cell r="I1531" t="str">
            <v>INNOVA ZENIX V A/T HYBRID</v>
          </cell>
          <cell r="J1531" t="str">
            <v>INNOVA ZENIX V A/T HYBRID TCO</v>
          </cell>
          <cell r="K1531" t="str">
            <v>INNOVA ZENIX HYBRID</v>
          </cell>
          <cell r="N1531" t="str">
            <v>INNOVA ZENIX HYBRID</v>
          </cell>
          <cell r="O1531" t="str">
            <v>MAGH10R-BRXMBD-BA</v>
          </cell>
          <cell r="P1531" t="str">
            <v>INNOVA ZENIX HYBRID</v>
          </cell>
          <cell r="Q1531" t="e">
            <v>#N/A</v>
          </cell>
          <cell r="R1531" t="str">
            <v>MAGH10R-BRXMBD-BA</v>
          </cell>
          <cell r="S1531" t="str">
            <v>INNOVA</v>
          </cell>
          <cell r="T1531" t="str">
            <v>INV ZENIX HYBRID</v>
          </cell>
          <cell r="U1531" t="str">
            <v>INNOVA ZENIX V A/T HYBRID</v>
          </cell>
        </row>
        <row r="1532">
          <cell r="D1532" t="str">
            <v>FJA300R-GNUZY-15</v>
          </cell>
          <cell r="E1532" t="str">
            <v>LANDCRUISER</v>
          </cell>
          <cell r="F1532" t="str">
            <v>LANDCRUISER</v>
          </cell>
          <cell r="G1532" t="str">
            <v>LANDCRUISER</v>
          </cell>
          <cell r="H1532" t="str">
            <v>LANDCRUISER</v>
          </cell>
          <cell r="I1532" t="str">
            <v>LANDCRUISER VX-R 4x4 A/T</v>
          </cell>
          <cell r="J1532" t="str">
            <v>LANDCRUISER VX-R 4x4 A/T</v>
          </cell>
          <cell r="K1532" t="str">
            <v>LANDCRUISER</v>
          </cell>
          <cell r="M1532" t="str">
            <v>LANDCRUISER</v>
          </cell>
          <cell r="N1532" t="str">
            <v>LANDCRUISER</v>
          </cell>
          <cell r="O1532" t="str">
            <v>FJA300R-GNUZY-15</v>
          </cell>
          <cell r="P1532" t="str">
            <v>LANDCRUISER 300</v>
          </cell>
          <cell r="Q1532" t="e">
            <v>#N/A</v>
          </cell>
          <cell r="R1532" t="str">
            <v>FJA300R-GNUZY-15</v>
          </cell>
          <cell r="S1532" t="str">
            <v>LANDCRUISER</v>
          </cell>
          <cell r="T1532" t="str">
            <v>LANDCRUISER</v>
          </cell>
          <cell r="U1532" t="str">
            <v>LANDCRUISER</v>
          </cell>
        </row>
        <row r="1533">
          <cell r="D1533" t="str">
            <v>A351RA-GBEFJ-GA</v>
          </cell>
          <cell r="E1533" t="str">
            <v>AGYA</v>
          </cell>
          <cell r="F1533" t="str">
            <v>AGYA</v>
          </cell>
          <cell r="G1533" t="str">
            <v>AGYA</v>
          </cell>
          <cell r="H1533" t="str">
            <v>AGYA G A/T</v>
          </cell>
          <cell r="I1533" t="str">
            <v>AGYA G A/T</v>
          </cell>
          <cell r="J1533" t="str">
            <v>AGYA 1.2 G A/T-TCO</v>
          </cell>
          <cell r="K1533" t="str">
            <v>AGYA</v>
          </cell>
          <cell r="N1533" t="str">
            <v>AGYA</v>
          </cell>
          <cell r="O1533" t="str">
            <v>A351RA-GBEFJ-GA</v>
          </cell>
          <cell r="P1533" t="str">
            <v>AGYA</v>
          </cell>
          <cell r="Q1533" t="str">
            <v>AGYA</v>
          </cell>
          <cell r="R1533" t="str">
            <v>A351RA-GBEFJ-GA</v>
          </cell>
          <cell r="S1533" t="str">
            <v>AGYA</v>
          </cell>
          <cell r="T1533" t="str">
            <v>AGYA</v>
          </cell>
          <cell r="U1533" t="str">
            <v>AGYA G A/T</v>
          </cell>
        </row>
        <row r="1534">
          <cell r="D1534" t="str">
            <v>A351RA-GBEFJ-CB</v>
          </cell>
          <cell r="E1534" t="str">
            <v>AGYA</v>
          </cell>
          <cell r="F1534" t="str">
            <v>AGYA</v>
          </cell>
          <cell r="G1534" t="str">
            <v>AGYA</v>
          </cell>
          <cell r="H1534" t="str">
            <v>AGYA G A/T</v>
          </cell>
          <cell r="I1534" t="str">
            <v>AGYA G A/T</v>
          </cell>
          <cell r="J1534" t="str">
            <v>AGYA 1.2 G A/T</v>
          </cell>
          <cell r="K1534" t="str">
            <v>AGYA</v>
          </cell>
          <cell r="N1534" t="str">
            <v>AGYA</v>
          </cell>
          <cell r="O1534" t="str">
            <v>A351RA-GBEFJ-CB</v>
          </cell>
          <cell r="P1534" t="str">
            <v>AGYA</v>
          </cell>
          <cell r="Q1534" t="str">
            <v>AGYA</v>
          </cell>
          <cell r="R1534" t="str">
            <v>A351RA-GBEFJ-CB</v>
          </cell>
          <cell r="S1534" t="str">
            <v>AGYA</v>
          </cell>
          <cell r="T1534" t="str">
            <v>AGYA</v>
          </cell>
          <cell r="U1534" t="str">
            <v>AGYA G A/T</v>
          </cell>
        </row>
        <row r="1535">
          <cell r="D1535" t="str">
            <v>W101RE-LBVFJ-ED</v>
          </cell>
          <cell r="E1535" t="str">
            <v>VELOZ</v>
          </cell>
          <cell r="F1535" t="str">
            <v>VELOZ</v>
          </cell>
          <cell r="G1535" t="str">
            <v>VELOZ</v>
          </cell>
          <cell r="H1535" t="str">
            <v>VELOZ A/T</v>
          </cell>
          <cell r="I1535" t="str">
            <v>VELOZ Q A/T TSS</v>
          </cell>
          <cell r="J1535" t="str">
            <v>VELOZ Q A/T TSS</v>
          </cell>
          <cell r="K1535" t="str">
            <v>VELOZ</v>
          </cell>
          <cell r="M1535" t="str">
            <v>VELOZ</v>
          </cell>
          <cell r="N1535" t="str">
            <v>VELOZ</v>
          </cell>
          <cell r="O1535" t="str">
            <v>W101RE-LBVFJ-ED</v>
          </cell>
          <cell r="P1535" t="str">
            <v>VELOZ</v>
          </cell>
          <cell r="Q1535" t="e">
            <v>#N/A</v>
          </cell>
          <cell r="R1535" t="str">
            <v>W101RE-LBVFJ-ED</v>
          </cell>
          <cell r="S1535" t="str">
            <v>VELOZ</v>
          </cell>
          <cell r="T1535" t="str">
            <v>AVANZA</v>
          </cell>
          <cell r="U1535" t="str">
            <v>VELOZ A/T</v>
          </cell>
        </row>
        <row r="1536">
          <cell r="D1536" t="str">
            <v>GUN156R-SDTHXD-21</v>
          </cell>
          <cell r="E1536" t="str">
            <v>FORTUNER</v>
          </cell>
          <cell r="F1536" t="str">
            <v>FORTUNER 4X4</v>
          </cell>
          <cell r="G1536" t="str">
            <v>FORTUNER 4X4</v>
          </cell>
          <cell r="H1536" t="str">
            <v>FORTUNER 4X4 VRZ A/T DIESEL</v>
          </cell>
          <cell r="I1536" t="str">
            <v>FORTUNER 4X4 VRZ A/T DIESEL GR</v>
          </cell>
          <cell r="J1536" t="str">
            <v>FORTUNER 4X4 VRZ A/T DIESEL GR</v>
          </cell>
          <cell r="K1536" t="str">
            <v>FORTUNER 4X4</v>
          </cell>
          <cell r="M1536" t="str">
            <v>FORTUNER</v>
          </cell>
          <cell r="N1536" t="str">
            <v>FORTUNER 4X4</v>
          </cell>
          <cell r="O1536" t="str">
            <v>GUN156R-SDTHXD-21</v>
          </cell>
          <cell r="P1536" t="str">
            <v>FORTUNER 4X4</v>
          </cell>
          <cell r="Q1536" t="e">
            <v>#N/A</v>
          </cell>
          <cell r="R1536" t="str">
            <v>GUN156R-SDTHXD-21</v>
          </cell>
          <cell r="S1536" t="str">
            <v>FORTUNER</v>
          </cell>
          <cell r="T1536" t="e">
            <v>#N/A</v>
          </cell>
          <cell r="U1536" t="str">
            <v>FORTUNER 4X4 VRZ A/T DIESEL</v>
          </cell>
        </row>
        <row r="1537">
          <cell r="D1537" t="str">
            <v>A351RA-GBGFJ-10</v>
          </cell>
          <cell r="E1537" t="str">
            <v>AGYA</v>
          </cell>
          <cell r="F1537" t="str">
            <v>AGYA</v>
          </cell>
          <cell r="G1537" t="str">
            <v>AGYA</v>
          </cell>
          <cell r="H1537" t="str">
            <v>AGYA G A/T</v>
          </cell>
          <cell r="I1537" t="str">
            <v>AGYA G A/T GR</v>
          </cell>
          <cell r="J1537" t="str">
            <v>AGYA 1.2 GR A/T-ONE TONE</v>
          </cell>
          <cell r="K1537" t="str">
            <v>AGYA GR</v>
          </cell>
          <cell r="M1537" t="str">
            <v>AGYA</v>
          </cell>
          <cell r="N1537" t="str">
            <v>AGYA GR</v>
          </cell>
          <cell r="O1537" t="str">
            <v>A351RA-GBGFJ-10</v>
          </cell>
          <cell r="P1537" t="str">
            <v>AGYA GR-S</v>
          </cell>
          <cell r="Q1537" t="str">
            <v>AGYA</v>
          </cell>
          <cell r="R1537" t="str">
            <v>A351RA-GBGFJ-10</v>
          </cell>
          <cell r="S1537" t="str">
            <v>AGYA</v>
          </cell>
          <cell r="T1537" t="str">
            <v>AGYA</v>
          </cell>
          <cell r="U1537" t="str">
            <v>AGYA G A/T</v>
          </cell>
        </row>
        <row r="1538">
          <cell r="D1538" t="str">
            <v>AAHH40R-PFXZB-AB</v>
          </cell>
          <cell r="E1538" t="str">
            <v>VELLFIRE</v>
          </cell>
          <cell r="F1538" t="str">
            <v>VELLFIRE</v>
          </cell>
          <cell r="G1538" t="str">
            <v>VELLFIRE</v>
          </cell>
          <cell r="H1538" t="str">
            <v>VELLFIRE A/T HYBRID</v>
          </cell>
          <cell r="I1538" t="str">
            <v>VELLFIRE A/T HYBRID</v>
          </cell>
          <cell r="J1538" t="str">
            <v>VELLFIRE A/T HYBRID TCO</v>
          </cell>
          <cell r="K1538" t="str">
            <v>VELLFIRE</v>
          </cell>
          <cell r="N1538" t="str">
            <v>VELLFIRE</v>
          </cell>
          <cell r="O1538" t="str">
            <v>AAHH40R-PFXZB-AB</v>
          </cell>
          <cell r="P1538" t="str">
            <v>VELLFIRE</v>
          </cell>
          <cell r="Q1538" t="e">
            <v>#N/A</v>
          </cell>
          <cell r="R1538" t="str">
            <v>AAHH40R-PFXZB-AB</v>
          </cell>
          <cell r="S1538" t="str">
            <v>VELLFIRE</v>
          </cell>
          <cell r="T1538" t="str">
            <v>VELLFIRE</v>
          </cell>
          <cell r="U1538" t="str">
            <v>VELLFIRE A/T HYBRID</v>
          </cell>
        </row>
        <row r="1539">
          <cell r="D1539" t="str">
            <v>GDH321R-EDFDYD-10</v>
          </cell>
          <cell r="E1539" t="str">
            <v>HIACE</v>
          </cell>
          <cell r="F1539" t="str">
            <v>HIACE</v>
          </cell>
          <cell r="G1539" t="str">
            <v>HIACE</v>
          </cell>
          <cell r="H1539" t="str">
            <v>HIACE PREMIO</v>
          </cell>
          <cell r="I1539" t="str">
            <v>HIACE PREMIO</v>
          </cell>
          <cell r="J1539" t="str">
            <v>HIACE PREMIO</v>
          </cell>
          <cell r="K1539" t="str">
            <v>HIACE PREMIO</v>
          </cell>
          <cell r="M1539" t="str">
            <v>HIACE</v>
          </cell>
          <cell r="N1539" t="str">
            <v>HIACE PREMIO</v>
          </cell>
          <cell r="O1539" t="str">
            <v>GDH321R-EDFDYD-10</v>
          </cell>
          <cell r="P1539" t="str">
            <v>HIACE PREMIO</v>
          </cell>
          <cell r="Q1539" t="e">
            <v>#N/A</v>
          </cell>
          <cell r="R1539" t="str">
            <v>GDH321R-EDFDYD-10</v>
          </cell>
          <cell r="S1539" t="str">
            <v>HIACE</v>
          </cell>
          <cell r="T1539" t="str">
            <v>HIACE</v>
          </cell>
          <cell r="U1539" t="str">
            <v>HIACE PREMIO</v>
          </cell>
        </row>
        <row r="1540">
          <cell r="D1540" t="str">
            <v>GDH321R-EDFDYD-11</v>
          </cell>
          <cell r="E1540" t="str">
            <v>HIACE</v>
          </cell>
          <cell r="F1540" t="str">
            <v>HIACE</v>
          </cell>
          <cell r="G1540" t="str">
            <v>HIACE</v>
          </cell>
          <cell r="H1540" t="str">
            <v>HIACE PREMIO</v>
          </cell>
          <cell r="I1540" t="str">
            <v>HIACE PREMIO</v>
          </cell>
          <cell r="J1540" t="str">
            <v>HIACE PREMIO</v>
          </cell>
          <cell r="K1540" t="str">
            <v>HIACE PREMIO</v>
          </cell>
          <cell r="M1540" t="str">
            <v>HIACE</v>
          </cell>
          <cell r="N1540" t="str">
            <v>HIACE PREMIO</v>
          </cell>
          <cell r="O1540" t="str">
            <v>GDH321R-EDFDYD-11</v>
          </cell>
          <cell r="P1540" t="str">
            <v>HIACE PREMIO</v>
          </cell>
          <cell r="Q1540" t="e">
            <v>#N/A</v>
          </cell>
          <cell r="R1540" t="str">
            <v>GDH321R-EDFDYD-11</v>
          </cell>
          <cell r="S1540" t="str">
            <v>HIACE</v>
          </cell>
          <cell r="T1540" t="str">
            <v>HIACE</v>
          </cell>
          <cell r="U1540" t="str">
            <v>HIACE PREMIO</v>
          </cell>
        </row>
        <row r="1541">
          <cell r="D1541" t="str">
            <v>DB06R-ZURW-20</v>
          </cell>
          <cell r="E1541" t="str">
            <v>SUPRA</v>
          </cell>
          <cell r="F1541" t="str">
            <v>SUPRA</v>
          </cell>
          <cell r="G1541" t="str">
            <v>SUPRA</v>
          </cell>
          <cell r="H1541" t="str">
            <v>SUPRA L A/T</v>
          </cell>
          <cell r="I1541" t="str">
            <v>SUPRA L A/T</v>
          </cell>
          <cell r="J1541" t="str">
            <v>SUPRA L A/T</v>
          </cell>
          <cell r="K1541" t="str">
            <v>SUPRA</v>
          </cell>
          <cell r="N1541" t="str">
            <v>SUPRA</v>
          </cell>
          <cell r="O1541" t="str">
            <v>DB06R-ZURW-20</v>
          </cell>
          <cell r="P1541" t="str">
            <v>SUPRA</v>
          </cell>
          <cell r="Q1541" t="e">
            <v>#N/A</v>
          </cell>
          <cell r="R1541" t="str">
            <v>DB06R-ZURW-20</v>
          </cell>
          <cell r="S1541" t="str">
            <v>SUPRA</v>
          </cell>
          <cell r="T1541" t="str">
            <v>SUPRA</v>
          </cell>
          <cell r="U1541" t="str">
            <v>SUPRA L A/T</v>
          </cell>
        </row>
        <row r="1542">
          <cell r="D1542" t="str">
            <v>GUN156R-SDTHXD-22</v>
          </cell>
          <cell r="E1542" t="str">
            <v>FORTUNER</v>
          </cell>
          <cell r="F1542" t="str">
            <v>FORTUNER 4X4</v>
          </cell>
          <cell r="G1542" t="str">
            <v>FORTUNER 4X4</v>
          </cell>
          <cell r="H1542" t="str">
            <v>FORTUNER 4X4 VRZ A/T DIESEL</v>
          </cell>
          <cell r="I1542" t="str">
            <v>FORTUNER 4X4 VRZ A/T DIESEL GR</v>
          </cell>
          <cell r="J1542" t="str">
            <v>FORTUNER 4X4 VRZ A/T DIESEL GR</v>
          </cell>
          <cell r="K1542" t="str">
            <v>FORTUNER 4X4</v>
          </cell>
          <cell r="M1542" t="str">
            <v>FORTUNER</v>
          </cell>
          <cell r="N1542" t="str">
            <v>FORTUNER 4X4</v>
          </cell>
          <cell r="O1542" t="str">
            <v>GUN156R-SDTHXD-22</v>
          </cell>
          <cell r="P1542" t="str">
            <v>FORTUNER 4X4</v>
          </cell>
          <cell r="Q1542" t="e">
            <v>#N/A</v>
          </cell>
          <cell r="R1542" t="str">
            <v>GUN156R-SDTHXD-22</v>
          </cell>
          <cell r="S1542" t="str">
            <v>FORTUNER</v>
          </cell>
          <cell r="T1542" t="e">
            <v>#N/A</v>
          </cell>
          <cell r="U1542" t="str">
            <v>FORTUNER 4X4 VRZ A/T DIESEL</v>
          </cell>
        </row>
        <row r="1543">
          <cell r="D1543" t="str">
            <v>ZVG10R-DHXGBD-31</v>
          </cell>
          <cell r="E1543" t="str">
            <v>COROLLA CROSS</v>
          </cell>
          <cell r="F1543" t="str">
            <v>COROLLA CROSS HYBRID</v>
          </cell>
          <cell r="G1543" t="str">
            <v>COROLLA CROSS HYBRID</v>
          </cell>
          <cell r="H1543" t="str">
            <v>COROLLA CROSS A/T HYBRID</v>
          </cell>
          <cell r="I1543" t="str">
            <v>COROLLA CROSS A/T HYBRID</v>
          </cell>
          <cell r="J1543" t="str">
            <v>COROLLA CROSS A/T HYBRID GR</v>
          </cell>
          <cell r="K1543" t="str">
            <v>COROLLA CROSS HYBRID</v>
          </cell>
          <cell r="M1543" t="str">
            <v>COROLLA CROSS</v>
          </cell>
          <cell r="N1543" t="str">
            <v>COROLLA CROSS HYBRID</v>
          </cell>
          <cell r="O1543" t="str">
            <v>ZVG10R-DHXGBD-31</v>
          </cell>
          <cell r="P1543" t="str">
            <v>COROLLA CROSS HYBRID</v>
          </cell>
          <cell r="Q1543" t="e">
            <v>#N/A</v>
          </cell>
          <cell r="R1543" t="str">
            <v>ZVG10R-DHXGBD-31</v>
          </cell>
          <cell r="S1543" t="str">
            <v>COROLLA CROSS</v>
          </cell>
          <cell r="T1543" t="str">
            <v>COROLLA CROSS</v>
          </cell>
          <cell r="U1543" t="str">
            <v>COROLLA CROSS A/T HYBRID</v>
          </cell>
        </row>
        <row r="1544">
          <cell r="D1544" t="str">
            <v>A351RA-GBEFJ-FB</v>
          </cell>
          <cell r="E1544" t="str">
            <v>AGYA</v>
          </cell>
          <cell r="F1544" t="str">
            <v>AGYA</v>
          </cell>
          <cell r="G1544" t="str">
            <v>AGYA</v>
          </cell>
          <cell r="H1544" t="str">
            <v>AGYA G A/T</v>
          </cell>
          <cell r="I1544" t="str">
            <v>AGYA G A/T</v>
          </cell>
          <cell r="J1544" t="str">
            <v>AGYA 1.2 G A/T-TCO</v>
          </cell>
          <cell r="K1544" t="str">
            <v>AGYA</v>
          </cell>
          <cell r="N1544" t="str">
            <v>AGYA</v>
          </cell>
          <cell r="O1544" t="str">
            <v>A351RA-GBEFJ-FB</v>
          </cell>
          <cell r="P1544" t="str">
            <v>AGYA</v>
          </cell>
          <cell r="Q1544" t="str">
            <v>AGYA</v>
          </cell>
          <cell r="R1544" t="str">
            <v>A351RA-GBEFJ-FB</v>
          </cell>
          <cell r="S1544" t="str">
            <v>AGYA</v>
          </cell>
          <cell r="T1544" t="str">
            <v>AGYA</v>
          </cell>
          <cell r="U1544" t="str">
            <v>AGYA G A/T</v>
          </cell>
        </row>
        <row r="1545">
          <cell r="D1545" t="str">
            <v>B401RA-GQZFJ-EB</v>
          </cell>
          <cell r="E1545" t="str">
            <v>CALYA</v>
          </cell>
          <cell r="F1545" t="str">
            <v>CALYA</v>
          </cell>
          <cell r="G1545" t="str">
            <v>CALYA</v>
          </cell>
          <cell r="H1545" t="str">
            <v>CALYA G A/T</v>
          </cell>
          <cell r="I1545" t="str">
            <v>CALYA G A/T</v>
          </cell>
          <cell r="J1545" t="str">
            <v>CALYA G A/T TCO</v>
          </cell>
          <cell r="K1545" t="str">
            <v>CALYA</v>
          </cell>
          <cell r="N1545" t="str">
            <v>CALYA</v>
          </cell>
          <cell r="O1545" t="str">
            <v>B401RA-GQZFJ-EB</v>
          </cell>
          <cell r="P1545" t="str">
            <v>CALYA</v>
          </cell>
          <cell r="Q1545" t="e">
            <v>#N/A</v>
          </cell>
          <cell r="R1545" t="str">
            <v>B401RA-GQZFJ-EB</v>
          </cell>
          <cell r="S1545" t="str">
            <v>CALYA</v>
          </cell>
          <cell r="T1545" t="str">
            <v>CALYA</v>
          </cell>
          <cell r="U1545" t="str">
            <v>CALYA G A/T</v>
          </cell>
        </row>
        <row r="1546">
          <cell r="D1546" t="str">
            <v>MAGH10R-BRXMBD-BC</v>
          </cell>
          <cell r="E1546" t="str">
            <v>INNOVA</v>
          </cell>
          <cell r="F1546" t="str">
            <v>INNOVA</v>
          </cell>
          <cell r="G1546" t="str">
            <v>INNOVA</v>
          </cell>
          <cell r="H1546" t="str">
            <v>INNOVA ZENIX V A/T HYBRID</v>
          </cell>
          <cell r="I1546" t="str">
            <v>INNOVA ZENIX V A/T HYBRID</v>
          </cell>
          <cell r="J1546" t="str">
            <v>INNOVA ZENIX V A/T HYBRID TCO</v>
          </cell>
          <cell r="K1546" t="str">
            <v>INNOVA ZENIX HYBRID</v>
          </cell>
          <cell r="N1546" t="str">
            <v>INNOVA ZENIX HYBRID</v>
          </cell>
          <cell r="O1546" t="str">
            <v>MAGH10R-BRXMBD-BC</v>
          </cell>
          <cell r="P1546" t="str">
            <v>INNOVA ZENIX HYBRID</v>
          </cell>
          <cell r="Q1546" t="e">
            <v>#N/A</v>
          </cell>
          <cell r="R1546" t="str">
            <v>MAGH10R-BRXMBD-BC</v>
          </cell>
          <cell r="S1546" t="str">
            <v>INNOVA</v>
          </cell>
          <cell r="T1546" t="str">
            <v>INV ZENIX HYBRID</v>
          </cell>
          <cell r="U1546" t="str">
            <v>INNOVA ZENIX V A/T HYBRID</v>
          </cell>
        </row>
        <row r="1547">
          <cell r="D1547" t="str">
            <v>MAGH10R-BRXMBD-04</v>
          </cell>
          <cell r="E1547" t="str">
            <v>INNOVA</v>
          </cell>
          <cell r="F1547" t="str">
            <v>INNOVA</v>
          </cell>
          <cell r="G1547" t="str">
            <v>INNOVA</v>
          </cell>
          <cell r="H1547" t="str">
            <v>INNOVA ZENIX V A/T HYBRID</v>
          </cell>
          <cell r="I1547" t="str">
            <v>INNOVA ZENIX V A/T HYBRID</v>
          </cell>
          <cell r="J1547" t="str">
            <v>INNOVA ZENIX V A/T HYBRID</v>
          </cell>
          <cell r="K1547" t="str">
            <v>INNOVA ZENIX HYBRID</v>
          </cell>
          <cell r="N1547" t="str">
            <v>INNOVA ZENIX HYBRID</v>
          </cell>
          <cell r="O1547" t="str">
            <v>MAGH10R-BRXMBD-04</v>
          </cell>
          <cell r="P1547" t="str">
            <v>INNOVA ZENIX HYBRID</v>
          </cell>
          <cell r="Q1547" t="str">
            <v>INNOVA ZENIX HYBRID</v>
          </cell>
          <cell r="R1547" t="str">
            <v>MAGH10R-BRXMBD-04</v>
          </cell>
          <cell r="S1547" t="str">
            <v>INNOVA</v>
          </cell>
          <cell r="T1547" t="str">
            <v>INV ZENIX HYBRID</v>
          </cell>
          <cell r="U1547" t="str">
            <v>INNOVA ZENIX V A/T HYBRID</v>
          </cell>
        </row>
        <row r="1548">
          <cell r="D1548" t="str">
            <v>MAGH10R-BRXMBD-05</v>
          </cell>
          <cell r="E1548" t="str">
            <v>INNOVA</v>
          </cell>
          <cell r="F1548" t="str">
            <v>INNOVA</v>
          </cell>
          <cell r="G1548" t="str">
            <v>INNOVA</v>
          </cell>
          <cell r="H1548" t="str">
            <v>INNOVA ZENIX V A/T HYBRID</v>
          </cell>
          <cell r="I1548" t="str">
            <v>INNOVA ZENIX V A/T HYBRID</v>
          </cell>
          <cell r="J1548" t="str">
            <v>INNOVA ZENIX V A/T HYBRID</v>
          </cell>
          <cell r="K1548" t="str">
            <v>INNOVA ZENIX HYBRID</v>
          </cell>
          <cell r="N1548" t="str">
            <v>INNOVA ZENIX HYBRID</v>
          </cell>
          <cell r="O1548" t="str">
            <v>MAGH10R-BRXMBD-05</v>
          </cell>
          <cell r="P1548" t="str">
            <v>INNOVA ZENIX HYBRID</v>
          </cell>
          <cell r="Q1548" t="str">
            <v>INNOVA ZENIX HYBRID</v>
          </cell>
          <cell r="R1548" t="str">
            <v>MAGH10R-BRXMBD-05</v>
          </cell>
          <cell r="S1548" t="str">
            <v>INNOVA</v>
          </cell>
          <cell r="T1548" t="str">
            <v>INV ZENIX HYBRID</v>
          </cell>
          <cell r="U1548" t="str">
            <v>INNOVA ZENIX V A/T HYBRID</v>
          </cell>
        </row>
        <row r="1549">
          <cell r="D1549" t="str">
            <v>MAGH10R-BRXMBD-07</v>
          </cell>
          <cell r="E1549" t="str">
            <v>INNOVA</v>
          </cell>
          <cell r="F1549" t="str">
            <v>INNOVA</v>
          </cell>
          <cell r="G1549" t="str">
            <v>INNOVA</v>
          </cell>
          <cell r="H1549" t="str">
            <v>INNOVA ZENIX V A/T HYBRID</v>
          </cell>
          <cell r="I1549" t="str">
            <v>INNOVA ZENIX V A/T HYBRID</v>
          </cell>
          <cell r="J1549" t="str">
            <v>INNOVA ZENIX V A/T HYBRID</v>
          </cell>
          <cell r="K1549" t="str">
            <v>INNOVA ZENIX HYBRID</v>
          </cell>
          <cell r="N1549" t="str">
            <v>INNOVA ZENIX HYBRID</v>
          </cell>
          <cell r="O1549" t="str">
            <v>MAGH10R-BRXMBD-07</v>
          </cell>
          <cell r="P1549" t="str">
            <v>INNOVA ZENIX HYBRID</v>
          </cell>
          <cell r="Q1549" t="str">
            <v>INNOVA ZENIX HYBRID</v>
          </cell>
          <cell r="R1549" t="str">
            <v>MAGH10R-BRXMBD-07</v>
          </cell>
          <cell r="S1549" t="str">
            <v>INNOVA</v>
          </cell>
          <cell r="T1549" t="str">
            <v>INV ZENIX HYBRID</v>
          </cell>
          <cell r="U1549" t="str">
            <v>INNOVA ZENIX V A/T HYBRID</v>
          </cell>
        </row>
        <row r="1550">
          <cell r="D1550" t="str">
            <v>MAGH10R-BRXMBD-06</v>
          </cell>
          <cell r="E1550" t="str">
            <v>INNOVA</v>
          </cell>
          <cell r="F1550" t="str">
            <v>INNOVA</v>
          </cell>
          <cell r="G1550" t="str">
            <v>INNOVA</v>
          </cell>
          <cell r="H1550" t="str">
            <v>INNOVA ZENIX V A/T HYBRID</v>
          </cell>
          <cell r="I1550" t="str">
            <v>INNOVA ZENIX V A/T HYBRID</v>
          </cell>
          <cell r="J1550" t="str">
            <v>INNOVA ZENIX V A/T HYBRID</v>
          </cell>
          <cell r="K1550" t="str">
            <v>INNOVA ZENIX HYBRID</v>
          </cell>
          <cell r="N1550" t="str">
            <v>INNOVA ZENIX HYBRID</v>
          </cell>
          <cell r="O1550" t="str">
            <v>MAGH10R-BRXMBD-06</v>
          </cell>
          <cell r="P1550" t="str">
            <v>INNOVA ZENIX HYBRID</v>
          </cell>
          <cell r="Q1550" t="str">
            <v>INNOVA ZENIX HYBRID</v>
          </cell>
          <cell r="R1550" t="str">
            <v>MAGH10R-BRXMBD-06</v>
          </cell>
          <cell r="S1550" t="str">
            <v>INNOVA</v>
          </cell>
          <cell r="T1550" t="str">
            <v>INV ZENIX HYBRID</v>
          </cell>
          <cell r="U1550" t="str">
            <v>INNOVA ZENIX V A/T HYBRID</v>
          </cell>
        </row>
        <row r="1551">
          <cell r="D1551" t="str">
            <v>MAGH10R-BRXMBD-FC</v>
          </cell>
          <cell r="E1551" t="str">
            <v>INNOVA</v>
          </cell>
          <cell r="F1551" t="str">
            <v>INNOVA</v>
          </cell>
          <cell r="G1551" t="str">
            <v>INNOVA</v>
          </cell>
          <cell r="H1551" t="str">
            <v>INNOVA ZENIX V A/T HYBRID</v>
          </cell>
          <cell r="I1551" t="str">
            <v>INNOVA ZENIX V A/T HYBRID</v>
          </cell>
          <cell r="J1551" t="str">
            <v>INNOVA ZENIX V A/T HYBRID TCO</v>
          </cell>
          <cell r="K1551" t="str">
            <v>INNOVA ZENIX HYBRID</v>
          </cell>
          <cell r="N1551" t="str">
            <v>INNOVA ZENIX HYBRID</v>
          </cell>
          <cell r="O1551" t="str">
            <v>MAGH10R-BRXMBD-FC</v>
          </cell>
          <cell r="P1551" t="str">
            <v>INNOVA ZENIX HYBRID</v>
          </cell>
          <cell r="Q1551" t="str">
            <v>INNOVA ZENIX HYBRID</v>
          </cell>
          <cell r="R1551" t="str">
            <v>MAGH10R-BRXMBD-FC</v>
          </cell>
          <cell r="S1551" t="str">
            <v>INNOVA</v>
          </cell>
          <cell r="T1551" t="str">
            <v>INV ZENIX HYBRID</v>
          </cell>
          <cell r="U1551" t="str">
            <v>INNOVA ZENIX V A/T HYBRID</v>
          </cell>
        </row>
        <row r="1552">
          <cell r="D1552" t="str">
            <v>MAGH10R-BRXMBD-BD</v>
          </cell>
          <cell r="E1552" t="str">
            <v>INNOVA</v>
          </cell>
          <cell r="F1552" t="str">
            <v>INNOVA</v>
          </cell>
          <cell r="G1552" t="str">
            <v>INNOVA</v>
          </cell>
          <cell r="H1552" t="str">
            <v>INNOVA ZENIX V A/T HYBRID</v>
          </cell>
          <cell r="I1552" t="str">
            <v>INNOVA ZENIX V A/T HYBRID</v>
          </cell>
          <cell r="J1552" t="str">
            <v>INNOVA ZENIX V A/T HYBRID TCO</v>
          </cell>
          <cell r="K1552" t="str">
            <v>INNOVA ZENIX HYBRID</v>
          </cell>
          <cell r="N1552" t="str">
            <v>INNOVA ZENIX HYBRID</v>
          </cell>
          <cell r="O1552" t="str">
            <v>MAGH10R-BRXMBD-BD</v>
          </cell>
          <cell r="P1552" t="str">
            <v>INNOVA ZENIX HYBRID</v>
          </cell>
          <cell r="Q1552" t="e">
            <v>#N/A</v>
          </cell>
          <cell r="R1552" t="str">
            <v>MAGH10R-BRXMBD-BD</v>
          </cell>
          <cell r="S1552" t="str">
            <v>INNOVA</v>
          </cell>
          <cell r="T1552" t="str">
            <v>INV ZENIX HYBRID</v>
          </cell>
          <cell r="U1552" t="str">
            <v>INNOVA ZENIX V A/T HYBRID</v>
          </cell>
        </row>
        <row r="1553">
          <cell r="D1553" t="str">
            <v>MAGA10R-BRXMBD-02</v>
          </cell>
          <cell r="E1553" t="str">
            <v>INNOVA</v>
          </cell>
          <cell r="F1553" t="str">
            <v>INNOVA</v>
          </cell>
          <cell r="G1553" t="str">
            <v>INNOVA</v>
          </cell>
          <cell r="H1553" t="str">
            <v>INNOVA ZENIX V A/T</v>
          </cell>
          <cell r="I1553" t="str">
            <v>INNOVA ZENIX V A/T</v>
          </cell>
          <cell r="J1553" t="str">
            <v>INNOVA ZENIX V A/T</v>
          </cell>
          <cell r="K1553" t="str">
            <v>INNOVA ZENIX GAS</v>
          </cell>
          <cell r="N1553" t="str">
            <v>INNOVA ZENIX GAS</v>
          </cell>
          <cell r="O1553" t="str">
            <v>MAGA10R-BRXMBD-02</v>
          </cell>
          <cell r="P1553" t="str">
            <v>INNOVA ZENIX</v>
          </cell>
          <cell r="Q1553" t="str">
            <v>INNOVA ZENIX V BENSIN</v>
          </cell>
          <cell r="R1553" t="str">
            <v>MAGA10R-BRXMBD-02</v>
          </cell>
          <cell r="S1553" t="str">
            <v>INNOVA</v>
          </cell>
          <cell r="T1553" t="str">
            <v>INV ZENIX GAS</v>
          </cell>
          <cell r="U1553" t="str">
            <v>INNOVA ZENIX V A/T</v>
          </cell>
        </row>
        <row r="1554">
          <cell r="D1554" t="str">
            <v>MAGA10R-BRXMBD-03</v>
          </cell>
          <cell r="E1554" t="str">
            <v>INNOVA</v>
          </cell>
          <cell r="F1554" t="str">
            <v>INNOVA</v>
          </cell>
          <cell r="G1554" t="str">
            <v>INNOVA</v>
          </cell>
          <cell r="H1554" t="str">
            <v>INNOVA ZENIX V A/T</v>
          </cell>
          <cell r="I1554" t="str">
            <v>INNOVA ZENIX V A/T</v>
          </cell>
          <cell r="J1554" t="str">
            <v>INNOVA ZENIX V A/T</v>
          </cell>
          <cell r="K1554" t="str">
            <v>INNOVA ZENIX GAS</v>
          </cell>
          <cell r="N1554" t="str">
            <v>INNOVA ZENIX GAS</v>
          </cell>
          <cell r="O1554" t="str">
            <v>MAGA10R-BRXMBD-03</v>
          </cell>
          <cell r="P1554" t="str">
            <v>INNOVA ZENIX</v>
          </cell>
          <cell r="Q1554" t="str">
            <v>INNOVA ZENIX V BENSIN</v>
          </cell>
          <cell r="R1554" t="str">
            <v>MAGA10R-BRXMBD-03</v>
          </cell>
          <cell r="S1554" t="str">
            <v>INNOVA</v>
          </cell>
          <cell r="T1554" t="str">
            <v>INV ZENIX GAS</v>
          </cell>
          <cell r="U1554" t="str">
            <v>INNOVA ZENIX V A/T</v>
          </cell>
        </row>
        <row r="1555">
          <cell r="D1555" t="str">
            <v>AXVH80R-JEXVBT-01</v>
          </cell>
          <cell r="E1555" t="str">
            <v>CAMRY</v>
          </cell>
          <cell r="F1555" t="str">
            <v>CAMRY</v>
          </cell>
          <cell r="G1555" t="str">
            <v>CAMRY</v>
          </cell>
          <cell r="H1555" t="str">
            <v>CAMRY HYBRID A/T</v>
          </cell>
          <cell r="I1555" t="str">
            <v>CAMRY HYBRID A/T</v>
          </cell>
          <cell r="J1555" t="str">
            <v>CAMRY HYBRID A/T</v>
          </cell>
          <cell r="K1555" t="str">
            <v>CAMRY</v>
          </cell>
          <cell r="M1555" t="str">
            <v>CAMRY</v>
          </cell>
          <cell r="N1555" t="str">
            <v>CAMRY</v>
          </cell>
          <cell r="O1555" t="str">
            <v>AXVH80R-JEXVBT-01</v>
          </cell>
          <cell r="P1555" t="str">
            <v>CAMRY HYBRID</v>
          </cell>
          <cell r="Q1555" t="e">
            <v>#N/A</v>
          </cell>
          <cell r="R1555" t="str">
            <v>AXVH80R-JEXVBT-01</v>
          </cell>
          <cell r="S1555" t="str">
            <v>CAMRY</v>
          </cell>
          <cell r="T1555" t="str">
            <v>CAMRY</v>
          </cell>
          <cell r="U1555" t="str">
            <v>CAMRY HYBRID A/T</v>
          </cell>
        </row>
        <row r="1556">
          <cell r="D1556" t="str">
            <v>ZWE211R-GEXXBD-28</v>
          </cell>
          <cell r="E1556" t="str">
            <v>COROLLA</v>
          </cell>
          <cell r="F1556" t="str">
            <v>COROLLA ALTIS</v>
          </cell>
          <cell r="G1556" t="str">
            <v>COROLLA ALTIS</v>
          </cell>
          <cell r="H1556" t="str">
            <v>COROLLA ALTIS HYBRID A/T</v>
          </cell>
          <cell r="I1556" t="str">
            <v>COROLLA ALTIS HYBRID A/T GR</v>
          </cell>
          <cell r="J1556" t="str">
            <v>COROLLA ALTIS HYBRID A/T GR</v>
          </cell>
          <cell r="K1556" t="str">
            <v>COROLLA ALTIS</v>
          </cell>
          <cell r="M1556" t="str">
            <v>COROLLA ALTIS</v>
          </cell>
          <cell r="N1556" t="str">
            <v>COROLLA ALTIS</v>
          </cell>
          <cell r="O1556" t="str">
            <v>ZWE211R-GEXXBD-28</v>
          </cell>
          <cell r="P1556" t="str">
            <v>COROLLA HYBRID</v>
          </cell>
          <cell r="Q1556" t="e">
            <v>#N/A</v>
          </cell>
          <cell r="R1556" t="str">
            <v>ZWE211R-GEXXBD-28</v>
          </cell>
          <cell r="S1556" t="str">
            <v>COROLLA</v>
          </cell>
          <cell r="T1556" t="str">
            <v>COROLLA</v>
          </cell>
          <cell r="U1556" t="str">
            <v>COROLLA ALTIS HYBRID A/T</v>
          </cell>
        </row>
        <row r="1557">
          <cell r="D1557" t="str">
            <v>ZWE211R-GEXXBD-29</v>
          </cell>
          <cell r="E1557" t="str">
            <v>COROLLA</v>
          </cell>
          <cell r="F1557" t="str">
            <v>COROLLA ALTIS</v>
          </cell>
          <cell r="G1557" t="str">
            <v>COROLLA ALTIS</v>
          </cell>
          <cell r="H1557" t="str">
            <v>COROLLA ALTIS HYBRID A/T</v>
          </cell>
          <cell r="I1557" t="str">
            <v>COROLLA ALTIS HYBRID A/T GR</v>
          </cell>
          <cell r="J1557" t="str">
            <v>COROLLA ALTIS HYBRID A/T GR</v>
          </cell>
          <cell r="K1557" t="str">
            <v>COROLLA ALTIS</v>
          </cell>
          <cell r="M1557" t="str">
            <v>COROLLA ALTIS</v>
          </cell>
          <cell r="N1557" t="str">
            <v>COROLLA ALTIS</v>
          </cell>
          <cell r="O1557" t="str">
            <v>ZWE211R-GEXXBD-29</v>
          </cell>
          <cell r="P1557" t="str">
            <v>COROLLA HYBRID</v>
          </cell>
          <cell r="Q1557" t="e">
            <v>#N/A</v>
          </cell>
          <cell r="R1557" t="str">
            <v>ZWE211R-GEXXBD-29</v>
          </cell>
          <cell r="S1557" t="str">
            <v>COROLLA</v>
          </cell>
          <cell r="T1557" t="str">
            <v>COROLLA</v>
          </cell>
          <cell r="U1557" t="str">
            <v>COROLLA ALTIS HYBRID A/T</v>
          </cell>
        </row>
        <row r="1558">
          <cell r="D1558" t="str">
            <v>GUN110R-ATTHXD-02</v>
          </cell>
          <cell r="E1558" t="str">
            <v>HILUX</v>
          </cell>
          <cell r="F1558" t="str">
            <v>HILUX RANGGA</v>
          </cell>
          <cell r="G1558" t="str">
            <v>HILUX RANGGA</v>
          </cell>
          <cell r="H1558" t="str">
            <v>RANGGA-HILUX PU DIESEL A/T</v>
          </cell>
          <cell r="I1558" t="str">
            <v>RANGGA-HILUX PU DIESEL HIGH A/T</v>
          </cell>
          <cell r="J1558" t="str">
            <v>RANGGA-HILUX PU DIESEL HIGH A/T</v>
          </cell>
          <cell r="K1558" t="str">
            <v>HILUX RANGGA</v>
          </cell>
          <cell r="N1558" t="str">
            <v>HILUX RANGGA</v>
          </cell>
          <cell r="O1558" t="str">
            <v>GUN110R-ATTHXD-02</v>
          </cell>
          <cell r="P1558" t="str">
            <v>HILUX RANGGA</v>
          </cell>
          <cell r="Q1558" t="e">
            <v>#N/A</v>
          </cell>
          <cell r="R1558" t="str">
            <v>GUN110R-ATTHXD-02</v>
          </cell>
          <cell r="S1558" t="str">
            <v>HILUX</v>
          </cell>
          <cell r="T1558" t="str">
            <v>HILUX</v>
          </cell>
          <cell r="U1558" t="str">
            <v>RANGGA-HILUX PU DIESEL A/T</v>
          </cell>
        </row>
        <row r="1559">
          <cell r="D1559" t="str">
            <v>MAGH10R-BRXMBD-02</v>
          </cell>
          <cell r="E1559" t="str">
            <v>INNOVA</v>
          </cell>
          <cell r="F1559" t="str">
            <v>INNOVA</v>
          </cell>
          <cell r="G1559" t="str">
            <v>INNOVA</v>
          </cell>
          <cell r="H1559" t="str">
            <v>INNOVA ZENIX V A/T HYBRID</v>
          </cell>
          <cell r="I1559" t="str">
            <v>INNOVA ZENIX V A/T HYBRID</v>
          </cell>
          <cell r="J1559" t="str">
            <v>INNOVA ZENIX V A/T HYBRID</v>
          </cell>
          <cell r="K1559" t="str">
            <v>INNOVA ZENIX HYBRID</v>
          </cell>
          <cell r="N1559" t="str">
            <v>INNOVA ZENIX HYBRID</v>
          </cell>
          <cell r="O1559" t="str">
            <v>MAGH10R-BRXMBD-02</v>
          </cell>
          <cell r="P1559" t="str">
            <v>INNOVA ZENIX HYBRID</v>
          </cell>
          <cell r="Q1559" t="str">
            <v>INNOVA ZENIX HYBRID</v>
          </cell>
          <cell r="R1559" t="str">
            <v>MAGH10R-BRXMBD-02</v>
          </cell>
          <cell r="S1559" t="str">
            <v>INNOVA</v>
          </cell>
          <cell r="T1559" t="str">
            <v>INV ZENIX HYBRID</v>
          </cell>
          <cell r="U1559" t="str">
            <v>INNOVA ZENIX V A/T HYBRID</v>
          </cell>
        </row>
        <row r="1560">
          <cell r="D1560" t="str">
            <v>MAGH10R-BRXMBD-10</v>
          </cell>
          <cell r="E1560" t="str">
            <v>INNOVA</v>
          </cell>
          <cell r="F1560" t="str">
            <v>INNOVA</v>
          </cell>
          <cell r="G1560" t="str">
            <v>INNOVA</v>
          </cell>
          <cell r="H1560" t="str">
            <v>INNOVA ZENIX V A/T HYBRID</v>
          </cell>
          <cell r="I1560" t="str">
            <v>INNOVA ZENIX V A/T HYBRID</v>
          </cell>
          <cell r="J1560" t="str">
            <v>INNOVA ZENIX V A/T HYBRID</v>
          </cell>
          <cell r="K1560" t="str">
            <v>INNOVA ZENIX HYBRID</v>
          </cell>
          <cell r="N1560" t="str">
            <v>INNOVA ZENIX HYBRID</v>
          </cell>
          <cell r="O1560" t="str">
            <v>MAGH10R-BRXMBD-10</v>
          </cell>
          <cell r="P1560" t="str">
            <v>INNOVA ZENIX HYBRID</v>
          </cell>
          <cell r="Q1560" t="str">
            <v>INNOVA ZENIX HYBRID</v>
          </cell>
          <cell r="R1560" t="str">
            <v>MAGH10R-BRXMBD-10</v>
          </cell>
          <cell r="S1560" t="str">
            <v>INNOVA</v>
          </cell>
          <cell r="T1560" t="str">
            <v>INV ZENIX HYBRID</v>
          </cell>
          <cell r="U1560" t="str">
            <v>INNOVA ZENIX V A/T HYBRID</v>
          </cell>
        </row>
        <row r="1561">
          <cell r="D1561" t="str">
            <v>MAGH10R-BRXMBD-11</v>
          </cell>
          <cell r="E1561" t="str">
            <v>INNOVA</v>
          </cell>
          <cell r="F1561" t="str">
            <v>INNOVA</v>
          </cell>
          <cell r="G1561" t="str">
            <v>INNOVA</v>
          </cell>
          <cell r="H1561" t="str">
            <v>INNOVA ZENIX V A/T HYBRID</v>
          </cell>
          <cell r="I1561" t="str">
            <v>INNOVA ZENIX V A/T HYBRID</v>
          </cell>
          <cell r="J1561" t="str">
            <v>INNOVA ZENIX V A/T HYBRID</v>
          </cell>
          <cell r="K1561" t="str">
            <v>INNOVA ZENIX HYBRID</v>
          </cell>
          <cell r="N1561" t="str">
            <v>INNOVA ZENIX HYBRID</v>
          </cell>
          <cell r="O1561" t="str">
            <v>MAGH10R-BRXMBD-11</v>
          </cell>
          <cell r="P1561" t="str">
            <v>INNOVA ZENIX HYBRID</v>
          </cell>
          <cell r="Q1561" t="str">
            <v>INNOVA ZENIX HYBRID</v>
          </cell>
          <cell r="R1561" t="str">
            <v>MAGH10R-BRXMBD-11</v>
          </cell>
          <cell r="S1561" t="str">
            <v>INNOVA</v>
          </cell>
          <cell r="T1561" t="str">
            <v>INV ZENIX HYBRID</v>
          </cell>
          <cell r="U1561" t="str">
            <v>INNOVA ZENIX V A/T HYBRID</v>
          </cell>
        </row>
        <row r="1562">
          <cell r="D1562" t="str">
            <v>NYC200R-DHXHBD-06</v>
          </cell>
          <cell r="E1562" t="str">
            <v>YARIS</v>
          </cell>
          <cell r="F1562" t="str">
            <v>YARIS</v>
          </cell>
          <cell r="G1562" t="str">
            <v>YARIS CROSS</v>
          </cell>
          <cell r="H1562" t="str">
            <v>YARIS CROSS S A/T</v>
          </cell>
          <cell r="I1562" t="str">
            <v>YARIS CROSS S A/T TSS HYBRID</v>
          </cell>
          <cell r="J1562" t="str">
            <v>YARIS CROSS S A/T TSS HYBRID</v>
          </cell>
          <cell r="K1562" t="str">
            <v>YARIS CROSS</v>
          </cell>
          <cell r="N1562" t="str">
            <v>YARIS CROSS</v>
          </cell>
          <cell r="O1562" t="str">
            <v>NYC200R-DHXHBD-06</v>
          </cell>
          <cell r="P1562" t="str">
            <v>YARIS CROSS HYBRID</v>
          </cell>
          <cell r="Q1562" t="str">
            <v>YARIS</v>
          </cell>
          <cell r="R1562" t="str">
            <v>NYC200R-DHXHBD-06</v>
          </cell>
          <cell r="S1562" t="str">
            <v>YARIS</v>
          </cell>
          <cell r="T1562" t="str">
            <v>YARIS</v>
          </cell>
          <cell r="U1562" t="str">
            <v>YARIS CROSS S A/T</v>
          </cell>
        </row>
        <row r="1563">
          <cell r="D1563" t="str">
            <v>F800RE-GQMFJ-AA</v>
          </cell>
          <cell r="E1563" t="str">
            <v>RUSH</v>
          </cell>
          <cell r="F1563" t="str">
            <v>RUSH</v>
          </cell>
          <cell r="G1563" t="str">
            <v>RUSH</v>
          </cell>
          <cell r="H1563" t="str">
            <v>RUSH G A/T</v>
          </cell>
          <cell r="I1563" t="str">
            <v>RUSH G A/T</v>
          </cell>
          <cell r="J1563" t="str">
            <v>RUSH G A/T TCO</v>
          </cell>
          <cell r="K1563" t="str">
            <v>RUSH</v>
          </cell>
          <cell r="M1563" t="str">
            <v>RUSH</v>
          </cell>
          <cell r="N1563" t="str">
            <v>RUSH</v>
          </cell>
          <cell r="O1563" t="str">
            <v>F800RE-GQMFJ-AA</v>
          </cell>
          <cell r="P1563" t="str">
            <v>RUSH</v>
          </cell>
          <cell r="Q1563" t="str">
            <v>RUSH</v>
          </cell>
          <cell r="R1563" t="str">
            <v>F800RE-GQMFJ-AA</v>
          </cell>
          <cell r="S1563" t="str">
            <v>RUSH</v>
          </cell>
          <cell r="T1563" t="str">
            <v>RUSH</v>
          </cell>
          <cell r="U1563" t="str">
            <v>RUSH G A/T</v>
          </cell>
        </row>
        <row r="1564">
          <cell r="D1564" t="str">
            <v>MAGH10R-BRXMBD-14</v>
          </cell>
          <cell r="E1564" t="str">
            <v>INNOVA</v>
          </cell>
          <cell r="F1564" t="str">
            <v>INNOVA</v>
          </cell>
          <cell r="G1564" t="str">
            <v>INNOVA</v>
          </cell>
          <cell r="H1564" t="str">
            <v>INNOVA ZENIX V A/T HYBRID</v>
          </cell>
          <cell r="I1564" t="str">
            <v>INNOVA ZENIX V A/T HYBRID</v>
          </cell>
          <cell r="J1564" t="str">
            <v>INNOVA ZENIX V A/T HYBRID</v>
          </cell>
          <cell r="K1564" t="str">
            <v>INNOVA ZENIX HYBRID</v>
          </cell>
          <cell r="N1564" t="str">
            <v>INNOVA ZENIX HYBRID</v>
          </cell>
          <cell r="O1564" t="str">
            <v>MAGH10R-BRXMBD-14</v>
          </cell>
          <cell r="P1564" t="str">
            <v>INNOVA ZENIX HYBRID</v>
          </cell>
          <cell r="Q1564" t="str">
            <v>INNOVA ZENIX HYBRID</v>
          </cell>
          <cell r="R1564" t="str">
            <v>MAGH10R-BRXMBD-14</v>
          </cell>
          <cell r="S1564" t="str">
            <v>INNOVA</v>
          </cell>
          <cell r="T1564" t="str">
            <v>INV ZENIX HYBRID</v>
          </cell>
          <cell r="U1564" t="str">
            <v>INNOVA ZENIX V A/T HYBRID</v>
          </cell>
        </row>
        <row r="1565">
          <cell r="D1565" t="str">
            <v>A351RA-GBEFJ-GB</v>
          </cell>
          <cell r="E1565" t="str">
            <v>AGYA</v>
          </cell>
          <cell r="F1565" t="str">
            <v>AGYA</v>
          </cell>
          <cell r="G1565" t="str">
            <v>AGYA</v>
          </cell>
          <cell r="H1565" t="str">
            <v>AGYA G A/T</v>
          </cell>
          <cell r="I1565" t="str">
            <v>AGYA G A/T</v>
          </cell>
          <cell r="J1565" t="str">
            <v>AGYA 1.2 G A/T-TCO</v>
          </cell>
          <cell r="K1565" t="str">
            <v>AGYA</v>
          </cell>
          <cell r="N1565" t="str">
            <v>AGYA</v>
          </cell>
          <cell r="O1565" t="str">
            <v>A351RA-GBEFJ-GB</v>
          </cell>
          <cell r="P1565" t="str">
            <v>AGYA</v>
          </cell>
          <cell r="Q1565" t="str">
            <v>AGYA</v>
          </cell>
          <cell r="R1565" t="str">
            <v>A351RA-GBEFJ-GB</v>
          </cell>
          <cell r="S1565" t="str">
            <v>AGYA</v>
          </cell>
          <cell r="T1565" t="str">
            <v>AGYA</v>
          </cell>
          <cell r="U1565" t="str">
            <v>AGYA G A/T</v>
          </cell>
        </row>
        <row r="1566">
          <cell r="D1566" t="str">
            <v>MAGA10R-BRXMBD-FF</v>
          </cell>
          <cell r="E1566" t="str">
            <v>INNOVA</v>
          </cell>
          <cell r="F1566" t="str">
            <v>INNOVA</v>
          </cell>
          <cell r="G1566" t="str">
            <v>INNOVA</v>
          </cell>
          <cell r="H1566" t="str">
            <v>INNOVA ZENIX V A/T</v>
          </cell>
          <cell r="I1566" t="str">
            <v>INNOVA ZENIX V A/T</v>
          </cell>
          <cell r="J1566" t="str">
            <v>INNOVA ZENIX V A/T TCO</v>
          </cell>
          <cell r="K1566" t="str">
            <v>INNOVA ZENIX GAS</v>
          </cell>
          <cell r="N1566" t="str">
            <v>INNOVA ZENIX GAS</v>
          </cell>
          <cell r="O1566" t="str">
            <v>MAGA10R-BRXMBD-FF</v>
          </cell>
          <cell r="P1566" t="str">
            <v>INNOVA ZENIX</v>
          </cell>
          <cell r="Q1566" t="e">
            <v>#N/A</v>
          </cell>
          <cell r="R1566" t="str">
            <v>MAGA10R-BRXMBD-FF</v>
          </cell>
          <cell r="S1566" t="str">
            <v>INNOVA</v>
          </cell>
          <cell r="T1566" t="str">
            <v>INV ZENIX GAS</v>
          </cell>
          <cell r="U1566" t="str">
            <v>INNOVA ZENIX V A/T</v>
          </cell>
        </row>
        <row r="1567">
          <cell r="D1567" t="str">
            <v>GUN110R-ATTHXD3-02</v>
          </cell>
          <cell r="E1567" t="str">
            <v>HILUX</v>
          </cell>
          <cell r="F1567" t="str">
            <v>HILUX RANGGA</v>
          </cell>
          <cell r="G1567" t="str">
            <v>HILUX RANGGA</v>
          </cell>
          <cell r="H1567" t="str">
            <v>RANGGA-HILUX CAB-CHASSIS PU DIESEL A/T</v>
          </cell>
          <cell r="I1567" t="str">
            <v>RANGGA-HILUX CAB-CHASSIS PU DIESEL HIGH A/T</v>
          </cell>
          <cell r="J1567" t="str">
            <v>RANGGA-HILUX CAB-CHASSIS PU DIESEL HIGH A/T</v>
          </cell>
          <cell r="K1567" t="str">
            <v>HILUX RANGGA</v>
          </cell>
          <cell r="N1567" t="str">
            <v>HILUX RANGGA</v>
          </cell>
          <cell r="O1567" t="str">
            <v>GUN110R-ATTHXD3-02</v>
          </cell>
          <cell r="P1567" t="str">
            <v>HILUX RANGGA</v>
          </cell>
          <cell r="Q1567" t="e">
            <v>#N/A</v>
          </cell>
          <cell r="R1567" t="str">
            <v>GUN110R-ATTHXD3-02</v>
          </cell>
          <cell r="S1567" t="str">
            <v>HILUX</v>
          </cell>
          <cell r="T1567" t="str">
            <v>HILUX</v>
          </cell>
          <cell r="U1567" t="str">
            <v>RANGGA-HILUX CAB-CHASSIS PU DIESEL A/T</v>
          </cell>
        </row>
        <row r="1568">
          <cell r="D1568" t="str">
            <v>MAGH10R-BRXMBD-17</v>
          </cell>
          <cell r="E1568" t="str">
            <v>INNOVA</v>
          </cell>
          <cell r="F1568" t="str">
            <v>INNOVA</v>
          </cell>
          <cell r="G1568" t="str">
            <v>INNOVA</v>
          </cell>
          <cell r="H1568" t="str">
            <v>INNOVA ZENIX V A/T HYBRID</v>
          </cell>
          <cell r="I1568" t="str">
            <v>INNOVA ZENIX V A/T HYBRID</v>
          </cell>
          <cell r="J1568" t="str">
            <v>INNOVA ZENIX V A/T HYBRID</v>
          </cell>
          <cell r="K1568" t="str">
            <v>INNOVA ZENIX HYBRID</v>
          </cell>
          <cell r="N1568" t="str">
            <v>INNOVA ZENIX HYBRID</v>
          </cell>
          <cell r="O1568" t="str">
            <v>MAGH10R-BRXMBD-17</v>
          </cell>
          <cell r="P1568" t="str">
            <v>INNOVA ZENIX HYBRID</v>
          </cell>
          <cell r="Q1568" t="str">
            <v>INNOVA ZENIX HYBRID</v>
          </cell>
          <cell r="R1568" t="str">
            <v>MAGH10R-BRXMBD-17</v>
          </cell>
          <cell r="S1568" t="str">
            <v>INNOVA</v>
          </cell>
          <cell r="T1568" t="str">
            <v>INV ZENIX HYBRID</v>
          </cell>
          <cell r="U1568" t="str">
            <v>INNOVA ZENIX V A/T HYBRID</v>
          </cell>
        </row>
        <row r="1569">
          <cell r="D1569" t="str">
            <v>W101RE-LBMFJ-EB</v>
          </cell>
          <cell r="E1569" t="str">
            <v>AVANZA</v>
          </cell>
          <cell r="F1569" t="str">
            <v>AVANZA</v>
          </cell>
          <cell r="G1569" t="str">
            <v>AVANZA</v>
          </cell>
          <cell r="H1569" t="str">
            <v>AVANZA G A/T</v>
          </cell>
          <cell r="I1569" t="str">
            <v>AVANZA G A/T</v>
          </cell>
          <cell r="J1569" t="str">
            <v>AVANZA G A/T TCO</v>
          </cell>
          <cell r="K1569" t="str">
            <v>AVANZA</v>
          </cell>
          <cell r="M1569" t="str">
            <v>AVANZA</v>
          </cell>
          <cell r="N1569" t="str">
            <v>AVANZA</v>
          </cell>
          <cell r="O1569" t="str">
            <v>W101RE-LBMFJ-EB</v>
          </cell>
          <cell r="P1569" t="str">
            <v>AVANZA</v>
          </cell>
          <cell r="Q1569" t="str">
            <v>AVANZA</v>
          </cell>
          <cell r="R1569" t="str">
            <v>W101RE-LBMFJ-EB</v>
          </cell>
          <cell r="S1569" t="str">
            <v>AVANZA</v>
          </cell>
          <cell r="T1569" t="str">
            <v>AVANZA</v>
          </cell>
          <cell r="U1569" t="str">
            <v>AVANZA G A/T</v>
          </cell>
        </row>
        <row r="1570">
          <cell r="D1570" t="str">
            <v>NYC200R-DHXHBD-ED</v>
          </cell>
          <cell r="E1570" t="str">
            <v>YARIS</v>
          </cell>
          <cell r="F1570" t="str">
            <v>YARIS</v>
          </cell>
          <cell r="G1570" t="str">
            <v>YARIS CROSS</v>
          </cell>
          <cell r="H1570" t="str">
            <v>YARIS CROSS S A/T</v>
          </cell>
          <cell r="I1570" t="str">
            <v>YARIS CROSS S A/T TSS GR HYBRID</v>
          </cell>
          <cell r="J1570" t="str">
            <v>YARIS CROSS S A/T TSS GR HYBRID TCO</v>
          </cell>
          <cell r="K1570" t="str">
            <v>YARIS CROSS</v>
          </cell>
          <cell r="N1570" t="str">
            <v>YARIS CROSS</v>
          </cell>
          <cell r="O1570" t="str">
            <v>NYC200R-DHXHBD-ED</v>
          </cell>
          <cell r="P1570" t="str">
            <v>YARIS CROSS HYBRID</v>
          </cell>
          <cell r="Q1570" t="str">
            <v>YARIS</v>
          </cell>
          <cell r="R1570" t="str">
            <v>NYC200R-DHXHBD-ED</v>
          </cell>
          <cell r="S1570" t="str">
            <v>YARIS</v>
          </cell>
          <cell r="T1570" t="str">
            <v>YARIS</v>
          </cell>
          <cell r="U1570" t="str">
            <v>YARIS CROSS S A/T</v>
          </cell>
        </row>
        <row r="1571">
          <cell r="D1571" t="str">
            <v>MAGH10R-BRXMBD-15</v>
          </cell>
          <cell r="E1571" t="str">
            <v>INNOVA</v>
          </cell>
          <cell r="F1571" t="str">
            <v>INNOVA</v>
          </cell>
          <cell r="G1571" t="str">
            <v>INNOVA</v>
          </cell>
          <cell r="H1571" t="str">
            <v>INNOVA ZENIX V A/T HYBRID</v>
          </cell>
          <cell r="I1571" t="str">
            <v>INNOVA ZENIX V A/T HYBRID</v>
          </cell>
          <cell r="J1571" t="str">
            <v>INNOVA ZENIX V A/T HYBRID</v>
          </cell>
          <cell r="K1571" t="str">
            <v>INNOVA ZENIX HYBRID</v>
          </cell>
          <cell r="N1571" t="str">
            <v>INNOVA ZENIX HYBRID</v>
          </cell>
          <cell r="O1571" t="str">
            <v>MAGH10R-BRXMBD-15</v>
          </cell>
          <cell r="P1571" t="str">
            <v>INNOVA ZENIX HYBRID</v>
          </cell>
          <cell r="Q1571" t="str">
            <v>INNOVA ZENIX HYBRID</v>
          </cell>
          <cell r="R1571" t="str">
            <v>MAGH10R-BRXMBD-15</v>
          </cell>
          <cell r="S1571" t="str">
            <v>INNOVA</v>
          </cell>
          <cell r="T1571" t="str">
            <v>INV ZENIX HYBRID</v>
          </cell>
          <cell r="U1571" t="str">
            <v>INNOVA ZENIX V A/T HYBRID</v>
          </cell>
        </row>
        <row r="1572">
          <cell r="D1572" t="str">
            <v>TGN110R-ATMSKD-11</v>
          </cell>
          <cell r="E1572" t="str">
            <v>HILUX</v>
          </cell>
          <cell r="F1572" t="str">
            <v>HILUX RANGGA</v>
          </cell>
          <cell r="G1572" t="str">
            <v>HILUX RANGGA</v>
          </cell>
          <cell r="H1572" t="str">
            <v>RANGGA-HILUX PU M/T</v>
          </cell>
          <cell r="I1572" t="str">
            <v>RANGGA-HILUX PU STANDARD M/T</v>
          </cell>
          <cell r="J1572" t="str">
            <v>RANGGA-HILUX PU STANDARD 3WAY M/T</v>
          </cell>
          <cell r="K1572" t="str">
            <v>HILUX RANGGA</v>
          </cell>
          <cell r="N1572" t="str">
            <v>HILUX RANGGA</v>
          </cell>
          <cell r="O1572" t="str">
            <v>TGN110R-ATMSKD-11</v>
          </cell>
          <cell r="P1572" t="str">
            <v>HILUX RANGGA</v>
          </cell>
          <cell r="Q1572" t="e">
            <v>#N/A</v>
          </cell>
          <cell r="R1572" t="str">
            <v>TGN110R-ATMSKD-11</v>
          </cell>
          <cell r="S1572" t="str">
            <v>HILUX</v>
          </cell>
          <cell r="T1572" t="str">
            <v>HILUX</v>
          </cell>
          <cell r="U1572" t="str">
            <v>RANGGA-HILUX PU M/T</v>
          </cell>
        </row>
        <row r="1573">
          <cell r="D1573" t="str">
            <v>GXPA16R-AGZGZW-10</v>
          </cell>
          <cell r="E1573" t="str">
            <v>YARIS</v>
          </cell>
          <cell r="F1573" t="str">
            <v>YARIS</v>
          </cell>
          <cell r="G1573" t="str">
            <v>YARIS</v>
          </cell>
          <cell r="H1573" t="str">
            <v>GR YARIS M/T</v>
          </cell>
          <cell r="I1573" t="str">
            <v>GR YARIS M/T</v>
          </cell>
          <cell r="J1573" t="str">
            <v>GR YARIS M/T</v>
          </cell>
          <cell r="K1573" t="str">
            <v>GR YARIS</v>
          </cell>
          <cell r="M1573" t="str">
            <v>YARIS</v>
          </cell>
          <cell r="N1573" t="str">
            <v>YARIS</v>
          </cell>
          <cell r="O1573" t="str">
            <v>GXPA16R-AGZGZW-10</v>
          </cell>
          <cell r="P1573" t="str">
            <v>GR YARIS</v>
          </cell>
          <cell r="Q1573" t="str">
            <v>YARIS</v>
          </cell>
          <cell r="R1573" t="str">
            <v>GXPA16R-AGZGZW-10</v>
          </cell>
          <cell r="S1573" t="str">
            <v>YARIS</v>
          </cell>
          <cell r="T1573" t="str">
            <v>YARIS</v>
          </cell>
          <cell r="U1573" t="str">
            <v>GR YARIS M/T</v>
          </cell>
        </row>
        <row r="1574">
          <cell r="D1574" t="str">
            <v>GUN112R-ATMSXD-10</v>
          </cell>
          <cell r="E1574" t="str">
            <v>HILUX</v>
          </cell>
          <cell r="F1574" t="str">
            <v>HILUX RANGGA</v>
          </cell>
          <cell r="G1574" t="str">
            <v>HILUX RANGGA</v>
          </cell>
          <cell r="H1574" t="str">
            <v>RANGGA-HILUX PU DIESEL M/T</v>
          </cell>
          <cell r="I1574" t="str">
            <v>RANGGA-HILUX PU DIESEL STANDAR M/T</v>
          </cell>
          <cell r="J1574" t="str">
            <v>RANGGA-HILUX PU DIESEL STANDAR M/T</v>
          </cell>
          <cell r="K1574" t="str">
            <v>HILUX RANGGA</v>
          </cell>
          <cell r="N1574" t="str">
            <v>HILUX RANGGA</v>
          </cell>
          <cell r="O1574" t="str">
            <v>GUN112R-ATMSXD-10</v>
          </cell>
          <cell r="P1574" t="str">
            <v>HILUX RANGGA</v>
          </cell>
          <cell r="Q1574" t="e">
            <v>#N/A</v>
          </cell>
          <cell r="R1574" t="str">
            <v>GUN112R-ATMSXD-10</v>
          </cell>
          <cell r="S1574" t="str">
            <v>HILUX</v>
          </cell>
          <cell r="T1574" t="str">
            <v>HILUX</v>
          </cell>
          <cell r="U1574" t="str">
            <v>RANGGA-HILUX PU DIESEL M/T</v>
          </cell>
        </row>
        <row r="1575">
          <cell r="D1575" t="str">
            <v>TGN110R-ATMSKD-10</v>
          </cell>
          <cell r="E1575" t="str">
            <v>HILUX</v>
          </cell>
          <cell r="F1575" t="str">
            <v>HILUX RANGGA</v>
          </cell>
          <cell r="G1575" t="str">
            <v>HILUX RANGGA</v>
          </cell>
          <cell r="H1575" t="str">
            <v>RANGGA-HILUX PU M/T</v>
          </cell>
          <cell r="I1575" t="str">
            <v>RANGGA-HILUX PU STANDARD M/T</v>
          </cell>
          <cell r="J1575" t="str">
            <v>RANGGA-HILUX PU STANDARD M/T</v>
          </cell>
          <cell r="K1575" t="str">
            <v>HILUX RANGGA</v>
          </cell>
          <cell r="N1575" t="str">
            <v>HILUX RANGGA</v>
          </cell>
          <cell r="O1575" t="str">
            <v>TGN110R-ATMSKD-10</v>
          </cell>
          <cell r="P1575" t="str">
            <v>HILUX RANGGA</v>
          </cell>
          <cell r="Q1575" t="e">
            <v>#N/A</v>
          </cell>
          <cell r="R1575" t="str">
            <v>TGN110R-ATMSKD-10</v>
          </cell>
          <cell r="S1575" t="str">
            <v>HILUX</v>
          </cell>
          <cell r="T1575" t="str">
            <v>HILUX</v>
          </cell>
          <cell r="U1575" t="str">
            <v>RANGGA-HILUX PU M/T</v>
          </cell>
        </row>
        <row r="1576">
          <cell r="D1576" t="str">
            <v>TGN110R-ATMSKD-11</v>
          </cell>
          <cell r="E1576" t="str">
            <v>HILUX</v>
          </cell>
          <cell r="F1576" t="str">
            <v>HILUX RANGGA</v>
          </cell>
          <cell r="G1576" t="str">
            <v>HILUX RANGGA</v>
          </cell>
          <cell r="H1576" t="str">
            <v>RANGGA-HILUX PU M/T</v>
          </cell>
          <cell r="I1576" t="str">
            <v>RANGGA-HILUX PU STANDARD M/T</v>
          </cell>
          <cell r="J1576" t="str">
            <v>RANGGA-HILUX PU STANDARD 3WAY M/T</v>
          </cell>
          <cell r="K1576" t="str">
            <v>HILUX RANGGA</v>
          </cell>
          <cell r="N1576" t="str">
            <v>HILUX RANGGA</v>
          </cell>
          <cell r="O1576" t="str">
            <v>TGN110R-ATMSKD-11</v>
          </cell>
          <cell r="P1576" t="str">
            <v>HILUX RANGGA</v>
          </cell>
          <cell r="Q1576" t="e">
            <v>#N/A</v>
          </cell>
          <cell r="R1576" t="str">
            <v>TGN110R-ATMSKD-11</v>
          </cell>
          <cell r="S1576" t="str">
            <v>HILUX</v>
          </cell>
          <cell r="T1576" t="str">
            <v>HILUX</v>
          </cell>
          <cell r="U1576" t="str">
            <v>RANGGA-HILUX PU M/T</v>
          </cell>
        </row>
        <row r="1577">
          <cell r="D1577" t="str">
            <v>TGN110R-ATMHKD-10</v>
          </cell>
          <cell r="E1577" t="str">
            <v>HILUX</v>
          </cell>
          <cell r="F1577" t="str">
            <v>HILUX RANGGA</v>
          </cell>
          <cell r="G1577" t="str">
            <v>HILUX RANGGA</v>
          </cell>
          <cell r="H1577" t="str">
            <v>RANGGA-HILUX PU M/T</v>
          </cell>
          <cell r="I1577" t="str">
            <v>RANGGA-HILUX PU HIGH M/T</v>
          </cell>
          <cell r="J1577" t="str">
            <v>RANGGA-HILUX PU HIGH M/T</v>
          </cell>
          <cell r="K1577" t="str">
            <v>HILUX RANGGA</v>
          </cell>
          <cell r="N1577" t="str">
            <v>HILUX RANGGA</v>
          </cell>
          <cell r="O1577" t="str">
            <v>TGN110R-ATMHKD-10</v>
          </cell>
          <cell r="P1577" t="str">
            <v>HILUX RANGGA</v>
          </cell>
          <cell r="Q1577" t="e">
            <v>#N/A</v>
          </cell>
          <cell r="R1577" t="str">
            <v>TGN110R-ATMHKD-10</v>
          </cell>
          <cell r="S1577" t="str">
            <v>HILUX</v>
          </cell>
          <cell r="T1577" t="str">
            <v>HILUX</v>
          </cell>
          <cell r="U1577" t="str">
            <v>RANGGA-HILUX PU M/T</v>
          </cell>
        </row>
        <row r="1578">
          <cell r="D1578" t="str">
            <v>GUN112R-ATMSXD-11</v>
          </cell>
          <cell r="E1578" t="str">
            <v>HILUX</v>
          </cell>
          <cell r="F1578" t="str">
            <v>HILUX RANGGA</v>
          </cell>
          <cell r="G1578" t="str">
            <v>HILUX RANGGA</v>
          </cell>
          <cell r="H1578" t="str">
            <v>RANGGA-HILUX PU DIESEL M/T</v>
          </cell>
          <cell r="I1578" t="str">
            <v>RANGGA-HILUX PU DIESEL STANDAR M/T</v>
          </cell>
          <cell r="J1578" t="str">
            <v>RANGGA-HILUX PU DIESEL STANDAR M/T</v>
          </cell>
          <cell r="K1578" t="str">
            <v>HILUX RANGGA</v>
          </cell>
          <cell r="N1578" t="str">
            <v>HILUX RANGGA</v>
          </cell>
          <cell r="O1578" t="str">
            <v>GUN112R-ATMSXD-11</v>
          </cell>
          <cell r="P1578" t="str">
            <v>HILUX RANGGA</v>
          </cell>
          <cell r="Q1578" t="e">
            <v>#N/A</v>
          </cell>
          <cell r="R1578" t="str">
            <v>GUN112R-ATMSXD-11</v>
          </cell>
          <cell r="S1578" t="str">
            <v>HILUX</v>
          </cell>
          <cell r="T1578" t="str">
            <v>HILUX</v>
          </cell>
          <cell r="U1578" t="str">
            <v>RANGGA-HILUX PU DIESEL M/T</v>
          </cell>
        </row>
        <row r="1579">
          <cell r="D1579" t="str">
            <v>ZVG10R-DHXGBD-32</v>
          </cell>
          <cell r="E1579" t="str">
            <v>COROLLA CROSS</v>
          </cell>
          <cell r="F1579" t="str">
            <v>COROLLA CROSS HYBRID</v>
          </cell>
          <cell r="G1579" t="str">
            <v>COROLLA CROSS HYBRID</v>
          </cell>
          <cell r="H1579" t="str">
            <v>COROLLA CROSS A/T HYBRID</v>
          </cell>
          <cell r="I1579" t="str">
            <v>COROLLA CROSS A/T HYBRID</v>
          </cell>
          <cell r="J1579" t="str">
            <v>COROLLA CROSS A/T HYBRID GR</v>
          </cell>
          <cell r="K1579" t="str">
            <v>COROLLA CROSS HYBRID</v>
          </cell>
          <cell r="M1579" t="str">
            <v>COROLLA CROSS</v>
          </cell>
          <cell r="N1579" t="str">
            <v>COROLLA CROSS HYBRID</v>
          </cell>
          <cell r="O1579" t="str">
            <v>ZVG10R-DHXGBD-32</v>
          </cell>
          <cell r="P1579" t="str">
            <v>COROLLA CROSS HYBRID</v>
          </cell>
          <cell r="Q1579" t="e">
            <v>#N/A</v>
          </cell>
          <cell r="R1579" t="str">
            <v>ZVG10R-DHXGBD-32</v>
          </cell>
          <cell r="S1579" t="str">
            <v>COROLLA CROSS</v>
          </cell>
          <cell r="T1579" t="str">
            <v>COROLLA CROSS</v>
          </cell>
          <cell r="U1579" t="str">
            <v>COROLLA CROSS A/T HYBRID</v>
          </cell>
        </row>
        <row r="1580">
          <cell r="D1580" t="str">
            <v>GUN112R-ATMHXD-10</v>
          </cell>
          <cell r="E1580" t="str">
            <v>HILUX</v>
          </cell>
          <cell r="F1580" t="str">
            <v>HILUX RANGGA</v>
          </cell>
          <cell r="G1580" t="str">
            <v>HILUX RANGGA</v>
          </cell>
          <cell r="H1580" t="str">
            <v>RANGGA-HILUX PU DIESEL M/T</v>
          </cell>
          <cell r="I1580" t="str">
            <v>RANGGA-HILUX PU DIESEL HIGHT M/T</v>
          </cell>
          <cell r="J1580" t="str">
            <v>RANGGA-HILUX PU DIESEL HIGHT M/T</v>
          </cell>
          <cell r="K1580" t="str">
            <v>HILUX RANGGA</v>
          </cell>
          <cell r="M1580" t="str">
            <v>HILUX RANGGA</v>
          </cell>
          <cell r="N1580" t="str">
            <v>HILUX RANGGA</v>
          </cell>
          <cell r="O1580" t="str">
            <v>GUN112R-ATMHXD-10</v>
          </cell>
          <cell r="P1580" t="str">
            <v>HILUX RANGGA</v>
          </cell>
          <cell r="Q1580" t="e">
            <v>#N/A</v>
          </cell>
          <cell r="R1580" t="str">
            <v>GUN112R-ATMHXD-10</v>
          </cell>
          <cell r="S1580" t="str">
            <v>HILUX</v>
          </cell>
          <cell r="T1580" t="str">
            <v>HILUX</v>
          </cell>
          <cell r="U1580" t="str">
            <v>RANGGA-HILUX PU DIESEL M/T</v>
          </cell>
        </row>
        <row r="1581">
          <cell r="D1581" t="str">
            <v>GUN110R-ATTHXD-10</v>
          </cell>
          <cell r="E1581" t="str">
            <v>HILUX</v>
          </cell>
          <cell r="F1581" t="str">
            <v>HILUX RANGGA</v>
          </cell>
          <cell r="G1581" t="str">
            <v>HILUX RANGGA</v>
          </cell>
          <cell r="H1581" t="str">
            <v>RANGGA-HILUX PU DIESEL A/T</v>
          </cell>
          <cell r="I1581" t="str">
            <v>RANGGA-HILUX PU DIESEL HIGH A/T</v>
          </cell>
          <cell r="J1581" t="str">
            <v>RANGGA-HILUX PU DIESEL HIGH A/T</v>
          </cell>
          <cell r="K1581" t="str">
            <v>HILUX RANGGA</v>
          </cell>
          <cell r="M1581" t="str">
            <v>HILUX RANGGA</v>
          </cell>
          <cell r="N1581" t="str">
            <v>HILUX RANGGA</v>
          </cell>
          <cell r="O1581" t="str">
            <v>GUN110R-ATTHXD-10</v>
          </cell>
          <cell r="P1581" t="str">
            <v>HILUX RANGGA</v>
          </cell>
          <cell r="Q1581" t="e">
            <v>#N/A</v>
          </cell>
          <cell r="R1581" t="str">
            <v>GUN110R-ATTHXD-10</v>
          </cell>
          <cell r="S1581" t="str">
            <v>HILUX</v>
          </cell>
          <cell r="T1581" t="str">
            <v>HILUX</v>
          </cell>
          <cell r="U1581" t="str">
            <v>RANGGA-HILUX PU DIESEL A/T</v>
          </cell>
        </row>
        <row r="1582">
          <cell r="D1582" t="str">
            <v>W102RE-LBVFJ-09</v>
          </cell>
          <cell r="E1582" t="str">
            <v>VELOZ</v>
          </cell>
          <cell r="F1582" t="str">
            <v>VELOZ</v>
          </cell>
          <cell r="G1582" t="str">
            <v>VELOZ</v>
          </cell>
          <cell r="H1582" t="str">
            <v>VELOZ Q AT HYBRID</v>
          </cell>
          <cell r="I1582" t="str">
            <v>VELOZ Q AT HYBRID</v>
          </cell>
          <cell r="J1582" t="str">
            <v>VELOZ Q AT HYBRID</v>
          </cell>
          <cell r="K1582" t="str">
            <v>VELOZ HYBRID</v>
          </cell>
          <cell r="M1582" t="str">
            <v>VELOZ HYBRID</v>
          </cell>
          <cell r="N1582" t="str">
            <v>VELOZ HYBRID</v>
          </cell>
          <cell r="O1582" t="str">
            <v>W102RE-LBVFJ-09</v>
          </cell>
          <cell r="P1582" t="str">
            <v>VELOZ HYBRID</v>
          </cell>
          <cell r="Q1582" t="str">
            <v>AVANZA</v>
          </cell>
          <cell r="S1582" t="str">
            <v>VELOZ</v>
          </cell>
          <cell r="T1582" t="str">
            <v>VELOZ</v>
          </cell>
          <cell r="U1582" t="str">
            <v>VELOZ Q AT HYBRID</v>
          </cell>
        </row>
        <row r="1583">
          <cell r="D1583" t="str">
            <v>W102RE-LBVFJ-07</v>
          </cell>
          <cell r="E1583" t="str">
            <v>VELOZ</v>
          </cell>
          <cell r="F1583" t="str">
            <v>VELOZ</v>
          </cell>
          <cell r="G1583" t="str">
            <v>VELOZ</v>
          </cell>
          <cell r="H1583" t="str">
            <v>VELOZ Q AT HYBRID</v>
          </cell>
          <cell r="I1583" t="str">
            <v>VELOZ Q AT HYBRID MODELLISTA</v>
          </cell>
          <cell r="J1583" t="str">
            <v>VELOZ Q AT HYBRID</v>
          </cell>
          <cell r="K1583" t="str">
            <v>VELOZ HYBRID</v>
          </cell>
          <cell r="M1583" t="str">
            <v>VELOZ HYBRID</v>
          </cell>
          <cell r="N1583" t="str">
            <v>VELOZ HYBRID</v>
          </cell>
          <cell r="O1583" t="str">
            <v>W102RE-LBVFJ-07</v>
          </cell>
          <cell r="P1583" t="str">
            <v>VELOZ HYBRID</v>
          </cell>
          <cell r="Q1583" t="str">
            <v>AVANZA</v>
          </cell>
          <cell r="S1583" t="str">
            <v>VELOZ</v>
          </cell>
          <cell r="T1583" t="str">
            <v>VELOZ</v>
          </cell>
          <cell r="U1583" t="str">
            <v>VELOZ Q AT HYBRID</v>
          </cell>
        </row>
        <row r="1584">
          <cell r="D1584" t="str">
            <v>W102RE-LBVFJ-05</v>
          </cell>
          <cell r="E1584" t="str">
            <v>VELOZ</v>
          </cell>
          <cell r="F1584" t="str">
            <v>VELOZ</v>
          </cell>
          <cell r="G1584" t="str">
            <v>VELOZ</v>
          </cell>
          <cell r="H1584" t="str">
            <v>VELOZ Q AT HYBRID</v>
          </cell>
          <cell r="I1584" t="str">
            <v>VELOZ Q AT HYBRID MODELLISTA</v>
          </cell>
          <cell r="J1584" t="str">
            <v>VELOZ Q AT HYBRID</v>
          </cell>
          <cell r="K1584" t="str">
            <v>VELOZ HYBRID</v>
          </cell>
          <cell r="M1584" t="str">
            <v>VELOZ HYBRID</v>
          </cell>
          <cell r="N1584" t="str">
            <v>VELOZ HYBRID</v>
          </cell>
          <cell r="O1584" t="str">
            <v>W102RE-LBVFJ-05</v>
          </cell>
          <cell r="P1584" t="str">
            <v>VELOZ HYBRID</v>
          </cell>
          <cell r="Q1584" t="str">
            <v>AVANZA</v>
          </cell>
          <cell r="S1584" t="str">
            <v>VELOZ</v>
          </cell>
          <cell r="T1584" t="str">
            <v>VELOZ</v>
          </cell>
          <cell r="U1584" t="str">
            <v>VELOZ Q AT HYBRID</v>
          </cell>
        </row>
        <row r="1585">
          <cell r="D1585" t="str">
            <v>W102RE-LBVFJ-03</v>
          </cell>
          <cell r="E1585" t="str">
            <v>VELOZ</v>
          </cell>
          <cell r="F1585" t="str">
            <v>VELOZ</v>
          </cell>
          <cell r="G1585" t="str">
            <v>VELOZ</v>
          </cell>
          <cell r="H1585" t="str">
            <v>VELOZ Q AT HYBRID</v>
          </cell>
          <cell r="I1585" t="str">
            <v>VELOZ Q AT HYBRID MODELLISTA TSS</v>
          </cell>
          <cell r="J1585" t="str">
            <v>VELOZ Q AT HYBRID</v>
          </cell>
          <cell r="K1585" t="str">
            <v>VELOZ HYBRID</v>
          </cell>
          <cell r="M1585" t="str">
            <v>VELOZ HYBRID</v>
          </cell>
          <cell r="N1585" t="str">
            <v>VELOZ HYBRID</v>
          </cell>
          <cell r="O1585" t="str">
            <v>W102RE-LBVFJ-03</v>
          </cell>
          <cell r="P1585" t="str">
            <v>VELOZ HYBRID</v>
          </cell>
          <cell r="Q1585" t="str">
            <v>AVANZA</v>
          </cell>
          <cell r="S1585" t="str">
            <v>VELOZ</v>
          </cell>
          <cell r="T1585" t="str">
            <v>VELOZ</v>
          </cell>
          <cell r="U1585" t="str">
            <v>VELOZ Q AT HYBRID</v>
          </cell>
        </row>
        <row r="1586">
          <cell r="D1586" t="str">
            <v>W102RE-LBVFJ-01</v>
          </cell>
          <cell r="E1586" t="str">
            <v>VELOZ</v>
          </cell>
          <cell r="F1586" t="str">
            <v>VELOZ</v>
          </cell>
          <cell r="G1586" t="str">
            <v>VELOZ</v>
          </cell>
          <cell r="H1586" t="str">
            <v>VELOZ Q AT HYBRID</v>
          </cell>
          <cell r="I1586" t="str">
            <v>VELOZ Q AT HYBRID MODELLISTA TSS</v>
          </cell>
          <cell r="J1586" t="str">
            <v>VELOZ Q AT HYBRID</v>
          </cell>
          <cell r="K1586" t="str">
            <v>VELOZ HYBRID</v>
          </cell>
          <cell r="M1586" t="str">
            <v>VELOZ HYBRID</v>
          </cell>
          <cell r="N1586" t="str">
            <v>VELOZ HYBRID</v>
          </cell>
          <cell r="O1586" t="str">
            <v>W102RE-LBVFJ-01</v>
          </cell>
          <cell r="P1586" t="str">
            <v>VELOZ HYBRID</v>
          </cell>
          <cell r="Q1586" t="str">
            <v>AVANZA</v>
          </cell>
          <cell r="S1586" t="str">
            <v>VELOZ</v>
          </cell>
          <cell r="T1586" t="str">
            <v>VELOZ</v>
          </cell>
          <cell r="U1586" t="str">
            <v>VELOZ Q AT HYBRID</v>
          </cell>
        </row>
        <row r="1587">
          <cell r="D1587" t="str">
            <v>W102RE-LBVFJ-08</v>
          </cell>
          <cell r="E1587" t="str">
            <v>VELOZ</v>
          </cell>
          <cell r="F1587" t="str">
            <v>VELOZ</v>
          </cell>
          <cell r="G1587" t="str">
            <v>VELOZ</v>
          </cell>
          <cell r="H1587" t="str">
            <v>VELOZ Q AT HYBRID</v>
          </cell>
          <cell r="I1587" t="str">
            <v>VELOZ Q AT HYBRID</v>
          </cell>
          <cell r="J1587" t="str">
            <v>VELOZ Q AT HYBRID</v>
          </cell>
          <cell r="K1587" t="str">
            <v>VELOZ HYBRID</v>
          </cell>
          <cell r="M1587" t="str">
            <v>VELOZ HYBRID</v>
          </cell>
          <cell r="N1587" t="str">
            <v>VELOZ HYBRID</v>
          </cell>
          <cell r="O1587" t="str">
            <v>W102RE-LBVFJ-08</v>
          </cell>
          <cell r="P1587" t="str">
            <v>VELOZ HYBRID</v>
          </cell>
          <cell r="Q1587" t="str">
            <v>AVANZA</v>
          </cell>
          <cell r="S1587" t="str">
            <v>VELOZ</v>
          </cell>
          <cell r="T1587" t="str">
            <v>VELOZ</v>
          </cell>
          <cell r="U1587" t="str">
            <v>VELOZ Q AT HYBRID</v>
          </cell>
        </row>
        <row r="1588">
          <cell r="D1588" t="str">
            <v>W102RE-LBVFJ-08</v>
          </cell>
          <cell r="E1588" t="str">
            <v>VELOZ</v>
          </cell>
          <cell r="F1588" t="str">
            <v>VELOZ</v>
          </cell>
          <cell r="G1588" t="str">
            <v>VELOZ</v>
          </cell>
          <cell r="H1588" t="str">
            <v>VELOZ Q AT HYBRID</v>
          </cell>
          <cell r="I1588" t="str">
            <v>VELOZ Q AT HYBRID</v>
          </cell>
          <cell r="J1588" t="str">
            <v>VELOZ Q AT HYBRID</v>
          </cell>
          <cell r="K1588" t="str">
            <v>VELOZ HYBRID</v>
          </cell>
          <cell r="M1588" t="str">
            <v>VELOZ HYBRID</v>
          </cell>
          <cell r="N1588" t="str">
            <v>VELOZ HYBRID</v>
          </cell>
          <cell r="O1588" t="str">
            <v>W102RE-LBVFJ-08</v>
          </cell>
          <cell r="P1588" t="str">
            <v>VELOZ HYBRID</v>
          </cell>
          <cell r="Q1588" t="str">
            <v>AVANZA</v>
          </cell>
          <cell r="S1588" t="str">
            <v>VELOZ</v>
          </cell>
          <cell r="T1588" t="str">
            <v>VELOZ</v>
          </cell>
          <cell r="U1588" t="str">
            <v>VELOZ Q AT HYBRID</v>
          </cell>
        </row>
        <row r="1589">
          <cell r="D1589" t="str">
            <v>W102RE-LBVFJ-08</v>
          </cell>
          <cell r="E1589" t="str">
            <v>VELOZ</v>
          </cell>
          <cell r="F1589" t="str">
            <v>VELOZ</v>
          </cell>
          <cell r="G1589" t="str">
            <v>VELOZ</v>
          </cell>
          <cell r="H1589" t="str">
            <v>VELOZ Q AT HYBRID</v>
          </cell>
          <cell r="I1589" t="str">
            <v>VELOZ Q AT HYBRID</v>
          </cell>
          <cell r="J1589" t="str">
            <v>VELOZ Q AT HYBRID</v>
          </cell>
          <cell r="K1589" t="str">
            <v>VELOZ HYBRID</v>
          </cell>
          <cell r="M1589" t="str">
            <v>VELOZ HYBRID</v>
          </cell>
          <cell r="N1589" t="str">
            <v>VELOZ HYBRID</v>
          </cell>
          <cell r="O1589" t="str">
            <v>W102RE-LBVFJ-08</v>
          </cell>
          <cell r="P1589" t="str">
            <v>VELOZ HYBRID</v>
          </cell>
          <cell r="Q1589" t="str">
            <v>AVANZA</v>
          </cell>
          <cell r="S1589" t="str">
            <v>VELOZ</v>
          </cell>
          <cell r="T1589" t="str">
            <v>VELOZ</v>
          </cell>
          <cell r="U1589" t="str">
            <v>VELOZ Q AT HYBRID</v>
          </cell>
        </row>
        <row r="1590">
          <cell r="D1590" t="str">
            <v>W102RE-LBVFJ-06</v>
          </cell>
          <cell r="E1590" t="str">
            <v>VELOZ</v>
          </cell>
          <cell r="F1590" t="str">
            <v>VELOZ</v>
          </cell>
          <cell r="G1590" t="str">
            <v>VELOZ</v>
          </cell>
          <cell r="H1590" t="str">
            <v>VELOZ Q AT HYBRID</v>
          </cell>
          <cell r="I1590" t="str">
            <v>VELOZ Q AT HYBRID MODELLISTA</v>
          </cell>
          <cell r="J1590" t="str">
            <v>VELOZ Q AT HYBRID</v>
          </cell>
          <cell r="K1590" t="str">
            <v>VELOZ HYBRID</v>
          </cell>
          <cell r="M1590" t="str">
            <v>VELOZ HYBRID</v>
          </cell>
          <cell r="N1590" t="str">
            <v>VELOZ HYBRID</v>
          </cell>
          <cell r="O1590" t="str">
            <v>W102RE-LBVFJ-06</v>
          </cell>
          <cell r="P1590" t="str">
            <v>VELOZ HYBRID</v>
          </cell>
          <cell r="Q1590" t="str">
            <v>AVANZA</v>
          </cell>
          <cell r="S1590" t="str">
            <v>VELOZ</v>
          </cell>
          <cell r="T1590" t="str">
            <v>VELOZ</v>
          </cell>
          <cell r="U1590" t="str">
            <v>VELOZ Q AT HYBRID</v>
          </cell>
        </row>
        <row r="1591">
          <cell r="D1591" t="str">
            <v>W102RE-LBVFJ-06</v>
          </cell>
          <cell r="E1591" t="str">
            <v>VELOZ</v>
          </cell>
          <cell r="F1591" t="str">
            <v>VELOZ</v>
          </cell>
          <cell r="G1591" t="str">
            <v>VELOZ</v>
          </cell>
          <cell r="H1591" t="str">
            <v>VELOZ Q AT HYBRID</v>
          </cell>
          <cell r="I1591" t="str">
            <v>VELOZ Q AT HYBRID MODELLISTA</v>
          </cell>
          <cell r="J1591" t="str">
            <v>VELOZ Q AT HYBRID</v>
          </cell>
          <cell r="K1591" t="str">
            <v>VELOZ HYBRID</v>
          </cell>
          <cell r="M1591" t="str">
            <v>VELOZ HYBRID</v>
          </cell>
          <cell r="N1591" t="str">
            <v>VELOZ HYBRID</v>
          </cell>
          <cell r="O1591" t="str">
            <v>W102RE-LBVFJ-06</v>
          </cell>
          <cell r="P1591" t="str">
            <v>VELOZ HYBRID</v>
          </cell>
          <cell r="Q1591" t="str">
            <v>AVANZA</v>
          </cell>
          <cell r="S1591" t="str">
            <v>VELOZ</v>
          </cell>
          <cell r="T1591" t="str">
            <v>VELOZ</v>
          </cell>
          <cell r="U1591" t="str">
            <v>VELOZ Q AT HYBRID</v>
          </cell>
        </row>
        <row r="1592">
          <cell r="D1592" t="str">
            <v>W102RE-LBVFJ-06</v>
          </cell>
          <cell r="E1592" t="str">
            <v>VELOZ</v>
          </cell>
          <cell r="F1592" t="str">
            <v>VELOZ</v>
          </cell>
          <cell r="G1592" t="str">
            <v>VELOZ</v>
          </cell>
          <cell r="H1592" t="str">
            <v>VELOZ Q AT HYBRID</v>
          </cell>
          <cell r="I1592" t="str">
            <v>VELOZ Q AT HYBRID MODELLISTA</v>
          </cell>
          <cell r="J1592" t="str">
            <v>VELOZ Q AT HYBRID</v>
          </cell>
          <cell r="K1592" t="str">
            <v>VELOZ HYBRID</v>
          </cell>
          <cell r="M1592" t="str">
            <v>VELOZ HYBRID</v>
          </cell>
          <cell r="N1592" t="str">
            <v>VELOZ HYBRID</v>
          </cell>
          <cell r="O1592" t="str">
            <v>W102RE-LBVFJ-06</v>
          </cell>
          <cell r="P1592" t="str">
            <v>VELOZ HYBRID</v>
          </cell>
          <cell r="Q1592" t="str">
            <v>AVANZA</v>
          </cell>
          <cell r="S1592" t="str">
            <v>VELOZ</v>
          </cell>
          <cell r="T1592" t="str">
            <v>VELOZ</v>
          </cell>
          <cell r="U1592" t="str">
            <v>VELOZ Q AT HYBRID</v>
          </cell>
        </row>
        <row r="1593">
          <cell r="D1593" t="str">
            <v>W102RE-LBVFJ-04</v>
          </cell>
          <cell r="E1593" t="str">
            <v>VELOZ</v>
          </cell>
          <cell r="F1593" t="str">
            <v>VELOZ</v>
          </cell>
          <cell r="G1593" t="str">
            <v>VELOZ</v>
          </cell>
          <cell r="H1593" t="str">
            <v>VELOZ Q AT HYBRID</v>
          </cell>
          <cell r="I1593" t="str">
            <v>VELOZ Q AT HYBRID MODELLISTA</v>
          </cell>
          <cell r="J1593" t="str">
            <v>VELOZ Q AT HYBRID</v>
          </cell>
          <cell r="K1593" t="str">
            <v>VELOZ HYBRID</v>
          </cell>
          <cell r="M1593" t="str">
            <v>VELOZ HYBRID</v>
          </cell>
          <cell r="N1593" t="str">
            <v>VELOZ HYBRID</v>
          </cell>
          <cell r="O1593" t="str">
            <v>W102RE-LBVFJ-04</v>
          </cell>
          <cell r="P1593" t="str">
            <v>VELOZ HYBRID</v>
          </cell>
          <cell r="Q1593" t="str">
            <v>AVANZA</v>
          </cell>
          <cell r="S1593" t="str">
            <v>VELOZ</v>
          </cell>
          <cell r="T1593" t="str">
            <v>VELOZ</v>
          </cell>
          <cell r="U1593" t="str">
            <v>VELOZ Q AT HYBRID</v>
          </cell>
        </row>
        <row r="1594">
          <cell r="D1594" t="str">
            <v>W102RE-LBVFJ-04</v>
          </cell>
          <cell r="E1594" t="str">
            <v>VELOZ</v>
          </cell>
          <cell r="F1594" t="str">
            <v>VELOZ</v>
          </cell>
          <cell r="G1594" t="str">
            <v>VELOZ</v>
          </cell>
          <cell r="H1594" t="str">
            <v>VELOZ Q AT HYBRID</v>
          </cell>
          <cell r="I1594" t="str">
            <v>VELOZ Q AT HYBRID MODELLISTA</v>
          </cell>
          <cell r="J1594" t="str">
            <v>VELOZ Q AT HYBRID</v>
          </cell>
          <cell r="K1594" t="str">
            <v>VELOZ HYBRID</v>
          </cell>
          <cell r="M1594" t="str">
            <v>VELOZ HYBRID</v>
          </cell>
          <cell r="N1594" t="str">
            <v>VELOZ HYBRID</v>
          </cell>
          <cell r="O1594" t="str">
            <v>W102RE-LBVFJ-04</v>
          </cell>
          <cell r="P1594" t="str">
            <v>VELOZ HYBRID</v>
          </cell>
          <cell r="Q1594" t="str">
            <v>AVANZA</v>
          </cell>
          <cell r="S1594" t="str">
            <v>VELOZ</v>
          </cell>
          <cell r="T1594" t="str">
            <v>VELOZ</v>
          </cell>
          <cell r="U1594" t="str">
            <v>VELOZ Q AT HYBRID</v>
          </cell>
        </row>
        <row r="1595">
          <cell r="D1595" t="str">
            <v>W102RE-LBVFJ-02</v>
          </cell>
          <cell r="E1595" t="str">
            <v>VELOZ</v>
          </cell>
          <cell r="F1595" t="str">
            <v>VELOZ</v>
          </cell>
          <cell r="G1595" t="str">
            <v>VELOZ</v>
          </cell>
          <cell r="H1595" t="str">
            <v>VELOZ Q AT HYBRID</v>
          </cell>
          <cell r="I1595" t="str">
            <v>VELOZ Q AT HYBRID MODELLISTA TSS</v>
          </cell>
          <cell r="J1595" t="str">
            <v>VELOZ Q AT HYBRID</v>
          </cell>
          <cell r="K1595" t="str">
            <v>VELOZ HYBRID</v>
          </cell>
          <cell r="M1595" t="str">
            <v>VELOZ HYBRID</v>
          </cell>
          <cell r="N1595" t="str">
            <v>VELOZ HYBRID</v>
          </cell>
          <cell r="O1595" t="str">
            <v>W102RE-LBVFJ-02</v>
          </cell>
          <cell r="P1595" t="str">
            <v>VELOZ HYBRID</v>
          </cell>
          <cell r="Q1595" t="str">
            <v>AVANZA</v>
          </cell>
          <cell r="S1595" t="str">
            <v>VELOZ</v>
          </cell>
          <cell r="T1595" t="str">
            <v>VELOZ</v>
          </cell>
          <cell r="U1595" t="str">
            <v>VELOZ Q AT HYBRID</v>
          </cell>
        </row>
        <row r="1596">
          <cell r="D1596" t="str">
            <v>W102RE-LBVFJ-02</v>
          </cell>
          <cell r="E1596" t="str">
            <v>VELOZ</v>
          </cell>
          <cell r="F1596" t="str">
            <v>VELOZ</v>
          </cell>
          <cell r="G1596" t="str">
            <v>VELOZ</v>
          </cell>
          <cell r="H1596" t="str">
            <v>VELOZ Q AT HYBRID</v>
          </cell>
          <cell r="I1596" t="str">
            <v>VELOZ Q AT HYBRID MODELLISTA TSS</v>
          </cell>
          <cell r="J1596" t="str">
            <v>VELOZ Q AT HYBRID</v>
          </cell>
          <cell r="K1596" t="str">
            <v>VELOZ HYBRID</v>
          </cell>
          <cell r="M1596" t="str">
            <v>VELOZ HYBRID</v>
          </cell>
          <cell r="N1596" t="str">
            <v>VELOZ HYBRID</v>
          </cell>
          <cell r="O1596" t="str">
            <v>W102RE-LBVFJ-02</v>
          </cell>
          <cell r="P1596" t="str">
            <v>VELOZ HYBRID</v>
          </cell>
          <cell r="Q1596" t="str">
            <v>AVANZA</v>
          </cell>
          <cell r="S1596" t="str">
            <v>VELOZ</v>
          </cell>
          <cell r="T1596" t="str">
            <v>VELOZ</v>
          </cell>
          <cell r="U1596" t="str">
            <v>VELOZ Q AT HYBRID</v>
          </cell>
        </row>
        <row r="1597">
          <cell r="D1597" t="str">
            <v>W102RE-LBVFJ-02</v>
          </cell>
          <cell r="E1597" t="str">
            <v>VELOZ</v>
          </cell>
          <cell r="F1597" t="str">
            <v>VELOZ</v>
          </cell>
          <cell r="G1597" t="str">
            <v>VELOZ</v>
          </cell>
          <cell r="H1597" t="str">
            <v>VELOZ Q AT HYBRID</v>
          </cell>
          <cell r="I1597" t="str">
            <v>VELOZ Q AT HYBRID MODELLISTA TSS</v>
          </cell>
          <cell r="J1597" t="str">
            <v>VELOZ Q AT HYBRID</v>
          </cell>
          <cell r="K1597" t="str">
            <v>VELOZ HYBRID</v>
          </cell>
          <cell r="M1597" t="str">
            <v>VELOZ HYBRID</v>
          </cell>
          <cell r="N1597" t="str">
            <v>VELOZ HYBRID</v>
          </cell>
          <cell r="O1597" t="str">
            <v>W102RE-LBVFJ-02</v>
          </cell>
          <cell r="P1597" t="str">
            <v>VELOZ HYBRID</v>
          </cell>
          <cell r="Q1597" t="str">
            <v>AVANZA</v>
          </cell>
          <cell r="S1597" t="str">
            <v>VELOZ</v>
          </cell>
          <cell r="T1597" t="str">
            <v>VELOZ</v>
          </cell>
          <cell r="U1597" t="str">
            <v>VELOZ Q AT HYBRID</v>
          </cell>
        </row>
        <row r="1598">
          <cell r="D1598" t="str">
            <v>W102RE-LBVFJ-00</v>
          </cell>
          <cell r="E1598" t="str">
            <v>VELOZ</v>
          </cell>
          <cell r="F1598" t="str">
            <v>VELOZ</v>
          </cell>
          <cell r="G1598" t="str">
            <v>VELOZ</v>
          </cell>
          <cell r="H1598" t="str">
            <v>VELOZ Q AT HYBRID</v>
          </cell>
          <cell r="I1598" t="str">
            <v>VELOZ Q AT HYBRID MODELLISTA TSS</v>
          </cell>
          <cell r="J1598" t="str">
            <v>VELOZ Q AT HYBRID</v>
          </cell>
          <cell r="K1598" t="str">
            <v>VELOZ HYBRID</v>
          </cell>
          <cell r="M1598" t="str">
            <v>VELOZ HYBRID</v>
          </cell>
          <cell r="N1598" t="str">
            <v>VELOZ HYBRID</v>
          </cell>
          <cell r="O1598" t="str">
            <v>W102RE-LBVFJ-00</v>
          </cell>
          <cell r="P1598" t="str">
            <v>VELOZ HYBRID</v>
          </cell>
          <cell r="Q1598" t="str">
            <v>AVANZA</v>
          </cell>
          <cell r="S1598" t="str">
            <v>VELOZ</v>
          </cell>
          <cell r="T1598" t="str">
            <v>VELOZ</v>
          </cell>
          <cell r="U1598" t="str">
            <v>VELOZ Q AT HYBRID</v>
          </cell>
        </row>
        <row r="1599">
          <cell r="D1599" t="str">
            <v>W102RE-LBVFJ-00</v>
          </cell>
          <cell r="E1599" t="str">
            <v>VELOZ</v>
          </cell>
          <cell r="F1599" t="str">
            <v>VELOZ</v>
          </cell>
          <cell r="G1599" t="str">
            <v>VELOZ</v>
          </cell>
          <cell r="H1599" t="str">
            <v>VELOZ Q AT HYBRID</v>
          </cell>
          <cell r="I1599" t="str">
            <v>VELOZ Q AT HYBRID MODELLISTA TSS</v>
          </cell>
          <cell r="J1599" t="str">
            <v>VELOZ Q AT HYBRID</v>
          </cell>
          <cell r="K1599" t="str">
            <v>VELOZ HYBRID</v>
          </cell>
          <cell r="M1599" t="str">
            <v>VELOZ HYBRID</v>
          </cell>
          <cell r="N1599" t="str">
            <v>VELOZ HYBRID</v>
          </cell>
          <cell r="O1599" t="str">
            <v>W102RE-LBVFJ-00</v>
          </cell>
          <cell r="P1599" t="str">
            <v>VELOZ HYBRID</v>
          </cell>
          <cell r="Q1599" t="str">
            <v>AVANZA</v>
          </cell>
          <cell r="S1599" t="str">
            <v>VELOZ</v>
          </cell>
          <cell r="T1599" t="str">
            <v>VELOZ</v>
          </cell>
          <cell r="U1599" t="str">
            <v>VELOZ Q AT HYBRID</v>
          </cell>
        </row>
        <row r="1600">
          <cell r="D1600" t="str">
            <v>W102RE-LBVFJ-11</v>
          </cell>
          <cell r="E1600" t="str">
            <v>VELOZ</v>
          </cell>
          <cell r="F1600" t="str">
            <v>VELOZ</v>
          </cell>
          <cell r="G1600" t="str">
            <v>VELOZ</v>
          </cell>
          <cell r="H1600" t="str">
            <v>VELOZ V AT HYBRID</v>
          </cell>
          <cell r="I1600" t="str">
            <v>VELOZ V AT HYBRID</v>
          </cell>
          <cell r="J1600" t="str">
            <v>VELOZ V AT HYBRID</v>
          </cell>
          <cell r="K1600" t="str">
            <v>VELOZ HYBRID</v>
          </cell>
          <cell r="M1600" t="str">
            <v>VELOZ HYBRID</v>
          </cell>
          <cell r="N1600" t="str">
            <v>VELOZ HYBRID</v>
          </cell>
          <cell r="O1600" t="str">
            <v>W102RE-LBVFJ-11</v>
          </cell>
          <cell r="P1600" t="str">
            <v>VELOZ HYBRID</v>
          </cell>
          <cell r="Q1600" t="str">
            <v>AVANZA</v>
          </cell>
          <cell r="S1600" t="str">
            <v>VELOZ</v>
          </cell>
          <cell r="T1600" t="str">
            <v>VELOZ</v>
          </cell>
          <cell r="U1600" t="str">
            <v>VELOZ V AT HYBRID</v>
          </cell>
        </row>
        <row r="1601">
          <cell r="D1601" t="str">
            <v>W102RE-LBVFJ-10</v>
          </cell>
          <cell r="E1601" t="str">
            <v>VELOZ</v>
          </cell>
          <cell r="F1601" t="str">
            <v>VELOZ</v>
          </cell>
          <cell r="G1601" t="str">
            <v>VELOZ</v>
          </cell>
          <cell r="H1601" t="str">
            <v>VELOZ V AT HYBRID</v>
          </cell>
          <cell r="I1601" t="str">
            <v>VELOZ V AT HYBRID</v>
          </cell>
          <cell r="J1601" t="str">
            <v>VELOZ V AT HYBRID</v>
          </cell>
          <cell r="K1601" t="str">
            <v>VELOZ HYBRID</v>
          </cell>
          <cell r="M1601" t="str">
            <v>VELOZ HYBRID</v>
          </cell>
          <cell r="N1601" t="str">
            <v>VELOZ HYBRID</v>
          </cell>
          <cell r="O1601" t="str">
            <v>W102RE-LBVFJ-10</v>
          </cell>
          <cell r="P1601" t="str">
            <v>VELOZ HYBRID</v>
          </cell>
          <cell r="Q1601" t="str">
            <v>AVANZA</v>
          </cell>
          <cell r="S1601" t="str">
            <v>VELOZ</v>
          </cell>
          <cell r="T1601" t="str">
            <v>VELOZ</v>
          </cell>
          <cell r="U1601" t="str">
            <v>VELOZ V AT HYBRID</v>
          </cell>
        </row>
        <row r="1602">
          <cell r="D1602" t="str">
            <v>W102RE-LBVFJ-10</v>
          </cell>
          <cell r="E1602" t="str">
            <v>VELOZ</v>
          </cell>
          <cell r="F1602" t="str">
            <v>VELOZ</v>
          </cell>
          <cell r="G1602" t="str">
            <v>VELOZ</v>
          </cell>
          <cell r="H1602" t="str">
            <v>VELOZ V AT HYBRID</v>
          </cell>
          <cell r="I1602" t="str">
            <v>VELOZ V AT HYBRID</v>
          </cell>
          <cell r="J1602" t="str">
            <v>VELOZ V AT HYBRID</v>
          </cell>
          <cell r="K1602" t="str">
            <v>VELOZ HYBRID</v>
          </cell>
          <cell r="M1602" t="str">
            <v>VELOZ HYBRID</v>
          </cell>
          <cell r="N1602" t="str">
            <v>VELOZ HYBRID</v>
          </cell>
          <cell r="O1602" t="str">
            <v>W102RE-LBVFJ-10</v>
          </cell>
          <cell r="P1602" t="str">
            <v>VELOZ HYBRID</v>
          </cell>
          <cell r="Q1602" t="str">
            <v>AVANZA</v>
          </cell>
          <cell r="S1602" t="str">
            <v>VELOZ</v>
          </cell>
          <cell r="T1602" t="str">
            <v>VELOZ</v>
          </cell>
          <cell r="U1602" t="str">
            <v>VELOZ V AT HYBRID</v>
          </cell>
        </row>
        <row r="1603">
          <cell r="D1603" t="str">
            <v>W102RE-LBVFJ-10</v>
          </cell>
          <cell r="E1603" t="str">
            <v>VELOZ</v>
          </cell>
          <cell r="F1603" t="str">
            <v>VELOZ</v>
          </cell>
          <cell r="G1603" t="str">
            <v>VELOZ</v>
          </cell>
          <cell r="H1603" t="str">
            <v>VELOZ V AT HYBRID</v>
          </cell>
          <cell r="I1603" t="str">
            <v>VELOZ V AT HYBRID</v>
          </cell>
          <cell r="J1603" t="str">
            <v>VELOZ V AT HYBRID</v>
          </cell>
          <cell r="K1603" t="str">
            <v>VELOZ HYBRID</v>
          </cell>
          <cell r="M1603" t="str">
            <v>VELOZ HYBRID</v>
          </cell>
          <cell r="N1603" t="str">
            <v>VELOZ HYBRID</v>
          </cell>
          <cell r="O1603" t="str">
            <v>W102RE-LBVFJ-10</v>
          </cell>
          <cell r="P1603" t="str">
            <v>VELOZ HYBRID</v>
          </cell>
          <cell r="Q1603" t="str">
            <v>AVANZA</v>
          </cell>
          <cell r="S1603" t="str">
            <v>VELOZ</v>
          </cell>
          <cell r="T1603" t="str">
            <v>VELOZ</v>
          </cell>
          <cell r="U1603" t="str">
            <v>VELOZ V AT HYBRID</v>
          </cell>
        </row>
        <row r="1604">
          <cell r="D1604" t="str">
            <v>GUN112R-ATMSXD3-10</v>
          </cell>
          <cell r="E1604" t="str">
            <v>HILUX</v>
          </cell>
          <cell r="F1604" t="str">
            <v>HILUX RANGGA</v>
          </cell>
          <cell r="G1604" t="str">
            <v>HILUX RANGGA</v>
          </cell>
          <cell r="H1604" t="str">
            <v>RANGGA-HILUX CAB-CHASSIS PU DIESEL M/T</v>
          </cell>
          <cell r="I1604" t="str">
            <v>RANGGA-HILUX CAB-CHASSIS PU DIESEL STANDAR M/T</v>
          </cell>
          <cell r="J1604" t="str">
            <v>RANGGA-HILUX CAB-CHASSIS PU DIESEL STANDARD M/T</v>
          </cell>
          <cell r="K1604" t="str">
            <v>HILUX RANGGA</v>
          </cell>
          <cell r="M1604" t="str">
            <v>HILUX RANGGA</v>
          </cell>
          <cell r="N1604" t="str">
            <v>HILUX RANGGA</v>
          </cell>
          <cell r="O1604" t="str">
            <v>GUN112R-ATMSXD3-10</v>
          </cell>
          <cell r="P1604" t="str">
            <v>HILUX RANGGA</v>
          </cell>
          <cell r="Q1604" t="e">
            <v>#N/A</v>
          </cell>
          <cell r="R1604" t="str">
            <v>GUN112R-ATMSXD3-10</v>
          </cell>
          <cell r="S1604" t="str">
            <v>HILUX</v>
          </cell>
          <cell r="T1604" t="str">
            <v>HILUX</v>
          </cell>
          <cell r="U1604" t="str">
            <v>RANGGA-HILUX CAB-CHASSIS PU DIESEL M/T</v>
          </cell>
        </row>
        <row r="1605">
          <cell r="D1605" t="str">
            <v>AXVA80R-JEZVBT-00</v>
          </cell>
          <cell r="E1605" t="str">
            <v>CAMRY</v>
          </cell>
          <cell r="F1605" t="str">
            <v>CAMRY</v>
          </cell>
          <cell r="G1605" t="str">
            <v>CAMRY</v>
          </cell>
          <cell r="H1605" t="str">
            <v>CAMRY V A/T</v>
          </cell>
          <cell r="I1605" t="str">
            <v>CAMRY V A/T</v>
          </cell>
          <cell r="J1605" t="str">
            <v>CAMRY V A/T</v>
          </cell>
          <cell r="K1605" t="str">
            <v>CAMRY</v>
          </cell>
          <cell r="M1605" t="str">
            <v>CAMRY</v>
          </cell>
          <cell r="N1605" t="str">
            <v>CAMRY</v>
          </cell>
          <cell r="O1605" t="str">
            <v>AXVA80R-JEZVBT-00</v>
          </cell>
          <cell r="P1605" t="str">
            <v>CAMRY</v>
          </cell>
          <cell r="Q1605" t="e">
            <v>#N/A</v>
          </cell>
          <cell r="R1605" t="str">
            <v>AXVA80R-JEZVBT-00</v>
          </cell>
          <cell r="S1605" t="str">
            <v>CAMRY</v>
          </cell>
          <cell r="T1605" t="str">
            <v>CAMRY</v>
          </cell>
          <cell r="U1605" t="str">
            <v>CAMRY V A/T</v>
          </cell>
        </row>
        <row r="1606">
          <cell r="D1606" t="str">
            <v>GUN156R-SDTHXD-33</v>
          </cell>
          <cell r="E1606" t="str">
            <v>FORTUNER</v>
          </cell>
          <cell r="F1606" t="str">
            <v>FORTUNER 4X4</v>
          </cell>
          <cell r="G1606" t="str">
            <v>FORTUNER 4X4</v>
          </cell>
          <cell r="H1606" t="str">
            <v>FORTUNER 4X4 VRZ A/T DIESEL</v>
          </cell>
          <cell r="I1606" t="str">
            <v>FORTUNER 4X4 VRZ A/T DIESEL GR TSS</v>
          </cell>
          <cell r="J1606" t="str">
            <v>FORTUNER 4X4 VRZ A/T DIESEL GR TSS</v>
          </cell>
          <cell r="K1606" t="str">
            <v>FORTUNER 4X4</v>
          </cell>
          <cell r="M1606" t="str">
            <v>FORTUNER</v>
          </cell>
          <cell r="N1606" t="str">
            <v>FORTUNER 4X4</v>
          </cell>
          <cell r="O1606" t="str">
            <v>GUN156R-SDTHXD-33</v>
          </cell>
          <cell r="P1606" t="str">
            <v>FORTUNER 4X4</v>
          </cell>
          <cell r="Q1606" t="e">
            <v>#N/A</v>
          </cell>
          <cell r="R1606" t="str">
            <v>GUN156R-SDTHXD-33</v>
          </cell>
          <cell r="S1606" t="str">
            <v>FORTUNER</v>
          </cell>
          <cell r="T1606" t="str">
            <v>FORTUNER</v>
          </cell>
          <cell r="U1606" t="str">
            <v>FORTUNER 4X4 VRZ A/T DIESEL</v>
          </cell>
        </row>
        <row r="1607">
          <cell r="D1607" t="str">
            <v>W101RE-LMMFJ-EB</v>
          </cell>
          <cell r="E1607" t="str">
            <v>AVANZA</v>
          </cell>
          <cell r="F1607" t="str">
            <v>AVANZA</v>
          </cell>
          <cell r="G1607" t="str">
            <v>AVANZA</v>
          </cell>
          <cell r="H1607" t="str">
            <v>AVANZA G M/T</v>
          </cell>
          <cell r="I1607" t="str">
            <v>AVANZA G M/T</v>
          </cell>
          <cell r="J1607" t="str">
            <v>AVANZA G M/T TCO</v>
          </cell>
          <cell r="K1607" t="str">
            <v>AVANZA</v>
          </cell>
          <cell r="M1607" t="str">
            <v>AVANZA</v>
          </cell>
          <cell r="N1607" t="str">
            <v>AVANZA</v>
          </cell>
          <cell r="O1607" t="str">
            <v>W101RE-LMMFJ-EB</v>
          </cell>
          <cell r="P1607" t="str">
            <v>AVANZA</v>
          </cell>
          <cell r="Q1607" t="str">
            <v>AVANZA</v>
          </cell>
          <cell r="R1607" t="str">
            <v>W101RE-LMMFJ-EB</v>
          </cell>
          <cell r="S1607" t="str">
            <v>AVANZA</v>
          </cell>
          <cell r="T1607" t="str">
            <v>AVANZA</v>
          </cell>
          <cell r="U1607" t="str">
            <v>AVANZA G M/T</v>
          </cell>
        </row>
        <row r="1608">
          <cell r="D1608" t="str">
            <v>W100RE-LMDFJ-GA</v>
          </cell>
          <cell r="E1608" t="str">
            <v>AVANZA</v>
          </cell>
          <cell r="F1608" t="str">
            <v>AVANZA</v>
          </cell>
          <cell r="G1608" t="str">
            <v>AVANZA</v>
          </cell>
          <cell r="H1608" t="str">
            <v>AVANZA E M/T</v>
          </cell>
          <cell r="I1608" t="str">
            <v>AVANZA E M/T</v>
          </cell>
          <cell r="J1608" t="str">
            <v>AVANZA E M/T TCO</v>
          </cell>
          <cell r="K1608" t="str">
            <v>AVANZA</v>
          </cell>
          <cell r="M1608" t="str">
            <v>AVANZA</v>
          </cell>
          <cell r="N1608" t="str">
            <v>AVANZA</v>
          </cell>
          <cell r="O1608" t="str">
            <v>W100RE-LMDFJ-GA</v>
          </cell>
          <cell r="P1608" t="str">
            <v>AVANZA</v>
          </cell>
          <cell r="Q1608" t="str">
            <v>AVANZA</v>
          </cell>
          <cell r="R1608" t="str">
            <v>W100RE-LMDFJ-GA</v>
          </cell>
          <cell r="S1608" t="str">
            <v>AVANZA</v>
          </cell>
          <cell r="T1608" t="str">
            <v>AVANZA</v>
          </cell>
          <cell r="U1608" t="str">
            <v>AVANZA E M/T</v>
          </cell>
        </row>
        <row r="1609">
          <cell r="D1609" t="str">
            <v>GUN142R-MDMSXD-DB</v>
          </cell>
          <cell r="E1609" t="str">
            <v>INNOVA</v>
          </cell>
          <cell r="F1609" t="str">
            <v>INNOVA</v>
          </cell>
          <cell r="G1609" t="str">
            <v>INNOVA</v>
          </cell>
          <cell r="H1609" t="str">
            <v>INNOVA G M/T DIESEL</v>
          </cell>
          <cell r="I1609" t="str">
            <v>INNOVA G M/T DIESEL</v>
          </cell>
          <cell r="J1609" t="str">
            <v>INNOVA G M/T DIESEL TCO</v>
          </cell>
          <cell r="K1609" t="str">
            <v>INNOVA REBORN</v>
          </cell>
          <cell r="M1609" t="str">
            <v>INNOVA</v>
          </cell>
          <cell r="N1609" t="str">
            <v>INNOVA REBORN</v>
          </cell>
          <cell r="O1609" t="str">
            <v>GUN142R-MDMSXD-DB</v>
          </cell>
          <cell r="P1609" t="str">
            <v>INNOVA</v>
          </cell>
          <cell r="Q1609" t="str">
            <v>INNOVA OLD</v>
          </cell>
          <cell r="R1609" t="str">
            <v>GUN142R-MDMSXD-DB</v>
          </cell>
          <cell r="S1609" t="str">
            <v>INNOVA</v>
          </cell>
          <cell r="T1609" t="str">
            <v>INV REBORN</v>
          </cell>
          <cell r="U1609" t="str">
            <v>INNOVA G M/T DIESEL</v>
          </cell>
        </row>
        <row r="1610">
          <cell r="D1610" t="str">
            <v>B401RA-GMQFJ-EB</v>
          </cell>
          <cell r="E1610" t="str">
            <v>CALYA</v>
          </cell>
          <cell r="F1610" t="str">
            <v>CALYA</v>
          </cell>
          <cell r="G1610" t="str">
            <v>CALYA</v>
          </cell>
          <cell r="H1610" t="str">
            <v>CALYA E M/T</v>
          </cell>
          <cell r="I1610" t="str">
            <v>CALYA E M/T</v>
          </cell>
          <cell r="J1610" t="str">
            <v>CALYA E M/T TCO</v>
          </cell>
          <cell r="K1610" t="str">
            <v>CALYA</v>
          </cell>
          <cell r="M1610" t="str">
            <v>CALYA</v>
          </cell>
          <cell r="N1610" t="str">
            <v>CALYA</v>
          </cell>
          <cell r="O1610" t="str">
            <v>B401RA-GMQFJ-EB</v>
          </cell>
          <cell r="P1610" t="e">
            <v>#N/A</v>
          </cell>
          <cell r="Q1610" t="e">
            <v>#N/A</v>
          </cell>
          <cell r="R1610" t="str">
            <v>B401RA-GMQFJ-EB</v>
          </cell>
          <cell r="S1610" t="str">
            <v>CALYA</v>
          </cell>
          <cell r="T1610" t="str">
            <v>CALYA</v>
          </cell>
          <cell r="U1610" t="str">
            <v>CALYA E M/T</v>
          </cell>
        </row>
        <row r="1611">
          <cell r="D1611" t="str">
            <v>GUN156R-SDTHXD-32</v>
          </cell>
          <cell r="E1611" t="str">
            <v>FORTUNER</v>
          </cell>
          <cell r="F1611" t="str">
            <v>FORTUNER 4X4</v>
          </cell>
          <cell r="G1611" t="str">
            <v>FORTUNER 4X4</v>
          </cell>
          <cell r="H1611" t="str">
            <v>FORTUNER 4X4 VRZ A/T DIESEL</v>
          </cell>
          <cell r="I1611" t="str">
            <v>FORTUNER 4X4 VRZ A/T DIESEL GR TSS</v>
          </cell>
          <cell r="J1611" t="str">
            <v>FORTUNER 4X4 VRZ A/T DIESEL GR TSS</v>
          </cell>
          <cell r="K1611" t="str">
            <v>FORTUNER 4X4</v>
          </cell>
          <cell r="M1611" t="str">
            <v>FORTUNER</v>
          </cell>
          <cell r="N1611" t="str">
            <v>FORTUNER 4X4</v>
          </cell>
          <cell r="O1611" t="str">
            <v>GUN156R-SDTHXD-32</v>
          </cell>
          <cell r="P1611" t="str">
            <v>FORTUNER 4X4</v>
          </cell>
          <cell r="Q1611" t="e">
            <v>#N/A</v>
          </cell>
          <cell r="R1611" t="str">
            <v>GUN156R-SDTHXD-32</v>
          </cell>
          <cell r="S1611" t="str">
            <v>FORTUNER</v>
          </cell>
          <cell r="T1611" t="str">
            <v>FORTUNER</v>
          </cell>
          <cell r="U1611" t="str">
            <v>FORTUNER 4X4 VRZ A/T DIESEL</v>
          </cell>
        </row>
        <row r="1612">
          <cell r="D1612" t="str">
            <v>GUN142R-MDMSXD-30</v>
          </cell>
          <cell r="E1612" t="str">
            <v>INNOVA</v>
          </cell>
          <cell r="F1612" t="str">
            <v>INNOVA</v>
          </cell>
          <cell r="G1612" t="str">
            <v>INNOVA</v>
          </cell>
          <cell r="H1612" t="str">
            <v>INNOVA G M/T DIESEL</v>
          </cell>
          <cell r="I1612" t="str">
            <v>INNOVA G M/T DIESEL</v>
          </cell>
          <cell r="J1612" t="str">
            <v xml:space="preserve">INNOVA G M/T DIESEL </v>
          </cell>
          <cell r="K1612" t="str">
            <v>INNOVA REBORN</v>
          </cell>
          <cell r="M1612" t="str">
            <v>INNOVA</v>
          </cell>
          <cell r="N1612" t="str">
            <v>INNOVA REBORN</v>
          </cell>
          <cell r="O1612" t="str">
            <v>GUN142R-MDMSXD-30</v>
          </cell>
          <cell r="P1612" t="str">
            <v>INNOVA</v>
          </cell>
          <cell r="Q1612" t="str">
            <v>INNOVA OLD</v>
          </cell>
          <cell r="R1612" t="str">
            <v>GUN142R-MDMSXD-30</v>
          </cell>
          <cell r="S1612" t="str">
            <v>INNOVA</v>
          </cell>
          <cell r="T1612" t="str">
            <v>INV REBORN</v>
          </cell>
          <cell r="U1612" t="str">
            <v>INNOVA G M/T DIESEL</v>
          </cell>
        </row>
        <row r="1613">
          <cell r="D1613" t="str">
            <v>GUN142R-MDTSXD-30</v>
          </cell>
          <cell r="E1613" t="str">
            <v>INNOVA</v>
          </cell>
          <cell r="F1613" t="str">
            <v>INNOVA</v>
          </cell>
          <cell r="G1613" t="str">
            <v>INNOVA</v>
          </cell>
          <cell r="H1613" t="str">
            <v>INNOVA G A/T DIESEL</v>
          </cell>
          <cell r="I1613" t="str">
            <v>INNOVA G A/T DIESEL</v>
          </cell>
          <cell r="J1613" t="str">
            <v>INNOVA G A/T DIESEL</v>
          </cell>
          <cell r="K1613" t="str">
            <v>INNOVA REBORN</v>
          </cell>
          <cell r="M1613" t="str">
            <v>INNOVA</v>
          </cell>
          <cell r="N1613" t="str">
            <v>INNOVA REBORN</v>
          </cell>
          <cell r="O1613" t="str">
            <v>GUN142R-MDTSXD-30</v>
          </cell>
          <cell r="P1613" t="str">
            <v>INNOVA</v>
          </cell>
          <cell r="Q1613" t="str">
            <v>INNOVA OLD</v>
          </cell>
          <cell r="R1613" t="str">
            <v>GUN142R-MDTSXD-30</v>
          </cell>
          <cell r="S1613" t="str">
            <v>INNOVA</v>
          </cell>
          <cell r="T1613" t="str">
            <v>INV REBORN</v>
          </cell>
          <cell r="U1613" t="str">
            <v>INNOVA G A/T DIESEL</v>
          </cell>
        </row>
        <row r="1614">
          <cell r="D1614" t="str">
            <v>MAGH10R-BRXMBD-FD</v>
          </cell>
          <cell r="E1614" t="str">
            <v>INNOVA</v>
          </cell>
          <cell r="F1614" t="str">
            <v>INNOVA</v>
          </cell>
          <cell r="G1614" t="str">
            <v>INNOVA</v>
          </cell>
          <cell r="H1614" t="str">
            <v>INNOVA ZENIX V A/T HYBRID</v>
          </cell>
          <cell r="I1614" t="str">
            <v>INNOVA ZENIX V A/T HYBRID</v>
          </cell>
          <cell r="J1614" t="str">
            <v>INNOVA ZENIX V A/T HYBRID TCO</v>
          </cell>
          <cell r="K1614" t="str">
            <v>INNOVA ZENIX HYBRID</v>
          </cell>
          <cell r="N1614" t="str">
            <v>INNOVA ZENIX HYBRID</v>
          </cell>
          <cell r="O1614" t="str">
            <v>MAGH10R-BRXMBD-FD</v>
          </cell>
          <cell r="P1614" t="str">
            <v>INNOVA ZENIX HYBRID</v>
          </cell>
          <cell r="Q1614" t="str">
            <v>INNOVA ZENIX HYBRID</v>
          </cell>
          <cell r="R1614" t="str">
            <v>MAGH10R-BRXMBD-FD</v>
          </cell>
          <cell r="S1614" t="str">
            <v>INNOVA</v>
          </cell>
          <cell r="T1614" t="str">
            <v>INV ZENIX HYBRID</v>
          </cell>
          <cell r="U1614" t="str">
            <v>INNOVA ZENIX V A/T HYBRID</v>
          </cell>
        </row>
        <row r="1615">
          <cell r="D1615" t="str">
            <v>GUN156R-SDTHXD-GC</v>
          </cell>
          <cell r="E1615" t="str">
            <v>FORTUNER</v>
          </cell>
          <cell r="F1615" t="str">
            <v>FORTUNER 4X4</v>
          </cell>
          <cell r="G1615" t="str">
            <v>FORTUNER 4X4</v>
          </cell>
          <cell r="H1615" t="str">
            <v>FORTUNER 4X4 VRZ A/T DIESEL</v>
          </cell>
          <cell r="I1615" t="str">
            <v>FORTUNER 4X4 VRZ A/T DIESEL GR TSS</v>
          </cell>
          <cell r="J1615" t="str">
            <v>FORTUNER 4X4 VRZ A/T DIESEL GR TSS TCO</v>
          </cell>
          <cell r="K1615" t="str">
            <v>FORTUNER 4X4</v>
          </cell>
          <cell r="M1615" t="str">
            <v>FORTUNER</v>
          </cell>
          <cell r="N1615" t="str">
            <v>FORTUNER 4X4</v>
          </cell>
          <cell r="O1615" t="str">
            <v>GUN156R-SDTHXD-GC</v>
          </cell>
          <cell r="P1615" t="str">
            <v>FORTUNER 4X4</v>
          </cell>
          <cell r="Q1615" t="e">
            <v>#N/A</v>
          </cell>
          <cell r="R1615" t="str">
            <v>GUN156R-SDTHXD-GC</v>
          </cell>
          <cell r="S1615" t="str">
            <v>FORTUNER</v>
          </cell>
          <cell r="T1615" t="str">
            <v>FORTUNER</v>
          </cell>
          <cell r="U1615" t="str">
            <v>FORTUNER 4X4 VRZ A/T DIESEL</v>
          </cell>
        </row>
        <row r="1616">
          <cell r="D1616" t="str">
            <v>F800RE-GQMFJ-BA</v>
          </cell>
          <cell r="E1616" t="str">
            <v>RUSH</v>
          </cell>
          <cell r="F1616" t="str">
            <v>RUSH</v>
          </cell>
          <cell r="G1616" t="str">
            <v>RUSH</v>
          </cell>
          <cell r="H1616" t="str">
            <v>RUSH G A/T</v>
          </cell>
          <cell r="I1616" t="str">
            <v>RUSH G A/T</v>
          </cell>
          <cell r="J1616" t="str">
            <v>RUSH G A/T TCO</v>
          </cell>
          <cell r="K1616" t="str">
            <v>RUSH</v>
          </cell>
          <cell r="M1616" t="str">
            <v>RUSH</v>
          </cell>
          <cell r="N1616" t="str">
            <v>RUSH</v>
          </cell>
          <cell r="O1616" t="str">
            <v>F800RE-GQMFJ-BA</v>
          </cell>
          <cell r="P1616" t="str">
            <v>RUSH</v>
          </cell>
          <cell r="Q1616" t="str">
            <v>RUSH</v>
          </cell>
          <cell r="R1616" t="str">
            <v>F800RE-GQMFJ-BA</v>
          </cell>
          <cell r="S1616" t="str">
            <v>RUSH</v>
          </cell>
          <cell r="T1616" t="str">
            <v>RUSH</v>
          </cell>
          <cell r="U1616" t="str">
            <v>RUSH G A/T</v>
          </cell>
        </row>
        <row r="1617">
          <cell r="D1617" t="str">
            <v>GUN156R-SDTHXD-35</v>
          </cell>
          <cell r="E1617" t="str">
            <v>FORTUNER</v>
          </cell>
          <cell r="F1617" t="str">
            <v>FORTUNER 4X4</v>
          </cell>
          <cell r="G1617" t="str">
            <v>FORTUNER 4X4</v>
          </cell>
          <cell r="H1617" t="str">
            <v>FORTUNER 4X4 VRZ A/T DIESEL</v>
          </cell>
          <cell r="I1617" t="str">
            <v>FORTUNER 4X4 VRZ A/T DIESEL GR TSS</v>
          </cell>
          <cell r="J1617" t="str">
            <v>FORTUNER 4X4 VRZ A/T DIESEL GR TSS</v>
          </cell>
          <cell r="K1617" t="str">
            <v>FORTUNER 4X4</v>
          </cell>
          <cell r="M1617" t="str">
            <v>FORTUNER</v>
          </cell>
          <cell r="N1617" t="str">
            <v>FORTUNER 4X4</v>
          </cell>
          <cell r="O1617" t="str">
            <v>GUN156R-SDTHXD-35</v>
          </cell>
          <cell r="P1617" t="str">
            <v>FORTUNER 4X4</v>
          </cell>
          <cell r="Q1617" t="e">
            <v>#N/A</v>
          </cell>
          <cell r="R1617" t="str">
            <v>GUN156R-SDTHXD-35</v>
          </cell>
          <cell r="S1617" t="str">
            <v>FORTUNER</v>
          </cell>
          <cell r="T1617" t="str">
            <v>FORTUNER</v>
          </cell>
          <cell r="U1617" t="str">
            <v>FORTUNER 4X4 VRZ A/T DIESEL</v>
          </cell>
        </row>
        <row r="1618">
          <cell r="D1618" t="str">
            <v>MAGA10R-BRXMBD-10</v>
          </cell>
          <cell r="E1618" t="str">
            <v>INNOVA</v>
          </cell>
          <cell r="F1618" t="str">
            <v>INNOVA</v>
          </cell>
          <cell r="G1618" t="str">
            <v>INNOVA</v>
          </cell>
          <cell r="H1618" t="str">
            <v>INNOVA ZENIX V A/T</v>
          </cell>
          <cell r="I1618" t="str">
            <v>INNOVA ZENIX V A/T</v>
          </cell>
          <cell r="J1618" t="str">
            <v>INNOVA ZENIX V A/T</v>
          </cell>
          <cell r="K1618" t="str">
            <v>INNOVA ZENIX GAS</v>
          </cell>
          <cell r="N1618" t="str">
            <v>INNOVA ZENIX GAS</v>
          </cell>
          <cell r="O1618" t="str">
            <v>MAGA10R-BRXMBD-10</v>
          </cell>
          <cell r="P1618" t="str">
            <v>INNOVA ZENIX</v>
          </cell>
          <cell r="Q1618" t="str">
            <v>INNOVA ZENIX V BENSIN</v>
          </cell>
          <cell r="R1618" t="str">
            <v>MAGA10R-BRXMBD-10</v>
          </cell>
          <cell r="S1618" t="str">
            <v>INNOVA</v>
          </cell>
          <cell r="T1618" t="str">
            <v>INV ZENIX GAS</v>
          </cell>
          <cell r="U1618" t="str">
            <v>INNOVA ZENIX V A/T</v>
          </cell>
        </row>
        <row r="1619">
          <cell r="D1619" t="str">
            <v>MAGA10R-BRXMBD-11</v>
          </cell>
          <cell r="E1619" t="str">
            <v>INNOVA</v>
          </cell>
          <cell r="F1619" t="str">
            <v>INNOVA</v>
          </cell>
          <cell r="G1619" t="str">
            <v>INNOVA</v>
          </cell>
          <cell r="H1619" t="str">
            <v>INNOVA ZENIX V A/T</v>
          </cell>
          <cell r="I1619" t="str">
            <v>INNOVA ZENIX V A/T</v>
          </cell>
          <cell r="J1619" t="str">
            <v>INNOVA ZENIX V A/T</v>
          </cell>
          <cell r="K1619" t="str">
            <v>INNOVA ZENIX GAS</v>
          </cell>
          <cell r="M1619" t="str">
            <v>INNOVA</v>
          </cell>
          <cell r="N1619" t="str">
            <v>INNOVA ZENIX GAS</v>
          </cell>
          <cell r="O1619" t="str">
            <v>MAGA10R-BRXMBD-11</v>
          </cell>
          <cell r="P1619" t="str">
            <v>INNOVA ZENIX</v>
          </cell>
          <cell r="Q1619" t="str">
            <v>INNOVA ZENIX V BENSIN</v>
          </cell>
          <cell r="R1619" t="str">
            <v>MAGA10R-BRXMBD-11</v>
          </cell>
          <cell r="S1619" t="str">
            <v>INNOVA</v>
          </cell>
          <cell r="T1619" t="str">
            <v>INV ZENIX GAS</v>
          </cell>
          <cell r="U1619" t="str">
            <v>INNOVA ZENIX V A/T</v>
          </cell>
        </row>
        <row r="1620">
          <cell r="D1620" t="str">
            <v>A250RA-GBVVJ-30</v>
          </cell>
          <cell r="E1620" t="str">
            <v>RAIZE</v>
          </cell>
          <cell r="F1620" t="str">
            <v>RAIZE</v>
          </cell>
          <cell r="G1620" t="str">
            <v>RAIZE</v>
          </cell>
          <cell r="H1620" t="str">
            <v>RAIZE S A/T</v>
          </cell>
          <cell r="I1620" t="str">
            <v>RAIZE 1.0T S A/T GR</v>
          </cell>
          <cell r="J1620" t="str">
            <v>RAIZE 1.0T S A/T GR - ONE TONE</v>
          </cell>
          <cell r="K1620" t="str">
            <v>RAIZE</v>
          </cell>
          <cell r="M1620" t="str">
            <v>RAIZE</v>
          </cell>
          <cell r="N1620" t="str">
            <v>RAIZE</v>
          </cell>
          <cell r="O1620" t="str">
            <v>A250RA-GBVVJ-30</v>
          </cell>
          <cell r="P1620" t="str">
            <v>RAIZE</v>
          </cell>
          <cell r="Q1620" t="e">
            <v>#N/A</v>
          </cell>
          <cell r="R1620" t="str">
            <v>A250RA-GBVVJ-30</v>
          </cell>
          <cell r="S1620" t="str">
            <v>RAIZE</v>
          </cell>
          <cell r="T1620" t="str">
            <v>RAIZE</v>
          </cell>
          <cell r="U1620" t="str">
            <v>RAIZE S A/T</v>
          </cell>
        </row>
        <row r="1621">
          <cell r="D1621" t="str">
            <v>A250RA-GBVVJ-31</v>
          </cell>
          <cell r="E1621" t="str">
            <v>RAIZE</v>
          </cell>
          <cell r="F1621" t="str">
            <v>RAIZE</v>
          </cell>
          <cell r="G1621" t="str">
            <v>RAIZE</v>
          </cell>
          <cell r="H1621" t="str">
            <v>RAIZE S A/T</v>
          </cell>
          <cell r="I1621" t="str">
            <v>RAIZE 1.0T S A/T GR</v>
          </cell>
          <cell r="J1621" t="str">
            <v>RAIZE 1.0T S A/T GR - TWO TONE</v>
          </cell>
          <cell r="K1621" t="str">
            <v>RAIZE</v>
          </cell>
          <cell r="M1621" t="str">
            <v>RAIZE</v>
          </cell>
          <cell r="N1621" t="str">
            <v>RAIZE</v>
          </cell>
          <cell r="O1621" t="str">
            <v>A250RA-GBVVJ-31</v>
          </cell>
          <cell r="P1621" t="str">
            <v>RAIZE</v>
          </cell>
          <cell r="Q1621" t="e">
            <v>#N/A</v>
          </cell>
          <cell r="R1621" t="str">
            <v>A250RA-GBVVJ-31</v>
          </cell>
          <cell r="S1621" t="str">
            <v>RAIZE</v>
          </cell>
          <cell r="T1621" t="str">
            <v>RAIZE</v>
          </cell>
          <cell r="U1621" t="str">
            <v>RAIZE S A/T</v>
          </cell>
        </row>
        <row r="1622">
          <cell r="D1622" t="str">
            <v>A250RA-GBVVJ-33</v>
          </cell>
          <cell r="E1622" t="str">
            <v>RAIZE</v>
          </cell>
          <cell r="F1622" t="str">
            <v>RAIZE</v>
          </cell>
          <cell r="G1622" t="str">
            <v>RAIZE</v>
          </cell>
          <cell r="H1622" t="str">
            <v>RAIZE S A/T</v>
          </cell>
          <cell r="I1622" t="str">
            <v>RAIZE 1.0T S A/T GR TSS</v>
          </cell>
          <cell r="J1622" t="str">
            <v>RAIZE 1.0T S A/T GR TSS - TWO TONE</v>
          </cell>
          <cell r="K1622" t="str">
            <v>RAIZE</v>
          </cell>
          <cell r="M1622" t="str">
            <v>RAIZE</v>
          </cell>
          <cell r="N1622" t="str">
            <v>RAIZE</v>
          </cell>
          <cell r="O1622" t="str">
            <v>A250RA-GBVVJ-33</v>
          </cell>
          <cell r="P1622" t="str">
            <v>RAIZE</v>
          </cell>
          <cell r="Q1622" t="e">
            <v>#N/A</v>
          </cell>
          <cell r="R1622" t="str">
            <v>A250RA-GBVVJ-33</v>
          </cell>
          <cell r="S1622" t="str">
            <v>RAIZE</v>
          </cell>
          <cell r="T1622" t="str">
            <v>RAIZE</v>
          </cell>
          <cell r="U1622" t="str">
            <v>RAIZE S A/T</v>
          </cell>
        </row>
        <row r="1623">
          <cell r="D1623" t="str">
            <v>A250RA-GBXVJ-10</v>
          </cell>
          <cell r="E1623" t="str">
            <v>RAIZE</v>
          </cell>
          <cell r="F1623" t="str">
            <v>RAIZE</v>
          </cell>
          <cell r="G1623" t="str">
            <v>RAIZE</v>
          </cell>
          <cell r="H1623" t="str">
            <v>RAIZE G A/T</v>
          </cell>
          <cell r="I1623" t="str">
            <v>RAIZE 1.0T G A/T</v>
          </cell>
          <cell r="J1623" t="str">
            <v>RAIZE 1.0T G A/T ONE TONE</v>
          </cell>
          <cell r="K1623" t="str">
            <v>RAIZE</v>
          </cell>
          <cell r="M1623" t="str">
            <v>RAIZE</v>
          </cell>
          <cell r="N1623" t="str">
            <v>RAIZE</v>
          </cell>
          <cell r="O1623" t="str">
            <v>A250RA-GBXVJ-10</v>
          </cell>
          <cell r="P1623" t="str">
            <v>RAIZE</v>
          </cell>
          <cell r="Q1623" t="e">
            <v>#N/A</v>
          </cell>
          <cell r="R1623" t="str">
            <v>A250RA-GBXVJ-10</v>
          </cell>
          <cell r="S1623" t="str">
            <v>RAIZE</v>
          </cell>
          <cell r="T1623" t="str">
            <v>RAIZE</v>
          </cell>
          <cell r="U1623" t="str">
            <v>RAIZE G A/T</v>
          </cell>
        </row>
        <row r="1624">
          <cell r="D1624" t="str">
            <v>A251RA-GBXFJ-10</v>
          </cell>
          <cell r="E1624" t="str">
            <v>RAIZE</v>
          </cell>
          <cell r="F1624" t="str">
            <v>RAIZE</v>
          </cell>
          <cell r="G1624" t="str">
            <v>RAIZE</v>
          </cell>
          <cell r="H1624" t="str">
            <v>RAIZE G A/T</v>
          </cell>
          <cell r="I1624" t="str">
            <v>RAIZE 1.2 G A/T</v>
          </cell>
          <cell r="J1624" t="str">
            <v>RAIZE 1.2 G A/T ONE TONE</v>
          </cell>
          <cell r="K1624" t="str">
            <v>RAIZE</v>
          </cell>
          <cell r="M1624" t="str">
            <v>RAIZE</v>
          </cell>
          <cell r="N1624" t="str">
            <v>RAIZE</v>
          </cell>
          <cell r="O1624" t="str">
            <v>A251RA-GBXFJ-10</v>
          </cell>
          <cell r="P1624" t="str">
            <v>RAIZE</v>
          </cell>
          <cell r="Q1624" t="e">
            <v>#N/A</v>
          </cell>
          <cell r="R1624" t="str">
            <v>A251RA-GBXFJ-10</v>
          </cell>
          <cell r="S1624" t="str">
            <v>RAIZE</v>
          </cell>
          <cell r="T1624" t="str">
            <v>RAIZE</v>
          </cell>
          <cell r="U1624" t="str">
            <v>RAIZE G A/T</v>
          </cell>
        </row>
        <row r="1625">
          <cell r="D1625" t="str">
            <v>GUN110R-ATTHXD3-10</v>
          </cell>
          <cell r="E1625" t="str">
            <v>HILUX</v>
          </cell>
          <cell r="F1625" t="str">
            <v>HILUX RANGGA</v>
          </cell>
          <cell r="G1625" t="str">
            <v>HILUX RANGGA</v>
          </cell>
          <cell r="H1625" t="str">
            <v>RANGGA-HILUX CAB-CHASSIS PU DIESEL A/T</v>
          </cell>
          <cell r="I1625" t="str">
            <v>RANGGA-HILUX CAB-CHASSIS PU DIESEL HIGH A/T</v>
          </cell>
          <cell r="J1625" t="str">
            <v>RANGGA-HILUX CAB-CHASSIS PU DIESEL HIGH A/T</v>
          </cell>
          <cell r="K1625" t="str">
            <v>HILUX RANGGA</v>
          </cell>
          <cell r="M1625" t="str">
            <v>HILUX RANGGA</v>
          </cell>
          <cell r="N1625" t="str">
            <v>HILUX RANGGA</v>
          </cell>
          <cell r="O1625" t="str">
            <v>GUN110R-ATTHXD3-10</v>
          </cell>
          <cell r="P1625" t="str">
            <v>HILUX RANGGA</v>
          </cell>
          <cell r="Q1625" t="e">
            <v>#N/A</v>
          </cell>
          <cell r="R1625" t="str">
            <v>GUN110R-ATTHXD3-10</v>
          </cell>
          <cell r="S1625" t="str">
            <v>HILUX</v>
          </cell>
          <cell r="T1625" t="str">
            <v>HILUX</v>
          </cell>
          <cell r="U1625" t="str">
            <v>RANGGA-HILUX CAB-CHASSIS PU DIESEL A/T</v>
          </cell>
        </row>
        <row r="1626">
          <cell r="D1626" t="str">
            <v>A251RA-GMXFJ-10</v>
          </cell>
          <cell r="E1626" t="str">
            <v>RAIZE</v>
          </cell>
          <cell r="F1626" t="str">
            <v>RAIZE</v>
          </cell>
          <cell r="G1626" t="str">
            <v>RAIZE</v>
          </cell>
          <cell r="H1626" t="str">
            <v>RAIZE G M/T</v>
          </cell>
          <cell r="I1626" t="str">
            <v>RAIZE 1.2 G M/T</v>
          </cell>
          <cell r="J1626" t="str">
            <v>RAIZE 1.2 G M/T ONE TONE</v>
          </cell>
          <cell r="K1626" t="str">
            <v>RAIZE</v>
          </cell>
          <cell r="M1626" t="str">
            <v>RAIZE</v>
          </cell>
          <cell r="N1626" t="str">
            <v>RAIZE</v>
          </cell>
          <cell r="O1626" t="str">
            <v>A251RA-GMXFJ-10</v>
          </cell>
          <cell r="P1626" t="str">
            <v>RAIZE</v>
          </cell>
          <cell r="Q1626" t="e">
            <v>#N/A</v>
          </cell>
          <cell r="R1626" t="str">
            <v>A251RA-GMXFJ-10</v>
          </cell>
          <cell r="S1626" t="str">
            <v>RAIZE</v>
          </cell>
          <cell r="T1626" t="str">
            <v>RAIZE</v>
          </cell>
          <cell r="U1626" t="str">
            <v>RAIZE G M/T</v>
          </cell>
        </row>
        <row r="1627">
          <cell r="D1627" t="str">
            <v>XEAM11R-DWDHQW-00</v>
          </cell>
          <cell r="E1627" t="str">
            <v>BZ4X</v>
          </cell>
          <cell r="F1627" t="str">
            <v>BZ4X</v>
          </cell>
          <cell r="G1627" t="str">
            <v>BZ4X</v>
          </cell>
          <cell r="H1627" t="str">
            <v>BZ4X A/T</v>
          </cell>
          <cell r="I1627" t="str">
            <v>BZ4X A/T</v>
          </cell>
          <cell r="J1627" t="str">
            <v>BZ4X A/T</v>
          </cell>
          <cell r="K1627" t="str">
            <v>BZ4X</v>
          </cell>
          <cell r="M1627" t="str">
            <v>BZ4X</v>
          </cell>
          <cell r="N1627" t="str">
            <v>BZ4X</v>
          </cell>
          <cell r="O1627" t="str">
            <v>XEAM11R-DWDHQW-00</v>
          </cell>
          <cell r="P1627" t="str">
            <v>BZ4X</v>
          </cell>
          <cell r="Q1627" t="e">
            <v>#N/A</v>
          </cell>
          <cell r="R1627" t="str">
            <v>XEAM11R-DWDHQW-00</v>
          </cell>
          <cell r="S1627" t="str">
            <v>BZ4X</v>
          </cell>
          <cell r="T1627" t="str">
            <v>BZ4X</v>
          </cell>
          <cell r="U1627" t="str">
            <v>BZ4X A/T</v>
          </cell>
        </row>
        <row r="1628">
          <cell r="D1628" t="str">
            <v>AAHH40R-PFXLB-02</v>
          </cell>
          <cell r="E1628" t="str">
            <v>ALPHARD</v>
          </cell>
          <cell r="F1628" t="str">
            <v>ALPHARD</v>
          </cell>
          <cell r="G1628" t="str">
            <v>ALPHARD</v>
          </cell>
          <cell r="H1628" t="str">
            <v>ALPHARD A/T HYBRID</v>
          </cell>
          <cell r="I1628" t="str">
            <v>ALPHARD XE A/T HYBRID</v>
          </cell>
          <cell r="J1628" t="str">
            <v>ALPHARD XE A/T HYBRID</v>
          </cell>
          <cell r="K1628" t="str">
            <v>ALPHARD HYBRID</v>
          </cell>
          <cell r="M1628" t="str">
            <v>ALPHARD</v>
          </cell>
          <cell r="N1628" t="str">
            <v>ALPHARD HYBRID</v>
          </cell>
          <cell r="O1628" t="str">
            <v>AAHH40R-PFXLB-02</v>
          </cell>
          <cell r="P1628" t="str">
            <v>ALPHARD HYBRID</v>
          </cell>
          <cell r="Q1628" t="e">
            <v>#N/A</v>
          </cell>
          <cell r="R1628" t="str">
            <v>AAHH40R-PFXLB-02</v>
          </cell>
          <cell r="S1628" t="str">
            <v>ALPHARD</v>
          </cell>
          <cell r="T1628" t="str">
            <v>ALPHARD HYBRID</v>
          </cell>
          <cell r="U1628" t="str">
            <v>ALPHARD A/T HYBRID</v>
          </cell>
        </row>
        <row r="1629">
          <cell r="D1629" t="str">
            <v>AAHH40R-PFXLB-03</v>
          </cell>
          <cell r="E1629" t="str">
            <v>ALPHARD</v>
          </cell>
          <cell r="F1629" t="str">
            <v>ALPHARD</v>
          </cell>
          <cell r="G1629" t="str">
            <v>ALPHARD</v>
          </cell>
          <cell r="H1629" t="str">
            <v>ALPHARD A/T HYBRID</v>
          </cell>
          <cell r="I1629" t="str">
            <v>ALPHARD XE A/T HYBRID</v>
          </cell>
          <cell r="J1629" t="str">
            <v>ALPHARD XE A/T HYBRID</v>
          </cell>
          <cell r="K1629" t="str">
            <v>ALPHARD HYBRID</v>
          </cell>
          <cell r="M1629" t="str">
            <v>ALPHARD</v>
          </cell>
          <cell r="N1629" t="str">
            <v>ALPHARD HYBRID</v>
          </cell>
          <cell r="O1629" t="str">
            <v>AAHH40R-PFXLB-03</v>
          </cell>
          <cell r="P1629" t="str">
            <v>ALPHARD HYBRID</v>
          </cell>
          <cell r="Q1629" t="e">
            <v>#N/A</v>
          </cell>
          <cell r="R1629" t="str">
            <v>AAHH40R-PFXLB-03</v>
          </cell>
          <cell r="S1629" t="str">
            <v>ALPHARD</v>
          </cell>
          <cell r="T1629" t="str">
            <v>ALPHARD HYBRID</v>
          </cell>
          <cell r="U1629" t="str">
            <v>ALPHARD A/T HYBRID</v>
          </cell>
        </row>
        <row r="1630">
          <cell r="D1630" t="str">
            <v>GUN112R-ATMHXD-12</v>
          </cell>
          <cell r="E1630" t="str">
            <v>HILUX</v>
          </cell>
          <cell r="F1630" t="str">
            <v>HILUX RANGGA</v>
          </cell>
          <cell r="G1630" t="str">
            <v>HILUX RANGGA</v>
          </cell>
          <cell r="H1630" t="str">
            <v>RANGGA-HILUX PU DIESEL M/T</v>
          </cell>
          <cell r="I1630" t="str">
            <v>RANGGA-HILUX PU DIESEL HIGHT M/T</v>
          </cell>
          <cell r="J1630" t="str">
            <v>RANGGA-HILUX PU DIESEL HIGHT M/T</v>
          </cell>
          <cell r="K1630" t="str">
            <v>HILUX RANGGA</v>
          </cell>
          <cell r="M1630" t="str">
            <v>HILUX RANGGA</v>
          </cell>
          <cell r="N1630" t="str">
            <v>HILUX RANGGA</v>
          </cell>
          <cell r="O1630" t="str">
            <v>GUN112R-ATMHXD-12</v>
          </cell>
          <cell r="P1630" t="str">
            <v>HILUX RANGGA</v>
          </cell>
          <cell r="Q1630" t="e">
            <v>#N/A</v>
          </cell>
          <cell r="R1630" t="str">
            <v>GUN112R-ATMHXD-12</v>
          </cell>
          <cell r="S1630" t="str">
            <v>HILUX</v>
          </cell>
          <cell r="T1630" t="str">
            <v>HILUX</v>
          </cell>
          <cell r="U1630" t="str">
            <v>RANGGA-HILUX PU DIESEL M/T</v>
          </cell>
        </row>
        <row r="1631">
          <cell r="D1631" t="str">
            <v>MZRA90R-BPXRH-11</v>
          </cell>
          <cell r="E1631" t="str">
            <v>VOXY</v>
          </cell>
          <cell r="F1631" t="str">
            <v>VOXY</v>
          </cell>
          <cell r="G1631" t="str">
            <v>VOXY</v>
          </cell>
          <cell r="H1631" t="str">
            <v>VOXY 2.0 A/T</v>
          </cell>
          <cell r="I1631" t="str">
            <v>VOXY 2.0 A/T</v>
          </cell>
          <cell r="J1631" t="str">
            <v>VOXY 2.0 A/T</v>
          </cell>
          <cell r="K1631" t="str">
            <v>VOXY</v>
          </cell>
          <cell r="M1631" t="str">
            <v>VOXY</v>
          </cell>
          <cell r="N1631" t="str">
            <v>VOXY</v>
          </cell>
          <cell r="O1631" t="str">
            <v>MZRA90R-BPXRH-11</v>
          </cell>
          <cell r="P1631" t="str">
            <v>VOXY</v>
          </cell>
          <cell r="Q1631" t="e">
            <v>#N/A</v>
          </cell>
          <cell r="R1631" t="str">
            <v>MZRA90R-BPXRH-11</v>
          </cell>
          <cell r="S1631" t="str">
            <v>VOXY</v>
          </cell>
          <cell r="T1631" t="str">
            <v>VOXY</v>
          </cell>
          <cell r="U1631" t="str">
            <v>VOXY 2.0 A/T</v>
          </cell>
        </row>
        <row r="1632">
          <cell r="D1632" t="str">
            <v>ZN8-EKE7-00</v>
          </cell>
          <cell r="E1632" t="str">
            <v>FT86</v>
          </cell>
          <cell r="F1632" t="str">
            <v>FT86</v>
          </cell>
          <cell r="G1632" t="str">
            <v>FT86</v>
          </cell>
          <cell r="H1632" t="str">
            <v>GR 86 A/T</v>
          </cell>
          <cell r="I1632" t="str">
            <v>GR 86 A/T</v>
          </cell>
          <cell r="J1632" t="str">
            <v>GR 86 A/T</v>
          </cell>
          <cell r="K1632" t="str">
            <v>FT86</v>
          </cell>
          <cell r="M1632" t="str">
            <v>FT86</v>
          </cell>
          <cell r="N1632" t="str">
            <v>FT86</v>
          </cell>
          <cell r="O1632" t="str">
            <v>ZN8-EKE7-00</v>
          </cell>
          <cell r="P1632" t="str">
            <v>FT86</v>
          </cell>
          <cell r="Q1632" t="e">
            <v>#N/A</v>
          </cell>
          <cell r="R1632" t="str">
            <v>ZN8-EKE7-00</v>
          </cell>
          <cell r="S1632" t="str">
            <v>FT86</v>
          </cell>
          <cell r="T1632" t="str">
            <v>FT86</v>
          </cell>
          <cell r="U1632" t="str">
            <v>FT 86 A/T</v>
          </cell>
        </row>
        <row r="1633">
          <cell r="D1633" t="str">
            <v>AAHH40R-PFXZB-10</v>
          </cell>
          <cell r="E1633" t="str">
            <v>VELLFIRE</v>
          </cell>
          <cell r="F1633" t="str">
            <v>VELLFIRE</v>
          </cell>
          <cell r="G1633" t="str">
            <v>VELLFIRE</v>
          </cell>
          <cell r="H1633" t="str">
            <v>VELLFIRE A/T HYBRID</v>
          </cell>
          <cell r="I1633" t="str">
            <v>VELLFIRE A/T HYBRID</v>
          </cell>
          <cell r="J1633" t="str">
            <v>VELLFIRE A/T HYBRID</v>
          </cell>
          <cell r="K1633" t="str">
            <v>VELLFIRE</v>
          </cell>
          <cell r="M1633" t="str">
            <v>VELLFIRE</v>
          </cell>
          <cell r="N1633" t="str">
            <v>VELLFIRE</v>
          </cell>
          <cell r="O1633" t="str">
            <v>AAHH40R-PFXZB-10</v>
          </cell>
          <cell r="P1633" t="str">
            <v>VELLFIRE</v>
          </cell>
          <cell r="Q1633" t="e">
            <v>#N/A</v>
          </cell>
          <cell r="R1633" t="str">
            <v>AAHH40R-PFXZB-10</v>
          </cell>
          <cell r="S1633" t="str">
            <v>VELLFIRE</v>
          </cell>
          <cell r="T1633" t="str">
            <v>VELLFIRE</v>
          </cell>
          <cell r="U1633" t="str">
            <v>VELLFIRE A/T HYBRID</v>
          </cell>
        </row>
        <row r="1634">
          <cell r="D1634" t="str">
            <v>AAHH40R-PFXZB-11</v>
          </cell>
          <cell r="E1634" t="str">
            <v>VELLFIRE</v>
          </cell>
          <cell r="F1634" t="str">
            <v>VELLFIRE</v>
          </cell>
          <cell r="G1634" t="str">
            <v>VELLFIRE</v>
          </cell>
          <cell r="H1634" t="str">
            <v>VELLFIRE A/T HYBRID</v>
          </cell>
          <cell r="I1634" t="str">
            <v>VELLFIRE A/T HYBRID</v>
          </cell>
          <cell r="J1634" t="str">
            <v>VELLFIRE A/T HYBRID</v>
          </cell>
          <cell r="K1634" t="str">
            <v>VELLFIRE</v>
          </cell>
          <cell r="M1634" t="str">
            <v>VELLFIRE</v>
          </cell>
          <cell r="N1634" t="str">
            <v>VELLFIRE</v>
          </cell>
          <cell r="O1634" t="str">
            <v>AAHH40R-PFXZB-11</v>
          </cell>
          <cell r="P1634" t="str">
            <v>VELLFIRE</v>
          </cell>
          <cell r="Q1634" t="e">
            <v>#N/A</v>
          </cell>
          <cell r="R1634" t="str">
            <v>AAHH40R-PFXZB-11</v>
          </cell>
          <cell r="S1634" t="str">
            <v>VELLFIRE</v>
          </cell>
          <cell r="T1634" t="str">
            <v>VELLFIRE</v>
          </cell>
          <cell r="U1634" t="str">
            <v>VELLFIRE A/T HYBRID</v>
          </cell>
        </row>
        <row r="1635">
          <cell r="D1635" t="str">
            <v>AGH40R-PFXLK-02</v>
          </cell>
          <cell r="E1635" t="str">
            <v>ALPHARD</v>
          </cell>
          <cell r="F1635" t="str">
            <v>ALPHARD</v>
          </cell>
          <cell r="G1635" t="str">
            <v>ALPHARD</v>
          </cell>
          <cell r="H1635" t="str">
            <v>ALPHARD XE AT</v>
          </cell>
          <cell r="I1635" t="str">
            <v>ALPHARD XE A/T</v>
          </cell>
          <cell r="J1635" t="str">
            <v>ALPHARD XE A/T</v>
          </cell>
          <cell r="K1635" t="str">
            <v>ALPHARD GAS</v>
          </cell>
          <cell r="M1635" t="str">
            <v>ALPHARD</v>
          </cell>
          <cell r="N1635" t="str">
            <v>ALPHARD GAS</v>
          </cell>
          <cell r="O1635" t="str">
            <v>AGH40R-PFXLK-02</v>
          </cell>
          <cell r="P1635" t="str">
            <v>ALPHARD</v>
          </cell>
          <cell r="Q1635" t="e">
            <v>#N/A</v>
          </cell>
          <cell r="R1635" t="str">
            <v>AGH40R-PFXLK-02</v>
          </cell>
          <cell r="S1635" t="str">
            <v>ALPHARD</v>
          </cell>
          <cell r="T1635" t="str">
            <v>ALPHARD GAS</v>
          </cell>
          <cell r="U1635" t="str">
            <v>ALPHARD G A/T</v>
          </cell>
        </row>
        <row r="1636">
          <cell r="D1636" t="str">
            <v>AGH40R-PFXLK-03</v>
          </cell>
          <cell r="E1636" t="str">
            <v>ALPHARD</v>
          </cell>
          <cell r="F1636" t="str">
            <v>ALPHARD</v>
          </cell>
          <cell r="G1636" t="str">
            <v>ALPHARD</v>
          </cell>
          <cell r="H1636" t="str">
            <v>ALPHARD XE AT</v>
          </cell>
          <cell r="I1636" t="str">
            <v>ALPHARD XE A/T</v>
          </cell>
          <cell r="J1636" t="str">
            <v>ALPHARD XE A/T</v>
          </cell>
          <cell r="K1636" t="str">
            <v>ALPHARD GAS</v>
          </cell>
          <cell r="M1636" t="str">
            <v>ALPHARD</v>
          </cell>
          <cell r="N1636" t="str">
            <v>ALPHARD GAS</v>
          </cell>
          <cell r="O1636" t="str">
            <v>AGH40R-PFXLK-03</v>
          </cell>
          <cell r="P1636" t="str">
            <v>ALPHARD</v>
          </cell>
          <cell r="Q1636" t="e">
            <v>#N/A</v>
          </cell>
          <cell r="R1636" t="str">
            <v>AGH40R-PFXLK-03</v>
          </cell>
          <cell r="S1636" t="str">
            <v>ALPHARD</v>
          </cell>
          <cell r="T1636" t="str">
            <v>ALPHARD GAS</v>
          </cell>
          <cell r="U1636" t="str">
            <v>ALPHARD G A/T</v>
          </cell>
        </row>
        <row r="1637">
          <cell r="D1637" t="str">
            <v>AGH40R-PFXLK-11</v>
          </cell>
          <cell r="E1637" t="str">
            <v>ALPHARD</v>
          </cell>
          <cell r="F1637" t="str">
            <v>ALPHARD</v>
          </cell>
          <cell r="G1637" t="str">
            <v>ALPHARD</v>
          </cell>
          <cell r="H1637" t="str">
            <v>ALPHARD G A/T</v>
          </cell>
          <cell r="I1637" t="str">
            <v>ALPHARD G A/T</v>
          </cell>
          <cell r="J1637" t="str">
            <v>ALPHARD G A/T</v>
          </cell>
          <cell r="K1637" t="str">
            <v>ALPHARD GAS</v>
          </cell>
          <cell r="M1637" t="str">
            <v>ALPHARD</v>
          </cell>
          <cell r="N1637" t="str">
            <v>ALPHARD GAS</v>
          </cell>
          <cell r="O1637" t="str">
            <v>AGH40R-PFXLK-11</v>
          </cell>
          <cell r="P1637" t="str">
            <v>ALPHARD</v>
          </cell>
          <cell r="Q1637" t="e">
            <v>#N/A</v>
          </cell>
          <cell r="R1637" t="str">
            <v>AGH40R-PFXLK-11</v>
          </cell>
          <cell r="S1637" t="str">
            <v>ALPHARD</v>
          </cell>
          <cell r="T1637" t="str">
            <v>ALPHARD GAS</v>
          </cell>
          <cell r="U1637" t="str">
            <v>ALPHARD G A/T</v>
          </cell>
        </row>
        <row r="1638">
          <cell r="D1638" t="str">
            <v>AGH40R-PFXLK-10</v>
          </cell>
          <cell r="E1638" t="str">
            <v>ALPHARD</v>
          </cell>
          <cell r="F1638" t="str">
            <v>ALPHARD</v>
          </cell>
          <cell r="G1638" t="str">
            <v>ALPHARD</v>
          </cell>
          <cell r="H1638" t="str">
            <v>ALPHARD G A/T</v>
          </cell>
          <cell r="I1638" t="str">
            <v>ALPHARD G A/T</v>
          </cell>
          <cell r="J1638" t="str">
            <v>ALPHARD G A/T</v>
          </cell>
          <cell r="K1638" t="str">
            <v>ALPHARD GAS</v>
          </cell>
          <cell r="M1638" t="str">
            <v>ALPHARD</v>
          </cell>
          <cell r="N1638" t="str">
            <v>ALPHARD GAS</v>
          </cell>
          <cell r="O1638" t="str">
            <v>AGH40R-PFXLK-10</v>
          </cell>
          <cell r="P1638" t="str">
            <v>ALPHARD</v>
          </cell>
          <cell r="Q1638" t="e">
            <v>#N/A</v>
          </cell>
          <cell r="R1638" t="str">
            <v>AGH40R-PFXLK-10</v>
          </cell>
          <cell r="S1638" t="str">
            <v>ALPHARD</v>
          </cell>
          <cell r="T1638" t="str">
            <v>ALPHARD GAS</v>
          </cell>
          <cell r="U1638" t="str">
            <v>ALPHARD G A/T</v>
          </cell>
        </row>
        <row r="1639">
          <cell r="D1639" t="str">
            <v>AAHH40R-PFXLB-10</v>
          </cell>
          <cell r="E1639" t="str">
            <v>ALPHARD</v>
          </cell>
          <cell r="F1639" t="str">
            <v>ALPHARD</v>
          </cell>
          <cell r="G1639" t="str">
            <v>ALPHARD</v>
          </cell>
          <cell r="H1639" t="str">
            <v>ALPHARD A/T HYBRID</v>
          </cell>
          <cell r="I1639" t="str">
            <v>ALPHARD A/T HYBRID</v>
          </cell>
          <cell r="J1639" t="str">
            <v>ALPHARD A/T HYBRID</v>
          </cell>
          <cell r="K1639" t="str">
            <v>ALPHARD HYBRID</v>
          </cell>
          <cell r="M1639" t="str">
            <v>ALPHARD</v>
          </cell>
          <cell r="N1639" t="str">
            <v>ALPHARD HYBRID</v>
          </cell>
          <cell r="O1639" t="str">
            <v>AAHH40R-PFXLB-10</v>
          </cell>
          <cell r="P1639" t="str">
            <v>ALPHARD HYBRID</v>
          </cell>
          <cell r="Q1639" t="e">
            <v>#N/A</v>
          </cell>
          <cell r="R1639" t="str">
            <v>AAHH40R-PFXLB-10</v>
          </cell>
          <cell r="S1639" t="str">
            <v>ALPHARD</v>
          </cell>
          <cell r="T1639" t="str">
            <v>ALPHARD HYBRID</v>
          </cell>
          <cell r="U1639" t="str">
            <v>ALPHARD A/T HYBRID</v>
          </cell>
        </row>
        <row r="1640">
          <cell r="D1640" t="str">
            <v>AAHH40R-PFXLB-11</v>
          </cell>
          <cell r="E1640" t="str">
            <v>ALPHARD</v>
          </cell>
          <cell r="F1640" t="str">
            <v>ALPHARD</v>
          </cell>
          <cell r="G1640" t="str">
            <v>ALPHARD</v>
          </cell>
          <cell r="H1640" t="str">
            <v>ALPHARD A/T HYBRID</v>
          </cell>
          <cell r="I1640" t="str">
            <v>ALPHARD A/T HYBRID</v>
          </cell>
          <cell r="J1640" t="str">
            <v>ALPHARD A/T HYBRID</v>
          </cell>
          <cell r="K1640" t="str">
            <v>ALPHARD HYBRID</v>
          </cell>
          <cell r="M1640" t="str">
            <v>ALPHARD</v>
          </cell>
          <cell r="N1640" t="str">
            <v>ALPHARD HYBRID</v>
          </cell>
          <cell r="O1640" t="str">
            <v>AAHH40R-PFXLB-11</v>
          </cell>
          <cell r="P1640" t="str">
            <v>ALPHARD HYBRID</v>
          </cell>
          <cell r="Q1640" t="e">
            <v>#N/A</v>
          </cell>
          <cell r="R1640" t="str">
            <v>AAHH40R-PFXLB-11</v>
          </cell>
          <cell r="S1640" t="str">
            <v>ALPHARD</v>
          </cell>
          <cell r="T1640" t="str">
            <v>ALPHARD HYBRID</v>
          </cell>
          <cell r="U1640" t="str">
            <v>ALPHARD A/T HYBRID</v>
          </cell>
        </row>
        <row r="1641">
          <cell r="D1641" t="str">
            <v>A351RA-GMEFJ-GA</v>
          </cell>
          <cell r="E1641" t="str">
            <v>AGYA</v>
          </cell>
          <cell r="F1641" t="str">
            <v>AGYA</v>
          </cell>
          <cell r="G1641" t="str">
            <v>AGYA</v>
          </cell>
          <cell r="H1641" t="str">
            <v>AGYA G M/T</v>
          </cell>
          <cell r="I1641" t="str">
            <v>AGYA G M/T</v>
          </cell>
          <cell r="J1641" t="str">
            <v>AGYA 1.2 G M/T TCO</v>
          </cell>
          <cell r="K1641" t="str">
            <v>AGYA</v>
          </cell>
          <cell r="M1641" t="str">
            <v>AGYA</v>
          </cell>
          <cell r="N1641" t="str">
            <v>AGYA</v>
          </cell>
          <cell r="O1641" t="str">
            <v>A351RA-GMEFJ-GA</v>
          </cell>
          <cell r="P1641" t="str">
            <v>AGYA</v>
          </cell>
          <cell r="Q1641" t="str">
            <v>AGYA</v>
          </cell>
          <cell r="R1641" t="str">
            <v>A351RA-GMEFJ-GA</v>
          </cell>
          <cell r="S1641" t="str">
            <v>AGYA</v>
          </cell>
          <cell r="T1641" t="str">
            <v>AGYA</v>
          </cell>
          <cell r="U1641" t="str">
            <v>AGYA G M/T</v>
          </cell>
        </row>
        <row r="1642">
          <cell r="D1642" t="str">
            <v>NYC200R-DHXMBD-06</v>
          </cell>
          <cell r="E1642" t="str">
            <v>YARIS</v>
          </cell>
          <cell r="F1642" t="str">
            <v>YARIS</v>
          </cell>
          <cell r="G1642" t="str">
            <v>YARIS CROSS</v>
          </cell>
          <cell r="H1642" t="str">
            <v>YARIS CROSS G A/T</v>
          </cell>
          <cell r="I1642" t="str">
            <v>YARIS CROSS G A/T HYBRID</v>
          </cell>
          <cell r="J1642" t="str">
            <v>YARIS CROSS G A/T HYBRID</v>
          </cell>
          <cell r="K1642" t="str">
            <v>YARIS CROSS</v>
          </cell>
          <cell r="M1642" t="str">
            <v>YARIS</v>
          </cell>
          <cell r="N1642" t="str">
            <v>YARIS CROSS</v>
          </cell>
          <cell r="O1642" t="str">
            <v>NYC200R-DHXMBD-06</v>
          </cell>
          <cell r="P1642" t="str">
            <v>YARIS CROSS HYBRID</v>
          </cell>
          <cell r="Q1642" t="str">
            <v>YARIS</v>
          </cell>
          <cell r="R1642" t="str">
            <v>NYC200R-DHXMBD-06</v>
          </cell>
          <cell r="S1642" t="str">
            <v>YARIS</v>
          </cell>
          <cell r="T1642" t="str">
            <v>YARIS</v>
          </cell>
          <cell r="U1642" t="str">
            <v>YARIS CROSS G A/T</v>
          </cell>
        </row>
        <row r="1643">
          <cell r="D1643" t="str">
            <v>KDH223R-LEMDY-10</v>
          </cell>
          <cell r="E1643" t="str">
            <v>HIACE</v>
          </cell>
          <cell r="F1643" t="str">
            <v>HIACE</v>
          </cell>
          <cell r="G1643" t="str">
            <v>HIACE</v>
          </cell>
          <cell r="H1643" t="str">
            <v>HIACE COMM</v>
          </cell>
          <cell r="I1643" t="str">
            <v>HIACE COMM</v>
          </cell>
          <cell r="J1643" t="str">
            <v>HIACE COMM</v>
          </cell>
          <cell r="K1643" t="str">
            <v>HIACE COMM</v>
          </cell>
          <cell r="M1643" t="str">
            <v>HIACE</v>
          </cell>
          <cell r="N1643" t="str">
            <v>HIACE COMM</v>
          </cell>
          <cell r="O1643" t="str">
            <v>KDH223R-LEMDY-10</v>
          </cell>
          <cell r="P1643" t="str">
            <v>HIACE</v>
          </cell>
          <cell r="Q1643" t="e">
            <v>#N/A</v>
          </cell>
          <cell r="R1643" t="str">
            <v>KDH223R-LEMDY-10</v>
          </cell>
          <cell r="S1643" t="str">
            <v>HIACE</v>
          </cell>
          <cell r="T1643" t="str">
            <v>HIACE</v>
          </cell>
          <cell r="U1643" t="str">
            <v>HIACE COMM</v>
          </cell>
        </row>
        <row r="1644">
          <cell r="D1644" t="str">
            <v>W100RE-LBDFJ-10</v>
          </cell>
          <cell r="E1644" t="str">
            <v>AVANZA</v>
          </cell>
          <cell r="F1644" t="str">
            <v>AVANZA</v>
          </cell>
          <cell r="G1644" t="str">
            <v>AVANZA</v>
          </cell>
          <cell r="H1644" t="str">
            <v>AVANZA E A/T</v>
          </cell>
          <cell r="I1644" t="str">
            <v>AVANZA E A/T</v>
          </cell>
          <cell r="J1644" t="str">
            <v>AVANZA E A/T</v>
          </cell>
          <cell r="K1644" t="str">
            <v>AVANZA</v>
          </cell>
          <cell r="M1644" t="str">
            <v>AVANZA</v>
          </cell>
          <cell r="N1644" t="str">
            <v>AVANZA</v>
          </cell>
          <cell r="O1644" t="str">
            <v>W100RE-LBDFJ-10</v>
          </cell>
          <cell r="P1644" t="str">
            <v>AVANZA</v>
          </cell>
          <cell r="Q1644" t="str">
            <v>AVANZA</v>
          </cell>
          <cell r="R1644" t="str">
            <v>W100RE-LBDFJ-10</v>
          </cell>
          <cell r="S1644" t="str">
            <v>AVANZA</v>
          </cell>
          <cell r="T1644" t="str">
            <v>AVANZA</v>
          </cell>
          <cell r="U1644" t="str">
            <v>AVANZA E A/T</v>
          </cell>
        </row>
        <row r="1645">
          <cell r="D1645" t="str">
            <v>W100RE-LMDFJ-10</v>
          </cell>
          <cell r="E1645" t="str">
            <v>AVANZA</v>
          </cell>
          <cell r="F1645" t="str">
            <v>AVANZA</v>
          </cell>
          <cell r="G1645" t="str">
            <v>AVANZA</v>
          </cell>
          <cell r="H1645" t="str">
            <v>AVANZA E M/T</v>
          </cell>
          <cell r="I1645" t="str">
            <v>AVANZA E M/T</v>
          </cell>
          <cell r="J1645" t="str">
            <v>AVANZA E M/T</v>
          </cell>
          <cell r="K1645" t="str">
            <v>AVANZA</v>
          </cell>
          <cell r="M1645" t="str">
            <v>AVANZA</v>
          </cell>
          <cell r="N1645" t="str">
            <v>AVANZA</v>
          </cell>
          <cell r="O1645" t="str">
            <v>W100RE-LMDFJ-10</v>
          </cell>
          <cell r="P1645" t="str">
            <v>AVANZA</v>
          </cell>
          <cell r="Q1645" t="str">
            <v>AVANZA</v>
          </cell>
          <cell r="R1645" t="str">
            <v>W100RE-LMDFJ-10</v>
          </cell>
          <cell r="S1645" t="str">
            <v>AVANZA</v>
          </cell>
          <cell r="T1645" t="str">
            <v>AVANZA</v>
          </cell>
          <cell r="U1645" t="str">
            <v>AVANZA E M/T</v>
          </cell>
        </row>
        <row r="1646">
          <cell r="D1646" t="str">
            <v>W101RE-LBMFJ-10</v>
          </cell>
          <cell r="E1646" t="str">
            <v>AVANZA</v>
          </cell>
          <cell r="F1646" t="str">
            <v>AVANZA</v>
          </cell>
          <cell r="G1646" t="str">
            <v>AVANZA</v>
          </cell>
          <cell r="H1646" t="str">
            <v>AVANZA G A/T</v>
          </cell>
          <cell r="I1646" t="str">
            <v>AVANZA G A/T</v>
          </cell>
          <cell r="J1646" t="str">
            <v>AVANZA G A/T</v>
          </cell>
          <cell r="K1646" t="str">
            <v>AVANZA</v>
          </cell>
          <cell r="M1646" t="str">
            <v>AVANZA</v>
          </cell>
          <cell r="N1646" t="str">
            <v>AVANZA</v>
          </cell>
          <cell r="O1646" t="str">
            <v>W101RE-LBMFJ-10</v>
          </cell>
          <cell r="P1646" t="str">
            <v>AVANZA</v>
          </cell>
          <cell r="Q1646" t="str">
            <v>AVANZA</v>
          </cell>
          <cell r="R1646" t="str">
            <v>W101RE-LBMFJ-10</v>
          </cell>
          <cell r="S1646" t="str">
            <v>AVANZA</v>
          </cell>
          <cell r="T1646" t="str">
            <v>AVANZA</v>
          </cell>
          <cell r="U1646" t="str">
            <v>AVANZA G A/T</v>
          </cell>
        </row>
        <row r="1647">
          <cell r="D1647" t="str">
            <v>W101RE-LMMFJ-10</v>
          </cell>
          <cell r="E1647" t="str">
            <v>AVANZA</v>
          </cell>
          <cell r="F1647" t="str">
            <v>AVANZA</v>
          </cell>
          <cell r="G1647" t="str">
            <v>AVANZA</v>
          </cell>
          <cell r="H1647" t="str">
            <v>AVANZA G M/T</v>
          </cell>
          <cell r="I1647" t="str">
            <v>AVANZA G M/T</v>
          </cell>
          <cell r="J1647" t="str">
            <v>AVANZA G M/T</v>
          </cell>
          <cell r="K1647" t="str">
            <v>AVANZA</v>
          </cell>
          <cell r="M1647" t="str">
            <v>AVANZA</v>
          </cell>
          <cell r="N1647" t="str">
            <v>AVANZA</v>
          </cell>
          <cell r="O1647" t="str">
            <v>W101RE-LMMFJ-10</v>
          </cell>
          <cell r="P1647" t="str">
            <v>AVANZA</v>
          </cell>
          <cell r="Q1647" t="str">
            <v>AVANZA</v>
          </cell>
          <cell r="R1647" t="str">
            <v>W101RE-LMMFJ-10</v>
          </cell>
          <cell r="S1647" t="str">
            <v>AVANZA</v>
          </cell>
          <cell r="T1647" t="str">
            <v>AVANZA</v>
          </cell>
          <cell r="U1647" t="str">
            <v>AVANZA G M/T</v>
          </cell>
        </row>
        <row r="1648">
          <cell r="D1648" t="str">
            <v>NYC100R-TEXHB-04</v>
          </cell>
          <cell r="E1648" t="str">
            <v>VIOS</v>
          </cell>
          <cell r="F1648" t="str">
            <v>VIOS</v>
          </cell>
          <cell r="G1648" t="str">
            <v>VIOS</v>
          </cell>
          <cell r="H1648" t="str">
            <v>VIOS AT HYBRID</v>
          </cell>
          <cell r="I1648" t="str">
            <v>VIOS AT HYBRID</v>
          </cell>
          <cell r="J1648" t="str">
            <v>VIOS AT HYBRID</v>
          </cell>
          <cell r="K1648" t="str">
            <v>VIOS</v>
          </cell>
          <cell r="M1648" t="str">
            <v>VIOS AT HYBRID</v>
          </cell>
          <cell r="N1648" t="str">
            <v>VIOS AT HYBRID</v>
          </cell>
          <cell r="O1648" t="str">
            <v>NYC100R-TEXHB-04</v>
          </cell>
          <cell r="P1648" t="str">
            <v>VIOS</v>
          </cell>
          <cell r="Q1648" t="e">
            <v>#N/A</v>
          </cell>
          <cell r="R1648" t="str">
            <v>NYC100R-TEXHB-04</v>
          </cell>
          <cell r="S1648" t="str">
            <v>VIOS</v>
          </cell>
          <cell r="T1648" t="str">
            <v>VIOS AT HYBRID</v>
          </cell>
          <cell r="U1648" t="str">
            <v>VIOS AT HYBRID</v>
          </cell>
        </row>
        <row r="1649">
          <cell r="D1649" t="str">
            <v>NYC100R-TEXHB-10</v>
          </cell>
          <cell r="E1649" t="str">
            <v>VIOS</v>
          </cell>
          <cell r="F1649" t="str">
            <v>VIOS</v>
          </cell>
          <cell r="G1649" t="str">
            <v>VIOS</v>
          </cell>
          <cell r="H1649" t="str">
            <v>VIOS AT HYBRID</v>
          </cell>
          <cell r="I1649" t="str">
            <v>VIOS AT HYBRID</v>
          </cell>
          <cell r="J1649" t="str">
            <v>VIOS AT HYBRID</v>
          </cell>
          <cell r="K1649" t="str">
            <v>VIOS</v>
          </cell>
          <cell r="M1649" t="str">
            <v>VIOS AT HYBRID</v>
          </cell>
          <cell r="N1649" t="str">
            <v>VIOS AT HYBRID</v>
          </cell>
          <cell r="O1649" t="str">
            <v>NYC100R-TEXHB-10</v>
          </cell>
          <cell r="P1649" t="str">
            <v>VIOS</v>
          </cell>
          <cell r="Q1649" t="e">
            <v>#N/A</v>
          </cell>
          <cell r="R1649" t="str">
            <v>NYC100R-TEXHB-10</v>
          </cell>
          <cell r="S1649" t="str">
            <v>VIOS</v>
          </cell>
          <cell r="T1649" t="str">
            <v>VIOS AT HYBRID</v>
          </cell>
          <cell r="U1649" t="str">
            <v>VIOS AT HYBRID</v>
          </cell>
        </row>
        <row r="1650">
          <cell r="D1650" t="str">
            <v>AAHH40R-PFXLB-WA</v>
          </cell>
          <cell r="E1650" t="str">
            <v>ALPHARD</v>
          </cell>
          <cell r="F1650" t="str">
            <v>ALPHARD</v>
          </cell>
          <cell r="G1650" t="str">
            <v>ALPHARD</v>
          </cell>
          <cell r="H1650" t="str">
            <v>ALPHARD A/T HYBRID</v>
          </cell>
          <cell r="I1650" t="str">
            <v>ALPHARD XE A/T HYBRID</v>
          </cell>
          <cell r="J1650" t="str">
            <v>ALPHARD XE A/T HYBRID TCO</v>
          </cell>
          <cell r="K1650" t="str">
            <v>ALPHARD HYBRID</v>
          </cell>
          <cell r="M1650" t="str">
            <v>ALPHARD</v>
          </cell>
          <cell r="N1650" t="str">
            <v>ALPHARD HYBRID</v>
          </cell>
          <cell r="O1650" t="str">
            <v>AAHH40R-PFXLB-WA</v>
          </cell>
          <cell r="P1650" t="str">
            <v>ALPHARD HYBRID</v>
          </cell>
          <cell r="Q1650" t="e">
            <v>#N/A</v>
          </cell>
          <cell r="R1650" t="str">
            <v>AAHH40R-PFXLB-WA</v>
          </cell>
          <cell r="S1650" t="str">
            <v>ALPHARD</v>
          </cell>
          <cell r="T1650" t="str">
            <v>ALPHARD HYBRID</v>
          </cell>
          <cell r="U1650" t="str">
            <v>ALPHARD A/T HYBRID</v>
          </cell>
        </row>
        <row r="1651">
          <cell r="D1651" t="str">
            <v>MAGA10R-BRXMBD-12</v>
          </cell>
          <cell r="E1651" t="str">
            <v>INNOVA</v>
          </cell>
          <cell r="F1651" t="str">
            <v>INNOVA</v>
          </cell>
          <cell r="G1651" t="str">
            <v>INNOVA</v>
          </cell>
          <cell r="H1651" t="str">
            <v>INNOVA ZENIX V A/T</v>
          </cell>
          <cell r="I1651" t="str">
            <v>INNOVA ZENIX V A/T</v>
          </cell>
          <cell r="J1651" t="str">
            <v>INNOVA ZENIX V A/T</v>
          </cell>
          <cell r="K1651" t="str">
            <v>INNOVA ZENIX GAS</v>
          </cell>
          <cell r="M1651" t="str">
            <v>INNOVA</v>
          </cell>
          <cell r="N1651" t="str">
            <v>INNOVA ZENIX GAS</v>
          </cell>
          <cell r="O1651" t="str">
            <v>MAGA10R-BRXMBD-12</v>
          </cell>
          <cell r="P1651" t="str">
            <v>INNOVA ZENIX</v>
          </cell>
          <cell r="Q1651" t="str">
            <v>INNOVA ZENIX V BENSIN</v>
          </cell>
          <cell r="R1651" t="str">
            <v>MAGA10R-BRXMBD-12</v>
          </cell>
          <cell r="S1651" t="str">
            <v>INNOVA</v>
          </cell>
          <cell r="T1651" t="str">
            <v>INV ZENIX GAS</v>
          </cell>
          <cell r="U1651" t="str">
            <v>INNOVA ZENIX V A/T</v>
          </cell>
        </row>
        <row r="1652">
          <cell r="D1652" t="str">
            <v>GUN156R-SDTHXD-BH</v>
          </cell>
          <cell r="E1652" t="str">
            <v>FORTUNER</v>
          </cell>
          <cell r="F1652" t="str">
            <v>FORTUNER 4X4</v>
          </cell>
          <cell r="G1652" t="str">
            <v>FORTUNER 4X4</v>
          </cell>
          <cell r="H1652" t="str">
            <v>FORTUNER 4X4 VRZ A/T DIESEL</v>
          </cell>
          <cell r="I1652" t="str">
            <v>FORTUNER 4X4 VRZ A/T DIESEL GR TSS</v>
          </cell>
          <cell r="J1652" t="str">
            <v>FORTUNER 4X4 VRZ A/T DIESEL GR TSS TCO</v>
          </cell>
          <cell r="K1652" t="str">
            <v>FORTUNER 4X4</v>
          </cell>
          <cell r="M1652" t="str">
            <v>FORTUNER</v>
          </cell>
          <cell r="N1652" t="str">
            <v>FORTUNER 4X4</v>
          </cell>
          <cell r="O1652" t="str">
            <v>GUN156R-SDTHXD-BH</v>
          </cell>
          <cell r="P1652" t="str">
            <v>FORTUNER 4X4</v>
          </cell>
          <cell r="Q1652" t="e">
            <v>#N/A</v>
          </cell>
          <cell r="R1652" t="str">
            <v>GUN156R-SDTHXD-BH</v>
          </cell>
          <cell r="S1652" t="str">
            <v>FORTUNER</v>
          </cell>
          <cell r="T1652" t="str">
            <v>FORTUNER</v>
          </cell>
          <cell r="U1652" t="str">
            <v>FORTUNER 4X4 VRZ A/T DIESEL</v>
          </cell>
        </row>
        <row r="1653">
          <cell r="D1653" t="str">
            <v>KDH223R-LEMDY-11</v>
          </cell>
          <cell r="E1653" t="str">
            <v>HIACE</v>
          </cell>
          <cell r="F1653" t="str">
            <v>HIACE</v>
          </cell>
          <cell r="G1653" t="str">
            <v>HIACE</v>
          </cell>
          <cell r="H1653" t="str">
            <v>HIACE COMM</v>
          </cell>
          <cell r="I1653" t="str">
            <v>HIACE COMM</v>
          </cell>
          <cell r="J1653" t="str">
            <v>HIACE COMM</v>
          </cell>
          <cell r="K1653" t="str">
            <v>HIACE COMM</v>
          </cell>
          <cell r="M1653" t="str">
            <v>HIACE</v>
          </cell>
          <cell r="N1653" t="str">
            <v>HIACE COMM</v>
          </cell>
          <cell r="O1653" t="str">
            <v>KDH223R-LEMDY-11</v>
          </cell>
          <cell r="P1653" t="str">
            <v>HIACE</v>
          </cell>
          <cell r="Q1653" t="e">
            <v>#N/A</v>
          </cell>
          <cell r="R1653" t="str">
            <v>KDH223R-LEMDY-11</v>
          </cell>
          <cell r="S1653" t="str">
            <v>HIACE</v>
          </cell>
          <cell r="T1653" t="str">
            <v>HIACE</v>
          </cell>
          <cell r="U1653" t="str">
            <v>HIACE COMM</v>
          </cell>
        </row>
        <row r="1654">
          <cell r="D1654" t="str">
            <v>MAGA10R-BRXMBD-13</v>
          </cell>
          <cell r="E1654" t="str">
            <v>INNOVA</v>
          </cell>
          <cell r="F1654" t="str">
            <v>INNOVA</v>
          </cell>
          <cell r="G1654" t="str">
            <v>INNOVA</v>
          </cell>
          <cell r="H1654" t="str">
            <v>INNOVA ZENIX V A/T</v>
          </cell>
          <cell r="I1654" t="str">
            <v>INNOVA ZENIX V A/T</v>
          </cell>
          <cell r="J1654" t="str">
            <v>INNOVA ZENIX V A/T</v>
          </cell>
          <cell r="K1654" t="str">
            <v>INNOVA ZENIX GAS</v>
          </cell>
          <cell r="M1654" t="str">
            <v>INNOVA</v>
          </cell>
          <cell r="N1654" t="str">
            <v>INNOVA ZENIX GAS</v>
          </cell>
          <cell r="O1654" t="str">
            <v>MAGA10R-BRXMBD-13</v>
          </cell>
          <cell r="P1654" t="str">
            <v>INNOVA ZENIX</v>
          </cell>
          <cell r="Q1654" t="str">
            <v>INNOVA ZENIX V BENSIN</v>
          </cell>
          <cell r="R1654" t="str">
            <v>MAGA10R-BRXMBD-13</v>
          </cell>
          <cell r="S1654" t="str">
            <v>INNOVA</v>
          </cell>
          <cell r="T1654" t="str">
            <v>INV ZENIX GAS</v>
          </cell>
          <cell r="U1654" t="str">
            <v>INNOVA ZENIX V A/T</v>
          </cell>
        </row>
        <row r="1655">
          <cell r="D1655" t="str">
            <v>NYC200R-DHXMBD-04</v>
          </cell>
          <cell r="E1655" t="str">
            <v>YARIS</v>
          </cell>
          <cell r="F1655" t="str">
            <v>YARIS</v>
          </cell>
          <cell r="G1655" t="str">
            <v>YARIS CROSS</v>
          </cell>
          <cell r="H1655" t="str">
            <v>YARIS CROSS G A/T</v>
          </cell>
          <cell r="I1655" t="str">
            <v>YARIS CROSS G A/T HYBRID</v>
          </cell>
          <cell r="J1655" t="str">
            <v>YARIS CROSS G A/T HYBRID</v>
          </cell>
          <cell r="K1655" t="str">
            <v>YARIS CROSS</v>
          </cell>
          <cell r="M1655" t="str">
            <v>YARIS</v>
          </cell>
          <cell r="N1655" t="str">
            <v>YARIS CROSS</v>
          </cell>
          <cell r="O1655" t="str">
            <v>NYC200R-DHXMBD-04</v>
          </cell>
          <cell r="P1655" t="str">
            <v>YARIS CROSS HYBRID</v>
          </cell>
          <cell r="Q1655" t="str">
            <v>YARIS</v>
          </cell>
          <cell r="R1655" t="str">
            <v>NYC200R-DHXMBD-04</v>
          </cell>
          <cell r="S1655" t="str">
            <v>YARIS</v>
          </cell>
          <cell r="T1655" t="str">
            <v>YARIS</v>
          </cell>
          <cell r="U1655" t="str">
            <v>YARIS CROSS G A/T</v>
          </cell>
        </row>
        <row r="1656">
          <cell r="D1656" t="str">
            <v>NYC200R-DHXMBD-02</v>
          </cell>
          <cell r="E1656" t="str">
            <v>YARIS</v>
          </cell>
          <cell r="F1656" t="str">
            <v>YARIS</v>
          </cell>
          <cell r="G1656" t="str">
            <v>YARIS CROSS</v>
          </cell>
          <cell r="H1656" t="str">
            <v>YARIS CROSS G A/T</v>
          </cell>
          <cell r="I1656" t="str">
            <v>YARIS CROSS G A/T HYBRID</v>
          </cell>
          <cell r="J1656" t="str">
            <v>YARIS CROSS G A/T HYBRID</v>
          </cell>
          <cell r="K1656" t="str">
            <v>YARIS CROSS</v>
          </cell>
          <cell r="M1656" t="str">
            <v>YARIS</v>
          </cell>
          <cell r="N1656" t="str">
            <v>YARIS CROSS</v>
          </cell>
          <cell r="O1656" t="str">
            <v>NYC200R-DHXMBD-02</v>
          </cell>
          <cell r="P1656" t="str">
            <v>YARIS CROSS HYBRID</v>
          </cell>
          <cell r="Q1656" t="str">
            <v>YARIS</v>
          </cell>
          <cell r="R1656" t="str">
            <v>NYC200R-DHXMBD-02</v>
          </cell>
          <cell r="S1656" t="str">
            <v>YARIS</v>
          </cell>
          <cell r="T1656" t="str">
            <v>YARIS</v>
          </cell>
          <cell r="U1656" t="str">
            <v>YARIS CROSS G A/T</v>
          </cell>
        </row>
        <row r="1657">
          <cell r="D1657" t="str">
            <v>NYC200R-DHXMBD-00</v>
          </cell>
          <cell r="E1657" t="str">
            <v>YARIS</v>
          </cell>
          <cell r="F1657" t="str">
            <v>YARIS</v>
          </cell>
          <cell r="G1657" t="str">
            <v>YARIS CROSS</v>
          </cell>
          <cell r="H1657" t="str">
            <v>YARIS CROSS G A/T</v>
          </cell>
          <cell r="I1657" t="str">
            <v>YARIS CROSS G A/T HYBRID</v>
          </cell>
          <cell r="J1657" t="str">
            <v>YARIS CROSS G A/T HYBRID</v>
          </cell>
          <cell r="K1657" t="str">
            <v>YARIS CROSS</v>
          </cell>
          <cell r="M1657" t="str">
            <v>YARIS</v>
          </cell>
          <cell r="N1657" t="str">
            <v>YARIS CROSS</v>
          </cell>
          <cell r="O1657" t="str">
            <v>NYC200R-DHXMBD-00</v>
          </cell>
          <cell r="P1657" t="str">
            <v>YARIS CROSS HYBRID</v>
          </cell>
          <cell r="Q1657" t="str">
            <v>YARIS</v>
          </cell>
          <cell r="R1657" t="str">
            <v>NYC200R-DHXMBD-00</v>
          </cell>
          <cell r="S1657" t="str">
            <v>YARIS</v>
          </cell>
          <cell r="T1657" t="str">
            <v>YARIS</v>
          </cell>
          <cell r="U1657" t="str">
            <v>YARIS CROSS G A/T</v>
          </cell>
        </row>
        <row r="1658">
          <cell r="D1658" t="str">
            <v>W101RE-LBMFJ-GB</v>
          </cell>
          <cell r="E1658" t="str">
            <v>AVANZA</v>
          </cell>
          <cell r="F1658" t="str">
            <v>AVANZA</v>
          </cell>
          <cell r="G1658" t="str">
            <v>AVANZA</v>
          </cell>
          <cell r="H1658" t="str">
            <v>AVANZA G A/T</v>
          </cell>
          <cell r="I1658" t="str">
            <v>AVANZA G A/T</v>
          </cell>
          <cell r="J1658" t="str">
            <v>AVANZA G A/T TCO</v>
          </cell>
          <cell r="K1658" t="str">
            <v>AVANZA</v>
          </cell>
          <cell r="M1658" t="str">
            <v>AVANZA</v>
          </cell>
          <cell r="N1658" t="str">
            <v>AVANZA</v>
          </cell>
          <cell r="O1658" t="str">
            <v>W101RE-LBMFJ-GB</v>
          </cell>
          <cell r="P1658" t="str">
            <v>AVANZA</v>
          </cell>
          <cell r="Q1658" t="str">
            <v>AVANZA</v>
          </cell>
          <cell r="R1658" t="str">
            <v>W101RE-LBMFJ-GB</v>
          </cell>
          <cell r="S1658" t="str">
            <v>AVANZA</v>
          </cell>
          <cell r="T1658" t="str">
            <v>AVANZA</v>
          </cell>
          <cell r="U1658" t="str">
            <v>AVANZA G A/T</v>
          </cell>
        </row>
        <row r="1659">
          <cell r="D1659" t="str">
            <v>A250RA-GBVVJ-AC</v>
          </cell>
          <cell r="E1659" t="str">
            <v>RAIZE</v>
          </cell>
          <cell r="F1659" t="str">
            <v>RAIZE</v>
          </cell>
          <cell r="G1659" t="str">
            <v>RAIZE</v>
          </cell>
          <cell r="H1659" t="str">
            <v>RAIZE S A/T</v>
          </cell>
          <cell r="I1659" t="str">
            <v>RAIZE 1.0T S A/T TSS</v>
          </cell>
          <cell r="J1659" t="str">
            <v>RAIZE 1.0T S A/T TSS ONE TONE TCO</v>
          </cell>
          <cell r="K1659" t="str">
            <v>RAIZE</v>
          </cell>
          <cell r="M1659" t="str">
            <v>RAIZE</v>
          </cell>
          <cell r="N1659" t="str">
            <v>RAIZE</v>
          </cell>
          <cell r="O1659" t="str">
            <v>A250RA-GBVVJ-AC</v>
          </cell>
          <cell r="P1659" t="str">
            <v>RAIZE</v>
          </cell>
          <cell r="Q1659" t="e">
            <v>#N/A</v>
          </cell>
          <cell r="R1659" t="str">
            <v>A250RA-GBVVJ-AC</v>
          </cell>
          <cell r="S1659" t="str">
            <v>RAIZE</v>
          </cell>
          <cell r="T1659" t="str">
            <v>RAIZE</v>
          </cell>
          <cell r="U1659" t="str">
            <v>RAIZE S A/T</v>
          </cell>
        </row>
        <row r="1660">
          <cell r="D1660" t="str">
            <v>A251RA-GBXFJ-AA</v>
          </cell>
          <cell r="E1660" t="str">
            <v>RAIZE</v>
          </cell>
          <cell r="F1660" t="str">
            <v>RAIZE</v>
          </cell>
          <cell r="G1660" t="str">
            <v>RAIZE</v>
          </cell>
          <cell r="H1660" t="str">
            <v>RAIZE G A/T</v>
          </cell>
          <cell r="I1660" t="str">
            <v>RAIZE 1.2 G A/T</v>
          </cell>
          <cell r="J1660" t="str">
            <v>RAIZE 1.2 G A/T ONE TONE TCO</v>
          </cell>
          <cell r="K1660" t="str">
            <v>RAIZE</v>
          </cell>
          <cell r="M1660" t="str">
            <v>RAIZE</v>
          </cell>
          <cell r="N1660" t="str">
            <v>RAIZE</v>
          </cell>
          <cell r="O1660" t="str">
            <v>A251RA-GBXFJ-AA</v>
          </cell>
          <cell r="P1660" t="str">
            <v>RAIZE</v>
          </cell>
          <cell r="Q1660" t="e">
            <v>#N/A</v>
          </cell>
          <cell r="R1660" t="str">
            <v>A251RA-GBXFJ-AA</v>
          </cell>
          <cell r="S1660" t="str">
            <v>RAIZE</v>
          </cell>
          <cell r="T1660" t="str">
            <v>RAIZE</v>
          </cell>
          <cell r="U1660" t="str">
            <v>RAIZE G A/T</v>
          </cell>
        </row>
        <row r="1661">
          <cell r="D1661" t="str">
            <v>GUN156R-SDTHXD-BG</v>
          </cell>
          <cell r="E1661" t="str">
            <v>FORTUNER</v>
          </cell>
          <cell r="F1661" t="str">
            <v>FORTUNER 4X4</v>
          </cell>
          <cell r="G1661" t="str">
            <v>FORTUNER 4X4</v>
          </cell>
          <cell r="H1661" t="str">
            <v>FORTUNER 4X4 VRZ A/T DIESEL</v>
          </cell>
          <cell r="I1661" t="str">
            <v>FORTUNER 4X4 VRZ A/T DIESEL GR TSS</v>
          </cell>
          <cell r="J1661" t="str">
            <v>FORTUNER 4X4 VRZ A/T DIESEL GR TSS TCO</v>
          </cell>
          <cell r="K1661" t="str">
            <v>FORTUNER 4X4</v>
          </cell>
          <cell r="M1661" t="str">
            <v>FORTUNER</v>
          </cell>
          <cell r="N1661" t="str">
            <v>FORTUNER 4X4</v>
          </cell>
          <cell r="O1661" t="str">
            <v>GUN156R-SDTHXD-BG</v>
          </cell>
          <cell r="P1661" t="str">
            <v>FORTUNER 4X4</v>
          </cell>
          <cell r="Q1661" t="e">
            <v>#N/A</v>
          </cell>
          <cell r="R1661" t="str">
            <v>GUN156R-SDTHXD-BG</v>
          </cell>
          <cell r="S1661" t="str">
            <v>FORTUNER</v>
          </cell>
          <cell r="T1661" t="str">
            <v>FORTUNER</v>
          </cell>
          <cell r="U1661" t="str">
            <v>FORTUNER 4X4 VRZ A/T DIESEL</v>
          </cell>
        </row>
        <row r="1662">
          <cell r="D1662" t="str">
            <v>MAGH10R-BRXMBD-12</v>
          </cell>
          <cell r="E1662" t="str">
            <v>INNOVA</v>
          </cell>
          <cell r="F1662" t="str">
            <v>INNOVA</v>
          </cell>
          <cell r="G1662" t="str">
            <v>INNOVA</v>
          </cell>
          <cell r="H1662" t="str">
            <v>INNOVA ZENIX V A/T HYBRID</v>
          </cell>
          <cell r="I1662" t="str">
            <v>INNOVA ZENIX V A/T HYBRID</v>
          </cell>
          <cell r="J1662" t="str">
            <v>INNOVA ZENIX V A/T HYBRID</v>
          </cell>
          <cell r="K1662" t="str">
            <v>INNOVA ZENIX HYBRID</v>
          </cell>
          <cell r="M1662" t="str">
            <v>INNOVA</v>
          </cell>
          <cell r="N1662" t="str">
            <v>INNOVA ZENIX HYBRID</v>
          </cell>
          <cell r="O1662" t="str">
            <v>MAGH10R-BRXMBD-12</v>
          </cell>
          <cell r="P1662" t="str">
            <v>INNOVA ZENIX HYBRID</v>
          </cell>
          <cell r="Q1662" t="str">
            <v>INNOVA ZENIX HYBRID</v>
          </cell>
          <cell r="R1662" t="str">
            <v>MAGH10R-BRXMBD-12</v>
          </cell>
          <cell r="S1662" t="str">
            <v>INNOVA</v>
          </cell>
          <cell r="T1662" t="str">
            <v>INV ZENIX HYBRID</v>
          </cell>
          <cell r="U1662" t="str">
            <v>INNOVA ZENIX V A/T HYBRID</v>
          </cell>
        </row>
        <row r="1663">
          <cell r="D1663" t="str">
            <v>NYC200R-DHXHBD-EH</v>
          </cell>
          <cell r="E1663" t="str">
            <v>YARIS</v>
          </cell>
          <cell r="F1663" t="str">
            <v>YARIS</v>
          </cell>
          <cell r="G1663" t="str">
            <v>YARIS CROSS</v>
          </cell>
          <cell r="H1663" t="str">
            <v>YARIS CROSS S A/T</v>
          </cell>
          <cell r="I1663" t="str">
            <v>YARIS CROSS S A/T TSS GR HYBRID</v>
          </cell>
          <cell r="J1663" t="str">
            <v>YARIS CROSS S A/T TSS GR HYBRID TCO</v>
          </cell>
          <cell r="K1663" t="str">
            <v>YARIS CROSS</v>
          </cell>
          <cell r="N1663" t="str">
            <v>YARIS CROSS</v>
          </cell>
          <cell r="O1663" t="str">
            <v>NYC200R-DHXHBD-EH</v>
          </cell>
          <cell r="P1663" t="str">
            <v>YARIS CROSS HYBRID</v>
          </cell>
          <cell r="Q1663" t="str">
            <v>YARIS</v>
          </cell>
          <cell r="R1663" t="str">
            <v>NYC200R-DHXHBD-EH</v>
          </cell>
          <cell r="S1663" t="str">
            <v>YARIS</v>
          </cell>
          <cell r="T1663" t="str">
            <v>YARIS</v>
          </cell>
          <cell r="U1663" t="str">
            <v>YARIS CROSS S A/T</v>
          </cell>
        </row>
        <row r="1664">
          <cell r="D1664" t="str">
            <v>GUN156R-SDTHXD-EA</v>
          </cell>
          <cell r="E1664" t="str">
            <v>FORTUNER</v>
          </cell>
          <cell r="F1664" t="str">
            <v>FORTUNER 4X4</v>
          </cell>
          <cell r="G1664" t="str">
            <v>FORTUNER 4X4</v>
          </cell>
          <cell r="H1664" t="str">
            <v>FORTUNER 4X4 VRZ A/T DIESEL</v>
          </cell>
          <cell r="I1664" t="str">
            <v>FORTUNER 4X4 VRZ A/T DIESEL GR TSS</v>
          </cell>
          <cell r="J1664" t="str">
            <v>FORTUNER 4X4 VRZ A/T DIESEL GR TSS TCO</v>
          </cell>
          <cell r="K1664" t="str">
            <v>FORTUNER 4X4</v>
          </cell>
          <cell r="M1664" t="str">
            <v>FORTUNER</v>
          </cell>
          <cell r="N1664" t="str">
            <v>FORTUNER 4X4</v>
          </cell>
          <cell r="O1664" t="str">
            <v>GUN156R-SDTHXD-EA</v>
          </cell>
          <cell r="P1664" t="str">
            <v>FORTUNER 4X4</v>
          </cell>
          <cell r="Q1664" t="e">
            <v>#N/A</v>
          </cell>
          <cell r="R1664" t="str">
            <v>GUN156R-SDTHXD-EA</v>
          </cell>
          <cell r="S1664" t="str">
            <v>FORTUNER</v>
          </cell>
          <cell r="T1664" t="str">
            <v>FORTUNER</v>
          </cell>
          <cell r="U1664" t="str">
            <v>FORTUNER 4X4 VRZ A/T DIESEL</v>
          </cell>
        </row>
        <row r="1665">
          <cell r="D1665" t="str">
            <v>GUN110R-ATTHXD-12</v>
          </cell>
          <cell r="E1665" t="str">
            <v>HILUX</v>
          </cell>
          <cell r="F1665" t="str">
            <v>HILUX RANGGA</v>
          </cell>
          <cell r="G1665" t="str">
            <v>HILUX RANGGA</v>
          </cell>
          <cell r="H1665" t="str">
            <v>RANGGA-HILUX PU DIESEL A/T</v>
          </cell>
          <cell r="I1665" t="str">
            <v>RANGGA-HILUX PU DIESEL HIGH A/T</v>
          </cell>
          <cell r="J1665" t="str">
            <v>RANGGA-HILUX PU DIESEL HIGH A/T</v>
          </cell>
          <cell r="K1665" t="str">
            <v>HILUX RANGGA</v>
          </cell>
          <cell r="N1665" t="str">
            <v>HILUX RANGGA</v>
          </cell>
          <cell r="O1665" t="str">
            <v>GUN110R-ATTHXD-12</v>
          </cell>
          <cell r="P1665" t="str">
            <v>HILUX RANGGA</v>
          </cell>
          <cell r="Q1665" t="e">
            <v>#N/A</v>
          </cell>
          <cell r="R1665" t="str">
            <v>GUN110R-ATTHXD-12</v>
          </cell>
          <cell r="S1665" t="str">
            <v>HILUX</v>
          </cell>
          <cell r="T1665" t="str">
            <v>HILUX</v>
          </cell>
          <cell r="U1665" t="str">
            <v>RANGGA-HILUX PU DIESEL A/T</v>
          </cell>
        </row>
        <row r="1666">
          <cell r="D1666" t="str">
            <v>ZVG10R-DHXGBD-43</v>
          </cell>
          <cell r="E1666" t="str">
            <v>COROLLA CROSS</v>
          </cell>
          <cell r="F1666" t="str">
            <v>COROLLA CROSS HYBRID</v>
          </cell>
          <cell r="G1666" t="str">
            <v>COROLLA CROSS HYBRID</v>
          </cell>
          <cell r="H1666" t="str">
            <v>COROLLA CROSS A/T HYBRID</v>
          </cell>
          <cell r="I1666" t="str">
            <v>COROLLA CROSS A/T HYBRID</v>
          </cell>
          <cell r="J1666" t="str">
            <v>COROLLA CROSS A/T HYBRID GR</v>
          </cell>
          <cell r="K1666" t="str">
            <v>COROLLA CROSS HYBRID</v>
          </cell>
          <cell r="M1666" t="str">
            <v>COROLLA CROSS</v>
          </cell>
          <cell r="N1666" t="str">
            <v>COROLLA CROSS HYBRID</v>
          </cell>
          <cell r="O1666" t="str">
            <v>ZVG10R-DHXGBD-43</v>
          </cell>
          <cell r="P1666" t="str">
            <v>COROLLA CROSS HYBRID</v>
          </cell>
          <cell r="Q1666" t="e">
            <v>#N/A</v>
          </cell>
          <cell r="R1666" t="str">
            <v>ZVG10R-DHXGBD-43</v>
          </cell>
          <cell r="S1666" t="str">
            <v>COROLLA CROSS</v>
          </cell>
          <cell r="T1666" t="str">
            <v>COROLLA CROSS</v>
          </cell>
          <cell r="U1666" t="str">
            <v>COROLLA CROSS A/T HYBRID</v>
          </cell>
        </row>
        <row r="1667">
          <cell r="D1667" t="str">
            <v>ZVG10R-DHXGBD-44</v>
          </cell>
          <cell r="E1667" t="str">
            <v>COROLLA CROSS</v>
          </cell>
          <cell r="F1667" t="str">
            <v>COROLLA CROSS HYBRID</v>
          </cell>
          <cell r="G1667" t="str">
            <v>COROLLA CROSS HYBRID</v>
          </cell>
          <cell r="H1667" t="str">
            <v>COROLLA CROSS A/T HYBRID</v>
          </cell>
          <cell r="I1667" t="str">
            <v>COROLLA CROSS A/T HYBRID</v>
          </cell>
          <cell r="J1667" t="str">
            <v>COROLLA CROSS A/T HYBRID GR</v>
          </cell>
          <cell r="K1667" t="str">
            <v>COROLLA CROSS HYBRID</v>
          </cell>
          <cell r="M1667" t="str">
            <v>COROLLA CROSS</v>
          </cell>
          <cell r="N1667" t="str">
            <v>COROLLA CROSS HYBRID</v>
          </cell>
          <cell r="O1667" t="str">
            <v>ZVG10R-DHXGBD-44</v>
          </cell>
          <cell r="P1667" t="str">
            <v>COROLLA CROSS HYBRID</v>
          </cell>
          <cell r="Q1667" t="e">
            <v>#N/A</v>
          </cell>
          <cell r="R1667" t="str">
            <v>ZVG10R-DHXGBD-44</v>
          </cell>
          <cell r="S1667" t="str">
            <v>COROLLA CROSS</v>
          </cell>
          <cell r="T1667" t="str">
            <v>COROLLA CROSS</v>
          </cell>
          <cell r="U1667" t="str">
            <v>COROLLA CROSS A/T HYBRID</v>
          </cell>
        </row>
        <row r="1668">
          <cell r="D1668" t="str">
            <v>MZRA90R-BPXRH-10</v>
          </cell>
          <cell r="E1668" t="str">
            <v>VOXY</v>
          </cell>
          <cell r="F1668" t="str">
            <v>VOXY</v>
          </cell>
          <cell r="G1668" t="str">
            <v>VOXY</v>
          </cell>
          <cell r="H1668" t="str">
            <v>VOXY 2.0 A/T</v>
          </cell>
          <cell r="I1668" t="str">
            <v>VOXY 2.0 A/T</v>
          </cell>
          <cell r="J1668" t="str">
            <v>VOXY 2.0 A/T</v>
          </cell>
          <cell r="K1668" t="str">
            <v>VOXY</v>
          </cell>
          <cell r="M1668" t="str">
            <v>VOXY</v>
          </cell>
          <cell r="N1668" t="str">
            <v>VOXY</v>
          </cell>
          <cell r="O1668" t="str">
            <v>MZRA90R-BPXRH-10</v>
          </cell>
          <cell r="P1668" t="str">
            <v>VOXY</v>
          </cell>
          <cell r="Q1668" t="e">
            <v>#N/A</v>
          </cell>
          <cell r="R1668" t="str">
            <v>MZRA90R-BPXRH-10</v>
          </cell>
          <cell r="S1668" t="str">
            <v>VOXY</v>
          </cell>
          <cell r="T1668" t="e">
            <v>#N/A</v>
          </cell>
          <cell r="U1668" t="str">
            <v>VOXY 2.0 A/T</v>
          </cell>
        </row>
        <row r="1669">
          <cell r="D1669" t="str">
            <v>GUN156R-SDTHXD-HB</v>
          </cell>
          <cell r="E1669" t="str">
            <v>FORTUNER</v>
          </cell>
          <cell r="F1669" t="str">
            <v>FORTUNER 4X4</v>
          </cell>
          <cell r="G1669" t="str">
            <v>FORTUNER 4X4</v>
          </cell>
          <cell r="H1669" t="str">
            <v>FORTUNER 4X4 VRZ A/T DIESEL</v>
          </cell>
          <cell r="I1669" t="str">
            <v>FORTUNER 4X4 VRZ A/T DIESEL GR TSS</v>
          </cell>
          <cell r="J1669" t="str">
            <v>FORTUNER 4X4 VRZ A/T DIESEL GR TSS TCO</v>
          </cell>
          <cell r="K1669" t="str">
            <v>FORTUNER 4X4</v>
          </cell>
          <cell r="M1669" t="str">
            <v>FORTUNER</v>
          </cell>
          <cell r="N1669" t="str">
            <v>FORTUNER 4X4</v>
          </cell>
          <cell r="O1669" t="str">
            <v>GUN156R-SDTHXD-HB</v>
          </cell>
          <cell r="P1669" t="str">
            <v>FORTUNER 4X4</v>
          </cell>
          <cell r="Q1669" t="e">
            <v>#N/A</v>
          </cell>
          <cell r="R1669" t="str">
            <v>GUN156R-SDTHXD-HB</v>
          </cell>
          <cell r="S1669" t="str">
            <v>FORTUNER</v>
          </cell>
          <cell r="T1669" t="str">
            <v>FORTUNER</v>
          </cell>
          <cell r="U1669" t="str">
            <v>FORTUNER 4X4 VRZ A/T DIESEL</v>
          </cell>
        </row>
        <row r="1670">
          <cell r="D1670" t="str">
            <v>W100RE-LBDFJ-GB</v>
          </cell>
          <cell r="E1670" t="str">
            <v>AVANZA</v>
          </cell>
          <cell r="F1670" t="str">
            <v>AVANZA</v>
          </cell>
          <cell r="G1670" t="str">
            <v>AVANZA</v>
          </cell>
          <cell r="H1670" t="str">
            <v>AVANZA E A/T</v>
          </cell>
          <cell r="I1670" t="str">
            <v>AVANZA E A/T</v>
          </cell>
          <cell r="J1670" t="str">
            <v>AVANZA E A/T TCO</v>
          </cell>
          <cell r="K1670" t="str">
            <v>AVANZA</v>
          </cell>
          <cell r="M1670" t="str">
            <v>AVANZA</v>
          </cell>
          <cell r="N1670" t="str">
            <v>AVANZA</v>
          </cell>
          <cell r="O1670" t="str">
            <v>W100RE-LBDFJ-GB</v>
          </cell>
          <cell r="P1670" t="str">
            <v>AVANZA</v>
          </cell>
          <cell r="Q1670" t="str">
            <v>AVANZA</v>
          </cell>
          <cell r="R1670" t="str">
            <v>W100RE-LBDFJ-GB</v>
          </cell>
          <cell r="S1670" t="str">
            <v>AVANZA</v>
          </cell>
          <cell r="T1670" t="str">
            <v>AVANZA</v>
          </cell>
          <cell r="U1670" t="str">
            <v>AVANZA E A/T</v>
          </cell>
        </row>
        <row r="1671">
          <cell r="D1671" t="str">
            <v>W101RE-LMMFJ-GB</v>
          </cell>
          <cell r="E1671" t="str">
            <v>AVANZA</v>
          </cell>
          <cell r="F1671" t="str">
            <v>AVANZA</v>
          </cell>
          <cell r="G1671" t="str">
            <v>AVANZA</v>
          </cell>
          <cell r="H1671" t="str">
            <v>AVANZA G M/T</v>
          </cell>
          <cell r="I1671" t="str">
            <v>AVANZA G M/T</v>
          </cell>
          <cell r="J1671" t="str">
            <v>AVANZA G M/T TCO</v>
          </cell>
          <cell r="K1671" t="str">
            <v>AVANZA</v>
          </cell>
          <cell r="M1671" t="str">
            <v>AVANZA</v>
          </cell>
          <cell r="N1671" t="str">
            <v>AVANZA</v>
          </cell>
          <cell r="O1671" t="str">
            <v>W101RE-LMMFJ-GB</v>
          </cell>
          <cell r="P1671" t="str">
            <v>AVANZA</v>
          </cell>
          <cell r="Q1671" t="str">
            <v>AVANZA</v>
          </cell>
          <cell r="R1671" t="str">
            <v>W101RE-LMMFJ-GB</v>
          </cell>
          <cell r="S1671" t="str">
            <v>AVANZA</v>
          </cell>
          <cell r="T1671" t="str">
            <v>AVANZA</v>
          </cell>
          <cell r="U1671" t="str">
            <v>AVANZA G M/T</v>
          </cell>
        </row>
        <row r="1672">
          <cell r="D1672" t="str">
            <v>B401RA-GQZFJ-DA</v>
          </cell>
          <cell r="E1672" t="str">
            <v>CALYA</v>
          </cell>
          <cell r="F1672" t="str">
            <v>CALYA</v>
          </cell>
          <cell r="G1672" t="str">
            <v>CALYA</v>
          </cell>
          <cell r="H1672" t="str">
            <v>CALYA G A/T</v>
          </cell>
          <cell r="I1672" t="str">
            <v>CALYA G A/T</v>
          </cell>
          <cell r="J1672" t="str">
            <v>CALYA G A/T TCO</v>
          </cell>
          <cell r="K1672" t="str">
            <v>CALYA</v>
          </cell>
          <cell r="M1672" t="str">
            <v>CALYA</v>
          </cell>
          <cell r="N1672" t="str">
            <v>CALYA</v>
          </cell>
          <cell r="O1672" t="str">
            <v>B401RA-GQZFJ-DA</v>
          </cell>
          <cell r="P1672" t="str">
            <v>CALYA</v>
          </cell>
          <cell r="Q1672" t="e">
            <v>#N/A</v>
          </cell>
          <cell r="R1672" t="str">
            <v>B401RA-GQZFJ-DA</v>
          </cell>
          <cell r="S1672" t="str">
            <v>CALYA</v>
          </cell>
          <cell r="T1672" t="e">
            <v>#N/A</v>
          </cell>
          <cell r="U1672" t="str">
            <v>CALYA G A/T</v>
          </cell>
        </row>
        <row r="1673">
          <cell r="D1673" t="str">
            <v>B401RA-GMZFJ-EB</v>
          </cell>
          <cell r="E1673" t="str">
            <v>CALYA</v>
          </cell>
          <cell r="F1673" t="str">
            <v>CALYA</v>
          </cell>
          <cell r="G1673" t="str">
            <v>CALYA</v>
          </cell>
          <cell r="H1673" t="str">
            <v>CALYA G M/T</v>
          </cell>
          <cell r="I1673" t="str">
            <v>CALYA G M/T</v>
          </cell>
          <cell r="J1673" t="str">
            <v>CALYA G M/T TCO</v>
          </cell>
          <cell r="K1673" t="str">
            <v>CALYA</v>
          </cell>
          <cell r="M1673" t="str">
            <v>CALYA</v>
          </cell>
          <cell r="N1673" t="str">
            <v>CALYA</v>
          </cell>
          <cell r="O1673" t="str">
            <v>B401RA-GMZFJ-EB</v>
          </cell>
          <cell r="P1673" t="str">
            <v>CALYA</v>
          </cell>
          <cell r="Q1673" t="e">
            <v>#N/A</v>
          </cell>
          <cell r="R1673" t="str">
            <v>B401RA-GMZFJ-EB</v>
          </cell>
          <cell r="S1673" t="str">
            <v>CALYA</v>
          </cell>
          <cell r="T1673" t="e">
            <v>#N/A</v>
          </cell>
          <cell r="U1673" t="str">
            <v>CALYA G M/T</v>
          </cell>
        </row>
        <row r="1674">
          <cell r="D1674" t="str">
            <v>W102RE-LBVFJ-ED</v>
          </cell>
          <cell r="E1674" t="str">
            <v>VELOZ</v>
          </cell>
          <cell r="F1674" t="str">
            <v>VELOZ</v>
          </cell>
          <cell r="G1674" t="str">
            <v>VELOZ</v>
          </cell>
          <cell r="H1674" t="str">
            <v>VELOZ Q AT HYBRID</v>
          </cell>
          <cell r="I1674" t="str">
            <v>VELOZ Q AT HYBRID</v>
          </cell>
          <cell r="J1674" t="str">
            <v>VELOZ Q AT HYBRID TCO</v>
          </cell>
          <cell r="K1674" t="str">
            <v>VELOZ HYBRID</v>
          </cell>
          <cell r="M1674" t="str">
            <v>VELOZ HYBRID</v>
          </cell>
          <cell r="N1674" t="str">
            <v>VELOZ HYBRID</v>
          </cell>
          <cell r="O1674" t="str">
            <v>W102RE-LBVFJ-ED</v>
          </cell>
          <cell r="P1674" t="str">
            <v>VELOZ HYBRID</v>
          </cell>
          <cell r="Q1674" t="str">
            <v>AVANZA</v>
          </cell>
          <cell r="R1674" t="str">
            <v>W102RE-LBVFJ-ED</v>
          </cell>
          <cell r="S1674" t="str">
            <v>VELOZ</v>
          </cell>
          <cell r="T1674" t="str">
            <v>VELOZ</v>
          </cell>
          <cell r="U1674" t="str">
            <v>VELOZ Q AT HYBRID</v>
          </cell>
        </row>
        <row r="1675">
          <cell r="D1675" t="str">
            <v>TGN166R-SDTHKD-43</v>
          </cell>
          <cell r="E1675" t="str">
            <v>FORTUNER</v>
          </cell>
          <cell r="F1675" t="str">
            <v>FORTUNER 4X2</v>
          </cell>
          <cell r="G1675" t="str">
            <v>FORTUNER 4X2</v>
          </cell>
          <cell r="H1675" t="str">
            <v>FORTUNER 4X2 SRZ AT BENSIN</v>
          </cell>
          <cell r="I1675" t="str">
            <v>FORTUNER 4X2 SRZ AT GR BENSIN</v>
          </cell>
          <cell r="J1675" t="str">
            <v>FORTUNER 4X2 SRZ AT GR BENSIN</v>
          </cell>
          <cell r="K1675" t="str">
            <v>FORTUNER 4X2</v>
          </cell>
          <cell r="M1675" t="str">
            <v>FORTUNER</v>
          </cell>
          <cell r="N1675" t="str">
            <v>FORTUNER 4X2</v>
          </cell>
          <cell r="O1675" t="str">
            <v>TGN166R-SDTHKD-43</v>
          </cell>
          <cell r="P1675" t="str">
            <v>FORTUNER 4X2</v>
          </cell>
          <cell r="Q1675" t="e">
            <v>#N/A</v>
          </cell>
          <cell r="R1675" t="str">
            <v>TGN166R-SDTHKD-43</v>
          </cell>
          <cell r="S1675" t="str">
            <v>FORTUNER</v>
          </cell>
          <cell r="T1675" t="str">
            <v>FORTUNER</v>
          </cell>
          <cell r="U1675" t="str">
            <v>FORTUNER 4X2 SRZ AT GR</v>
          </cell>
        </row>
        <row r="1676">
          <cell r="D1676" t="str">
            <v>MZRA90R-BPXRH-21</v>
          </cell>
          <cell r="E1676" t="str">
            <v>VOXY</v>
          </cell>
          <cell r="F1676" t="str">
            <v>VOXY</v>
          </cell>
          <cell r="G1676" t="str">
            <v>VOXY</v>
          </cell>
          <cell r="H1676" t="str">
            <v>VOXY 2.0 A/T</v>
          </cell>
          <cell r="I1676" t="str">
            <v>VOXY 2.0 A/T</v>
          </cell>
          <cell r="J1676" t="str">
            <v>VOXY 2.0 A/T</v>
          </cell>
          <cell r="K1676" t="str">
            <v>VOXY</v>
          </cell>
          <cell r="M1676" t="str">
            <v>VOXY</v>
          </cell>
          <cell r="N1676" t="str">
            <v>VOXY</v>
          </cell>
          <cell r="O1676" t="str">
            <v>MZRA90R-BPXRH-21</v>
          </cell>
          <cell r="P1676" t="str">
            <v>VOXY</v>
          </cell>
          <cell r="Q1676" t="e">
            <v>#N/A</v>
          </cell>
          <cell r="R1676" t="str">
            <v>MZRA90R-BPXRH-21</v>
          </cell>
          <cell r="S1676" t="str">
            <v>VOXY</v>
          </cell>
          <cell r="T1676" t="str">
            <v>VOXY</v>
          </cell>
          <cell r="U1676" t="str">
            <v>VOXY 2.0 A/T</v>
          </cell>
        </row>
        <row r="1677">
          <cell r="D1677" t="str">
            <v>MZRA90R-BPXRH-20</v>
          </cell>
          <cell r="E1677" t="str">
            <v>VOXY</v>
          </cell>
          <cell r="F1677" t="str">
            <v>VOXY</v>
          </cell>
          <cell r="G1677" t="str">
            <v>VOXY</v>
          </cell>
          <cell r="H1677" t="str">
            <v>VOXY 2.0 A/T</v>
          </cell>
          <cell r="I1677" t="str">
            <v>VOXY 2.0 A/T</v>
          </cell>
          <cell r="J1677" t="str">
            <v>VOXY 2.0 A/T</v>
          </cell>
          <cell r="K1677" t="str">
            <v>VOXY</v>
          </cell>
          <cell r="M1677" t="str">
            <v>VOXY</v>
          </cell>
          <cell r="N1677" t="str">
            <v>VOXY</v>
          </cell>
          <cell r="O1677" t="str">
            <v>MZRA90R-BPXRH-20</v>
          </cell>
          <cell r="P1677" t="str">
            <v>VOXY</v>
          </cell>
          <cell r="Q1677" t="e">
            <v>#N/A</v>
          </cell>
          <cell r="R1677" t="str">
            <v>MZRA90R-BPXRH-20</v>
          </cell>
          <cell r="S1677" t="str">
            <v>VOXY</v>
          </cell>
          <cell r="T1677" t="str">
            <v>VOXY</v>
          </cell>
          <cell r="U1677" t="str">
            <v>VOXY 2.0 A/T</v>
          </cell>
        </row>
        <row r="1678">
          <cell r="D1678" t="str">
            <v>TGN110R-ATMSKD3-10</v>
          </cell>
          <cell r="E1678" t="str">
            <v>HILUX</v>
          </cell>
          <cell r="F1678" t="str">
            <v>HILUX RANGGA</v>
          </cell>
          <cell r="G1678" t="str">
            <v>HILUX RANGGA</v>
          </cell>
          <cell r="H1678" t="str">
            <v>RANGGA-HILUX CAB-CHASSIS PU M/T</v>
          </cell>
          <cell r="I1678" t="str">
            <v>RANGGA-HILUX CAB-CHASSIS PU STANDAR M/T</v>
          </cell>
          <cell r="J1678" t="str">
            <v>RANGGA-HILUX CAB-CHASSIS PU STANDAR M/T</v>
          </cell>
          <cell r="K1678" t="str">
            <v>HILUX RANGGA</v>
          </cell>
          <cell r="M1678" t="str">
            <v>HILUX RANGGA</v>
          </cell>
          <cell r="N1678" t="str">
            <v>HILUX RANGGA</v>
          </cell>
          <cell r="O1678" t="str">
            <v>TGN110R-ATMSKD3-10</v>
          </cell>
          <cell r="P1678" t="str">
            <v>HILUX RANGGA</v>
          </cell>
          <cell r="Q1678" t="e">
            <v>#N/A</v>
          </cell>
          <cell r="R1678" t="str">
            <v>TGN110R-ATMSKD3-10</v>
          </cell>
          <cell r="S1678" t="str">
            <v>HILUX</v>
          </cell>
          <cell r="T1678" t="str">
            <v>HILUX</v>
          </cell>
          <cell r="U1678" t="str">
            <v>RANGGA-HILUX CAB-CHASSIS PU M/T</v>
          </cell>
        </row>
        <row r="1679">
          <cell r="D1679" t="str">
            <v>GUN156R-SDTHXD-EB</v>
          </cell>
          <cell r="E1679" t="str">
            <v>FORTUNER</v>
          </cell>
          <cell r="F1679" t="str">
            <v>FORTUNER 4X4</v>
          </cell>
          <cell r="G1679" t="str">
            <v>FORTUNER 4X4</v>
          </cell>
          <cell r="H1679" t="str">
            <v>FORTUNER 4X4 VRZ A/T DIESEL</v>
          </cell>
          <cell r="I1679" t="str">
            <v>FORTUNER 4X4 VRZ A/T DIESEL GR TSS</v>
          </cell>
          <cell r="J1679" t="str">
            <v>FORTUNER 4X4 VRZ A/T DIESEL GR TSS</v>
          </cell>
          <cell r="K1679" t="str">
            <v>FORTUNER 4X4</v>
          </cell>
          <cell r="M1679" t="str">
            <v>FORTUNER</v>
          </cell>
          <cell r="N1679" t="str">
            <v>FORTUNER 4X4</v>
          </cell>
          <cell r="O1679" t="str">
            <v>GUN156R-SDTHXD-EB</v>
          </cell>
          <cell r="P1679" t="str">
            <v>FORTUNER 4X4</v>
          </cell>
          <cell r="Q1679" t="e">
            <v>#N/A</v>
          </cell>
          <cell r="R1679" t="str">
            <v>GUN156R-SDTHXD-EB</v>
          </cell>
          <cell r="S1679" t="str">
            <v>FORTUNER</v>
          </cell>
          <cell r="T1679" t="str">
            <v>FORTUNER</v>
          </cell>
          <cell r="U1679" t="str">
            <v>FORTUNER 4X4 VRZ A/T DIESEL</v>
          </cell>
        </row>
        <row r="1680">
          <cell r="D1680" t="str">
            <v>MAGA10R-BRXMBD-FE</v>
          </cell>
          <cell r="E1680" t="str">
            <v>INNOVA</v>
          </cell>
          <cell r="F1680" t="str">
            <v>INNOVA</v>
          </cell>
          <cell r="G1680" t="str">
            <v>INNOVA</v>
          </cell>
          <cell r="H1680" t="str">
            <v>INNOVA ZENIX V A/T</v>
          </cell>
          <cell r="I1680" t="str">
            <v>INNOVA ZENIX V A/T</v>
          </cell>
          <cell r="J1680" t="str">
            <v>INNOVA ZENIX V A/T TCO</v>
          </cell>
          <cell r="K1680" t="str">
            <v>INNOVA ZENIX GAS</v>
          </cell>
          <cell r="N1680" t="str">
            <v>INNOVA ZENIX GAS</v>
          </cell>
          <cell r="O1680" t="str">
            <v>MAGA10R-BRXMBD-FE</v>
          </cell>
          <cell r="P1680" t="str">
            <v>INNOVA ZENIX</v>
          </cell>
          <cell r="Q1680" t="str">
            <v>INNOVA ZENIX V BENSIN</v>
          </cell>
          <cell r="R1680" t="str">
            <v>MAGA10R-BRXMBD-FE</v>
          </cell>
          <cell r="S1680" t="str">
            <v>INNOVA</v>
          </cell>
          <cell r="T1680" t="str">
            <v>INV ZENIX GAS</v>
          </cell>
          <cell r="U1680" t="str">
            <v>INNOVA ZENIX V A/T</v>
          </cell>
        </row>
        <row r="1681">
          <cell r="D1681" t="str">
            <v>W102RE-LBVFJ-EB</v>
          </cell>
          <cell r="E1681" t="str">
            <v>VELOZ</v>
          </cell>
          <cell r="F1681" t="str">
            <v>VELOZ</v>
          </cell>
          <cell r="G1681" t="str">
            <v>VELOZ</v>
          </cell>
          <cell r="H1681" t="str">
            <v>VELOZ Q AT HYBRID</v>
          </cell>
          <cell r="I1681" t="str">
            <v>VELOZ Q AT HYBRID MODELLISTA</v>
          </cell>
          <cell r="J1681" t="str">
            <v>VELOZ Q AT HYBRID TCO</v>
          </cell>
          <cell r="K1681" t="str">
            <v>VELOZ HYBRID</v>
          </cell>
          <cell r="M1681" t="str">
            <v>VELOZ HYBRID</v>
          </cell>
          <cell r="N1681" t="str">
            <v>VELOZ HYBRID</v>
          </cell>
          <cell r="O1681" t="str">
            <v>W102RE-LBVFJ-EB</v>
          </cell>
          <cell r="P1681" t="str">
            <v>VELOZ HYBRID</v>
          </cell>
          <cell r="Q1681" t="str">
            <v>AVANZA</v>
          </cell>
          <cell r="R1681" t="str">
            <v>W102RE-LBVFJ-EB</v>
          </cell>
          <cell r="S1681" t="str">
            <v>VELOZ</v>
          </cell>
          <cell r="T1681" t="str">
            <v>VELOZ</v>
          </cell>
          <cell r="U1681" t="str">
            <v>VELOZ Q AT HYBRID</v>
          </cell>
        </row>
        <row r="1682">
          <cell r="D1682" t="str">
            <v>MAGH10R-BRXMBD-16</v>
          </cell>
          <cell r="E1682" t="str">
            <v>INNOVA</v>
          </cell>
          <cell r="F1682" t="str">
            <v>INNOVA</v>
          </cell>
          <cell r="G1682" t="str">
            <v>INNOVA</v>
          </cell>
          <cell r="H1682" t="str">
            <v>INNOVA ZENIX V A/T HYBRID</v>
          </cell>
          <cell r="I1682" t="str">
            <v>INNOVA ZENIX V A/T HYBRID</v>
          </cell>
          <cell r="J1682" t="str">
            <v>INNOVA ZENIX V A/T HYBRID</v>
          </cell>
          <cell r="K1682" t="str">
            <v>INNOVA ZENIX HYBRID</v>
          </cell>
          <cell r="N1682" t="str">
            <v>INNOVA ZENIX HYBRID</v>
          </cell>
          <cell r="O1682" t="str">
            <v>MAGH10R-BRXMBD-16</v>
          </cell>
          <cell r="P1682" t="str">
            <v>INNOVA ZENIX HYBRID</v>
          </cell>
          <cell r="Q1682" t="str">
            <v>INNOVA ZENIX HYBRID</v>
          </cell>
          <cell r="R1682" t="str">
            <v>MAGH10R-BRXMBD-16</v>
          </cell>
          <cell r="S1682" t="str">
            <v>INNOVA</v>
          </cell>
          <cell r="T1682" t="str">
            <v>INV ZENIX HYBRID</v>
          </cell>
          <cell r="U1682" t="str">
            <v>INNOVA ZENIX V A/T HYBRID</v>
          </cell>
        </row>
        <row r="1683">
          <cell r="D1683" t="str">
            <v>A250RA-GMXVJ-10</v>
          </cell>
          <cell r="E1683" t="str">
            <v>RAIZE</v>
          </cell>
          <cell r="F1683" t="str">
            <v>RAIZE</v>
          </cell>
          <cell r="G1683" t="str">
            <v>RAIZE</v>
          </cell>
          <cell r="H1683" t="str">
            <v>RAIZE G M/T</v>
          </cell>
          <cell r="I1683" t="str">
            <v>RAIZE 1.0T G M/T</v>
          </cell>
          <cell r="J1683" t="str">
            <v>RAIZE 1.0T G M/T ONE TONE</v>
          </cell>
          <cell r="K1683" t="str">
            <v>RAIZE</v>
          </cell>
          <cell r="L1683" t="str">
            <v>A250RGM/T00M</v>
          </cell>
          <cell r="M1683" t="str">
            <v>RAIZE</v>
          </cell>
          <cell r="N1683" t="str">
            <v>RAIZE</v>
          </cell>
          <cell r="O1683" t="str">
            <v>A250RA-GMXVJ-10</v>
          </cell>
          <cell r="P1683" t="str">
            <v>RAIZE</v>
          </cell>
          <cell r="Q1683" t="e">
            <v>#N/A</v>
          </cell>
          <cell r="R1683" t="str">
            <v>A250RA-GMXVJ-10</v>
          </cell>
          <cell r="S1683" t="str">
            <v>RAIZE</v>
          </cell>
          <cell r="T1683" t="e">
            <v>#N/A</v>
          </cell>
          <cell r="U1683" t="str">
            <v>RAIZE G M/T</v>
          </cell>
        </row>
        <row r="1684">
          <cell r="D1684" t="str">
            <v>GUN165R-SDTSXD-31</v>
          </cell>
          <cell r="E1684" t="str">
            <v>FORTUNER</v>
          </cell>
          <cell r="F1684" t="str">
            <v>FORTUNER 4X2</v>
          </cell>
          <cell r="G1684" t="str">
            <v>FORTUNER 4X2</v>
          </cell>
          <cell r="H1684" t="str">
            <v>FORTUNER 4X2 G A/T DIESEL</v>
          </cell>
          <cell r="I1684" t="str">
            <v xml:space="preserve">FORTUNER 4X2 G A/T DIESEL </v>
          </cell>
          <cell r="J1684" t="str">
            <v xml:space="preserve">FORTUNER 4X2 G A/T DIESEL </v>
          </cell>
          <cell r="K1684" t="str">
            <v>FORTUNER 4X2</v>
          </cell>
          <cell r="M1684" t="str">
            <v>FORTUNER</v>
          </cell>
          <cell r="N1684" t="str">
            <v>FORTUNER 4X2</v>
          </cell>
          <cell r="O1684" t="str">
            <v>GUN165R-SDTSXD-31</v>
          </cell>
          <cell r="P1684" t="str">
            <v>FORTUNER 4X2</v>
          </cell>
          <cell r="Q1684" t="e">
            <v>#N/A</v>
          </cell>
          <cell r="R1684" t="str">
            <v>GUN165R-SDTSXD-31</v>
          </cell>
          <cell r="S1684" t="str">
            <v>FORTUNER</v>
          </cell>
          <cell r="T1684" t="str">
            <v>FORTUNER</v>
          </cell>
          <cell r="U1684" t="str">
            <v>FORTUNER 4X2 G A/T DIESEL</v>
          </cell>
        </row>
        <row r="1685">
          <cell r="D1685" t="str">
            <v>GUN165R-SDFSXD-31</v>
          </cell>
          <cell r="E1685" t="str">
            <v>FORTUNER</v>
          </cell>
          <cell r="F1685" t="str">
            <v>FORTUNER 4X2</v>
          </cell>
          <cell r="G1685" t="str">
            <v>FORTUNER 4X2</v>
          </cell>
          <cell r="H1685" t="str">
            <v>FORTUNER 4X2 G M/T DIESEL</v>
          </cell>
          <cell r="I1685" t="str">
            <v>FORTUNER 4X2 G M/T DIESEL</v>
          </cell>
          <cell r="J1685" t="str">
            <v>FORTUNER 4X2 G M/T DIESEL</v>
          </cell>
          <cell r="K1685" t="str">
            <v>FORTUNER 4X2</v>
          </cell>
          <cell r="M1685" t="str">
            <v>FORTUNER</v>
          </cell>
          <cell r="N1685" t="str">
            <v>FORTUNER 4X2</v>
          </cell>
          <cell r="O1685" t="str">
            <v>GUN165R-SDFSXD-31</v>
          </cell>
          <cell r="P1685" t="str">
            <v>FORTUNER 4X2</v>
          </cell>
          <cell r="Q1685" t="e">
            <v>#N/A</v>
          </cell>
          <cell r="R1685" t="str">
            <v>GUN165R-SDFSXD-31</v>
          </cell>
          <cell r="S1685" t="str">
            <v>FORTUNER</v>
          </cell>
          <cell r="T1685" t="str">
            <v>FORTUNER</v>
          </cell>
          <cell r="U1685" t="str">
            <v>FORTUNER 4X2 G M/T DIESEL</v>
          </cell>
        </row>
        <row r="1686">
          <cell r="D1686" t="str">
            <v>GUN226R-DTFMXD-00</v>
          </cell>
          <cell r="E1686" t="str">
            <v>HILUX</v>
          </cell>
          <cell r="F1686" t="str">
            <v>HILUX DC</v>
          </cell>
          <cell r="G1686" t="str">
            <v>HILUX DC</v>
          </cell>
          <cell r="H1686" t="str">
            <v>HILUX DC G M/T DIESEL</v>
          </cell>
          <cell r="I1686" t="str">
            <v>HILUX DC G M/T DIESEL</v>
          </cell>
          <cell r="J1686" t="str">
            <v>HILUX DC G M/T DIESEL</v>
          </cell>
          <cell r="K1686" t="str">
            <v>HILUX DC</v>
          </cell>
          <cell r="M1686" t="str">
            <v>HILUX</v>
          </cell>
          <cell r="N1686" t="str">
            <v>HILUX DC</v>
          </cell>
          <cell r="O1686" t="str">
            <v>GUN226R-DTFMXD-00</v>
          </cell>
          <cell r="P1686" t="str">
            <v>HILUX D-CAB</v>
          </cell>
          <cell r="Q1686" t="e">
            <v>#N/A</v>
          </cell>
          <cell r="R1686" t="str">
            <v>GUN226R-DTFMXD-00</v>
          </cell>
          <cell r="S1686" t="str">
            <v>HILUX</v>
          </cell>
          <cell r="T1686" t="str">
            <v>HILUX</v>
          </cell>
          <cell r="U1686" t="str">
            <v>HILUX DC G M/T DIESEL</v>
          </cell>
        </row>
        <row r="1687">
          <cell r="D1687" t="str">
            <v>GUN226R-DTTHXD-00</v>
          </cell>
          <cell r="E1687" t="str">
            <v>HILUX</v>
          </cell>
          <cell r="F1687" t="str">
            <v>HILUX DC</v>
          </cell>
          <cell r="G1687" t="str">
            <v>HILUX DC</v>
          </cell>
          <cell r="H1687" t="str">
            <v>HILUX DC V A/T DIESEL</v>
          </cell>
          <cell r="I1687" t="str">
            <v>HILUX DC V A/T DIESEL</v>
          </cell>
          <cell r="J1687" t="str">
            <v>HILUX DC V A/T DIESEL</v>
          </cell>
          <cell r="K1687" t="str">
            <v>HILUX DC</v>
          </cell>
          <cell r="M1687" t="str">
            <v>HILUX</v>
          </cell>
          <cell r="N1687" t="str">
            <v>HILUX DC</v>
          </cell>
          <cell r="O1687" t="str">
            <v>GUN226R-DTTHXD-00</v>
          </cell>
          <cell r="P1687" t="str">
            <v>HILUX D-CAB</v>
          </cell>
          <cell r="Q1687" t="e">
            <v>#N/A</v>
          </cell>
          <cell r="R1687" t="str">
            <v>GUN226R-DTTHXD-00</v>
          </cell>
          <cell r="S1687" t="str">
            <v>HILUX</v>
          </cell>
          <cell r="T1687" t="str">
            <v>HILUX</v>
          </cell>
          <cell r="U1687" t="str">
            <v>HILUX DC V A/T DIESEL</v>
          </cell>
        </row>
        <row r="1688">
          <cell r="D1688" t="str">
            <v>GUN226R-BTFXXD-00</v>
          </cell>
          <cell r="E1688" t="str">
            <v>HILUX</v>
          </cell>
          <cell r="F1688" t="str">
            <v>HILUX SC</v>
          </cell>
          <cell r="G1688" t="str">
            <v>HILUX SC</v>
          </cell>
          <cell r="H1688" t="str">
            <v>HILUX SC M/T DIESEL</v>
          </cell>
          <cell r="I1688" t="str">
            <v>HILUX SC M/T DIESEL</v>
          </cell>
          <cell r="J1688" t="str">
            <v>HILUX SC M/T DIESEL</v>
          </cell>
          <cell r="K1688" t="str">
            <v>HILUX SC</v>
          </cell>
          <cell r="M1688" t="str">
            <v>HILUX</v>
          </cell>
          <cell r="N1688" t="str">
            <v>HILUX SC</v>
          </cell>
          <cell r="O1688" t="str">
            <v>GUN226R-BTFXXD-00</v>
          </cell>
          <cell r="P1688" t="str">
            <v>HILUX S-CAB</v>
          </cell>
          <cell r="Q1688" t="e">
            <v>#N/A</v>
          </cell>
          <cell r="R1688" t="str">
            <v>GUN226R-BTFXXD-00</v>
          </cell>
          <cell r="S1688" t="str">
            <v>HILUX</v>
          </cell>
          <cell r="T1688" t="str">
            <v>HILUX</v>
          </cell>
          <cell r="U1688" t="str">
            <v>HILUX SC M/T DIESEL</v>
          </cell>
        </row>
        <row r="1689">
          <cell r="D1689" t="str">
            <v>GUN226R-DTFLXD-00</v>
          </cell>
          <cell r="E1689" t="str">
            <v>HILUX</v>
          </cell>
          <cell r="F1689" t="str">
            <v>HILUX DC</v>
          </cell>
          <cell r="G1689" t="str">
            <v>HILUX DC</v>
          </cell>
          <cell r="H1689" t="str">
            <v>HILUX DC E M/T DIESEL</v>
          </cell>
          <cell r="I1689" t="str">
            <v>HILUX DC E M/T DIESEL</v>
          </cell>
          <cell r="J1689" t="str">
            <v>HILUX DC E M/T DIESEL</v>
          </cell>
          <cell r="K1689" t="str">
            <v>HILUX DC</v>
          </cell>
          <cell r="M1689" t="str">
            <v>HILUX</v>
          </cell>
          <cell r="N1689" t="str">
            <v>HILUX DC</v>
          </cell>
          <cell r="O1689" t="str">
            <v>GUN226R-DTFLXD-00</v>
          </cell>
          <cell r="P1689" t="str">
            <v>HILUX D-CAB</v>
          </cell>
          <cell r="Q1689" t="e">
            <v>#N/A</v>
          </cell>
          <cell r="R1689" t="str">
            <v>GUN226R-DTFLXD-00</v>
          </cell>
          <cell r="S1689" t="str">
            <v>HILUX</v>
          </cell>
          <cell r="T1689" t="str">
            <v>HILUX</v>
          </cell>
          <cell r="U1689" t="str">
            <v>HILUX DC E M/T DIESEL</v>
          </cell>
        </row>
        <row r="1690">
          <cell r="D1690" t="str">
            <v>TGN110R-ATMSKD-GC</v>
          </cell>
          <cell r="E1690" t="str">
            <v>HILUX</v>
          </cell>
          <cell r="F1690" t="str">
            <v>HILUX RANGGA</v>
          </cell>
          <cell r="G1690" t="str">
            <v>HILUX RANGGA</v>
          </cell>
          <cell r="H1690" t="str">
            <v>RANGGA-HILUX PU M/T</v>
          </cell>
          <cell r="I1690" t="str">
            <v>RANGGA-HILUX PU STANDARD M/T</v>
          </cell>
          <cell r="J1690" t="str">
            <v>RANGGA-HILUX PU STANDARD M/T TCO</v>
          </cell>
          <cell r="K1690" t="str">
            <v>HILUX RANGGA</v>
          </cell>
          <cell r="L1690" t="str">
            <v>HILUX RANGGA</v>
          </cell>
          <cell r="M1690" t="str">
            <v>HILUX RANGGA</v>
          </cell>
          <cell r="N1690" t="str">
            <v>HILUX RANGGA</v>
          </cell>
          <cell r="O1690" t="str">
            <v>TGN110R-ATMSKD-GC</v>
          </cell>
          <cell r="P1690" t="str">
            <v>HILUX RANGGA</v>
          </cell>
          <cell r="Q1690" t="e">
            <v>#N/A</v>
          </cell>
          <cell r="R1690" t="str">
            <v>TGN110R-ATMSKD-GC</v>
          </cell>
          <cell r="S1690" t="str">
            <v>HILUX</v>
          </cell>
          <cell r="T1690" t="str">
            <v>HILUX</v>
          </cell>
          <cell r="U1690" t="str">
            <v>RANGGA-HILUX PU M/T</v>
          </cell>
        </row>
        <row r="1691">
          <cell r="D1691" t="str">
            <v>GUN156R-SDTHXD-43</v>
          </cell>
          <cell r="E1691" t="str">
            <v>FORTUNER</v>
          </cell>
          <cell r="F1691" t="str">
            <v>FORTUNER 4X4</v>
          </cell>
          <cell r="G1691" t="str">
            <v>FORTUNER 4X4</v>
          </cell>
          <cell r="H1691" t="str">
            <v>FORTUNER 4X4 VRZ A/T DIESEL</v>
          </cell>
          <cell r="I1691" t="str">
            <v>FORTUNER 4X4 VRZ A/T DIESEL GR TSS</v>
          </cell>
          <cell r="J1691" t="str">
            <v>FORTUNER 4X4 VRZ A/T DIESEL GR TSS</v>
          </cell>
          <cell r="K1691" t="str">
            <v>FORTUNER 4X4</v>
          </cell>
          <cell r="M1691" t="str">
            <v>FORTUNER</v>
          </cell>
          <cell r="N1691" t="str">
            <v>FORTUNER 4X4</v>
          </cell>
          <cell r="O1691" t="str">
            <v>GUN156R-SDTHXD-43</v>
          </cell>
          <cell r="P1691" t="str">
            <v>FORTUNER 4X4</v>
          </cell>
          <cell r="Q1691" t="e">
            <v>#N/A</v>
          </cell>
          <cell r="R1691" t="str">
            <v>GUN156R-SDTHXD-43</v>
          </cell>
          <cell r="S1691" t="str">
            <v>FORTUNER</v>
          </cell>
          <cell r="T1691" t="str">
            <v>FORTUNER</v>
          </cell>
          <cell r="U1691" t="str">
            <v>FORTUNER 4X4 VRZ A/T DIESEL</v>
          </cell>
        </row>
        <row r="1692">
          <cell r="D1692" t="str">
            <v>GUN156R-SDTHXD-42</v>
          </cell>
          <cell r="E1692" t="str">
            <v>FORTUNER</v>
          </cell>
          <cell r="F1692" t="str">
            <v>FORTUNER 4X4</v>
          </cell>
          <cell r="G1692" t="str">
            <v>FORTUNER 4X4</v>
          </cell>
          <cell r="H1692" t="str">
            <v>FORTUNER 4X4 VRZ A/T DIESEL</v>
          </cell>
          <cell r="I1692" t="str">
            <v>FORTUNER 4X4 VRZ A/T DIESEL GR TSS</v>
          </cell>
          <cell r="J1692" t="str">
            <v>FORTUNER 4X4 VRZ A/T DIESEL GR TSS</v>
          </cell>
          <cell r="K1692" t="str">
            <v>FORTUNER 4X4</v>
          </cell>
          <cell r="M1692" t="str">
            <v>FORTUNER</v>
          </cell>
          <cell r="N1692" t="str">
            <v>FORTUNER 4X4</v>
          </cell>
          <cell r="O1692" t="str">
            <v>GUN156R-SDTHXD-42</v>
          </cell>
          <cell r="P1692" t="str">
            <v>FORTUNER 4X4</v>
          </cell>
          <cell r="Q1692" t="e">
            <v>#N/A</v>
          </cell>
          <cell r="R1692" t="str">
            <v>GUN156R-SDTHXD-42</v>
          </cell>
          <cell r="S1692" t="str">
            <v>FORTUNER</v>
          </cell>
          <cell r="T1692" t="str">
            <v>FORTUNER</v>
          </cell>
          <cell r="U1692" t="str">
            <v>FORTUNER 4X4 VRZ A/T DIESEL</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bali" refreshedDate="46237.646457291667" createdVersion="8" refreshedVersion="8" minRefreshableVersion="3" recordCount="512" xr:uid="{00000000-000A-0000-FFFF-FFFF13000000}">
  <cacheSource type="worksheet">
    <worksheetSource name="Table4"/>
  </cacheSource>
  <cacheFields count="65">
    <cacheField name="No" numFmtId="0">
      <sharedItems containsSemiMixedTypes="0" containsString="0" containsNumber="1" containsInteger="1" minValue="1" maxValue="2129"/>
    </cacheField>
    <cacheField name="BU" numFmtId="0">
      <sharedItems containsSemiMixedTypes="0" containsString="0" containsNumber="1" containsInteger="1" minValue="146" maxValue="146"/>
    </cacheField>
    <cacheField name="Cabang" numFmtId="0">
      <sharedItems/>
    </cacheField>
    <cacheField name="Invoice No." numFmtId="0">
      <sharedItems/>
    </cacheField>
    <cacheField name="Invoice Date " numFmtId="0">
      <sharedItems/>
    </cacheField>
    <cacheField name="Month" numFmtId="0">
      <sharedItems count="14">
        <s v="Mar"/>
        <s v="Feb"/>
        <s v="Apr"/>
        <s v="Jan"/>
        <s v="May"/>
        <s v="Jun"/>
        <s v="Jul"/>
        <s v="Sep" u="1"/>
        <s v="Mei" u="1"/>
        <s v="Nov" u="1"/>
        <s v="Dec" u="1"/>
        <s v="Oct" u="1"/>
        <s v="Aug" u="1"/>
        <s v="Okt" u="1"/>
      </sharedItems>
    </cacheField>
    <cacheField name="Thn" numFmtId="0">
      <sharedItems containsSemiMixedTypes="0" containsString="0" containsNumber="1" containsInteger="1" minValue="2026" maxValue="2026"/>
    </cacheField>
    <cacheField name="Model2" numFmtId="0">
      <sharedItems count="39">
        <s v="AVANZA"/>
        <s v="HIACE"/>
        <s v="CALYA"/>
        <s v="INV REBORN"/>
        <s v="INV ZENIX HYBRID"/>
        <s v="VELOZ"/>
        <s v="INV ZENIX GAS"/>
        <s v="HILUX"/>
        <s v="FORTUNER"/>
        <s v="AGYA"/>
        <s v="YARIS"/>
        <s v="LANDCRUISER"/>
        <s v="RUSH"/>
        <s v="RAIZE"/>
        <s v="ALPHARD HYBRID"/>
        <s v="COROLLA" u="1"/>
        <s v="BZ4X" u="1"/>
        <s v="VOXY" u="1"/>
        <s v="FT86" u="1"/>
        <s v="VIOS" u="1"/>
        <s v="CAMRY" u="1"/>
        <s v="HIACE PREMIO" u="1"/>
        <s v="HILUX RANGGA" u="1"/>
        <s v="ALPHARD GAS" u="1"/>
        <s v="VELLFIRE" u="1"/>
        <s v="AGYA GR" u="1"/>
        <s v="HIACE COMM" u="1"/>
        <s v="INNOVA" u="1"/>
        <s v="FORTUNER 4X2" u="1"/>
        <s v="HILUX SC" u="1"/>
        <s v="SUPRA" u="1"/>
        <s v="COROLLA CROSS HYBRID" u="1"/>
        <s v="ALPHARD" u="1"/>
        <e v="#N/A" u="1"/>
        <s v="HILUX DC" u="1"/>
        <s v="FORTUNER 4X4" u="1"/>
        <s v="YARIS CROSS" u="1"/>
        <s v="GR COROLLA" u="1"/>
        <s v="COROLLA CROSS" u="1"/>
      </sharedItems>
    </cacheField>
    <cacheField name="Model1" numFmtId="0">
      <sharedItems count="22">
        <s v="AVANZA"/>
        <s v="HIACE"/>
        <s v="CALYA"/>
        <s v="INNOVA"/>
        <s v="VELOZ"/>
        <s v="HILUX"/>
        <s v="FORTUNER"/>
        <s v="AGYA"/>
        <s v="YARIS"/>
        <s v="LANDCRUISER"/>
        <s v="RUSH"/>
        <s v="RAIZE"/>
        <s v="ALPHARD"/>
        <s v="COROLLA" u="1"/>
        <s v="BZ4X" u="1"/>
        <s v="VOXY" u="1"/>
        <s v="FT86" u="1"/>
        <s v="VIOS" u="1"/>
        <s v="CAMRY" u="1"/>
        <s v="VELLFIRE" u="1"/>
        <s v="SUPRA" u="1"/>
        <s v="COROLLA CROSS" u="1"/>
      </sharedItems>
    </cacheField>
    <cacheField name="Model3" numFmtId="0">
      <sharedItems/>
    </cacheField>
    <cacheField name="Nama Leasing" numFmtId="0">
      <sharedItems count="8">
        <s v="TAFS"/>
        <s v="OTHERS"/>
        <s v="MTF"/>
        <s v="CASH"/>
        <s v="ACC"/>
        <s v="BCAF"/>
        <s v="KKB BCA"/>
        <s v="ADIRA"/>
      </sharedItems>
    </cacheField>
    <cacheField name="Customer Class" numFmtId="0">
      <sharedItems count="2">
        <s v="INDIVIDU"/>
        <s v="PT"/>
      </sharedItems>
    </cacheField>
    <cacheField name="Method Of Payment" numFmtId="0">
      <sharedItems count="4">
        <s v="KREDIT"/>
        <s v="CASH"/>
        <s v="TUNAI" u="1"/>
        <s v="LEASING" u="1"/>
      </sharedItems>
    </cacheField>
    <cacheField name="CITY" numFmtId="0">
      <sharedItems count="60">
        <s v="KAB. BANDUNG"/>
        <s v="KAB. GARUT"/>
        <s v="KAB. BANDUNG BARAT"/>
        <s v="KAB. CIANJUR"/>
        <s v="KOTA BANDUNG"/>
        <s v="KOTA CIMAHI"/>
        <s v="KAB. SUMEDANG"/>
        <s v="KAB. SUKABUMI"/>
        <s v="KOTA BEKASI"/>
        <s v="KOTA SERANG"/>
        <s v="KOTA JAKARTA BARAT"/>
        <s v="KAB. TANGERANG (PLAT A)"/>
        <s v="KOTA TANGERANG SELATAN"/>
        <s v="KAB. TANGERANG (PLAT B)"/>
        <s v="KOTA DEPOK"/>
        <s v="KOTA JAKARTA PUSAT"/>
        <s v="KOTA JAKARTA SELATAN"/>
        <s v="KAB. SUBANG"/>
        <s v="KAB. BOGOR"/>
        <s v="KAB. KARAWANG"/>
        <s v="KOTA JAKARTA TIMUR"/>
        <s v="KAB. BEKASI"/>
        <s v="KOTA JAKARTA UTARA"/>
        <s v="KAB. TASIKMALAYA"/>
        <s v="KAB. INDRAMAYU"/>
        <s v="KOTA TANGERANG"/>
        <s v="KOTA SURABAYA" u="1"/>
        <s v="KOTA BOGOR" u="1"/>
        <s v="KAB. LAMPUNG SELATAN" u="1"/>
        <s v="KAB. LEBAK" u="1"/>
        <s v="JAKARTA SELATAN" u="1"/>
        <s v="SERANG" u="1"/>
        <s v="DEPOK" u="1"/>
        <s v="TANGERANG SELATAN" u="1"/>
        <s v="JAKARTA TIMUR" u="1"/>
        <s v="BEKASI" u="1"/>
        <s v="BANJARMASIN" u="1"/>
        <s v="BALIKPAPAN" u="1"/>
        <s v="KOTA MEDAN" u="1"/>
        <s v="JAKARTA PUSAT" u="1"/>
        <s v="KAB. LAMPUNG TIMUR" u="1"/>
        <s v="KOTA PALEMBANG" u="1"/>
        <s v="BOGOR" u="1"/>
        <s v="KOTA BANDAR LAMPUNG" u="1"/>
        <s v="KOTA BALIKPAPAN" u="1"/>
        <s v="KAB. SERANG" u="1"/>
        <s v="JAKARTA BARAT" u="1"/>
        <s v="KOTA KAB. GARUT" u="1"/>
        <s v="KOTA BANJARMASIN" u="1"/>
        <s v="KOTA KAB. BOGOR" u="1"/>
        <s v="KAB. TANGERANG" u="1"/>
        <s v="MEDAN" u="1"/>
        <s v="TANGERANG" u="1"/>
        <s v="KOTA KAB. KARAWANG" u="1"/>
        <s v="SURABAYA" u="1"/>
        <s v="KOTA KAB. TANGERANG" u="1"/>
        <s v="KOTA PADANG" u="1"/>
        <s v="KAB. BANGKA TENGAH" u="1"/>
        <s v="JAKARTA UTARA" u="1"/>
        <s v="KOTA KAB. BEKASI" u="1"/>
      </sharedItems>
    </cacheField>
    <cacheField name="PMA" numFmtId="0">
      <sharedItems count="3">
        <s v="PMA"/>
        <s v="NO PMA"/>
        <s v="NON PMA" u="1"/>
      </sharedItems>
    </cacheField>
    <cacheField name="Sumber Prospek" numFmtId="0">
      <sharedItems count="19">
        <s v="REFERENSI"/>
        <s v="LIVE MEDSOS"/>
        <s v="PAMERAN"/>
        <s v="IKLAN"/>
        <s v="RO"/>
        <s v="DATABASE"/>
        <s v="WALK IN "/>
        <s v="RO "/>
        <s v="WALK IN" u="1"/>
        <s v="DATABASE SALES" u="1"/>
        <s v="DATABASE BENGKEL" u="1"/>
        <s v="REFERENSI " u="1"/>
        <s v="EVENT" u="1"/>
        <s v="PAMERAN " u="1"/>
        <s v="DATABSE SALES" u="1"/>
        <s v="REFERRAL" u="1"/>
        <s v="DATABASE " u="1"/>
        <s v="REPEAT ORDER" u="1"/>
        <s v="MOVEX" u="1"/>
      </sharedItems>
    </cacheField>
    <cacheField name="Profil Pembelian" numFmtId="0">
      <sharedItems count="4">
        <s v="FIRST BUYER"/>
        <s v="ADDITIONAL"/>
        <s v="REPLACEMENT"/>
        <e v="#N/A" u="1"/>
      </sharedItems>
    </cacheField>
    <cacheField name="Pekerjaan" numFmtId="0">
      <sharedItems containsBlank="1" count="28">
        <s v="WIRASWASTA"/>
        <s v="KARY SWASTA"/>
        <s v="KARY BUMN"/>
        <s v="PROFESIONAL"/>
        <s v="PNS"/>
        <s v="MENGURUS RMH T"/>
        <s v="PT"/>
        <s v="TNI / POLRI"/>
        <s v="PELAJAR / MAHASISWA"/>
        <s v="KARYAWAN SWASTA" u="1"/>
        <s v="KARY. SWASTA" u="1"/>
        <s v="IBU RMH TANGGA" u="1"/>
        <s v="TNI / POLISI" u="1"/>
        <m u="1"/>
        <s v="PROFEISONAL- TNI" u="1"/>
        <s v="Wiraswasta - Business Owner" u="1"/>
        <s v="Purnawirawan - PNS" u="1"/>
        <s v="Wiraswasta - Pedagang" u="1"/>
        <s v="PROFESIONAL- POLRI" u="1"/>
        <s v="IBU RUMAH TANGGA" u="1"/>
        <s v="Profesional- Guru" u="1"/>
        <s v="Wiraswasta - Jasa" u="1"/>
        <s v="Wiraswasta- Pedagang" u="1"/>
        <s v="PENSIUNAN" u="1"/>
        <e v="#N/A" u="1"/>
        <s v="Karyawan BUMN" u="1"/>
        <s v="MAHASISWA" u="1"/>
        <s v="IRT" u="1"/>
      </sharedItems>
    </cacheField>
    <cacheField name="Sales Person" numFmtId="0">
      <sharedItems count="155">
        <s v="DENO"/>
        <s v="JAJANG NURJAMAN"/>
        <s v="RIZKI RISMAWAN"/>
        <s v="DENI ALFIAN"/>
        <s v="SENOAJI"/>
        <s v="GIYONO"/>
        <s v="ERICK JANUAR LISAPALY"/>
        <s v="AGUS SUPARMAN"/>
        <s v="RAHMAWATI"/>
        <s v="DADAN DARMADI"/>
        <s v="DERI NURSANDI"/>
        <s v="MUHAMMAD FADIL FAHMI RUSTANDI"/>
        <s v="RIDWAN DWI AZHARI"/>
        <s v="AHMAD MAULANA"/>
        <s v="RIDWAN MUSTOFA"/>
        <s v="REGYAWAN KURNIA"/>
        <s v="LUVITA DAMAYANTI"/>
        <s v="KHARISMA GALIH PUTRA"/>
        <s v="TOPIK HIDAYAT"/>
        <s v="GALIH HARISTIANTO"/>
        <s v="INDAH PITALOKA"/>
        <s v="DADI SOBARI"/>
        <s v="DEAN NUR IMAN"/>
        <s v="YENI"/>
        <s v="JUARNA KARMAN PUTRA"/>
        <s v="RIDWAN EFENDI"/>
        <s v="BADII ADITIA"/>
        <s v="YANI ANDRIYANI"/>
        <s v="AGTHY EIKA PRATIWI"/>
        <s v="ANDRI JAYA LAKSANA"/>
        <s v="SYAFRIL AGUNG SEFILA"/>
        <s v="FANI PERMANI"/>
        <s v="ARDIAN PURNAMA"/>
        <s v="DENI SETIAWAN"/>
        <s v="INTAN OCTAVIA"/>
        <s v="DIAN SITI NURWENDAH"/>
        <s v="HINGKI ZULFIKAR"/>
        <s v="NOVA KHAIRUNNISA SUMARNA"/>
        <s v="ARIEF PRABOWO"/>
        <s v="RIZAL SAEPUL ROHMAN"/>
        <s v="WULAN FITRI ANDRIYANI"/>
        <s v="REZA PAHLEVI PUTRA PRIBADI"/>
        <s v="FADHIL MUHAMMAD"/>
        <s v="SINTA MUSTIKA"/>
        <s v="RENI NURBAYANI"/>
        <s v="NURI LESTARI KRISTIANTY"/>
        <s v="FERA HANDAYANI" u="1"/>
        <s v="RIEFALDIE HUTAMA PUTRA" u="1"/>
        <s v="SITI RACHMAH" u="1"/>
        <s v="HANA ROSALINA" u="1"/>
        <s v="PUTRI ANINDIA" u="1"/>
        <s v="BELLA MUTIANA" u="1"/>
        <s v="JOJOR BUNGAWAR NAINGGOLAN" u="1"/>
        <s v="ANDRI SAMANTHA SEBAYANG" u="1"/>
        <s v="BINTANG SATYOWIBOWO" u="1"/>
        <s v="ANDRE RAYNALDI PUTERA PERAWIRA" u="1"/>
        <s v="NITA PURWANINGSIH" u="1"/>
        <s v="TARIDA HUTAGALUNG  " u="1"/>
        <s v="RANDA THRESNA" u="1"/>
        <s v="AIDIL RAHMAN SIDIK" u="1"/>
        <s v="RIFNA AFRIZAL" u="1"/>
        <s v="ESTER BR SIMANUNGKALIT" u="1"/>
        <s v="AGUS UTOMO" u="1"/>
        <s v="ERWIN PUTRA WIJAYA" u="1"/>
        <s v="ALDO REVI OKTORA" u="1"/>
        <s v="ANIKA DYA WIJAYANTI" u="1"/>
        <s v="EKA PRIHANTORO" u="1"/>
        <s v="RICARDO SIREGAR" u="1"/>
        <s v="ASMUI NURFII" u="1"/>
        <s v="AYIP ALI RIDHO" u="1"/>
        <s v="DANIEL PURBA" u="1"/>
        <s v="PURWANTO" u="1"/>
        <s v="AGUS WAHYUDI  " u="1"/>
        <s v="INGRID NURAINI" u="1"/>
        <s v="SANDRO HASOLOAN L TOBING" u="1"/>
        <s v="HANDINI HILDA PUTRI" u="1"/>
        <s v="A WAWAN DARMAWAN SETIAWAN" u="1"/>
        <s v="REEDHO COPALINO" u="1"/>
        <s v="FAJAR SUHENGGY" u="1"/>
        <s v="ABDULLAH BAKO" u="1"/>
        <s v="NOVALDO LUIS RAHMAN" u="1"/>
        <s v="BERENDA WESTRI BUANA" u="1"/>
        <s v="KASRY EKA FITRAH" u="1"/>
        <s v="ANITA GUSNIAWATI" u="1"/>
        <s v="HENDRO SAPUTRO" u="1"/>
        <s v="NUR MUHAMMAD ISHAQ" u="1"/>
        <s v="MUHAMMAD GANANG PRAKOSO" u="1"/>
        <s v="YOGI FEBRIAN" u="1"/>
        <s v="CELESTINUS J. NAPITUPULU" u="1"/>
        <s v="DEBORA APULITA GINTING" u="1"/>
        <s v="YOSEP ERIKSON S" u="1"/>
        <s v="RENDRA HAVIZ" u="1"/>
        <s v="IBNU SYAM" u="1"/>
        <s v="NORMA PANJAITAN" u="1"/>
        <s v="ARIF UNTORO  " u="1"/>
        <s v="MUHAMMAD ISMU PRAMUDITA" u="1"/>
        <s v="NURANDI JABAL NUR" u="1"/>
        <s v="ANGGY TRIASTUTY" u="1"/>
        <s v="ZIKRI MAULANA" u="1"/>
        <s v="REZKY RAHMADI ALHAPSY" u="1"/>
        <s v="FRANDO" u="1"/>
        <s v="ERRY SURYANTORO" u="1"/>
        <s v="DOMINGGOS EXAUDY SINURAT" u="1"/>
        <s v="AKMALLUDIN" u="1"/>
        <s v="LUTFI DITO ANTORO WAHAB" u="1"/>
        <s v="ANDRY SAMANTHA SEBAYANG" u="1"/>
        <s v="AHMAD HAEKAL" u="1"/>
        <s v="MUHAMAD IRVAN DADI" u="1"/>
        <s v="RAHMANDA BANGSAWAN  " u="1"/>
        <s v="LEAN ARYO RUKMANA PUTRA" u="1"/>
        <s v="MUHAMAD FADHIL FARID" u="1"/>
        <s v="DEVRI PRIHANTO" u="1"/>
        <s v="DAVID ARIF SEBASTIAN" u="1"/>
        <s v="ANDRIAN FERDIANSYAH  " u="1"/>
        <s v="FAHRY YUDIANTARA RAYES" u="1"/>
        <s v="DARWIN ALINTON MANOMU PANDAPOTAN" u="1"/>
        <s v="DHARMAWAN AP TAMBUNAN" u="1"/>
        <s v="FANNY PRATAMA" u="1"/>
        <s v="EKA SETIAWAN" u="1"/>
        <s v="WAHYU ALAMSYAH PUTRA" u="1"/>
        <s v="MUHAMAD TORIQAL BIN SAID  " u="1"/>
        <s v="REALDO M. NAPITUPULU" u="1"/>
        <s v="ALSADADRUDI" u="1"/>
        <s v="AFIFIYANI" u="1"/>
        <s v="BAGAS AJI WICAKSONO" u="1"/>
        <s v="ANNEKE FEBRIANTY" u="1"/>
        <s v="RENI APRILLIANI" u="1"/>
        <s v="YABES MATTHEW" u="1"/>
        <s v="MARIA BEATRICE FRANSIN BASARY" u="1"/>
        <s v="MUHAMAD TORIQAL BIN SAID" u="1"/>
        <s v="ADI PUTRA HAZARULAH" u="1"/>
        <s v="MUHAMMAD DHIO OKTO PRATAMA" u="1"/>
        <s v="YUDHISTIRA WITJAKSONO" u="1"/>
        <s v="ILHAM IDRIS A" u="1"/>
        <s v="ARDI FAWASI" u="1"/>
        <s v="JUAN BENNETT JUHANDI" u="1"/>
        <s v="NUGRAHA" u="1"/>
        <s v="FAIZAL ARWINANTO" u="1"/>
        <s v="IRAWATI" u="1"/>
        <s v="ANDRY" u="1"/>
        <s v="MUHAMMAD REZA" u="1"/>
        <s v="YUSRIZAL  " u="1"/>
        <s v="GILANG IRAWAN" u="1"/>
        <s v="MUHAMMAD NANDO RAYNALDY" u="1"/>
        <s v="DANA BALAN DANU WIJAYA" u="1"/>
        <s v="VICIA INDAH MAWARNI" u="1"/>
        <s v="RIDWAN ARIFIN" u="1"/>
        <s v="PRAYOGA HAKIKI" u="1"/>
        <s v="ACHMAD RENALDY" u="1"/>
        <s v="TODOAN NAPOLIN S" u="1"/>
        <s v="MERRY  " u="1"/>
        <s v="RANDI SAPUTRA" u="1"/>
        <s v="HAFIZ GUSLIHAN" u="1"/>
        <s v="MUHAMAD LATIF" u="1"/>
        <s v="RIYANDI ADI NUGROHO" u="1"/>
      </sharedItems>
    </cacheField>
    <cacheField name="Supervisor" numFmtId="0">
      <sharedItems count="9">
        <s v="FERYANTO"/>
        <s v="ALVIN"/>
        <s v="MUHAMMAD CAISARIVA"/>
        <s v="ANDI WAHYUDI" u="1"/>
        <s v="LINNY" u="1"/>
        <s v="HERBERT TIMBUL L NAPITUPULU" u="1"/>
        <s v="KARTIKA DEWI" u="1"/>
        <s v="HERBERT" u="1"/>
        <s v="DINA ARTIKA" u="1"/>
      </sharedItems>
    </cacheField>
    <cacheField name="Tipe Kendaraan" numFmtId="0">
      <sharedItems/>
    </cacheField>
    <cacheField name="Exterior Color Code" numFmtId="0">
      <sharedItems/>
    </cacheField>
    <cacheField name="Colour Desc" numFmtId="0">
      <sharedItems/>
    </cacheField>
    <cacheField name="Chasis" numFmtId="0">
      <sharedItems/>
    </cacheField>
    <cacheField name="No Mesin" numFmtId="0">
      <sharedItems/>
    </cacheField>
    <cacheField name="Sales Force ID" numFmtId="0">
      <sharedItems/>
    </cacheField>
    <cacheField name="Sales Person2" numFmtId="0">
      <sharedItems/>
    </cacheField>
    <cacheField name="Supervisor3" numFmtId="0">
      <sharedItems/>
    </cacheField>
    <cacheField name="Customer No" numFmtId="0">
      <sharedItems/>
    </cacheField>
    <cacheField name="Customer" numFmtId="0">
      <sharedItems/>
    </cacheField>
    <cacheField name="Customer Class4" numFmtId="0">
      <sharedItems/>
    </cacheField>
    <cacheField name="NAMA STNK" numFmtId="0">
      <sharedItems/>
    </cacheField>
    <cacheField name="Owner Adress" numFmtId="0">
      <sharedItems containsBlank="1"/>
    </cacheField>
    <cacheField name="Owner District" numFmtId="0">
      <sharedItems/>
    </cacheField>
    <cacheField name="Owner City" numFmtId="0">
      <sharedItems/>
    </cacheField>
    <cacheField name="Method Of Payment5" numFmtId="0">
      <sharedItems/>
    </cacheField>
    <cacheField name="KREDIT" numFmtId="0">
      <sharedItems/>
    </cacheField>
    <cacheField name="Faktur Pajak" numFmtId="0">
      <sharedItems containsBlank="1"/>
    </cacheField>
    <cacheField name="Harga OTR" numFmtId="165">
      <sharedItems containsSemiMixedTypes="0" containsString="0" containsNumber="1" containsInteger="1" minValue="178800000" maxValue="2716300000"/>
    </cacheField>
    <cacheField name="Harga Unit" numFmtId="165">
      <sharedItems containsSemiMixedTypes="0" containsString="0" containsNumber="1" containsInteger="1" minValue="-525848214" maxValue="2117243304"/>
    </cacheField>
    <cacheField name="BBN" numFmtId="165">
      <sharedItems containsSemiMixedTypes="0" containsString="0" containsNumber="1" containsInteger="1" minValue="-89450000" maxValue="344987500"/>
    </cacheField>
    <cacheField name="PPN" numFmtId="165">
      <sharedItems containsSemiMixedTypes="0" containsString="0" containsNumber="1" containsInteger="1" minValue="-59458928" maxValue="248712053"/>
    </cacheField>
    <cacheField name="Accessories Optional" numFmtId="165">
      <sharedItems containsSemiMixedTypes="0" containsString="0" containsNumber="1" containsInteger="1" minValue="0" maxValue="0"/>
    </cacheField>
    <cacheField name="Accessories Konsorsium" numFmtId="165">
      <sharedItems containsSemiMixedTypes="0" containsString="0" containsNumber="1" containsInteger="1" minValue="0" maxValue="0"/>
    </cacheField>
    <cacheField name="Harga Discount" numFmtId="165">
      <sharedItems containsSemiMixedTypes="0" containsString="0" containsNumber="1" containsInteger="1" minValue="-30357143" maxValue="53571429"/>
    </cacheField>
    <cacheField name="Harga Total AR" numFmtId="165">
      <sharedItems containsSemiMixedTypes="0" containsString="0" containsNumber="1" containsInteger="1" minValue="-644400000" maxValue="2666300000"/>
    </cacheField>
    <cacheField name="Outstanding AR" numFmtId="165">
      <sharedItems containsSemiMixedTypes="0" containsString="0" containsNumber="1" containsInteger="1" minValue="0" maxValue="750000000"/>
    </cacheField>
    <cacheField name="Total Discount Approved" numFmtId="165">
      <sharedItems containsSemiMixedTypes="0" containsString="0" containsNumber="1" containsInteger="1" minValue="-60000000" maxValue="0"/>
    </cacheField>
    <cacheField name="Delivery Date" numFmtId="0">
      <sharedItems containsBlank="1"/>
    </cacheField>
    <cacheField name="Tanggal Act GI" numFmtId="0">
      <sharedItems containsBlank="1"/>
    </cacheField>
    <cacheField name="Invoice Type" numFmtId="0">
      <sharedItems/>
    </cacheField>
    <cacheField name="Qty" numFmtId="0">
      <sharedItems containsSemiMixedTypes="0" containsString="0" containsNumber="1" containsInteger="1" minValue="-1" maxValue="1"/>
    </cacheField>
    <cacheField name="NPWP" numFmtId="0">
      <sharedItems containsBlank="1"/>
    </cacheField>
    <cacheField name="Tanggal Prospect" numFmtId="0">
      <sharedItems containsBlank="1"/>
    </cacheField>
    <cacheField name="SPK No." numFmtId="0">
      <sharedItems/>
    </cacheField>
    <cacheField name="Tanggal SPK" numFmtId="0">
      <sharedItems/>
    </cacheField>
    <cacheField name="SPK Transaction Date" numFmtId="0">
      <sharedItems/>
    </cacheField>
    <cacheField name="SPK Created Date" numFmtId="0">
      <sharedItems/>
    </cacheField>
    <cacheField name="RRN No." numFmtId="0">
      <sharedItems containsBlank="1"/>
    </cacheField>
    <cacheField name="AFI Submit Date" numFmtId="0">
      <sharedItems containsBlank="1"/>
    </cacheField>
    <cacheField name="Invoice Due Date" numFmtId="0">
      <sharedItems/>
    </cacheField>
    <cacheField name="DO TAM No." numFmtId="0">
      <sharedItems containsBlank="1"/>
    </cacheField>
    <cacheField name="DO TAM Date" numFmtId="0">
      <sharedItems containsBlank="1"/>
    </cacheField>
    <cacheField name="Promise Delivery Date" numFmtId="0">
      <sharedItems/>
    </cacheField>
    <cacheField name="Referral Amount" numFmtId="0">
      <sharedItems containsSemiMixedTypes="0" containsString="0" containsNumber="1" containsInteger="1" minValue="0" maxValue="10000000"/>
    </cacheField>
  </cacheFields>
  <extLst>
    <ext xmlns:x14="http://schemas.microsoft.com/office/spreadsheetml/2009/9/main" uri="{725AE2AE-9491-48be-B2B4-4EB974FC3084}">
      <x14:pivotCacheDefinition pivotCacheId="831822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n v="1"/>
    <n v="146"/>
    <s v="KC"/>
    <s v="146ARI2603-0819"/>
    <s v="16/03/26"/>
    <x v="0"/>
    <n v="2026"/>
    <x v="0"/>
    <x v="0"/>
    <s v="AVANZA E M/T"/>
    <x v="0"/>
    <x v="0"/>
    <x v="0"/>
    <x v="0"/>
    <x v="0"/>
    <x v="0"/>
    <x v="0"/>
    <x v="0"/>
    <x v="0"/>
    <x v="0"/>
    <s v="W100RE-LMDFJ-00"/>
    <s v="X12"/>
    <s v="BLACK MICA"/>
    <s v="MHKAA1BY4TJ012974"/>
    <s v="1NR-G318806"/>
    <s v="KCMG072432"/>
    <s v="DENO"/>
    <s v="FERYANTO"/>
    <s v="CST-000817510"/>
    <s v="AA SUGANDA"/>
    <s v="INDIVIDU"/>
    <s v="LENA MAULANI"/>
    <s v="RANCAKIHIANG"/>
    <s v="KEC. RANCAEKEK"/>
    <s v="KAB. BANDUNG"/>
    <s v="KREDIT"/>
    <s v="PT. TOYOTA ASTRA FINANCIAL SERVICES"/>
    <m/>
    <n v="246700000"/>
    <n v="189966518"/>
    <n v="33937500"/>
    <n v="21081696"/>
    <n v="0"/>
    <n v="0"/>
    <n v="14285714"/>
    <n v="230700000"/>
    <n v="0"/>
    <n v="-16000000"/>
    <s v="17/03/26"/>
    <s v="17/03/26"/>
    <s v="Invoice"/>
    <n v="1"/>
    <s v="0000000000000000"/>
    <s v="13/03/26"/>
    <s v="KC-26-000112"/>
    <s v="13/03/26"/>
    <s v="13/03/26"/>
    <s v="13/03/26 13.56"/>
    <s v="B702018"/>
    <s v="16/03/26"/>
    <s v="30/03/26"/>
    <s v="2026021998"/>
    <s v="26/02/26"/>
    <s v="17/03/26 13.28"/>
    <n v="0"/>
  </r>
  <r>
    <n v="5"/>
    <n v="146"/>
    <s v="KC"/>
    <s v="146ARI2602-0740"/>
    <s v="18/02/26"/>
    <x v="1"/>
    <n v="2026"/>
    <x v="1"/>
    <x v="1"/>
    <s v="HIACE COMM"/>
    <x v="0"/>
    <x v="0"/>
    <x v="0"/>
    <x v="0"/>
    <x v="0"/>
    <x v="0"/>
    <x v="1"/>
    <x v="0"/>
    <x v="1"/>
    <x v="0"/>
    <s v="KDH223R-LEMDY-00"/>
    <s v="058"/>
    <s v="WHITE"/>
    <s v="JTFST22P7S0054511"/>
    <s v="1KD-B228570"/>
    <s v="KCMK24005"/>
    <s v="JAJANG NURJAMAN"/>
    <s v="FERYANTO"/>
    <s v="CST-000812711"/>
    <s v="ABDUL ROJAK"/>
    <s v="INDIVIDU"/>
    <s v="ABDUL ROJAK"/>
    <s v="KOMP. GBA 3 BLOK 0-10 NO.7"/>
    <s v="KEC. BOJONGSOANG"/>
    <s v="KAB. BANDUNG"/>
    <s v="KREDIT"/>
    <s v="PT. TOYOTA ASTRA FINANCIAL SERVICES"/>
    <s v="001-26.64462157"/>
    <n v="578100000"/>
    <n v="451520270"/>
    <n v="76912500"/>
    <n v="47685247"/>
    <n v="0"/>
    <n v="0"/>
    <n v="18018018"/>
    <n v="558100000"/>
    <n v="0"/>
    <n v="-20000000"/>
    <s v="24/02/26"/>
    <s v="24/02/26"/>
    <s v="Invoice"/>
    <n v="1"/>
    <m/>
    <s v="10/02/26"/>
    <s v="KC-25-001142"/>
    <s v="09/02/26"/>
    <s v="09/02/26"/>
    <s v="10/02/26 15.06"/>
    <s v="AP00500"/>
    <s v="18/02/26"/>
    <s v="20/03/26"/>
    <s v="2026009044"/>
    <s v="27/01/26"/>
    <s v="20/02/26 11.00"/>
    <n v="0"/>
  </r>
  <r>
    <n v="8"/>
    <n v="146"/>
    <s v="KC"/>
    <s v="146ARI2602-1382"/>
    <s v="28/02/26"/>
    <x v="1"/>
    <n v="2026"/>
    <x v="2"/>
    <x v="2"/>
    <s v="CALYA G A/T"/>
    <x v="1"/>
    <x v="0"/>
    <x v="0"/>
    <x v="1"/>
    <x v="1"/>
    <x v="1"/>
    <x v="0"/>
    <x v="0"/>
    <x v="2"/>
    <x v="1"/>
    <s v="B401RA-GQZFJ-20"/>
    <s v="1G3"/>
    <s v="GRAY METALLIC"/>
    <s v="MHKA6GK6JTJ089051"/>
    <s v="3NR-H984913"/>
    <s v="KCMG042414"/>
    <s v="RIZKI RISMAWAN"/>
    <s v="ALVIN"/>
    <s v="CST-000814363"/>
    <s v="ACEP AHMAD NURHOLIS"/>
    <s v="INDIVIDU"/>
    <s v="IIS AISAH"/>
    <s v="KP. CIROYOM"/>
    <s v="KEC. TAROGONG KALER"/>
    <s v="KAB. GARUT"/>
    <s v="KREDIT"/>
    <s v="PT. MANDIRI UTAMA FINANCE"/>
    <m/>
    <n v="196400000"/>
    <n v="150767857"/>
    <n v="27540000"/>
    <n v="16913571"/>
    <n v="0"/>
    <n v="0"/>
    <n v="9821429"/>
    <n v="185400000"/>
    <n v="1000000"/>
    <n v="-11000000"/>
    <m/>
    <m/>
    <s v="Invoice"/>
    <n v="1"/>
    <m/>
    <s v="20/02/26"/>
    <s v="KC-26-000037"/>
    <s v="19/02/26"/>
    <s v="19/02/26"/>
    <s v="21/02/26 11.18"/>
    <s v="BO02359"/>
    <m/>
    <s v="14/03/26"/>
    <s v="2026021911"/>
    <s v="26/02/26"/>
    <s v="02/03/26 09.51"/>
    <n v="0"/>
  </r>
  <r>
    <n v="47"/>
    <n v="146"/>
    <s v="KC"/>
    <s v="146ARI2604-0936"/>
    <s v="20/04/26"/>
    <x v="2"/>
    <n v="2026"/>
    <x v="0"/>
    <x v="0"/>
    <s v="AVANZA E A/T"/>
    <x v="2"/>
    <x v="0"/>
    <x v="0"/>
    <x v="0"/>
    <x v="0"/>
    <x v="2"/>
    <x v="0"/>
    <x v="0"/>
    <x v="3"/>
    <x v="0"/>
    <s v="W100RE-LBDFJ-10"/>
    <s v="W09"/>
    <s v="WHITE"/>
    <s v="MHKAA1BY8TJ014579"/>
    <s v="1NR-G324300"/>
    <s v="KCMG052513"/>
    <s v="DENI ALFIAN"/>
    <s v="FERYANTO"/>
    <s v="CST-000822013"/>
    <s v="ADE SONJAYA"/>
    <s v="INDIVIDU"/>
    <s v="MIRA RAHMWATI"/>
    <s v="KP BABAKAN STASIUN"/>
    <s v="KEC. CICALENGKA"/>
    <s v="KAB. BANDUNG"/>
    <s v="KREDIT"/>
    <s v="PT. MANDIRI TUNAS FINANCE"/>
    <m/>
    <n v="261700000"/>
    <n v="201685268"/>
    <n v="35812500"/>
    <n v="22595089"/>
    <n v="0"/>
    <n v="0"/>
    <n v="13392857"/>
    <n v="246700000"/>
    <n v="0"/>
    <n v="-15000000"/>
    <s v="29/04/26"/>
    <s v="29/04/26"/>
    <s v="Invoice"/>
    <n v="1"/>
    <s v="3204254902960016"/>
    <s v="18/04/26"/>
    <s v="KC-26-000190"/>
    <s v="06/04/26"/>
    <s v="06/04/26"/>
    <s v="18/04/26 13.36"/>
    <s v="D701615"/>
    <s v="20/04/26"/>
    <s v="04/05/26"/>
    <s v="2026039036"/>
    <s v="15/04/26"/>
    <s v="23/04/26 13.25"/>
    <n v="0"/>
  </r>
  <r>
    <n v="57"/>
    <n v="146"/>
    <s v="KC"/>
    <s v="146ARI2604-0385"/>
    <s v="09/04/26"/>
    <x v="2"/>
    <n v="2026"/>
    <x v="1"/>
    <x v="1"/>
    <s v="HIACE PREMIO"/>
    <x v="2"/>
    <x v="0"/>
    <x v="0"/>
    <x v="2"/>
    <x v="0"/>
    <x v="0"/>
    <x v="0"/>
    <x v="0"/>
    <x v="4"/>
    <x v="0"/>
    <s v="GDH321R-EDFDYD-10"/>
    <s v="058"/>
    <s v="WHITE"/>
    <s v="JTF2A9CP9T6012689"/>
    <s v="1GD-9715449"/>
    <s v="KCMG032507"/>
    <s v="SENOAJI"/>
    <s v="FERYANTO"/>
    <s v="CST-000815813"/>
    <s v="AFAN FANHUR"/>
    <s v="INDIVIDU"/>
    <s v="AFAN FANHUR"/>
    <s v="KP SUKARAME"/>
    <s v="KEC. LEMBANG"/>
    <s v="KAB. BANDUNG BARAT"/>
    <s v="KREDIT"/>
    <s v="PT. MANDIRI TUNAS FINANCE"/>
    <m/>
    <n v="678400000"/>
    <n v="525133929"/>
    <n v="90250000"/>
    <n v="60337500"/>
    <n v="0"/>
    <n v="0"/>
    <n v="22321429"/>
    <n v="653400000"/>
    <n v="0"/>
    <n v="-25000000"/>
    <s v="11/04/26"/>
    <s v="11/04/26"/>
    <s v="Invoice"/>
    <n v="1"/>
    <s v="0987654321234567"/>
    <s v="03/03/26"/>
    <s v="KC-26-000048"/>
    <s v="28/02/26"/>
    <s v="28/02/26"/>
    <s v="03/03/26 17.30"/>
    <s v="CP00241"/>
    <s v="09/04/26"/>
    <s v="23/04/26"/>
    <s v="2026028005"/>
    <s v="10/03/26"/>
    <s v="10/04/26 17.13"/>
    <n v="0"/>
  </r>
  <r>
    <n v="43"/>
    <n v="146"/>
    <s v="KC"/>
    <s v="146ARI2601-1151"/>
    <s v="29/01/26"/>
    <x v="3"/>
    <n v="2026"/>
    <x v="0"/>
    <x v="0"/>
    <s v="AVANZA G M/T"/>
    <x v="3"/>
    <x v="0"/>
    <x v="1"/>
    <x v="3"/>
    <x v="1"/>
    <x v="3"/>
    <x v="0"/>
    <x v="1"/>
    <x v="5"/>
    <x v="2"/>
    <s v="W101RE-LMMFJ-00"/>
    <s v="1G3"/>
    <s v="GRAY METALLIC"/>
    <s v="MHKAB1BY3TJ014132"/>
    <s v="2NR-4F37943"/>
    <s v="KCMG072528"/>
    <s v="GIYONO"/>
    <s v="MUHAMMAD CAISARIVA"/>
    <s v="CST-000810117"/>
    <s v="AGUS GUNAWAN"/>
    <s v="INDIVIDU"/>
    <s v="AGUS GUNAWAN"/>
    <s v="BTN GADUNG PERMAI BLOK A.2 NO.19B"/>
    <s v="KEC. KARANGTENGAH"/>
    <s v="KAB. CIANJUR"/>
    <s v="CASH"/>
    <s v="CASH"/>
    <s v="001-26.64460831"/>
    <n v="269700000"/>
    <n v="207667411"/>
    <n v="37112500"/>
    <n v="22777232"/>
    <n v="0"/>
    <n v="0"/>
    <n v="17857143"/>
    <n v="249700000"/>
    <n v="0"/>
    <n v="-20000000"/>
    <s v="30/01/26"/>
    <s v="30/01/26"/>
    <s v="Invoice"/>
    <n v="1"/>
    <s v="0000000000000000"/>
    <s v="28/01/26"/>
    <s v="KC-25-001060"/>
    <s v="28/01/26"/>
    <s v="28/01/26"/>
    <s v="28/01/26 14.07"/>
    <s v="A701943"/>
    <s v="29/01/26"/>
    <s v="12/02/26"/>
    <s v="2026008442"/>
    <s v="26/01/26"/>
    <s v="30/01/26 14.07"/>
    <n v="0"/>
  </r>
  <r>
    <n v="72"/>
    <n v="146"/>
    <s v="KC"/>
    <s v="146ARI2604-0403"/>
    <s v="09/04/26"/>
    <x v="2"/>
    <n v="2026"/>
    <x v="3"/>
    <x v="3"/>
    <s v="INNOVA G A/T DIESEL"/>
    <x v="3"/>
    <x v="0"/>
    <x v="1"/>
    <x v="4"/>
    <x v="0"/>
    <x v="0"/>
    <x v="0"/>
    <x v="1"/>
    <x v="6"/>
    <x v="0"/>
    <s v="GUN142R-MDTSXD-30"/>
    <s v="040"/>
    <s v="SUPER WHITE II"/>
    <s v="MHFJB8EM4T1190140"/>
    <s v="2GD-5960169"/>
    <s v="KCMG042509"/>
    <s v="ERICK JANUAR LISAPALY"/>
    <s v="FERYANTO"/>
    <s v="CST-000819508"/>
    <s v="AGUS MARHAENDRA"/>
    <s v="INDIVIDU"/>
    <s v="AGUS MARHAENDRA"/>
    <s v="Jl BATU INDAH RAYA NO 7"/>
    <s v="KEC. BANDUNG KIDUL"/>
    <s v="KOTA BANDUNG"/>
    <s v="CASH"/>
    <s v="CASH"/>
    <m/>
    <n v="442100000"/>
    <n v="342622768"/>
    <n v="58362500"/>
    <n v="38864732"/>
    <n v="0"/>
    <n v="0"/>
    <n v="18750000"/>
    <n v="421100000"/>
    <n v="0"/>
    <n v="-21000000"/>
    <s v="15/04/26"/>
    <s v="15/04/26"/>
    <s v="Invoice"/>
    <n v="1"/>
    <s v="0000000000000000"/>
    <s v="25/03/26"/>
    <s v="KC-26-000150"/>
    <s v="25/03/26"/>
    <s v="25/03/26"/>
    <s v="01/04/26 11.48"/>
    <s v="DC00168"/>
    <s v="09/04/26"/>
    <s v="23/04/26"/>
    <s v="2026035159"/>
    <s v="08/04/26"/>
    <s v="10/04/26 11.17"/>
    <n v="0"/>
  </r>
  <r>
    <n v="42"/>
    <n v="146"/>
    <s v="KC"/>
    <s v="146ARI2602-0203"/>
    <s v="06/02/26"/>
    <x v="1"/>
    <n v="2026"/>
    <x v="4"/>
    <x v="3"/>
    <s v="INNOVA ZENIX G A/T HIYBRID"/>
    <x v="0"/>
    <x v="0"/>
    <x v="0"/>
    <x v="4"/>
    <x v="0"/>
    <x v="0"/>
    <x v="0"/>
    <x v="2"/>
    <x v="7"/>
    <x v="2"/>
    <s v="MAGH10R-BRXLBD-10"/>
    <s v="218"/>
    <s v="ATTITUDE BLACK MICA"/>
    <s v="MHFABAAA6T0049014"/>
    <s v="M20A-NF25942"/>
    <s v="KCMG052525"/>
    <s v="AGUS SUPARMAN"/>
    <s v="MUHAMMAD CAISARIVA"/>
    <s v="CST-000811215"/>
    <s v="AHMAD AKBAR"/>
    <s v="INDIVIDU"/>
    <s v="AHMAD AKBAR"/>
    <s v="JLN SAPUJAGAT BLOK D4 NO 53"/>
    <s v="KEC. CIBEUNYING KALER"/>
    <s v="KOTA BANDUNG"/>
    <s v="KREDIT"/>
    <s v="PT. TOYOTA ASTRA FINANCIAL SERVICES"/>
    <s v="001-26.64462116"/>
    <n v="476600000"/>
    <n v="369799107"/>
    <n v="62425000"/>
    <n v="41697321"/>
    <n v="0"/>
    <n v="0"/>
    <n v="22321429"/>
    <n v="451600000"/>
    <n v="0"/>
    <n v="-25000000"/>
    <s v="12/02/26"/>
    <s v="12/02/26"/>
    <s v="Invoice"/>
    <n v="1"/>
    <s v="0000000000000000"/>
    <s v="31/01/26"/>
    <s v="KC-25-001115"/>
    <s v="06/02/26"/>
    <s v="06/02/26"/>
    <s v="31/01/26 20.19"/>
    <s v="BJ00381"/>
    <s v="06/02/26"/>
    <s v="08/03/26"/>
    <s v="2026013565"/>
    <s v="06/02/26"/>
    <s v="09/02/26 20.10"/>
    <n v="0"/>
  </r>
  <r>
    <n v="64"/>
    <n v="146"/>
    <s v="KC"/>
    <s v="146ARI2601-0974"/>
    <s v="28/01/26"/>
    <x v="3"/>
    <n v="2026"/>
    <x v="3"/>
    <x v="3"/>
    <s v="INNOVA G A/T DIESEL"/>
    <x v="4"/>
    <x v="0"/>
    <x v="0"/>
    <x v="4"/>
    <x v="0"/>
    <x v="1"/>
    <x v="0"/>
    <x v="0"/>
    <x v="8"/>
    <x v="1"/>
    <s v="GUN142R-MDTSXD-30"/>
    <s v="218"/>
    <s v="ATTITUDE BLACK MICA"/>
    <s v="MHFJB8EM3T1183292"/>
    <s v="2GD-5925431"/>
    <s v="KCMK25002"/>
    <s v="RAHMAWATI"/>
    <s v="ALVIN"/>
    <s v="CST-000809482"/>
    <s v="AHMAD SHIDDIQ"/>
    <s v="INDIVIDU"/>
    <s v="MUHAMMAD YUSUF"/>
    <s v="Jl. Cikudapateuhkolot No. 118"/>
    <s v="KEC. BATUNUNGGAL"/>
    <s v="KOTA BANDUNG"/>
    <s v="KREDIT"/>
    <s v="PT. ASTRA SEDAYA FINANCE"/>
    <s v="001-26.64460830"/>
    <n v="442100000"/>
    <n v="342845982"/>
    <n v="58112500"/>
    <n v="39059496"/>
    <n v="0"/>
    <n v="0"/>
    <n v="17350179"/>
    <n v="422667800"/>
    <n v="0"/>
    <n v="-23932200"/>
    <s v="29/01/26"/>
    <s v="29/01/26"/>
    <s v="Invoice"/>
    <n v="1"/>
    <m/>
    <s v="23/01/26"/>
    <s v="KC-25-001005"/>
    <s v="22/01/26"/>
    <s v="22/01/26"/>
    <s v="24/01/26 10.39"/>
    <s v="AC01483"/>
    <s v="28/01/26"/>
    <s v="27/02/26"/>
    <s v="2026005686"/>
    <s v="20/01/26"/>
    <s v="29/01/26 15.38"/>
    <n v="0"/>
  </r>
  <r>
    <n v="94"/>
    <n v="146"/>
    <s v="KC"/>
    <s v="146ARI2604-1132"/>
    <s v="23/04/26"/>
    <x v="2"/>
    <n v="2026"/>
    <x v="5"/>
    <x v="4"/>
    <s v="VELOZ Q AT HYBRID"/>
    <x v="2"/>
    <x v="0"/>
    <x v="0"/>
    <x v="5"/>
    <x v="0"/>
    <x v="0"/>
    <x v="0"/>
    <x v="1"/>
    <x v="9"/>
    <x v="0"/>
    <s v="W102RE-LBVFJ-09"/>
    <s v="089"/>
    <s v="PLATINUM WHITE PEARL MICA"/>
    <s v="MHFA71BY2T0006156"/>
    <s v="2NR-Y688502"/>
    <s v="KCMG042511"/>
    <s v="DADAN DARMADI"/>
    <s v="FERYANTO"/>
    <s v="CST-000822626"/>
    <s v="AHMAD YANI"/>
    <s v="INDIVIDU"/>
    <s v="AHMAD YANI"/>
    <s v="JL.RH.ABDUL HALIM KP SUKANAMPA NO. 34"/>
    <s v="KEC. CIMAHI TENGAH"/>
    <s v="KOTA CIMAHI"/>
    <s v="KREDIT"/>
    <s v="PT. MANDIRI TUNAS FINANCE"/>
    <m/>
    <n v="326500000"/>
    <n v="252310268"/>
    <n v="43912500"/>
    <n v="30277232"/>
    <n v="0"/>
    <n v="0"/>
    <n v="0"/>
    <n v="326500000"/>
    <n v="0"/>
    <n v="0"/>
    <s v="29/04/26"/>
    <s v="29/04/26"/>
    <s v="Invoice"/>
    <n v="1"/>
    <s v="0000000000000000"/>
    <s v="23/04/26"/>
    <s v="KC-26-000236"/>
    <s v="17/04/26"/>
    <s v="17/04/26"/>
    <s v="23/04/26 12.05"/>
    <s v="D801874"/>
    <s v="23/04/26"/>
    <s v="07/05/26"/>
    <s v="2026042386"/>
    <s v="22/04/26"/>
    <s v="25/04/26 10.30"/>
    <n v="0"/>
  </r>
  <r>
    <n v="59"/>
    <n v="146"/>
    <s v="KC"/>
    <s v="146ARI2603-0823"/>
    <s v="16/03/26"/>
    <x v="0"/>
    <n v="2026"/>
    <x v="2"/>
    <x v="2"/>
    <s v="CALYA G M/T"/>
    <x v="0"/>
    <x v="0"/>
    <x v="0"/>
    <x v="4"/>
    <x v="0"/>
    <x v="0"/>
    <x v="0"/>
    <x v="0"/>
    <x v="9"/>
    <x v="0"/>
    <s v="B401RA-GMZFJ-20"/>
    <s v="X13"/>
    <s v="BLACK"/>
    <s v="MHKA6GJ6JTJ223907"/>
    <s v="3NR-H986999"/>
    <s v="KCMG042511"/>
    <s v="DADAN DARMADI"/>
    <s v="FERYANTO"/>
    <s v="CST-000816995"/>
    <s v="AKHMAD KHALIMI"/>
    <s v="INDIVIDU"/>
    <s v="AKHMAD KHALIMI"/>
    <s v="SARIJADI FLAT 11 NO 2"/>
    <s v="KEC. SUKASARI"/>
    <s v="KOTA BANDUNG"/>
    <s v="KREDIT"/>
    <s v="PT. TOYOTA ASTRA FINANCIAL SERVICES"/>
    <m/>
    <n v="181900000"/>
    <n v="139341518"/>
    <n v="25837500"/>
    <n v="15542410"/>
    <n v="0"/>
    <n v="0"/>
    <n v="9821429"/>
    <n v="170900000"/>
    <n v="0"/>
    <n v="-11000000"/>
    <s v="17/03/26"/>
    <s v="17/03/26"/>
    <s v="Invoice"/>
    <n v="1"/>
    <m/>
    <s v="09/03/26"/>
    <s v="KC-26-000107"/>
    <s v="07/03/26"/>
    <s v="07/03/26"/>
    <s v="10/03/26 14.21"/>
    <s v="CO00864"/>
    <s v="16/03/26"/>
    <s v="30/03/26"/>
    <s v="2026026784"/>
    <s v="07/03/26"/>
    <s v="17/03/26 07.48"/>
    <n v="0"/>
  </r>
  <r>
    <n v="60"/>
    <n v="146"/>
    <s v="KC"/>
    <s v="146ARI2602-0387"/>
    <s v="11/02/26"/>
    <x v="1"/>
    <n v="2026"/>
    <x v="6"/>
    <x v="3"/>
    <s v="INNOVA ZENIX V A/T"/>
    <x v="0"/>
    <x v="0"/>
    <x v="0"/>
    <x v="5"/>
    <x v="0"/>
    <x v="0"/>
    <x v="1"/>
    <x v="3"/>
    <x v="8"/>
    <x v="1"/>
    <s v="MAGA10R-BRXMBD-11"/>
    <s v="089"/>
    <s v="PLATINUM WHITE PEARL"/>
    <s v="MHFAAAAA0T0048749"/>
    <s v="M20A-NF28587"/>
    <s v="KCMK25002"/>
    <s v="RAHMAWATI"/>
    <s v="ALVIN"/>
    <s v="CST-000810425"/>
    <s v="AKHMAD SOBARNA"/>
    <s v="INDIVIDU"/>
    <s v="AKHMAD SOBARNA"/>
    <s v="JL ENCEP KARTAWIRA"/>
    <s v="KEC. CIMAHI UTARA"/>
    <s v="KOTA CIMAHI"/>
    <s v="KREDIT"/>
    <s v="PT. TOYOTA ASTRA FINANCIAL SERVICES"/>
    <s v="001-26.64462125"/>
    <n v="488300000"/>
    <n v="378939732"/>
    <n v="63887500"/>
    <n v="42794196"/>
    <n v="0"/>
    <n v="0"/>
    <n v="22321429"/>
    <n v="463300000"/>
    <n v="0"/>
    <n v="-25000000"/>
    <s v="14/02/26"/>
    <s v="14/02/26"/>
    <s v="Invoice"/>
    <n v="1"/>
    <m/>
    <s v="29/01/26"/>
    <s v="KC-25-001045"/>
    <s v="28/01/26"/>
    <s v="28/01/26"/>
    <s v="30/01/26 09.14"/>
    <s v="BJ00600"/>
    <s v="11/02/26"/>
    <s v="13/03/26"/>
    <s v="2026014991"/>
    <s v="10/02/26"/>
    <s v="12/02/26 18.42"/>
    <n v="0"/>
  </r>
  <r>
    <n v="119"/>
    <n v="146"/>
    <s v="KC"/>
    <s v="146ARI2604-0111"/>
    <s v="02/04/26"/>
    <x v="2"/>
    <n v="2026"/>
    <x v="4"/>
    <x v="3"/>
    <s v="INNOVA ZENIX V A/T HYBRID"/>
    <x v="0"/>
    <x v="0"/>
    <x v="0"/>
    <x v="4"/>
    <x v="0"/>
    <x v="4"/>
    <x v="1"/>
    <x v="0"/>
    <x v="1"/>
    <x v="0"/>
    <s v="MAGH10R-BRXMBD-10"/>
    <s v="218"/>
    <s v="ATTITUDE BLACK MICA"/>
    <s v="MHFABAAA7T0048860"/>
    <s v="M20A-NF23860"/>
    <s v="KCMK24005"/>
    <s v="JAJANG NURJAMAN"/>
    <s v="FERYANTO"/>
    <s v="CST-000807213"/>
    <s v="ANA MARDIANA"/>
    <s v="INDIVIDU"/>
    <s v="YUS'RA PRATAMA MA'RUP"/>
    <s v="JL. GALUNGGUNG I NO.1"/>
    <s v="KEC. LENGKONG"/>
    <s v="KOTA BANDUNG"/>
    <s v="KREDIT"/>
    <s v="PT. TOYOTA ASTRA FINANCIAL SERVICES"/>
    <m/>
    <n v="551900000"/>
    <n v="428404018"/>
    <n v="72087500"/>
    <n v="49158482"/>
    <n v="0"/>
    <n v="0"/>
    <n v="18750000"/>
    <n v="530900000"/>
    <n v="0"/>
    <n v="-21000000"/>
    <s v="02/04/26"/>
    <s v="02/04/26"/>
    <s v="Invoice"/>
    <n v="1"/>
    <s v="3273126411720001"/>
    <s v="13/03/26"/>
    <s v="KC-26-000175"/>
    <s v="28/03/26"/>
    <s v="28/03/26"/>
    <s v="31/03/26 11.59"/>
    <s v="BJ00177"/>
    <s v="02/04/26"/>
    <s v="16/04/26"/>
    <s v="2026012057"/>
    <s v="03/02/26"/>
    <s v="03/04/26 14.17"/>
    <n v="0"/>
  </r>
  <r>
    <n v="93"/>
    <n v="146"/>
    <s v="KC"/>
    <s v="146ARI2601-0357"/>
    <s v="09/01/26"/>
    <x v="3"/>
    <n v="2026"/>
    <x v="4"/>
    <x v="3"/>
    <s v="INNOVA ZENIX Q A/T HYBRID"/>
    <x v="3"/>
    <x v="0"/>
    <x v="1"/>
    <x v="4"/>
    <x v="0"/>
    <x v="0"/>
    <x v="1"/>
    <x v="0"/>
    <x v="1"/>
    <x v="1"/>
    <s v="MAGH10R-BPXHBD-11"/>
    <s v="089"/>
    <s v="PLATINUM WHITE PEARL"/>
    <s v="MHFABBAA5T0462953"/>
    <s v="M20A-NF07457"/>
    <s v="KCMK24005"/>
    <s v="JAJANG NURJAMAN"/>
    <s v="ALVIN"/>
    <s v="CST-000807213"/>
    <s v="ANA MARDIANA"/>
    <s v="INDIVIDU"/>
    <s v="ANA MARDIANA"/>
    <s v="JL. GALUNGGUNG I NO.1"/>
    <s v="KEC. LENGKONG"/>
    <s v="KOTA BANDUNG"/>
    <s v="CASH"/>
    <s v="CASH"/>
    <s v="001-26.64460575"/>
    <n v="630000000"/>
    <n v="489642857"/>
    <n v="81600000"/>
    <n v="56078571"/>
    <n v="0"/>
    <n v="0"/>
    <n v="22321429"/>
    <n v="605000000"/>
    <n v="0"/>
    <n v="-25000000"/>
    <s v="17/01/26"/>
    <s v="17/01/26"/>
    <s v="Invoice"/>
    <n v="1"/>
    <m/>
    <s v="06/01/26"/>
    <s v="KC-25-000968"/>
    <s v="06/01/26"/>
    <s v="06/01/26"/>
    <s v="07/01/26 14.11"/>
    <s v="AJ00393"/>
    <s v="09/01/26"/>
    <s v="18/01/26"/>
    <s v="2026001507"/>
    <s v="08/01/26"/>
    <s v="10/01/26 17.42"/>
    <n v="0"/>
  </r>
  <r>
    <n v="120"/>
    <n v="146"/>
    <s v="KC"/>
    <s v="146ARI2604-0406"/>
    <s v="09/04/26"/>
    <x v="2"/>
    <n v="2026"/>
    <x v="0"/>
    <x v="0"/>
    <s v="AVANZA G A/T"/>
    <x v="1"/>
    <x v="0"/>
    <x v="0"/>
    <x v="6"/>
    <x v="1"/>
    <x v="0"/>
    <x v="0"/>
    <x v="0"/>
    <x v="10"/>
    <x v="2"/>
    <s v="W101RE-LBMFJ-10"/>
    <s v="X12"/>
    <s v="BLACK MICA"/>
    <s v="MHKAB1BY8TJ018693"/>
    <s v="2NR-4F71966"/>
    <s v="KCMG012503"/>
    <s v="DERI NURSANDI"/>
    <s v="MUHAMMAD CAISARIVA"/>
    <s v="CST-000818612"/>
    <s v="ANA PRIATNA"/>
    <s v="INDIVIDU"/>
    <s v="TUTI JUHAERIAH"/>
    <s v="DUSUN KAUM KIDUL"/>
    <s v="KEC. DARMARAJA"/>
    <s v="KAB. SUMEDANG"/>
    <s v="KREDIT"/>
    <s v="PT. MANDIRI UTAMA FINANCE"/>
    <m/>
    <n v="284500000"/>
    <n v="219185268"/>
    <n v="39012500"/>
    <n v="24695089"/>
    <n v="0"/>
    <n v="0"/>
    <n v="13392857"/>
    <n v="269500000"/>
    <n v="0"/>
    <n v="-15000000"/>
    <s v="10/04/26"/>
    <s v="10/04/26"/>
    <s v="Invoice"/>
    <n v="1"/>
    <s v="0000000000000000"/>
    <s v="25/03/26"/>
    <s v="KC-26-000138"/>
    <s v="18/03/26"/>
    <s v="18/03/26"/>
    <s v="25/03/26 16.11"/>
    <s v="D700477"/>
    <s v="09/04/26"/>
    <s v="23/04/26"/>
    <s v="2026034286"/>
    <s v="07/04/26"/>
    <s v="10/04/26 11.18"/>
    <n v="0"/>
  </r>
  <r>
    <n v="82"/>
    <n v="146"/>
    <s v="KC"/>
    <s v="146ARI2603-1335"/>
    <s v="31/03/26"/>
    <x v="0"/>
    <n v="2026"/>
    <x v="7"/>
    <x v="5"/>
    <s v="HILUX DC V A/T DIESEL"/>
    <x v="0"/>
    <x v="0"/>
    <x v="0"/>
    <x v="7"/>
    <x v="1"/>
    <x v="3"/>
    <x v="1"/>
    <x v="0"/>
    <x v="11"/>
    <x v="1"/>
    <s v="GUN125R-DTTHXD-40"/>
    <s v="218"/>
    <s v="ATTITUDE BLACK MICA"/>
    <s v="MR0BB3CD1T5818526"/>
    <s v="2GD-J160692"/>
    <s v="KCMG052428"/>
    <s v="MUHAMMAD FADIL FAHMI RUSTANDI"/>
    <s v="ALVIN"/>
    <s v="CST-000817376"/>
    <s v="ANDI KURNIA PRANATA"/>
    <s v="INDIVIDU"/>
    <s v="ANDI KURNIA PRANATA"/>
    <s v="PERUMAHAN PESONA CIBEUREUM PERMAI BLOK A NO.19"/>
    <s v="KEC. SUKARAJA"/>
    <s v="KAB. SUKABUMI"/>
    <s v="KREDIT"/>
    <s v="PT. TOYOTA ASTRA FINANCIAL SERVICES"/>
    <m/>
    <n v="545800000"/>
    <n v="421169643"/>
    <n v="74090000"/>
    <n v="47754642"/>
    <n v="0"/>
    <n v="0"/>
    <n v="23214286"/>
    <n v="519800000"/>
    <n v="94010000"/>
    <n v="-26000000"/>
    <m/>
    <m/>
    <s v="Invoice"/>
    <n v="1"/>
    <m/>
    <s v="11/03/26"/>
    <s v="KC-26-000054"/>
    <s v="10/03/26"/>
    <s v="10/03/26"/>
    <s v="12/03/26 16.04"/>
    <s v="CB01937"/>
    <m/>
    <s v="14/04/26"/>
    <s v="2026032351"/>
    <s v="31/03/26"/>
    <s v="01/04/26 11.16"/>
    <n v="0"/>
  </r>
  <r>
    <n v="84"/>
    <n v="146"/>
    <s v="KC"/>
    <s v="146ARI2603-0206"/>
    <s v="04/03/26"/>
    <x v="0"/>
    <n v="2026"/>
    <x v="0"/>
    <x v="0"/>
    <s v="AVANZA G A/T"/>
    <x v="0"/>
    <x v="0"/>
    <x v="0"/>
    <x v="4"/>
    <x v="0"/>
    <x v="0"/>
    <x v="1"/>
    <x v="1"/>
    <x v="12"/>
    <x v="2"/>
    <s v="W101RE-LBMFJ-00"/>
    <s v="S28"/>
    <s v="Silver Metallic"/>
    <s v="MHKAB1BYXTJ016329"/>
    <s v="2NR-4F56888"/>
    <s v="KCMK25001"/>
    <s v="RIDWAN DWI AZHARI"/>
    <s v="MUHAMMAD CAISARIVA"/>
    <s v="CST-000813444"/>
    <s v="ANDIKA YANUAR ARDIANSYAH"/>
    <s v="INDIVIDU"/>
    <s v="ANDIKA YANUAR ARDIANSYAH"/>
    <s v="KP. GANDOL"/>
    <s v="KEC. CIBIRU"/>
    <s v="KOTA BANDUNG"/>
    <s v="KREDIT"/>
    <s v="PT. TOYOTA ASTRA FINANCIAL SERVICES"/>
    <s v="002-26.36649374"/>
    <n v="284500000"/>
    <n v="219497768"/>
    <n v="38662500"/>
    <n v="24732589"/>
    <n v="0"/>
    <n v="0"/>
    <n v="13392857"/>
    <n v="269500000"/>
    <n v="0"/>
    <n v="-15000000"/>
    <s v="07/03/26"/>
    <s v="07/03/26"/>
    <s v="Invoice"/>
    <n v="1"/>
    <s v="0000000000000000"/>
    <s v="14/02/26"/>
    <s v="KC-26-000024"/>
    <s v="14/02/26"/>
    <s v="14/02/26"/>
    <s v="14/02/26 10.34"/>
    <s v="B702900"/>
    <s v="04/03/26"/>
    <s v="18/03/26"/>
    <s v="2026023884"/>
    <s v="03/03/26"/>
    <s v="05/03/26 08.36"/>
    <n v="0"/>
  </r>
  <r>
    <n v="103"/>
    <n v="146"/>
    <s v="KC"/>
    <s v="146ARI2601-0612"/>
    <s v="15/01/26"/>
    <x v="3"/>
    <n v="2026"/>
    <x v="0"/>
    <x v="0"/>
    <s v="AVANZA G A/T"/>
    <x v="4"/>
    <x v="0"/>
    <x v="0"/>
    <x v="4"/>
    <x v="0"/>
    <x v="5"/>
    <x v="2"/>
    <x v="2"/>
    <x v="13"/>
    <x v="1"/>
    <s v="W101RE-LBMFJ-00"/>
    <s v="X12"/>
    <s v="BLACK MICA"/>
    <s v="MHKAB1BY4TJ013118"/>
    <s v="2NR-4F29251"/>
    <s v="KCMG072433"/>
    <s v="AHMAD MAULANA"/>
    <s v="ALVIN"/>
    <s v="CST-000808170"/>
    <s v="ANDREAS WIDHA PUSPITA"/>
    <s v="INDIVIDU"/>
    <s v="ANDREAS WIDHA PUSPITA"/>
    <s v="JALAN BANJARSARI 12 NO 19"/>
    <s v="KEC. ARCAMANIK"/>
    <s v="KOTA BANDUNG"/>
    <s v="KREDIT"/>
    <s v="PT. ASTRA SEDAYA FINANCE"/>
    <s v="001-26.64460596"/>
    <n v="284500000"/>
    <n v="219720982"/>
    <n v="38412500"/>
    <n v="24116517"/>
    <n v="0"/>
    <n v="0"/>
    <n v="18750000"/>
    <n v="263500000"/>
    <n v="0"/>
    <n v="-21000000"/>
    <s v="21/01/26"/>
    <s v="21/01/26"/>
    <s v="Invoice"/>
    <n v="1"/>
    <m/>
    <s v="13/01/26"/>
    <s v="KC-25-001004"/>
    <s v="12/01/26"/>
    <s v="12/01/26"/>
    <s v="14/01/26 11.05"/>
    <s v="A700967"/>
    <s v="15/01/26"/>
    <s v="14/02/26"/>
    <s v="2026002921"/>
    <s v="13/01/26"/>
    <s v="17/01/26 10.34"/>
    <n v="0"/>
  </r>
  <r>
    <n v="85"/>
    <n v="146"/>
    <s v="KC"/>
    <s v="146ARI2603-0416"/>
    <s v="09/03/26"/>
    <x v="0"/>
    <n v="2026"/>
    <x v="7"/>
    <x v="5"/>
    <s v="RANGGA-HILUX PU DIESEL A/T"/>
    <x v="3"/>
    <x v="0"/>
    <x v="1"/>
    <x v="8"/>
    <x v="1"/>
    <x v="0"/>
    <x v="1"/>
    <x v="0"/>
    <x v="1"/>
    <x v="0"/>
    <s v="GUN110R-ATTHXD-10"/>
    <s v="058"/>
    <s v="WHITE"/>
    <s v="MR0AD9AA0T0001787"/>
    <s v="2GD-1941062"/>
    <s v="KCMK24005"/>
    <s v="JAJANG NURJAMAN"/>
    <s v="FERYANTO"/>
    <s v="CST-000816348"/>
    <s v="ANDRES WIJAYA"/>
    <s v="INDIVIDU"/>
    <s v="GUTA WIJAYA"/>
    <s v="KP. KEBANTENAN"/>
    <s v="KEC. JATIASIH"/>
    <s v="KOTA BEKASI"/>
    <s v="CASH"/>
    <s v="CASH"/>
    <s v="001-26.64462994"/>
    <n v="309600000"/>
    <n v="241310811"/>
    <n v="41745000"/>
    <n v="25454099"/>
    <n v="0"/>
    <n v="0"/>
    <n v="9909910"/>
    <n v="298600000"/>
    <n v="203600000"/>
    <n v="-11000000"/>
    <m/>
    <m/>
    <s v="Invoice"/>
    <n v="1"/>
    <m/>
    <s v="06/03/26"/>
    <s v="KC-26-000101"/>
    <s v="06/03/26"/>
    <s v="06/03/26"/>
    <s v="06/03/26 15.41"/>
    <s v="BB01608"/>
    <s v="09/03/26"/>
    <s v="23/03/26"/>
    <s v="2026022815"/>
    <s v="27/02/26"/>
    <s v="10/03/26 15.10"/>
    <n v="0"/>
  </r>
  <r>
    <n v="89"/>
    <n v="146"/>
    <s v="KC"/>
    <s v="146ARI2603-1324"/>
    <s v="31/03/26"/>
    <x v="0"/>
    <n v="2026"/>
    <x v="0"/>
    <x v="0"/>
    <s v="AVANZA E M/T"/>
    <x v="2"/>
    <x v="0"/>
    <x v="0"/>
    <x v="0"/>
    <x v="0"/>
    <x v="0"/>
    <x v="0"/>
    <x v="1"/>
    <x v="14"/>
    <x v="2"/>
    <s v="W100RE-LMDFJ-00"/>
    <s v="X12"/>
    <s v="BLACK MICA"/>
    <s v="MHKAA1BY5TJ012790"/>
    <s v="1NR-G318618"/>
    <s v="KCMG022606"/>
    <s v="RIDWAN MUSTOFA"/>
    <s v="MUHAMMAD CAISARIVA"/>
    <s v="CST-000816104"/>
    <s v="ANDRI SULAEMAN"/>
    <s v="INDIVIDU"/>
    <s v="WIDIAWATI"/>
    <s v="JL CIJERUK"/>
    <s v="KEC. BOJONGSOANG"/>
    <s v="KAB. BANDUNG"/>
    <s v="KREDIT"/>
    <s v="PT. MANDIRI TUNAS FINANCE"/>
    <m/>
    <n v="246700000"/>
    <n v="189966518"/>
    <n v="33937500"/>
    <n v="21081696"/>
    <n v="0"/>
    <n v="0"/>
    <n v="14285714"/>
    <n v="230700000"/>
    <n v="4500000"/>
    <n v="-16000000"/>
    <m/>
    <m/>
    <s v="Invoice"/>
    <n v="1"/>
    <s v="0000000000000000"/>
    <s v="05/03/26"/>
    <s v="KC-26-000087"/>
    <s v="04/03/26"/>
    <s v="04/03/26"/>
    <s v="05/03/26 10.42"/>
    <s v="B701610"/>
    <m/>
    <s v="14/04/26"/>
    <s v="2026019641"/>
    <s v="21/02/26"/>
    <s v="01/04/26 09.14"/>
    <n v="0"/>
  </r>
  <r>
    <n v="118"/>
    <n v="146"/>
    <s v="KC"/>
    <s v="146ARI2601-1302"/>
    <s v="31/01/26"/>
    <x v="3"/>
    <n v="2026"/>
    <x v="4"/>
    <x v="3"/>
    <s v="INNOVA ZENIX Q A/T HYBRID"/>
    <x v="0"/>
    <x v="0"/>
    <x v="0"/>
    <x v="7"/>
    <x v="1"/>
    <x v="0"/>
    <x v="2"/>
    <x v="0"/>
    <x v="15"/>
    <x v="0"/>
    <s v="MAGH10R-BPXHBD-00"/>
    <s v="1G3"/>
    <s v="GRAY METALLIC"/>
    <s v="MHFABBAA8S0450648"/>
    <s v="M20A-NE07814"/>
    <s v="CMMG122342"/>
    <s v="REGYAWAN KURNIA"/>
    <s v="FERYANTO"/>
    <s v="CST-000810252"/>
    <s v="ANNE ROSTIAWATI, SE"/>
    <s v="INDIVIDU"/>
    <s v="ANNE ROSTIAWATI, SE"/>
    <s v="KP.SUBANG JAYA"/>
    <s v="KEC. SUKABUMI"/>
    <s v="KAB. SUKABUMI"/>
    <s v="KREDIT"/>
    <s v="PT. TOYOTA ASTRA FINANCIAL SERVICES"/>
    <m/>
    <n v="627100000"/>
    <n v="486886161"/>
    <n v="81787500"/>
    <n v="52533482"/>
    <n v="0"/>
    <n v="0"/>
    <n v="49107143"/>
    <n v="572100000"/>
    <n v="64670000"/>
    <n v="-55000000"/>
    <m/>
    <m/>
    <s v="Invoice"/>
    <n v="1"/>
    <m/>
    <s v="26/01/26"/>
    <s v="KC-25-001022"/>
    <s v="23/01/26"/>
    <s v="23/01/26"/>
    <s v="29/01/26 11.59"/>
    <s v="GJ01126"/>
    <m/>
    <s v="02/03/26"/>
    <s v="2025061866"/>
    <s v="11/07/25"/>
    <s v="31/01/26 16.30"/>
    <n v="0"/>
  </r>
  <r>
    <n v="118"/>
    <n v="146"/>
    <s v="KC"/>
    <s v="146ARI2602-1160"/>
    <s v="24/02/26"/>
    <x v="1"/>
    <n v="2026"/>
    <x v="8"/>
    <x v="6"/>
    <s v="FORTUNER 4X2 VRZ A/T DIESEL"/>
    <x v="1"/>
    <x v="0"/>
    <x v="0"/>
    <x v="4"/>
    <x v="0"/>
    <x v="0"/>
    <x v="1"/>
    <x v="0"/>
    <x v="16"/>
    <x v="1"/>
    <s v="GUN166R-SDTHXD-32"/>
    <s v="2PS"/>
    <s v="BLACK - PLATINUM WHITE PEARL"/>
    <s v="MHFAA8GSXS0932849"/>
    <s v="1GD-J120643"/>
    <s v="KCMG052519"/>
    <s v="LUVITA DAMAYANTI"/>
    <s v="ALVIN"/>
    <s v="CST-000813627"/>
    <s v="ANTONIUS"/>
    <s v="INDIVIDU"/>
    <s v="WIWI T WANGSADINATA CHARIF"/>
    <s v="JL CIBADAK NO 16"/>
    <s v="KEC. ASTANA ANYAR"/>
    <s v="KOTA BANDUNG"/>
    <s v="KREDIT"/>
    <s v="PT. MAYBANK FINANCE INDONESIA"/>
    <m/>
    <n v="684700000"/>
    <n v="532377232"/>
    <n v="88437500"/>
    <n v="57456696"/>
    <n v="0"/>
    <n v="0"/>
    <n v="53571429"/>
    <n v="624700000"/>
    <n v="0"/>
    <n v="-60000000"/>
    <s v="24/02/26"/>
    <s v="24/02/26"/>
    <s v="Invoice"/>
    <n v="1"/>
    <m/>
    <s v="16/02/26"/>
    <s v="KC-26-000011"/>
    <s v="15/02/26"/>
    <s v="15/02/26"/>
    <s v="16/02/26 13.17"/>
    <s v="KF00717"/>
    <s v="24/02/26"/>
    <s v="10/03/26"/>
    <s v="2025103111"/>
    <s v="27/11/25"/>
    <s v="26/02/26 11.03"/>
    <n v="0"/>
  </r>
  <r>
    <n v="181"/>
    <n v="146"/>
    <s v="KC"/>
    <s v="146ARI2604-0465"/>
    <s v="11/04/26"/>
    <x v="2"/>
    <n v="2026"/>
    <x v="2"/>
    <x v="2"/>
    <s v="CALYA G M/T"/>
    <x v="4"/>
    <x v="0"/>
    <x v="0"/>
    <x v="0"/>
    <x v="0"/>
    <x v="3"/>
    <x v="0"/>
    <x v="0"/>
    <x v="11"/>
    <x v="1"/>
    <s v="B401RA-GMZFJ-20"/>
    <s v="S28"/>
    <s v="Silver Metallic"/>
    <s v="MHKA6GJ6JTJ223078"/>
    <s v="3NR-H985174"/>
    <s v="KCMG052428"/>
    <s v="MUHAMMAD FADIL FAHMI RUSTANDI"/>
    <s v="ALVIN"/>
    <s v="CST-000820352"/>
    <s v="ARIS SAEPUDIN"/>
    <s v="INDIVIDU"/>
    <s v="DEDE JUBAEDAH"/>
    <s v="KP WARUNGLAHANG"/>
    <s v="KEC. CICALENGKA"/>
    <s v="KAB. BANDUNG"/>
    <s v="KREDIT"/>
    <s v="PT. ASTRA SEDAYA FINANCE"/>
    <s v="002-26.36649907"/>
    <n v="181900000"/>
    <n v="139341518"/>
    <n v="25837500"/>
    <n v="15649553"/>
    <n v="0"/>
    <n v="0"/>
    <n v="8928571"/>
    <n v="171900000"/>
    <n v="0"/>
    <n v="-10000000"/>
    <s v="20/04/26"/>
    <s v="20/04/26"/>
    <s v="Invoice"/>
    <n v="1"/>
    <m/>
    <s v="07/04/26"/>
    <s v="KC-26-000159"/>
    <s v="04/04/26"/>
    <s v="04/04/26"/>
    <s v="07/04/26 15.24"/>
    <s v="BO02448"/>
    <s v="11/04/26"/>
    <s v="25/04/26"/>
    <s v="2026021946"/>
    <s v="26/02/26"/>
    <s v="15/04/26 13.13"/>
    <n v="0"/>
  </r>
  <r>
    <n v="132"/>
    <n v="146"/>
    <s v="KC"/>
    <s v="146ARI2603-0539"/>
    <s v="12/03/26"/>
    <x v="0"/>
    <n v="2026"/>
    <x v="9"/>
    <x v="7"/>
    <s v="AGYA G A/T"/>
    <x v="2"/>
    <x v="0"/>
    <x v="0"/>
    <x v="0"/>
    <x v="0"/>
    <x v="0"/>
    <x v="0"/>
    <x v="0"/>
    <x v="8"/>
    <x v="1"/>
    <s v="A351RA-GBEFJ-00"/>
    <s v="R79"/>
    <s v="RED M. M"/>
    <s v="MHKAB1BC4TJ081617"/>
    <s v="WA-A239242"/>
    <s v="KCMK25002"/>
    <s v="RAHMAWATI"/>
    <s v="ALVIN"/>
    <s v="CST-000816693"/>
    <s v="ASEP MULYANA"/>
    <s v="INDIVIDU"/>
    <s v="ICEU ARINI"/>
    <s v="KP. JAMBATAN"/>
    <s v="KEC. BALEENDAH"/>
    <s v="KAB. BANDUNG"/>
    <s v="KREDIT"/>
    <s v="PT. MANDIRI TUNAS FINANCE"/>
    <m/>
    <n v="200500000"/>
    <n v="153872768"/>
    <n v="28162500"/>
    <n v="17286160"/>
    <n v="0"/>
    <n v="0"/>
    <n v="9821429"/>
    <n v="189500000"/>
    <n v="0"/>
    <n v="-11000000"/>
    <s v="16/03/26"/>
    <s v="16/03/26"/>
    <s v="Invoice"/>
    <n v="1"/>
    <m/>
    <s v="06/03/26"/>
    <s v="KC-26-000096"/>
    <s v="06/03/26"/>
    <s v="06/03/26"/>
    <s v="09/03/26 11.18"/>
    <s v="CR00809"/>
    <s v="12/03/26"/>
    <s v="26/03/26"/>
    <s v="2026028614"/>
    <s v="11/03/26"/>
    <s v="13/03/26 08.00"/>
    <n v="0"/>
  </r>
  <r>
    <n v="217"/>
    <n v="146"/>
    <s v="KC"/>
    <s v="146ARI2604-0522"/>
    <s v="13/04/26"/>
    <x v="2"/>
    <n v="2026"/>
    <x v="8"/>
    <x v="6"/>
    <s v="FORTUNER 4X2 VRZ A/T DIESEL"/>
    <x v="0"/>
    <x v="0"/>
    <x v="0"/>
    <x v="5"/>
    <x v="0"/>
    <x v="0"/>
    <x v="0"/>
    <x v="0"/>
    <x v="8"/>
    <x v="1"/>
    <s v="GUN166R-SDTHXD-31"/>
    <s v="218"/>
    <s v="ATTITUDE BLACK MICA"/>
    <s v="MHFAA8GSXT0936367"/>
    <s v="1GD-5956095"/>
    <s v="KCMK25002"/>
    <s v="RAHMAWATI"/>
    <s v="ALVIN"/>
    <s v="CST-000819426"/>
    <s v="BAGUS PRAKOSO"/>
    <s v="INDIVIDU"/>
    <s v="BAGUS PRAKOSO"/>
    <s v="ASRAMA 11 YON ARMED 4 KEBUN RUMPUT"/>
    <s v="KEC. CIMAHI TENGAH"/>
    <s v="KOTA CIMAHI"/>
    <s v="KREDIT"/>
    <s v="PT. TOYOTA ASTRA FINANCIAL SERVICES"/>
    <m/>
    <n v="679700000"/>
    <n v="528247768"/>
    <n v="88062500"/>
    <n v="60550446"/>
    <n v="0"/>
    <n v="0"/>
    <n v="23660714"/>
    <n v="653200000"/>
    <n v="0"/>
    <n v="-31000000"/>
    <s v="18/04/26"/>
    <s v="18/04/26"/>
    <s v="Invoice"/>
    <n v="1"/>
    <m/>
    <s v="31/03/26"/>
    <s v="KC-26-000154"/>
    <s v="30/03/26"/>
    <s v="30/03/26"/>
    <s v="31/03/26 20.14"/>
    <s v="DF00103"/>
    <s v="13/04/26"/>
    <s v="27/04/26"/>
    <s v="2026036647"/>
    <s v="10/04/26"/>
    <s v="14/04/26 10.05"/>
    <n v="0"/>
  </r>
  <r>
    <n v="156"/>
    <n v="146"/>
    <s v="KC"/>
    <s v="146ARI2603-1333"/>
    <s v="31/03/26"/>
    <x v="0"/>
    <n v="2026"/>
    <x v="4"/>
    <x v="3"/>
    <s v="INNOVA ZENIX G A/T HIYBRID"/>
    <x v="5"/>
    <x v="0"/>
    <x v="0"/>
    <x v="9"/>
    <x v="1"/>
    <x v="3"/>
    <x v="2"/>
    <x v="4"/>
    <x v="15"/>
    <x v="0"/>
    <s v="MAGH10R-BRXLBD-11"/>
    <s v="089"/>
    <s v="PLATINUM WHITE PEARL"/>
    <s v="MHFABAAA1T0050863"/>
    <s v="M20A-NF38279"/>
    <s v="CMMG122342"/>
    <s v="REGYAWAN KURNIA"/>
    <s v="FERYANTO"/>
    <s v="CST-000819387"/>
    <s v="BARA HUDAYA"/>
    <s v="INDIVIDU"/>
    <s v="ENENG KURNIANINGSIH"/>
    <s v="TAMAN GRAHA ASRI BLOK I.5 NO.10"/>
    <s v="KEC. SERANG"/>
    <s v="KOTA SERANG"/>
    <s v="KREDIT"/>
    <s v="PT. BCA FINANCE"/>
    <m/>
    <n v="477300000"/>
    <n v="371046875"/>
    <n v="61727500"/>
    <n v="42275625"/>
    <n v="0"/>
    <n v="0"/>
    <n v="18750000"/>
    <n v="456300000"/>
    <n v="4000000"/>
    <n v="-21000000"/>
    <m/>
    <m/>
    <s v="Invoice"/>
    <n v="1"/>
    <m/>
    <s v="31/03/26"/>
    <s v="KC-26-000169"/>
    <s v="28/03/26"/>
    <s v="28/03/26"/>
    <s v="31/03/26 15.00"/>
    <s v="CJ01450"/>
    <m/>
    <s v="14/04/26"/>
    <s v="2026029875"/>
    <s v="13/03/26"/>
    <s v="04/04/26 14.51"/>
    <n v="0"/>
  </r>
  <r>
    <n v="186"/>
    <n v="146"/>
    <s v="KC"/>
    <s v="146ARI2601-0265"/>
    <s v="07/01/26"/>
    <x v="3"/>
    <n v="2026"/>
    <x v="9"/>
    <x v="7"/>
    <s v="AGYA G A/T"/>
    <x v="3"/>
    <x v="0"/>
    <x v="1"/>
    <x v="0"/>
    <x v="0"/>
    <x v="0"/>
    <x v="0"/>
    <x v="0"/>
    <x v="17"/>
    <x v="2"/>
    <s v="A351RA-GBEFJ-00"/>
    <s v="S28"/>
    <s v="Silver Metallic"/>
    <s v="MHKAB1BCXSJ075903"/>
    <s v="WA-A223867"/>
    <s v="KCMG112540"/>
    <s v="KHARISMA GALIH PUTRA"/>
    <s v="MUHAMMAD CAISARIVA"/>
    <s v="CST-000807221"/>
    <s v="BILL ALFA EFRAIM"/>
    <s v="INDIVIDU"/>
    <s v="BILL ALFA EFRAIM"/>
    <s v="TAMAN RAHAYU II D.8-14"/>
    <s v="KEC. MARGAASIH"/>
    <s v="KAB. BANDUNG"/>
    <s v="CASH"/>
    <s v="CASH"/>
    <s v="001-26.64460571"/>
    <n v="200500000"/>
    <n v="154095982"/>
    <n v="27912500"/>
    <n v="16723660"/>
    <n v="0"/>
    <n v="0"/>
    <n v="14732143"/>
    <n v="184000000"/>
    <n v="0"/>
    <n v="-16500000"/>
    <s v="29/01/26"/>
    <s v="29/01/26"/>
    <s v="Invoice"/>
    <n v="1"/>
    <m/>
    <s v="07/01/26"/>
    <s v="KC-25-000977"/>
    <s v="07/01/26"/>
    <s v="07/01/26"/>
    <s v="07/01/26 14.33"/>
    <s v="LR01962"/>
    <s v="07/01/26"/>
    <s v="21/01/26"/>
    <s v="2025114468"/>
    <s v="30/12/25"/>
    <s v="10/02/26 11.00"/>
    <n v="0"/>
  </r>
  <r>
    <n v="191"/>
    <n v="146"/>
    <s v="KC"/>
    <s v="146ARI2601-0770"/>
    <s v="21/01/26"/>
    <x v="3"/>
    <n v="2026"/>
    <x v="2"/>
    <x v="2"/>
    <s v="CALYA G A/T"/>
    <x v="0"/>
    <x v="0"/>
    <x v="0"/>
    <x v="2"/>
    <x v="0"/>
    <x v="3"/>
    <x v="0"/>
    <x v="1"/>
    <x v="18"/>
    <x v="1"/>
    <s v="B401RA-GQZFJ-20"/>
    <s v="X13"/>
    <s v="BLACK"/>
    <s v="MHKA6GK6JSJ086818"/>
    <s v="3NR-H971363"/>
    <s v="KCMG052429"/>
    <s v="TOPIK HIDAYAT"/>
    <s v="ALVIN"/>
    <s v="CST-000808391"/>
    <s v="BOBY MARTA MULYADI"/>
    <s v="INDIVIDU"/>
    <s v="DEWI SINTA"/>
    <s v="KP CIRANTEUN PEUNTAS"/>
    <s v="KEC. LEMBANG"/>
    <s v="KAB. BANDUNG BARAT"/>
    <s v="KREDIT"/>
    <s v="PT. TOYOTA ASTRA FINANCIAL SERVICES"/>
    <s v="001-26.64460816"/>
    <n v="196400000"/>
    <n v="150892857"/>
    <n v="27400000"/>
    <n v="16392857"/>
    <n v="0"/>
    <n v="0"/>
    <n v="14285714"/>
    <n v="180400000"/>
    <n v="0"/>
    <n v="-16000000"/>
    <m/>
    <m/>
    <s v="Invoice"/>
    <n v="1"/>
    <m/>
    <s v="14/01/26"/>
    <s v="KC-25-001007"/>
    <s v="13/01/26"/>
    <s v="13/01/26"/>
    <s v="15/01/26 15.05"/>
    <s v="LO00608"/>
    <s v="21/01/26"/>
    <s v="20/02/26"/>
    <s v="2025104922"/>
    <s v="04/12/25"/>
    <s v="29/01/26 09.15"/>
    <n v="0"/>
  </r>
  <r>
    <n v="168"/>
    <n v="146"/>
    <s v="KC"/>
    <s v="146ARI2603-0962"/>
    <s v="18/03/26"/>
    <x v="0"/>
    <n v="2026"/>
    <x v="0"/>
    <x v="0"/>
    <s v="AVANZA G M/T"/>
    <x v="4"/>
    <x v="0"/>
    <x v="0"/>
    <x v="5"/>
    <x v="0"/>
    <x v="3"/>
    <x v="0"/>
    <x v="1"/>
    <x v="19"/>
    <x v="0"/>
    <s v="W101RE-LMMFJ-00"/>
    <s v="X12"/>
    <s v="BLACK MICA"/>
    <s v="MHKAB1BY6TJ015226"/>
    <s v="2NR-4F46841"/>
    <s v="KCMG122541"/>
    <s v="GALIH HARISTIANTO"/>
    <s v="FERYANTO"/>
    <s v="CST-000812092"/>
    <s v="BOSAR LANDINA SIAHAAN"/>
    <s v="INDIVIDU"/>
    <s v="PARDOMUAN SINAGA"/>
    <s v="HUJUNG KULON"/>
    <s v="KEC. CIMAHI SELATAN"/>
    <s v="KOTA CIMAHI"/>
    <s v="KREDIT"/>
    <s v="PT. ASTRA SEDAYA FINANCE"/>
    <m/>
    <n v="269700000"/>
    <n v="207935268"/>
    <n v="36812500"/>
    <n v="23345089"/>
    <n v="0"/>
    <n v="0"/>
    <n v="13392857"/>
    <n v="254700000"/>
    <n v="5000000"/>
    <n v="-15000000"/>
    <s v="18/03/26"/>
    <s v="18/03/26"/>
    <s v="Invoice"/>
    <n v="1"/>
    <s v="3277015603730003"/>
    <s v="06/02/26"/>
    <s v="KC-25-001124"/>
    <s v="06/02/26"/>
    <s v="06/02/26"/>
    <s v="07/02/26 12.07"/>
    <s v="B700899"/>
    <s v="18/03/26"/>
    <s v="01/04/26"/>
    <s v="2026014270"/>
    <s v="09/02/26"/>
    <s v="19/03/26 09.47"/>
    <n v="0"/>
  </r>
  <r>
    <n v="170"/>
    <n v="146"/>
    <s v="KC"/>
    <s v="146ARI2603-0600"/>
    <s v="13/03/26"/>
    <x v="0"/>
    <n v="2026"/>
    <x v="5"/>
    <x v="4"/>
    <s v="VELOZ V AT HYBRID"/>
    <x v="3"/>
    <x v="0"/>
    <x v="1"/>
    <x v="2"/>
    <x v="0"/>
    <x v="3"/>
    <x v="1"/>
    <x v="0"/>
    <x v="20"/>
    <x v="1"/>
    <s v="W102RE-LBVFJ-10"/>
    <s v="X12"/>
    <s v="BLACK MICA"/>
    <s v="MHFA71BYXT0002582"/>
    <s v="2NR-Y662599"/>
    <s v="KCMG042424"/>
    <s v="INDAH PITALOKA"/>
    <s v="ALVIN"/>
    <s v="CST-000817464"/>
    <s v="BUDHI SANTOSO"/>
    <s v="INDIVIDU"/>
    <s v="BUDHI SANTOSO"/>
    <s v="KP CICARITA"/>
    <s v="KEC. PARONGPONG"/>
    <s v="KAB. BANDUNG BARAT"/>
    <s v="CASH"/>
    <s v="CASH"/>
    <m/>
    <n v="303000000"/>
    <n v="233950893"/>
    <n v="40975000"/>
    <n v="28074107"/>
    <n v="0"/>
    <n v="0"/>
    <n v="0"/>
    <n v="303000000"/>
    <n v="0"/>
    <n v="0"/>
    <s v="14/03/26"/>
    <s v="14/03/26"/>
    <s v="Invoice"/>
    <n v="1"/>
    <m/>
    <s v="13/03/26"/>
    <s v="KC-26-000122"/>
    <s v="13/03/26"/>
    <s v="13/03/26"/>
    <s v="13/03/26 10.40"/>
    <s v="C801077"/>
    <s v="13/03/26"/>
    <s v="22/03/26"/>
    <s v="2026027084"/>
    <s v="09/03/26"/>
    <s v="16/03/26 10.26"/>
    <n v="0"/>
  </r>
  <r>
    <n v="247"/>
    <n v="146"/>
    <s v="KC"/>
    <s v="146ARI2604-1010"/>
    <s v="22/04/26"/>
    <x v="2"/>
    <n v="2026"/>
    <x v="3"/>
    <x v="3"/>
    <s v="INNOVA G A/T DIESEL"/>
    <x v="1"/>
    <x v="0"/>
    <x v="0"/>
    <x v="4"/>
    <x v="0"/>
    <x v="3"/>
    <x v="0"/>
    <x v="0"/>
    <x v="21"/>
    <x v="1"/>
    <s v="GUN142R-MDTSXD-30"/>
    <s v="040"/>
    <s v="SUPER WHITE II"/>
    <s v="MHFJB8EM8T1191324"/>
    <s v="2GD-1955192"/>
    <s v="KCMG012502"/>
    <s v="DADI SOBARI"/>
    <s v="ALVIN"/>
    <s v="CST-000815341"/>
    <s v="BUDI ARIFIN TAUFAN E.G."/>
    <s v="INDIVIDU"/>
    <s v="BUDI ARIFIN TAUFAN E.G."/>
    <s v="JL PASIR IMPUN BARAT NO 44"/>
    <s v="KEC. MANDALAJATI"/>
    <s v="KOTA BANDUNG"/>
    <s v="KREDIT"/>
    <s v="PT. MANDIRI UTAMA FINANCE"/>
    <m/>
    <n v="442100000"/>
    <n v="342622768"/>
    <n v="58362500"/>
    <n v="38864732"/>
    <n v="0"/>
    <n v="0"/>
    <n v="18750000"/>
    <n v="421100000"/>
    <n v="3000000"/>
    <n v="-21000000"/>
    <m/>
    <m/>
    <s v="Invoice"/>
    <n v="1"/>
    <m/>
    <s v="27/02/26"/>
    <s v="KC-26-000038"/>
    <s v="20/02/26"/>
    <s v="20/02/26"/>
    <s v="28/02/26 12.13"/>
    <s v="DC01400"/>
    <s v="22/04/26"/>
    <s v="06/05/26"/>
    <s v="2026041366"/>
    <s v="21/04/26"/>
    <s v="23/04/26 15.25"/>
    <n v="0"/>
  </r>
  <r>
    <n v="195"/>
    <n v="146"/>
    <s v="KC"/>
    <s v="146ARI2601-0829"/>
    <s v="22/01/26"/>
    <x v="3"/>
    <n v="2026"/>
    <x v="3"/>
    <x v="3"/>
    <s v="INNOVA G A/T DIESEL"/>
    <x v="2"/>
    <x v="0"/>
    <x v="0"/>
    <x v="10"/>
    <x v="1"/>
    <x v="0"/>
    <x v="0"/>
    <x v="1"/>
    <x v="22"/>
    <x v="1"/>
    <s v="GUN142R-MDTSXD-30"/>
    <s v="1G3"/>
    <s v="GRAY METALLIC"/>
    <s v="MHFJB8EM4T1182569"/>
    <s v="2GD-5920109"/>
    <s v="KCMG112537"/>
    <s v="DEAN NUR IMAN"/>
    <s v="ALVIN"/>
    <s v="CST-000809017"/>
    <s v="BUDI KRISTANDA"/>
    <s v="INDIVIDU"/>
    <s v="BUDI KRISTANDA"/>
    <s v="Citra garden I Ext blok AA3/5"/>
    <s v="KEC. KALIDERES"/>
    <s v="KOTA JAKARTA BARAT"/>
    <s v="KREDIT"/>
    <s v="PT. MANDIRI TUNAS FINANCE"/>
    <s v="001-26.64460820"/>
    <n v="438700000"/>
    <n v="340515625"/>
    <n v="57322500"/>
    <n v="38183303"/>
    <n v="0"/>
    <n v="0"/>
    <n v="22321429"/>
    <n v="413700000"/>
    <n v="0"/>
    <n v="-25000000"/>
    <s v="26/01/26"/>
    <s v="26/01/26"/>
    <s v="Invoice"/>
    <n v="1"/>
    <m/>
    <s v="19/01/26"/>
    <s v="KC-25-001009"/>
    <s v="19/01/26"/>
    <s v="19/01/26"/>
    <s v="20/01/26 16.32"/>
    <s v="AC00791"/>
    <s v="22/01/26"/>
    <s v="21/02/26"/>
    <s v="2026003595"/>
    <s v="14/01/26"/>
    <s v="23/01/26 13.37"/>
    <n v="0"/>
  </r>
  <r>
    <n v="172"/>
    <n v="146"/>
    <s v="KC"/>
    <s v="146ARI2603-0379"/>
    <s v="09/03/26"/>
    <x v="0"/>
    <n v="2026"/>
    <x v="1"/>
    <x v="1"/>
    <s v="HIACE COMM"/>
    <x v="0"/>
    <x v="0"/>
    <x v="0"/>
    <x v="4"/>
    <x v="0"/>
    <x v="4"/>
    <x v="1"/>
    <x v="0"/>
    <x v="17"/>
    <x v="2"/>
    <s v="KDH223R-LEMDY-00"/>
    <s v="058"/>
    <s v="WHITE"/>
    <s v="JTFST22PXS0054177"/>
    <s v="1KD-B226371"/>
    <s v="KCMG112540"/>
    <s v="KHARISMA GALIH PUTRA"/>
    <s v="MUHAMMAD CAISARIVA"/>
    <s v="CST-000816243"/>
    <s v="BUKAIR MARDIZ PUTRA"/>
    <s v="INDIVIDU"/>
    <s v="ILHAM SABRI RAHMAD"/>
    <s v="KOMPLEK GRIYA CARAKA BLOK C.52"/>
    <s v="KEC. ARCAMANIK"/>
    <s v="KOTA BANDUNG"/>
    <s v="KREDIT"/>
    <s v="PT. TOYOTA ASTRA FINANCIAL SERVICES"/>
    <s v="001-26.64462993"/>
    <n v="578100000"/>
    <n v="450799550"/>
    <n v="77712500"/>
    <n v="45326689"/>
    <n v="0"/>
    <n v="0"/>
    <n v="38738739"/>
    <n v="535100000"/>
    <n v="0"/>
    <n v="-43000000"/>
    <s v="10/03/26"/>
    <s v="10/03/26"/>
    <s v="Invoice"/>
    <n v="1"/>
    <m/>
    <s v="05/03/26"/>
    <s v="KC-26-000085"/>
    <s v="05/03/26"/>
    <s v="05/03/26"/>
    <s v="06/03/26 09.55"/>
    <s v="AP00042"/>
    <s v="09/03/26"/>
    <s v="23/03/26"/>
    <s v="2026000380"/>
    <s v="06/01/26"/>
    <s v="13/03/26 11.00"/>
    <n v="0"/>
  </r>
  <r>
    <n v="174"/>
    <n v="146"/>
    <s v="KC"/>
    <s v="146ARI2603-0341"/>
    <s v="07/03/26"/>
    <x v="0"/>
    <n v="2026"/>
    <x v="0"/>
    <x v="0"/>
    <s v="AVANZA G M/T"/>
    <x v="0"/>
    <x v="0"/>
    <x v="0"/>
    <x v="0"/>
    <x v="0"/>
    <x v="3"/>
    <x v="0"/>
    <x v="0"/>
    <x v="23"/>
    <x v="1"/>
    <s v="W101RE-LMMFJ-00"/>
    <s v="W09"/>
    <s v="WHITE"/>
    <s v="MHKAB1BYXTJ016802"/>
    <s v="2NR-4F57177"/>
    <s v="KCMG052516"/>
    <s v="YENI"/>
    <s v="ALVIN"/>
    <s v="CST-000815336"/>
    <s v="CAHYA BUDIMAN"/>
    <s v="INDIVIDU"/>
    <s v="CAHYA BUDIMAN"/>
    <s v="KP. BALEKAMBANG"/>
    <s v="KEC. MAJALAYA"/>
    <s v="KAB. BANDUNG"/>
    <s v="KREDIT"/>
    <s v="PT. TOYOTA ASTRA FINANCIAL SERVICES"/>
    <s v="002-26.36649381"/>
    <n v="269700000"/>
    <n v="207935268"/>
    <n v="36812500"/>
    <n v="23237946"/>
    <n v="0"/>
    <n v="0"/>
    <n v="14285714"/>
    <n v="253700000"/>
    <n v="0"/>
    <n v="-16000000"/>
    <s v="12/03/26"/>
    <s v="12/03/26"/>
    <s v="Invoice"/>
    <n v="1"/>
    <s v="0000000000000000"/>
    <s v="27/02/26"/>
    <s v="KC-26-000070"/>
    <s v="26/02/26"/>
    <s v="26/02/26"/>
    <s v="28/02/26 12.04"/>
    <s v="B702232"/>
    <s v="07/03/26"/>
    <s v="21/03/26"/>
    <s v="2026025813"/>
    <s v="05/03/26"/>
    <s v="09/03/26 16.04"/>
    <n v="0"/>
  </r>
  <r>
    <n v="205"/>
    <n v="146"/>
    <s v="KC"/>
    <s v="146ARI2601-0368"/>
    <s v="09/01/26"/>
    <x v="3"/>
    <n v="2026"/>
    <x v="1"/>
    <x v="1"/>
    <s v="HIACE COMM"/>
    <x v="0"/>
    <x v="0"/>
    <x v="0"/>
    <x v="4"/>
    <x v="0"/>
    <x v="1"/>
    <x v="0"/>
    <x v="0"/>
    <x v="21"/>
    <x v="1"/>
    <s v="KDH223R-LEMDY-00"/>
    <s v="058"/>
    <s v="WHITE"/>
    <s v="JTFST22P0S0054270"/>
    <s v="1KD-B226762"/>
    <s v="KCMG012502"/>
    <s v="DADI SOBARI"/>
    <s v="ALVIN"/>
    <s v="CST-000807218"/>
    <s v="CEPI SURYANA"/>
    <s v="INDIVIDU"/>
    <s v="DEWI SHINTA"/>
    <s v="GG POLISI DALAM NO 98"/>
    <s v="KEC. CICENDO"/>
    <s v="KOTA BANDUNG"/>
    <s v="KREDIT"/>
    <s v="PT. TOYOTA ASTRA FINANCIAL SERVICES"/>
    <s v="001-26.64460576"/>
    <n v="578100000"/>
    <n v="451520270"/>
    <n v="76912500"/>
    <n v="45728040"/>
    <n v="0"/>
    <n v="0"/>
    <n v="35810811"/>
    <n v="538350000"/>
    <n v="0"/>
    <n v="-39750000"/>
    <s v="12/01/26"/>
    <s v="12/01/26"/>
    <s v="Invoice"/>
    <n v="1"/>
    <m/>
    <s v="07/01/26"/>
    <s v="KC-25-000969"/>
    <s v="06/01/26"/>
    <s v="06/01/26"/>
    <s v="07/01/26 14.38"/>
    <s v="AP00130"/>
    <s v="09/01/26"/>
    <s v="08/02/26"/>
    <s v="2026001299"/>
    <s v="08/01/26"/>
    <s v="10/01/26 14.15"/>
    <n v="0"/>
  </r>
  <r>
    <n v="204"/>
    <n v="146"/>
    <s v="KC"/>
    <s v="146ARI2602-1384"/>
    <s v="28/02/26"/>
    <x v="1"/>
    <n v="2026"/>
    <x v="4"/>
    <x v="3"/>
    <s v="INNOVA ZENIX Q A/T HYBRID"/>
    <x v="0"/>
    <x v="0"/>
    <x v="0"/>
    <x v="5"/>
    <x v="0"/>
    <x v="0"/>
    <x v="0"/>
    <x v="0"/>
    <x v="10"/>
    <x v="2"/>
    <s v="MAGH10R-BPXHBD-10"/>
    <s v="218"/>
    <s v="ATTITUDE BLACK MICA"/>
    <s v="MHFABBAA4T0465486"/>
    <s v="M20A-NF28110"/>
    <s v="KCMG012503"/>
    <s v="DERI NURSANDI"/>
    <s v="MUHAMMAD CAISARIVA"/>
    <s v="CST-000815008"/>
    <s v="CHARLIE PUTRA HAMONANGAN TAMBUN"/>
    <s v="INDIVIDU"/>
    <s v="HENDRI YANTO"/>
    <s v="JL. DAKOTA BARAT NO. 4"/>
    <s v="KEC. CIMAHI SELATAN"/>
    <s v="KOTA CIMAHI"/>
    <s v="KREDIT"/>
    <s v="PT. TOYOTA ASTRA FINANCIAL SERVICES"/>
    <m/>
    <n v="627100000"/>
    <n v="487377232"/>
    <n v="81237500"/>
    <n v="56235267"/>
    <n v="0"/>
    <n v="0"/>
    <n v="18750000"/>
    <n v="606100000"/>
    <n v="245297750"/>
    <n v="-21000000"/>
    <m/>
    <m/>
    <s v="Invoice"/>
    <n v="1"/>
    <s v="0000000000000000"/>
    <s v="25/02/26"/>
    <s v="KC-26-000066"/>
    <s v="24/02/26"/>
    <s v="24/02/26"/>
    <s v="26/02/26 11.07"/>
    <s v="BJ00697"/>
    <m/>
    <s v="14/03/26"/>
    <s v="2026014393"/>
    <s v="09/02/26"/>
    <s v="02/03/26 22.35"/>
    <n v="0"/>
  </r>
  <r>
    <n v="211"/>
    <n v="146"/>
    <s v="KC"/>
    <s v="146ARI2602-1344"/>
    <s v="28/02/26"/>
    <x v="1"/>
    <n v="2026"/>
    <x v="3"/>
    <x v="3"/>
    <s v="INNOVA G A/T DIESEL"/>
    <x v="6"/>
    <x v="0"/>
    <x v="0"/>
    <x v="4"/>
    <x v="0"/>
    <x v="2"/>
    <x v="1"/>
    <x v="5"/>
    <x v="17"/>
    <x v="2"/>
    <s v="GUN142R-MDTSXD-30"/>
    <s v="040"/>
    <s v="SUPER WHITE II"/>
    <s v="MHFJB8EM4T1183513"/>
    <s v="2GD-5928669"/>
    <s v="KCMG112540"/>
    <s v="KHARISMA GALIH PUTRA"/>
    <s v="MUHAMMAD CAISARIVA"/>
    <s v="CST-000813087"/>
    <s v="CHRISTINE ILLONA HALIM"/>
    <s v="INDIVIDU"/>
    <s v="CHRISTINE ILLONA HALIM"/>
    <s v="JL. BADAK SINGA NO. 3"/>
    <s v="KEC. COBLONG"/>
    <s v="KOTA BANDUNG"/>
    <s v="KREDIT"/>
    <s v="UNIT KKB PT. BANK CENTRAL ASIA"/>
    <m/>
    <n v="442100000"/>
    <n v="342845982"/>
    <n v="58112500"/>
    <n v="38998660"/>
    <n v="0"/>
    <n v="0"/>
    <n v="17857143"/>
    <n v="422100000"/>
    <n v="7962010"/>
    <n v="-20000000"/>
    <m/>
    <m/>
    <s v="Invoice"/>
    <n v="1"/>
    <m/>
    <s v="09/02/26"/>
    <s v="KC-25-001148"/>
    <s v="07/02/26"/>
    <s v="07/02/26"/>
    <s v="12/02/26 09.23"/>
    <s v="AC01701"/>
    <m/>
    <s v="14/03/26"/>
    <s v="2026006417"/>
    <s v="21/01/26"/>
    <s v="05/03/26 10.30"/>
    <n v="0"/>
  </r>
  <r>
    <n v="262"/>
    <n v="146"/>
    <s v="KC"/>
    <s v="146ARI2602-1388"/>
    <s v="28/02/26"/>
    <x v="1"/>
    <n v="2026"/>
    <x v="1"/>
    <x v="1"/>
    <s v="HIACE COMM"/>
    <x v="0"/>
    <x v="0"/>
    <x v="0"/>
    <x v="0"/>
    <x v="0"/>
    <x v="0"/>
    <x v="0"/>
    <x v="1"/>
    <x v="6"/>
    <x v="0"/>
    <s v="KDH223R-LEMDY-00"/>
    <s v="058"/>
    <s v="WHITE"/>
    <s v="JTFST22P2S0054481"/>
    <s v="1KD-B228365"/>
    <s v="KCMG042509"/>
    <s v="ERICK JANUAR LISAPALY"/>
    <s v="FERYANTO"/>
    <s v="CST-000815404"/>
    <s v="CUCU SURAHMAN"/>
    <s v="INDIVIDU"/>
    <s v="TAUFIK IRPAN MAULANA"/>
    <s v="KP RANCA KASIAT"/>
    <s v="KEC. PAMEUNGPEUK"/>
    <s v="KAB. BANDUNG"/>
    <s v="KREDIT"/>
    <s v="PT. TOYOTA ASTRA FINANCIAL SERVICES"/>
    <m/>
    <n v="578100000"/>
    <n v="451520270"/>
    <n v="76912500"/>
    <n v="45703265"/>
    <n v="0"/>
    <n v="0"/>
    <n v="36036036"/>
    <n v="538100000"/>
    <n v="0"/>
    <n v="-40000000"/>
    <m/>
    <m/>
    <s v="Invoice"/>
    <n v="1"/>
    <s v="0000000000000000"/>
    <s v="27/02/26"/>
    <s v="KC-26-000044"/>
    <s v="26/02/26"/>
    <s v="26/02/26"/>
    <s v="28/02/26 20.04"/>
    <s v="AP00530"/>
    <m/>
    <s v="14/03/26"/>
    <s v="2026009839"/>
    <s v="28/01/26"/>
    <s v="02/03/26 14.56"/>
    <n v="0"/>
  </r>
  <r>
    <n v="268"/>
    <n v="146"/>
    <s v="KC"/>
    <s v="146ARI2602-0331"/>
    <s v="10/02/26"/>
    <x v="1"/>
    <n v="2026"/>
    <x v="0"/>
    <x v="0"/>
    <s v="AVANZA E A/T"/>
    <x v="0"/>
    <x v="1"/>
    <x v="0"/>
    <x v="4"/>
    <x v="0"/>
    <x v="0"/>
    <x v="1"/>
    <x v="6"/>
    <x v="8"/>
    <x v="1"/>
    <s v="W100RE-LBDFJ-00"/>
    <s v="X12"/>
    <s v="BLACK MICA"/>
    <s v="MHKAA1BY9TJ011710"/>
    <s v="1NR-G316911"/>
    <s v="KCMK25002"/>
    <s v="RAHMAWATI"/>
    <s v="ALVIN"/>
    <s v="CST-000811198"/>
    <s v="CV. STAR WEKLY RENTAL MOBIL"/>
    <s v="PT"/>
    <s v="CV STAR WEKLY RENTAL MOBIL"/>
    <s v="JL TURANGGA BARAT B1 NO 1"/>
    <s v="KEC. LENGKONG"/>
    <s v="KOTA BANDUNG"/>
    <s v="KREDIT"/>
    <s v="PT. TOYOTA ASTRA FINANCIAL SERVICES"/>
    <s v="001-26.64462122"/>
    <n v="261700000"/>
    <n v="201908482"/>
    <n v="35562500"/>
    <n v="22086160"/>
    <n v="0"/>
    <n v="0"/>
    <n v="17857143"/>
    <n v="241700000"/>
    <n v="0"/>
    <n v="-20000000"/>
    <s v="12/02/26"/>
    <s v="12/02/26"/>
    <s v="Invoice"/>
    <n v="1"/>
    <m/>
    <s v="31/01/26"/>
    <s v="KC-25-001109"/>
    <s v="31/01/26"/>
    <s v="31/01/26"/>
    <s v="31/01/26 19.28"/>
    <s v="A702081"/>
    <s v="10/02/26"/>
    <s v="12/03/26"/>
    <s v="2026009676"/>
    <s v="28/01/26"/>
    <s v="11/02/26 19.05"/>
    <n v="0"/>
  </r>
  <r>
    <n v="229"/>
    <n v="146"/>
    <s v="KC"/>
    <s v="146ARI2601-1297"/>
    <s v="31/01/26"/>
    <x v="3"/>
    <n v="2026"/>
    <x v="3"/>
    <x v="3"/>
    <s v="INNOVA G A/T DIESEL"/>
    <x v="0"/>
    <x v="1"/>
    <x v="0"/>
    <x v="4"/>
    <x v="0"/>
    <x v="0"/>
    <x v="2"/>
    <x v="6"/>
    <x v="8"/>
    <x v="1"/>
    <s v="GUN142R-MDTSXD-30"/>
    <s v="218"/>
    <s v="ATTITUDE BLACK MICA"/>
    <s v="MHFJB8EM9T1183930"/>
    <s v="2GD-5929768"/>
    <s v="KCMK25002"/>
    <s v="RAHMAWATI"/>
    <s v="ALVIN"/>
    <s v="CST-000810951"/>
    <s v="CV. STAR WEKLY RENTAL MOBIL"/>
    <s v="PT"/>
    <s v="CV. STAR WEKLY RENTAL MOBIL"/>
    <s v="JL TURANGGA BARAT BLOK B1 NO.1"/>
    <s v="KEC. LENGKONG"/>
    <s v="KOTA BANDUNG"/>
    <s v="KREDIT"/>
    <s v="PT. TOYOTA ASTRA FINANCIAL SERVICES"/>
    <m/>
    <n v="442100000"/>
    <n v="342845982"/>
    <n v="58112500"/>
    <n v="38462946"/>
    <n v="0"/>
    <n v="0"/>
    <n v="22321429"/>
    <n v="417100000"/>
    <n v="0"/>
    <n v="-25000000"/>
    <m/>
    <m/>
    <s v="Invoice"/>
    <n v="1"/>
    <s v="0614471092422000"/>
    <s v="31/01/26"/>
    <s v="KC-25-001003"/>
    <s v="30/01/26"/>
    <s v="30/01/26"/>
    <s v="31/01/26 13.07"/>
    <s v="AC02120"/>
    <m/>
    <s v="02/03/26"/>
    <s v="2026009852"/>
    <s v="28/01/26"/>
    <s v="03/02/26 11.34"/>
    <n v="0"/>
  </r>
  <r>
    <n v="269"/>
    <n v="146"/>
    <s v="KC"/>
    <s v="146ARI2602-0716"/>
    <s v="18/02/26"/>
    <x v="1"/>
    <n v="2026"/>
    <x v="0"/>
    <x v="0"/>
    <s v="AVANZA G A/T"/>
    <x v="4"/>
    <x v="1"/>
    <x v="0"/>
    <x v="4"/>
    <x v="0"/>
    <x v="0"/>
    <x v="1"/>
    <x v="6"/>
    <x v="12"/>
    <x v="2"/>
    <s v="W101RE-LBMFJ-00"/>
    <s v="X12"/>
    <s v="BLACK MICA"/>
    <s v="MHKAB1BY4TJ015015"/>
    <s v="2NR-4F42731"/>
    <s v="KCMK25001"/>
    <s v="RIDWAN DWI AZHARI"/>
    <s v="MUHAMMAD CAISARIVA"/>
    <s v="CST-000813120"/>
    <s v="CV. SUGEMA BERKAH MULIA"/>
    <s v="PT"/>
    <s v="CV SUGEMA BERKAH MULIA"/>
    <s v="JALAN CIBEUNYING PERMAI RAYA NO. 15"/>
    <s v="KEC. CIBEUNYING KALER"/>
    <s v="KOTA BANDUNG"/>
    <s v="KREDIT"/>
    <s v="PT. ASTRA SEDAYA FINANCE"/>
    <s v="001-26.64462155"/>
    <n v="284500000"/>
    <n v="219720982"/>
    <n v="38412500"/>
    <n v="24652232"/>
    <n v="0"/>
    <n v="0"/>
    <n v="14285714"/>
    <n v="268500000"/>
    <n v="0"/>
    <n v="-16000000"/>
    <s v="24/02/26"/>
    <s v="24/02/26"/>
    <s v="Invoice"/>
    <n v="1"/>
    <s v="6033480204230000"/>
    <s v="12/02/26"/>
    <s v="KC-25-001150"/>
    <s v="11/02/26"/>
    <s v="11/02/26"/>
    <s v="12/02/26 11.16"/>
    <s v="B700552"/>
    <s v="18/02/26"/>
    <s v="20/03/26"/>
    <s v="2026014441"/>
    <s v="09/02/26"/>
    <s v="19/02/26 10.16"/>
    <n v="0"/>
  </r>
  <r>
    <n v="291"/>
    <n v="146"/>
    <s v="KC"/>
    <s v="146ARI2604-1269"/>
    <s v="27/04/26"/>
    <x v="2"/>
    <n v="2026"/>
    <x v="10"/>
    <x v="8"/>
    <s v="YARIS CROSS G A/T"/>
    <x v="3"/>
    <x v="1"/>
    <x v="1"/>
    <x v="2"/>
    <x v="0"/>
    <x v="0"/>
    <x v="0"/>
    <x v="6"/>
    <x v="6"/>
    <x v="0"/>
    <s v="NGC200R-DHXMKD-00"/>
    <s v="218"/>
    <s v="ATTITUDE BLACK MICA"/>
    <s v="MHFAA8AF4T0083704"/>
    <s v="2NR-Y686164"/>
    <s v="KCMG042509"/>
    <s v="ERICK JANUAR LISAPALY"/>
    <s v="FERYANTO"/>
    <s v="CST-000807635"/>
    <s v="CV. NOERA BY REISHA"/>
    <s v="PT"/>
    <s v="WIDYA DWI HARDIANTI"/>
    <s v="KP RANDUKURUNG VILLA PAKUHAJI NO.5"/>
    <s v="KEC. NGAMPRAH"/>
    <s v="KAB. BANDUNG BARAT"/>
    <s v="CASH"/>
    <s v="CASH"/>
    <m/>
    <n v="375400000"/>
    <n v="290513393"/>
    <n v="50025000"/>
    <n v="32718750"/>
    <n v="0"/>
    <n v="0"/>
    <n v="17857143"/>
    <n v="355400000"/>
    <n v="0"/>
    <n v="-20000000"/>
    <m/>
    <m/>
    <s v="Invoice"/>
    <n v="1"/>
    <s v="0439414921445000"/>
    <s v="09/01/26"/>
    <s v="KC-25-000960"/>
    <s v="08/01/26"/>
    <s v="08/01/26"/>
    <s v="10/01/26 08.43"/>
    <s v="D100084"/>
    <s v="27/04/26"/>
    <s v="11/05/26"/>
    <s v="2026043779"/>
    <s v="24/04/26"/>
    <s v="28/04/26 11.42"/>
    <n v="0"/>
  </r>
  <r>
    <n v="302"/>
    <n v="146"/>
    <s v="KC"/>
    <s v="146ARI2604-1185"/>
    <s v="24/04/26"/>
    <x v="2"/>
    <n v="2026"/>
    <x v="11"/>
    <x v="9"/>
    <s v="LANDCRUISER"/>
    <x v="3"/>
    <x v="1"/>
    <x v="1"/>
    <x v="10"/>
    <x v="1"/>
    <x v="0"/>
    <x v="0"/>
    <x v="6"/>
    <x v="5"/>
    <x v="2"/>
    <s v="FJA300R-GNUZY-14"/>
    <s v="218"/>
    <s v="ATTITUDE BLACK MICA"/>
    <s v="JTMAA7BJ0T4142149"/>
    <s v="F33A-0146890"/>
    <s v="KCMG072528"/>
    <s v="GIYONO"/>
    <s v="MUHAMMAD CAISARIVA"/>
    <s v="CST-000822773"/>
    <s v="CV. BERKAH MAJU REJEKI"/>
    <s v="PT"/>
    <s v="CV BERKAH MAJU REJEKI"/>
    <s v="JL KS TUBUN 2-C/30"/>
    <s v="KEC. PAL MERAH"/>
    <s v="KOTA JAKARTA BARAT"/>
    <s v="CASH"/>
    <s v="CASH"/>
    <m/>
    <n v="2635400000"/>
    <n v="2056187500"/>
    <n v="332470000"/>
    <n v="244385357"/>
    <n v="0"/>
    <n v="0"/>
    <n v="19642857"/>
    <n v="2613400000"/>
    <n v="0"/>
    <n v="-22000000"/>
    <s v="28/04/26"/>
    <s v="28/04/26"/>
    <s v="Invoice"/>
    <n v="1"/>
    <m/>
    <s v="22/04/26"/>
    <s v="KC-26-000224"/>
    <s v="21/04/26"/>
    <s v="21/04/26"/>
    <s v="24/04/26 14.01"/>
    <s v="DM00021"/>
    <s v="24/04/26"/>
    <s v="08/05/26"/>
    <s v="2026043047"/>
    <s v="23/04/26"/>
    <s v="28/04/26 11.29"/>
    <n v="0"/>
  </r>
  <r>
    <n v="242"/>
    <n v="146"/>
    <s v="KC"/>
    <s v="146ARI2601-0961"/>
    <s v="27/01/26"/>
    <x v="3"/>
    <n v="2026"/>
    <x v="0"/>
    <x v="0"/>
    <s v="AVANZA G M/T"/>
    <x v="2"/>
    <x v="0"/>
    <x v="0"/>
    <x v="4"/>
    <x v="0"/>
    <x v="3"/>
    <x v="0"/>
    <x v="0"/>
    <x v="5"/>
    <x v="2"/>
    <s v="W101RE-LMMFJ-00"/>
    <s v="X12"/>
    <s v="BLACK MICA"/>
    <s v="MHKAB1BY2TJ012761"/>
    <s v="2NR-4F27851"/>
    <s v="KCMG072528"/>
    <s v="GIYONO"/>
    <s v="MUHAMMAD CAISARIVA"/>
    <s v="CST-000809877"/>
    <s v="DADAN"/>
    <s v="INDIVIDU"/>
    <s v="DADAN"/>
    <s v="Jl.Batununggal Molek V no.7"/>
    <s v="KEC. BANDUNG KIDUL"/>
    <s v="KOTA BANDUNG"/>
    <s v="KREDIT"/>
    <s v="PT. MANDIRI TUNAS FINANCE"/>
    <s v="001-26.64460825"/>
    <n v="269700000"/>
    <n v="208158482"/>
    <n v="36562500"/>
    <n v="22836160"/>
    <n v="0"/>
    <n v="0"/>
    <n v="17857143"/>
    <n v="249700000"/>
    <n v="0"/>
    <n v="-20000000"/>
    <s v="31/01/26"/>
    <s v="31/01/26"/>
    <s v="Invoice"/>
    <n v="1"/>
    <s v="0000000000000000"/>
    <s v="27/01/26"/>
    <s v="KC-25-001051"/>
    <s v="23/01/26"/>
    <s v="23/01/26"/>
    <s v="27/01/26 11.53"/>
    <s v="A700343"/>
    <s v="27/01/26"/>
    <s v="26/02/26"/>
    <s v="2026001061"/>
    <s v="08/01/26"/>
    <s v="28/01/26 09.54"/>
    <n v="0"/>
  </r>
  <r>
    <n v="305"/>
    <n v="146"/>
    <s v="KC"/>
    <s v="146ARI2604-0990"/>
    <s v="21/04/26"/>
    <x v="2"/>
    <n v="2026"/>
    <x v="2"/>
    <x v="2"/>
    <s v="CALYA G M/T"/>
    <x v="1"/>
    <x v="0"/>
    <x v="0"/>
    <x v="0"/>
    <x v="0"/>
    <x v="0"/>
    <x v="0"/>
    <x v="1"/>
    <x v="4"/>
    <x v="0"/>
    <s v="B401RA-GMZFJ-20"/>
    <s v="3Q3"/>
    <s v="DARK RED MICA MET."/>
    <s v="MHKA6GJ6JTJ225608"/>
    <s v="3NR-H991881"/>
    <s v="KCMG032507"/>
    <s v="SENOAJI"/>
    <s v="FERYANTO"/>
    <s v="CST-000822271"/>
    <s v="DADAN SAEFULOH"/>
    <s v="INDIVIDU"/>
    <s v="CHICA AYU LESTARIDA"/>
    <s v="KP LEMBANGBADAK"/>
    <s v="KEC. RANCAEKEK"/>
    <s v="KAB. BANDUNG"/>
    <s v="KREDIT"/>
    <s v="PT. MANDIRI UTAMA FINANCE"/>
    <m/>
    <n v="181900000"/>
    <n v="139341518"/>
    <n v="25837500"/>
    <n v="15649553"/>
    <n v="0"/>
    <n v="0"/>
    <n v="8928571"/>
    <n v="171900000"/>
    <n v="1000000"/>
    <n v="-10000000"/>
    <s v="22/04/26"/>
    <s v="22/04/26"/>
    <s v="Invoice"/>
    <n v="1"/>
    <s v="0000000000000000"/>
    <s v="18/04/26"/>
    <s v="KC-26-000152"/>
    <s v="18/03/26"/>
    <s v="18/03/26"/>
    <s v="20/04/26 18.31"/>
    <s v="DO01514"/>
    <s v="21/04/26"/>
    <s v="05/05/26"/>
    <s v="2026040850"/>
    <s v="20/04/26"/>
    <s v="30/04/26 09.56"/>
    <n v="0"/>
  </r>
  <r>
    <n v="288"/>
    <n v="146"/>
    <s v="KC"/>
    <s v="146ARI2602-1390"/>
    <s v="28/02/26"/>
    <x v="1"/>
    <n v="2026"/>
    <x v="0"/>
    <x v="0"/>
    <s v="AVANZA G M/T"/>
    <x v="2"/>
    <x v="0"/>
    <x v="0"/>
    <x v="3"/>
    <x v="1"/>
    <x v="3"/>
    <x v="0"/>
    <x v="0"/>
    <x v="15"/>
    <x v="0"/>
    <s v="W101RE-LMMFJ-00"/>
    <s v="X12"/>
    <s v="BLACK MICA"/>
    <s v="MHKAB1BY0TJ016663"/>
    <s v="2NR-4F55310"/>
    <s v="CMMG122342"/>
    <s v="REGYAWAN KURNIA"/>
    <s v="FERYANTO"/>
    <s v="CST-000815401"/>
    <s v="DANI MAULUDI"/>
    <s v="INDIVIDU"/>
    <s v="DANI MAULUDI"/>
    <s v="KP.CISEUPAN"/>
    <s v="KEC. CUGENANG"/>
    <s v="KAB. CIANJUR"/>
    <s v="KREDIT"/>
    <s v="PT. MANDIRI TUNAS FINANCE"/>
    <m/>
    <n v="269700000"/>
    <n v="203013393"/>
    <n v="42325000"/>
    <n v="22647321"/>
    <n v="0"/>
    <n v="0"/>
    <n v="14285714"/>
    <n v="253700000"/>
    <n v="16020000"/>
    <n v="-16000000"/>
    <m/>
    <m/>
    <s v="Invoice"/>
    <n v="1"/>
    <m/>
    <s v="28/02/26"/>
    <s v="KC-25-001139"/>
    <s v="28/02/26"/>
    <s v="28/02/26"/>
    <s v="28/02/26 19.32"/>
    <s v="B702045"/>
    <m/>
    <s v="14/03/26"/>
    <s v="2026021336"/>
    <s v="25/02/26"/>
    <s v="04/03/26 19.22"/>
    <n v="0"/>
  </r>
  <r>
    <n v="289"/>
    <n v="146"/>
    <s v="KC"/>
    <s v="146ARI2602-0357"/>
    <s v="10/02/26"/>
    <x v="1"/>
    <n v="2026"/>
    <x v="8"/>
    <x v="6"/>
    <s v="FORTUNER 4X2 VRZ A/T DIESEL"/>
    <x v="0"/>
    <x v="0"/>
    <x v="0"/>
    <x v="4"/>
    <x v="0"/>
    <x v="0"/>
    <x v="1"/>
    <x v="4"/>
    <x v="2"/>
    <x v="1"/>
    <s v="GUN166R-SDTHXD-33"/>
    <s v="089"/>
    <s v="PLATINUM WHITE PEARL"/>
    <s v="MHFAA8GS4T0934176"/>
    <s v="1GD-5923324"/>
    <s v="KCMG042414"/>
    <s v="RIZKI RISMAWAN"/>
    <s v="ALVIN"/>
    <s v="CST-000812294"/>
    <s v="DANI RAMDANI"/>
    <s v="INDIVIDU"/>
    <s v="DANI RAMDANI"/>
    <s v="JL. BBK CIPARAY GG. ELOS II"/>
    <s v="KEC. BABAKAN CIPARAY"/>
    <s v="KOTA BANDUNG"/>
    <s v="KREDIT"/>
    <s v="PT. TOYOTA ASTRA FINANCIAL SERVICES"/>
    <s v="001-26.64462123"/>
    <n v="682700000"/>
    <n v="530814732"/>
    <n v="88187500"/>
    <n v="60483482"/>
    <n v="0"/>
    <n v="0"/>
    <n v="26785714"/>
    <n v="652700000"/>
    <n v="0"/>
    <n v="-30000000"/>
    <s v="13/02/26"/>
    <s v="13/02/26"/>
    <s v="Invoice"/>
    <n v="1"/>
    <m/>
    <s v="08/02/26"/>
    <s v="KC-25-001145"/>
    <s v="07/02/26"/>
    <s v="07/02/26"/>
    <s v="09/02/26 15.24"/>
    <s v="AF00535"/>
    <s v="10/02/26"/>
    <s v="12/03/26"/>
    <s v="2026005344"/>
    <s v="19/01/26"/>
    <s v="11/02/26 18.32"/>
    <n v="0"/>
  </r>
  <r>
    <n v="250"/>
    <n v="146"/>
    <s v="KC"/>
    <s v="146ARI2601-1299"/>
    <s v="31/01/26"/>
    <x v="3"/>
    <n v="2026"/>
    <x v="1"/>
    <x v="1"/>
    <s v="HIACE COMM"/>
    <x v="0"/>
    <x v="0"/>
    <x v="0"/>
    <x v="0"/>
    <x v="0"/>
    <x v="3"/>
    <x v="0"/>
    <x v="0"/>
    <x v="5"/>
    <x v="2"/>
    <s v="KDH223R-LEMDY-00"/>
    <s v="058"/>
    <s v="WHITE"/>
    <s v="JTFST22P6S0054337"/>
    <s v="1KD-B227241"/>
    <s v="KCMG072528"/>
    <s v="GIYONO"/>
    <s v="MUHAMMAD CAISARIVA"/>
    <s v="CST-000809270"/>
    <s v="DARKASYI"/>
    <s v="INDIVIDU"/>
    <s v="DARKASYI"/>
    <s v="KP PASARKEMIS"/>
    <s v="KEC. BALEENDAH"/>
    <s v="KAB. BANDUNG"/>
    <s v="KREDIT"/>
    <s v="PT. TOYOTA ASTRA FINANCIAL SERVICES"/>
    <m/>
    <n v="578100000"/>
    <n v="451520270"/>
    <n v="76912500"/>
    <n v="45703265"/>
    <n v="0"/>
    <n v="0"/>
    <n v="36036036"/>
    <n v="538100000"/>
    <n v="53000000"/>
    <n v="-40000000"/>
    <m/>
    <m/>
    <s v="Invoice"/>
    <n v="1"/>
    <s v="0000000000000000"/>
    <s v="22/01/26"/>
    <s v="KC-25-001030"/>
    <s v="20/01/26"/>
    <s v="20/01/26"/>
    <s v="22/01/26 13.00"/>
    <s v="AP00272"/>
    <m/>
    <s v="02/03/26"/>
    <s v="2026004724"/>
    <s v="15/01/26"/>
    <s v="02/02/26 10.50"/>
    <n v="0"/>
  </r>
  <r>
    <n v="253"/>
    <n v="146"/>
    <s v="KC"/>
    <s v="146ARI2601-1208"/>
    <s v="30/01/26"/>
    <x v="3"/>
    <n v="2026"/>
    <x v="12"/>
    <x v="10"/>
    <s v="RUSH S A/T"/>
    <x v="0"/>
    <x v="0"/>
    <x v="0"/>
    <x v="4"/>
    <x v="0"/>
    <x v="3"/>
    <x v="0"/>
    <x v="0"/>
    <x v="24"/>
    <x v="0"/>
    <s v="F800RE-GQGFJ-40"/>
    <s v="X12"/>
    <s v="BLACK MICA"/>
    <s v="MHKE8FB3JTK117367"/>
    <s v="2NR-4F38516"/>
    <s v="KCMG012605"/>
    <s v="JUARNA KARMAN PUTRA"/>
    <s v="FERYANTO"/>
    <s v="CST-000809939"/>
    <s v="DARPAN HISMANTO"/>
    <s v="INDIVIDU"/>
    <s v="DARPAN HISMANTO"/>
    <s v="JL KEBON GEDANG III"/>
    <s v="KEC. BATUNUNGGAL"/>
    <s v="KOTA BANDUNG"/>
    <s v="KREDIT"/>
    <s v="PT. TOYOTA ASTRA FINANCIAL SERVICES"/>
    <s v="001-26.64460838"/>
    <n v="322100000"/>
    <n v="249095982"/>
    <n v="43112500"/>
    <n v="27748660"/>
    <n v="0"/>
    <n v="0"/>
    <n v="17857143"/>
    <n v="302100000"/>
    <n v="0"/>
    <n v="-20000000"/>
    <m/>
    <m/>
    <s v="Invoice"/>
    <n v="1"/>
    <m/>
    <s v="27/01/26"/>
    <s v="KC-25-000996"/>
    <s v="27/01/26"/>
    <s v="27/01/26"/>
    <s v="27/01/26 15.10"/>
    <s v="AG01921"/>
    <m/>
    <s v="01/03/26"/>
    <s v="2026009630"/>
    <s v="28/01/26"/>
    <s v="31/01/26 11.04"/>
    <n v="0"/>
  </r>
  <r>
    <n v="302"/>
    <n v="146"/>
    <s v="KC"/>
    <s v="146ARI2602-1301"/>
    <s v="26/02/26"/>
    <x v="1"/>
    <n v="2026"/>
    <x v="2"/>
    <x v="2"/>
    <s v="CALYA G M/T"/>
    <x v="2"/>
    <x v="0"/>
    <x v="0"/>
    <x v="4"/>
    <x v="0"/>
    <x v="0"/>
    <x v="0"/>
    <x v="1"/>
    <x v="25"/>
    <x v="2"/>
    <s v="B401RA-GMZFJ-20"/>
    <s v="1G3"/>
    <s v="GRAY METALLIC"/>
    <s v="MHKA6GJ6JTJ221991"/>
    <s v="3NR-H982231"/>
    <s v="KCMG112539"/>
    <s v="RIDWAN EFENDI"/>
    <s v="MUHAMMAD CAISARIVA"/>
    <s v="CST-000815020"/>
    <s v="DEA AMELIA"/>
    <s v="INDIVIDU"/>
    <s v="JAJANG SURYA"/>
    <s v="JL PELINDUNG HEWAN GG MESJID DARUSSALAM NO 162"/>
    <s v="KEC. ASTANA ANYAR"/>
    <s v="KOTA BANDUNG"/>
    <s v="KREDIT"/>
    <s v="PT. MANDIRI TUNAS FINANCE"/>
    <m/>
    <n v="181900000"/>
    <n v="139564732"/>
    <n v="25587500"/>
    <n v="15569196"/>
    <n v="0"/>
    <n v="0"/>
    <n v="9821429"/>
    <n v="170900000"/>
    <n v="1400000"/>
    <n v="-11000000"/>
    <m/>
    <m/>
    <s v="Invoice"/>
    <n v="1"/>
    <s v="0000000000000000"/>
    <s v="26/02/26"/>
    <s v="KC-26-000065"/>
    <s v="24/02/26"/>
    <s v="24/02/26"/>
    <s v="26/02/26 11.41"/>
    <s v="BO01046"/>
    <m/>
    <s v="12/03/26"/>
    <s v="2026015565"/>
    <s v="11/02/26"/>
    <s v="03/03/26 11.09"/>
    <n v="0"/>
  </r>
  <r>
    <n v="258"/>
    <n v="146"/>
    <s v="KC"/>
    <s v="146ARI2601-1263"/>
    <s v="30/01/26"/>
    <x v="3"/>
    <n v="2026"/>
    <x v="0"/>
    <x v="0"/>
    <s v="AVANZA G A/T"/>
    <x v="2"/>
    <x v="0"/>
    <x v="0"/>
    <x v="4"/>
    <x v="0"/>
    <x v="4"/>
    <x v="0"/>
    <x v="0"/>
    <x v="26"/>
    <x v="2"/>
    <s v="W101RE-LBMFJ-00"/>
    <s v="W09"/>
    <s v="WHITE"/>
    <s v="MHKAB1BY9TJ014216"/>
    <s v="2NR-4F38329"/>
    <s v="KCMG012603"/>
    <s v="BADII ADITIA"/>
    <s v="MUHAMMAD CAISARIVA"/>
    <s v="CST-000809763"/>
    <s v="DEDE KURNIAWAN"/>
    <s v="INDIVIDU"/>
    <s v="DEDE KURNIAWAN"/>
    <s v="JL. CIPEDES TENGAH"/>
    <s v="KEC. SUKAJADI"/>
    <s v="KOTA BANDUNG"/>
    <s v="KREDIT"/>
    <s v="PT. MANDIRI TUNAS FINANCE"/>
    <s v="001-26.64460845"/>
    <n v="284500000"/>
    <n v="219720982"/>
    <n v="38412500"/>
    <n v="24223660"/>
    <n v="0"/>
    <n v="0"/>
    <n v="17857143"/>
    <n v="264500000"/>
    <n v="0"/>
    <n v="-20000000"/>
    <m/>
    <m/>
    <s v="Invoice"/>
    <n v="1"/>
    <s v="0000000000000000"/>
    <s v="24/01/26"/>
    <s v="KC-25-001034"/>
    <s v="22/01/26"/>
    <s v="22/01/26"/>
    <s v="26/01/26 15.08"/>
    <s v="A702015"/>
    <s v="30/01/26"/>
    <s v="01/03/26"/>
    <s v="2026009723"/>
    <s v="28/01/26"/>
    <s v="30/01/26 11.21"/>
    <n v="0"/>
  </r>
  <r>
    <n v="323"/>
    <n v="146"/>
    <s v="KC"/>
    <s v="146ARI2604-1128"/>
    <s v="23/04/26"/>
    <x v="2"/>
    <n v="2026"/>
    <x v="2"/>
    <x v="2"/>
    <s v="CALYA G M/T"/>
    <x v="1"/>
    <x v="0"/>
    <x v="0"/>
    <x v="0"/>
    <x v="0"/>
    <x v="0"/>
    <x v="0"/>
    <x v="1"/>
    <x v="1"/>
    <x v="0"/>
    <s v="B401RA-GMZFJ-20"/>
    <s v="S28"/>
    <s v="Silver Metallic"/>
    <s v="MHKA6GJ6JTJ224039"/>
    <s v="3NR-H987210"/>
    <s v="KCMK24005"/>
    <s v="JAJANG NURJAMAN"/>
    <s v="FERYANTO"/>
    <s v="CST-000821580"/>
    <s v="DEDEN DENI RAMDANI"/>
    <s v="INDIVIDU"/>
    <s v="DEDEN DENI RAMDANI"/>
    <s v="KOMP. GRAND CENDANA RESIDENCE JL. CENDANA UTARA 6 NO. 780"/>
    <s v="KEC. ARJASARI"/>
    <s v="KAB. BANDUNG"/>
    <s v="KREDIT"/>
    <s v="CIMB NIAGA FINANCE"/>
    <m/>
    <n v="181900000"/>
    <n v="139341518"/>
    <n v="25837500"/>
    <n v="15649553"/>
    <n v="0"/>
    <n v="0"/>
    <n v="8928571"/>
    <n v="171900000"/>
    <n v="2000000"/>
    <n v="-10000000"/>
    <s v="24/04/26"/>
    <s v="24/04/26"/>
    <s v="Invoice"/>
    <n v="1"/>
    <m/>
    <s v="15/04/26"/>
    <s v="KC-26-000203"/>
    <s v="11/04/26"/>
    <s v="11/04/26"/>
    <s v="15/04/26 16.26"/>
    <s v="CO01141"/>
    <s v="23/04/26"/>
    <s v="07/05/26"/>
    <s v="2026027129"/>
    <s v="09/03/26"/>
    <s v="24/04/26 16.08"/>
    <n v="0"/>
  </r>
  <r>
    <n v="308"/>
    <n v="146"/>
    <s v="KC"/>
    <s v="146ARI2602-0365"/>
    <s v="10/02/26"/>
    <x v="1"/>
    <n v="2026"/>
    <x v="9"/>
    <x v="7"/>
    <s v="AGYA G A/T"/>
    <x v="0"/>
    <x v="0"/>
    <x v="0"/>
    <x v="2"/>
    <x v="0"/>
    <x v="4"/>
    <x v="2"/>
    <x v="4"/>
    <x v="24"/>
    <x v="0"/>
    <s v="A351RA-GBEFJ-00"/>
    <s v="R79"/>
    <s v="RED M. M"/>
    <s v="MHKAB1BC3TJ078935"/>
    <s v="WA-A229858"/>
    <s v="KCMG012605"/>
    <s v="JUARNA KARMAN PUTRA"/>
    <s v="FERYANTO"/>
    <s v="CST-000812396"/>
    <s v="DEDEN KUSNADI S.PD"/>
    <s v="INDIVIDU"/>
    <s v="DEDEN KUSNADI S.PD"/>
    <s v="KP CIBODAS"/>
    <s v="KEC. LEMBANG"/>
    <s v="KAB. BANDUNG BARAT"/>
    <s v="KREDIT"/>
    <s v="PT. TOYOTA ASTRA FINANCIAL SERVICES"/>
    <s v="001-26.64462124"/>
    <n v="200500000"/>
    <n v="154095982"/>
    <n v="27912500"/>
    <n v="17420089"/>
    <n v="0"/>
    <n v="0"/>
    <n v="8928571"/>
    <n v="190500000"/>
    <n v="0"/>
    <n v="-10000000"/>
    <m/>
    <m/>
    <s v="Invoice"/>
    <n v="1"/>
    <m/>
    <s v="09/02/26"/>
    <s v="KC-25-001138"/>
    <s v="07/02/26"/>
    <s v="07/02/26"/>
    <s v="09/02/26 17.38"/>
    <s v="BR00151"/>
    <s v="10/02/26"/>
    <s v="12/03/26"/>
    <s v="2026012688"/>
    <s v="04/02/26"/>
    <s v="12/02/26 08.42"/>
    <n v="0"/>
  </r>
  <r>
    <n v="278"/>
    <n v="146"/>
    <s v="KC"/>
    <s v="146ARI2603-0510"/>
    <s v="11/03/26"/>
    <x v="0"/>
    <n v="2026"/>
    <x v="0"/>
    <x v="0"/>
    <s v="AVANZA E A/T"/>
    <x v="2"/>
    <x v="0"/>
    <x v="0"/>
    <x v="11"/>
    <x v="1"/>
    <x v="3"/>
    <x v="0"/>
    <x v="0"/>
    <x v="18"/>
    <x v="1"/>
    <s v="W100RE-LBDFJ-00"/>
    <s v="S28"/>
    <s v="Silver Metallic"/>
    <s v="MHKAA1BY7TJ011804"/>
    <s v="1NR-G317097"/>
    <s v="KCMG052429"/>
    <s v="TOPIK HIDAYAT"/>
    <s v="ALVIN"/>
    <s v="CST-000811203"/>
    <s v="DEDI HARTONO"/>
    <s v="INDIVIDU"/>
    <s v="DEDI HARTONO"/>
    <s v="KP KRONJO"/>
    <s v="KEC. KRONJO"/>
    <s v="KAB. TANGERANG (PLAT A)"/>
    <s v="KREDIT"/>
    <s v="PT. MANDIRI TUNAS FINANCE"/>
    <s v="002-26.36649390"/>
    <n v="259600000"/>
    <n v="200968750"/>
    <n v="34515000"/>
    <n v="22401964"/>
    <n v="0"/>
    <n v="0"/>
    <n v="14285714"/>
    <n v="243600000"/>
    <n v="0"/>
    <n v="-16000000"/>
    <s v="16/03/26"/>
    <s v="16/03/26"/>
    <s v="Invoice"/>
    <n v="1"/>
    <m/>
    <s v="30/01/26"/>
    <s v="KC-25-001092"/>
    <s v="30/01/26"/>
    <s v="30/01/26"/>
    <s v="31/01/26 19.40"/>
    <s v="A702259"/>
    <s v="11/03/26"/>
    <s v="20/03/26"/>
    <s v="2026010976"/>
    <s v="30/01/26"/>
    <s v="12/03/26 12.18"/>
    <n v="0"/>
  </r>
  <r>
    <n v="260"/>
    <n v="146"/>
    <s v="KC"/>
    <s v="146ARI2601-0448"/>
    <s v="12/01/26"/>
    <x v="3"/>
    <n v="2026"/>
    <x v="4"/>
    <x v="3"/>
    <s v="INNOVA ZENIX V A/T HYBRID"/>
    <x v="2"/>
    <x v="0"/>
    <x v="0"/>
    <x v="4"/>
    <x v="0"/>
    <x v="6"/>
    <x v="1"/>
    <x v="0"/>
    <x v="8"/>
    <x v="1"/>
    <s v="MAGH10R-BRXMBD-00"/>
    <s v="1D6"/>
    <s v="Silver Metallic"/>
    <s v="MHFABAAA0S0040209"/>
    <s v="M20A-ND97801"/>
    <s v="KCMK25002"/>
    <s v="RAHMAWATI"/>
    <s v="ALVIN"/>
    <s v="CST-000807670"/>
    <s v="DEDI SUHERMAN"/>
    <s v="INDIVIDU"/>
    <s v="NUGRAHA"/>
    <s v="JL BINONG JATI"/>
    <s v="KEC. BATUNUNGGAL"/>
    <s v="KOTA BANDUNG"/>
    <s v="KREDIT"/>
    <s v="PT. MANDIRI TUNAS FINANCE"/>
    <s v="001-26.64460583"/>
    <n v="551700000"/>
    <n v="428470982"/>
    <n v="71812500"/>
    <n v="47130803"/>
    <n v="0"/>
    <n v="0"/>
    <n v="35714286"/>
    <n v="511700000"/>
    <n v="0"/>
    <n v="-43379950"/>
    <s v="13/01/26"/>
    <s v="13/01/26"/>
    <s v="Invoice"/>
    <n v="1"/>
    <m/>
    <s v="09/01/26"/>
    <s v="KC-25-000982"/>
    <s v="09/01/26"/>
    <s v="09/01/26"/>
    <s v="10/01/26 10.51"/>
    <s v="FJ00867"/>
    <s v="12/01/26"/>
    <s v="11/02/26"/>
    <s v="2025052565"/>
    <s v="11/06/25"/>
    <s v="13/01/26 15.07"/>
    <n v="0"/>
  </r>
  <r>
    <n v="261"/>
    <n v="146"/>
    <s v="KC"/>
    <s v="146ARI2601-0371"/>
    <s v="09/01/26"/>
    <x v="3"/>
    <n v="2026"/>
    <x v="1"/>
    <x v="1"/>
    <s v="HIACE COMM"/>
    <x v="0"/>
    <x v="0"/>
    <x v="0"/>
    <x v="4"/>
    <x v="0"/>
    <x v="0"/>
    <x v="0"/>
    <x v="7"/>
    <x v="6"/>
    <x v="0"/>
    <s v="KDH223R-LEMDY-00"/>
    <s v="058"/>
    <s v="WHITE"/>
    <s v="JTFST22P4S0054062"/>
    <s v="1KD-B225508"/>
    <s v="KCMG042509"/>
    <s v="ERICK JANUAR LISAPALY"/>
    <s v="FERYANTO"/>
    <s v="CST-000807110"/>
    <s v="DEDIT AVO KURNIAWAN"/>
    <s v="INDIVIDU"/>
    <s v="DEDIT AVO KURNIAWAN"/>
    <s v="JL BATUNUNGGAL PERMAI I NO 35"/>
    <s v="KEC. BANDUNG KIDUL"/>
    <s v="KOTA BANDUNG"/>
    <s v="KREDIT"/>
    <s v="PT. TOYOTA ASTRA FINANCIAL SERVICES"/>
    <s v="001-26.64460577"/>
    <n v="578100000"/>
    <n v="451520270"/>
    <n v="76912500"/>
    <n v="45604166"/>
    <n v="0"/>
    <n v="0"/>
    <n v="36936937"/>
    <n v="537100000"/>
    <n v="0"/>
    <n v="-41000000"/>
    <s v="12/01/26"/>
    <s v="12/01/26"/>
    <s v="Invoice"/>
    <n v="1"/>
    <s v="0000000000000000"/>
    <s v="31/12/25"/>
    <s v="KC-25-000918"/>
    <s v="31/12/25"/>
    <s v="31/12/25"/>
    <s v="06/01/26 16.55"/>
    <s v="AP00016"/>
    <s v="09/01/26"/>
    <s v="08/02/26"/>
    <s v="2026000808"/>
    <s v="07/01/26"/>
    <s v="10/01/26 15.30"/>
    <n v="0"/>
  </r>
  <r>
    <n v="329"/>
    <n v="146"/>
    <s v="KC"/>
    <s v="146ARI2604-1188"/>
    <s v="24/04/26"/>
    <x v="2"/>
    <n v="2026"/>
    <x v="4"/>
    <x v="3"/>
    <s v="INNOVA ZENIX Q A/T HYBRID"/>
    <x v="2"/>
    <x v="0"/>
    <x v="0"/>
    <x v="12"/>
    <x v="1"/>
    <x v="4"/>
    <x v="1"/>
    <x v="1"/>
    <x v="15"/>
    <x v="0"/>
    <s v="MAGH10R-BPXHBD-10"/>
    <s v="218"/>
    <s v="ATTITUDE BLACK MICA"/>
    <s v="MHFABBAA1T0469804"/>
    <s v="M20A-NF57745"/>
    <s v="CMMG122342"/>
    <s v="REGYAWAN KURNIA"/>
    <s v="FERYANTO"/>
    <s v="CST-000821689"/>
    <s v="DENDI HOLIUS"/>
    <s v="INDIVIDU"/>
    <s v="DENDI HOLIUS"/>
    <s v="CITRA GARDEN BINTARO CELOSIA ALSTONIA A/21"/>
    <s v="KEC. CIPUTAT"/>
    <s v="KOTA TANGERANG SELATAN"/>
    <s v="KREDIT"/>
    <s v="PT. MANDIRI TUNAS FINANCE"/>
    <m/>
    <n v="626900000"/>
    <n v="487454018"/>
    <n v="80951500"/>
    <n v="56244482"/>
    <n v="0"/>
    <n v="0"/>
    <n v="18750000"/>
    <n v="605900000"/>
    <n v="0"/>
    <n v="-21000000"/>
    <s v="25/04/26"/>
    <s v="25/04/26"/>
    <s v="Invoice"/>
    <n v="1"/>
    <m/>
    <s v="16/04/26"/>
    <s v="KC-26-000202"/>
    <s v="16/04/26"/>
    <s v="16/04/26"/>
    <s v="16/04/26 13.40"/>
    <s v="DJ00705"/>
    <s v="24/04/26"/>
    <s v="08/05/26"/>
    <s v="2026038741"/>
    <s v="15/04/26"/>
    <s v="25/04/26 10.17"/>
    <n v="0"/>
  </r>
  <r>
    <n v="264"/>
    <n v="146"/>
    <s v="KC"/>
    <s v="146ARI2601-0582"/>
    <s v="14/01/26"/>
    <x v="3"/>
    <n v="2026"/>
    <x v="3"/>
    <x v="3"/>
    <s v="INNOVA G A/T DIESEL"/>
    <x v="0"/>
    <x v="0"/>
    <x v="0"/>
    <x v="2"/>
    <x v="0"/>
    <x v="3"/>
    <x v="1"/>
    <x v="0"/>
    <x v="19"/>
    <x v="0"/>
    <s v="GUN142R-MDTSXD-30"/>
    <s v="1D6"/>
    <s v="Silver Metallic"/>
    <s v="MHFJB8EM3T1182143"/>
    <s v="2GD-1902836"/>
    <s v="KCMG122541"/>
    <s v="GALIH HARISTIANTO"/>
    <s v="FERYANTO"/>
    <s v="CST-000808203"/>
    <s v="DENI SABTOHADI"/>
    <s v="INDIVIDU"/>
    <s v="SRI MARYANTI"/>
    <s v="JL HEGARMANAH NO 119A"/>
    <s v="KEC. NGAMPRAH"/>
    <s v="KAB. BANDUNG BARAT"/>
    <s v="KREDIT"/>
    <s v="PT. TOYOTA ASTRA FINANCIAL SERVICES"/>
    <s v="001-26.64460590"/>
    <n v="442100000"/>
    <n v="342845982"/>
    <n v="58112500"/>
    <n v="38462946"/>
    <n v="0"/>
    <n v="0"/>
    <n v="22321429"/>
    <n v="417100000"/>
    <n v="0"/>
    <n v="-25000000"/>
    <s v="21/01/26"/>
    <s v="21/01/26"/>
    <s v="Invoice"/>
    <n v="1"/>
    <m/>
    <s v="14/01/26"/>
    <s v="KC-25-000994"/>
    <s v="13/01/26"/>
    <s v="13/01/26"/>
    <s v="14/01/26 13.29"/>
    <s v="AC00261"/>
    <s v="14/01/26"/>
    <s v="13/02/26"/>
    <s v="2026001141"/>
    <s v="08/01/26"/>
    <s v="16/01/26 11.54"/>
    <n v="0"/>
  </r>
  <r>
    <n v="269"/>
    <n v="146"/>
    <s v="KC"/>
    <s v="146ARI2601-0278"/>
    <s v="08/01/26"/>
    <x v="3"/>
    <n v="2026"/>
    <x v="6"/>
    <x v="3"/>
    <s v="INNOVA ZENIX V A/T"/>
    <x v="3"/>
    <x v="0"/>
    <x v="1"/>
    <x v="13"/>
    <x v="1"/>
    <x v="0"/>
    <x v="0"/>
    <x v="4"/>
    <x v="7"/>
    <x v="2"/>
    <s v="MAGA10R-BRXMBD-00"/>
    <s v="1D6"/>
    <s v="Silver Metallic"/>
    <s v="MHFAAAAA5S0043884"/>
    <s v="M20A-ND92463"/>
    <s v="KCMG052525"/>
    <s v="AGUS SUPARMAN"/>
    <s v="MUHAMMAD CAISARIVA"/>
    <s v="CST-000806849"/>
    <s v="DESRIYAN DWI PUTRA"/>
    <s v="INDIVIDU"/>
    <s v="DESRIYAN DWI PUTRA SE"/>
    <s v="JL KORMA IV BlOK 1-2 NO 06"/>
    <s v="KEC. KELAPA DUA"/>
    <s v="KAB. TANGERANG (PLAT B)"/>
    <s v="CASH"/>
    <s v="CASH"/>
    <s v="001-26.64460570"/>
    <n v="482600000"/>
    <n v="374812500"/>
    <n v="62810000"/>
    <n v="40423928"/>
    <n v="0"/>
    <n v="0"/>
    <n v="37946429"/>
    <n v="440100000"/>
    <n v="0"/>
    <n v="-42500000"/>
    <s v="17/01/26"/>
    <s v="17/01/26"/>
    <s v="Invoice"/>
    <n v="1"/>
    <s v="0000000000000000"/>
    <s v="05/01/26"/>
    <s v="KC-25-000974"/>
    <s v="04/01/26"/>
    <s v="04/01/26"/>
    <s v="05/01/26 11.14"/>
    <s v="FJ00954"/>
    <s v="08/01/26"/>
    <s v="22/01/26"/>
    <s v="2025052825"/>
    <s v="12/06/25"/>
    <s v="09/01/26 10.27"/>
    <n v="0"/>
  </r>
  <r>
    <n v="326"/>
    <n v="146"/>
    <s v="KC"/>
    <s v="146ARI2602-0402"/>
    <s v="11/02/26"/>
    <x v="1"/>
    <n v="2026"/>
    <x v="13"/>
    <x v="11"/>
    <s v="RAIZE S A/T"/>
    <x v="3"/>
    <x v="0"/>
    <x v="1"/>
    <x v="4"/>
    <x v="0"/>
    <x v="4"/>
    <x v="0"/>
    <x v="1"/>
    <x v="1"/>
    <x v="0"/>
    <s v="A250RA-GBVVJ-31"/>
    <s v="XJ7"/>
    <s v="BLACK WHITE"/>
    <s v="MHKAA1BA4TJ184392"/>
    <s v="1KR-B029795"/>
    <s v="KCMK24005"/>
    <s v="JAJANG NURJAMAN"/>
    <s v="FERYANTO"/>
    <s v="CST-000812686"/>
    <s v="DEVINA MARDIANI WANGSAJAYA"/>
    <s v="INDIVIDU"/>
    <s v="DEVINA MARDIANI WANGSAJAYA"/>
    <s v="PARAKANWAAS IV NO.5"/>
    <s v="KEC. BANDUNG KIDUL"/>
    <s v="KOTA BANDUNG"/>
    <s v="CASH"/>
    <s v="CASH"/>
    <s v="001-26.64462130"/>
    <n v="297300000"/>
    <n v="229720982"/>
    <n v="40012500"/>
    <n v="25959375"/>
    <n v="0"/>
    <n v="0"/>
    <n v="13392857"/>
    <n v="282300000"/>
    <n v="0"/>
    <n v="-15000000"/>
    <s v="16/02/26"/>
    <s v="16/02/26"/>
    <s v="Invoice"/>
    <n v="1"/>
    <m/>
    <s v="10/02/26"/>
    <s v="KC-25-001144"/>
    <s v="09/02/26"/>
    <s v="09/02/26"/>
    <s v="10/02/26 14.34"/>
    <s v="BZ00088"/>
    <s v="11/02/26"/>
    <s v="20/02/26"/>
    <s v="2026012384"/>
    <s v="03/02/26"/>
    <s v="15/02/26 11.12"/>
    <n v="0"/>
  </r>
  <r>
    <n v="357"/>
    <n v="146"/>
    <s v="KC"/>
    <s v="146ARI2604-1301"/>
    <s v="27/04/26"/>
    <x v="2"/>
    <n v="2026"/>
    <x v="3"/>
    <x v="3"/>
    <s v="INNOVA G A/T DIESEL"/>
    <x v="2"/>
    <x v="0"/>
    <x v="0"/>
    <x v="2"/>
    <x v="0"/>
    <x v="3"/>
    <x v="0"/>
    <x v="2"/>
    <x v="24"/>
    <x v="0"/>
    <s v="GUN142R-MDTSXD-30"/>
    <s v="040"/>
    <s v="SUPER WHITE II"/>
    <s v="MHFJB8EM8T1192036"/>
    <s v="2GD-1959893"/>
    <s v="KCMG012605"/>
    <s v="JUARNA KARMAN PUTRA"/>
    <s v="FERYANTO"/>
    <s v="CST-000820727"/>
    <s v="DIAN HARDIANSYAH"/>
    <s v="INDIVIDU"/>
    <s v="DIAN HARDIANSYAH"/>
    <s v="KP SUKARAME"/>
    <s v="KEC. CIPATAT"/>
    <s v="KAB. BANDUNG BARAT"/>
    <s v="KREDIT"/>
    <s v="PT. MANDIRI TUNAS FINANCE"/>
    <m/>
    <n v="442100000"/>
    <n v="342622768"/>
    <n v="58362500"/>
    <n v="38864732"/>
    <n v="0"/>
    <n v="0"/>
    <n v="18750000"/>
    <n v="421100000"/>
    <n v="4453400"/>
    <n v="-21000000"/>
    <m/>
    <m/>
    <s v="Invoice"/>
    <n v="1"/>
    <m/>
    <s v="09/04/26"/>
    <s v="KC-26-000168"/>
    <s v="08/04/26"/>
    <s v="08/04/26"/>
    <s v="09/04/26 16.11"/>
    <s v="DC02043"/>
    <s v="27/04/26"/>
    <s v="11/05/26"/>
    <s v="2026043507"/>
    <s v="24/04/26"/>
    <s v="28/04/26 10.49"/>
    <n v="0"/>
  </r>
  <r>
    <n v="358"/>
    <n v="146"/>
    <s v="KC"/>
    <s v="146ARI2604-0988"/>
    <s v="21/04/26"/>
    <x v="2"/>
    <n v="2026"/>
    <x v="2"/>
    <x v="2"/>
    <s v="CALYA G M/T"/>
    <x v="4"/>
    <x v="0"/>
    <x v="0"/>
    <x v="4"/>
    <x v="0"/>
    <x v="3"/>
    <x v="1"/>
    <x v="1"/>
    <x v="20"/>
    <x v="1"/>
    <s v="B401RA-GMZFJ-20"/>
    <s v="W09"/>
    <s v="WHITE"/>
    <s v="MHKA6GJ6JTJ225859"/>
    <s v="3NR-H991875"/>
    <s v="KCMG042424"/>
    <s v="INDAH PITALOKA"/>
    <s v="ALVIN"/>
    <s v="CST-000821220"/>
    <s v="DIAN YANTI IRAWATI S.I KOM"/>
    <s v="INDIVIDU"/>
    <s v="HJ. EUIS MERTINI"/>
    <s v="JL RANCA ENDAH I NO 11A/50"/>
    <s v="KEC. GEDEBAGE"/>
    <s v="KOTA BANDUNG"/>
    <s v="KREDIT"/>
    <s v="PT. ASTRA SEDAYA FINANCE"/>
    <m/>
    <n v="181900000"/>
    <n v="139341518"/>
    <n v="25837500"/>
    <n v="15649553"/>
    <n v="0"/>
    <n v="0"/>
    <n v="8928571"/>
    <n v="171900000"/>
    <n v="0"/>
    <n v="-10000000"/>
    <s v="27/04/26"/>
    <s v="27/04/26"/>
    <s v="Invoice"/>
    <n v="1"/>
    <m/>
    <s v="11/04/26"/>
    <s v="KC-26-000161"/>
    <s v="11/04/26"/>
    <s v="11/04/26"/>
    <s v="13/04/26 15.55"/>
    <s v="DO01894"/>
    <s v="21/04/26"/>
    <s v="05/05/26"/>
    <s v="2026040850"/>
    <s v="20/04/26"/>
    <s v="22/04/26 10.25"/>
    <n v="0"/>
  </r>
  <r>
    <n v="300"/>
    <n v="146"/>
    <s v="KC"/>
    <s v="146ARI2603-0435"/>
    <s v="09/03/26"/>
    <x v="0"/>
    <n v="2026"/>
    <x v="5"/>
    <x v="4"/>
    <s v="VELOZ V AT HYBRID"/>
    <x v="7"/>
    <x v="0"/>
    <x v="0"/>
    <x v="4"/>
    <x v="0"/>
    <x v="1"/>
    <x v="1"/>
    <x v="0"/>
    <x v="3"/>
    <x v="0"/>
    <s v="W102RE-LBVFJ-11"/>
    <s v="089"/>
    <s v="PLATINUM WHITE PEARL MICA"/>
    <s v="MHFA71BYXT0001982"/>
    <s v="2NR-Y658896"/>
    <s v="KCMG052513"/>
    <s v="DENI ALFIAN"/>
    <s v="FERYANTO"/>
    <s v="CST-000813840"/>
    <s v="DIANA FITRI WIDYA SARI"/>
    <s v="INDIVIDU"/>
    <s v="MIKHA JULIUS SANTOSO"/>
    <s v="JL DAGO ASRI B21 A"/>
    <s v="KEC. COBLONG"/>
    <s v="KOTA BANDUNG"/>
    <s v="KREDIT"/>
    <s v="PT. ADIRA DINAMIKA MULTI FINANCE TBK"/>
    <s v="001-26.64462998"/>
    <n v="304500000"/>
    <n v="235122768"/>
    <n v="41162500"/>
    <n v="28214732"/>
    <n v="0"/>
    <n v="0"/>
    <n v="0"/>
    <n v="304500000"/>
    <n v="0"/>
    <n v="0"/>
    <s v="11/03/26"/>
    <s v="11/03/26"/>
    <s v="Invoice"/>
    <n v="1"/>
    <s v="3273026508790003"/>
    <s v="18/02/26"/>
    <s v="KC-26-000014"/>
    <s v="16/02/26"/>
    <s v="16/02/26"/>
    <s v="18/02/26 11.32"/>
    <s v="C800517"/>
    <s v="09/03/26"/>
    <s v="23/03/26"/>
    <s v="2026024452"/>
    <s v="03/03/26"/>
    <s v="10/03/26 23.17"/>
    <n v="0"/>
  </r>
  <r>
    <n v="287"/>
    <n v="146"/>
    <s v="KC"/>
    <s v="146ARI2601-0933"/>
    <s v="26/01/26"/>
    <x v="3"/>
    <n v="2026"/>
    <x v="8"/>
    <x v="6"/>
    <s v="FORTUNER 4X4 VRZ A/T DIESEL"/>
    <x v="3"/>
    <x v="0"/>
    <x v="1"/>
    <x v="4"/>
    <x v="0"/>
    <x v="2"/>
    <x v="1"/>
    <x v="0"/>
    <x v="27"/>
    <x v="0"/>
    <s v="GUN156R-SDTHXD-33"/>
    <s v="218"/>
    <s v="ATTITUDE BLACK MICA"/>
    <s v="MHFBA3FS6T1174643"/>
    <s v="1GD-5926330"/>
    <s v="KCMG052518"/>
    <s v="YANI ANDRIYANI"/>
    <s v="FERYANTO"/>
    <s v="CST-000809768"/>
    <s v="DICKY LESMANA"/>
    <s v="INDIVIDU"/>
    <s v="DICKY LESMANA"/>
    <s v="KOMP. PATRAMAYA NO. 32"/>
    <s v="KEC. RANCASARI"/>
    <s v="KOTA BANDUNG"/>
    <s v="CASH"/>
    <s v="CASH"/>
    <s v="001-26.64460817"/>
    <n v="789000000"/>
    <n v="613861607"/>
    <n v="101475000"/>
    <n v="70449107"/>
    <n v="0"/>
    <n v="0"/>
    <n v="26785714"/>
    <n v="759000000"/>
    <n v="0"/>
    <n v="-30000000"/>
    <m/>
    <m/>
    <s v="Invoice"/>
    <n v="1"/>
    <m/>
    <s v="26/01/26"/>
    <s v="KC-25-001048"/>
    <s v="24/01/26"/>
    <s v="24/01/26"/>
    <s v="26/01/26 15.33"/>
    <s v="AF00783"/>
    <s v="26/01/26"/>
    <s v="09/02/26"/>
    <s v="2026008172"/>
    <s v="24/01/26"/>
    <s v="04/02/26 09.28"/>
    <n v="0"/>
  </r>
  <r>
    <n v="302"/>
    <n v="146"/>
    <s v="KC"/>
    <s v="146ARI2603-0821"/>
    <s v="16/03/26"/>
    <x v="0"/>
    <n v="2026"/>
    <x v="4"/>
    <x v="3"/>
    <s v="INNOVA ZENIX V A/T HYBRID"/>
    <x v="2"/>
    <x v="0"/>
    <x v="0"/>
    <x v="0"/>
    <x v="0"/>
    <x v="0"/>
    <x v="0"/>
    <x v="0"/>
    <x v="4"/>
    <x v="0"/>
    <s v="MAGH10R-BRXMBD-10"/>
    <s v="218"/>
    <s v="ATTITUDE BLACK MICA"/>
    <s v="MHFABAAA1T0048384"/>
    <s v="M20A-NF17323"/>
    <s v="KCMG032507"/>
    <s v="SENOAJI"/>
    <s v="FERYANTO"/>
    <s v="CST-000817997"/>
    <s v="DICKY SENJAYASH., M.SI"/>
    <s v="INDIVIDU"/>
    <s v="H.HENDAR SUPRIADY"/>
    <s v="MARGAHAYU KENCANA D10 NO 6"/>
    <s v="KEC. MARGAHAYU"/>
    <s v="KAB. BANDUNG"/>
    <s v="KREDIT"/>
    <s v="PT. MANDIRI TUNAS FINANCE"/>
    <m/>
    <n v="551900000"/>
    <n v="428404018"/>
    <n v="72087500"/>
    <n v="49158482"/>
    <n v="0"/>
    <n v="0"/>
    <n v="18750000"/>
    <n v="530900000"/>
    <n v="0"/>
    <n v="-21000000"/>
    <s v="17/03/26"/>
    <s v="17/03/26"/>
    <s v="Invoice"/>
    <n v="1"/>
    <s v="0000000000000000"/>
    <s v="16/03/26"/>
    <s v="KC-26-000104"/>
    <s v="16/03/26"/>
    <s v="16/03/26"/>
    <s v="16/03/26 18.48"/>
    <s v="AJ01904"/>
    <s v="16/03/26"/>
    <s v="30/03/26"/>
    <s v="2026009148"/>
    <s v="27/01/26"/>
    <s v="20/03/26 18.36"/>
    <n v="0"/>
  </r>
  <r>
    <n v="339"/>
    <n v="146"/>
    <s v="KC"/>
    <s v="146ARI2602-0240"/>
    <s v="07/02/26"/>
    <x v="1"/>
    <n v="2026"/>
    <x v="2"/>
    <x v="2"/>
    <s v="CALYA G A/T"/>
    <x v="2"/>
    <x v="0"/>
    <x v="0"/>
    <x v="2"/>
    <x v="0"/>
    <x v="0"/>
    <x v="0"/>
    <x v="0"/>
    <x v="8"/>
    <x v="1"/>
    <s v="B401RA-GQZFJ-20"/>
    <s v="X13"/>
    <s v="BLACK"/>
    <s v="MHKA6GK6JTJ088392"/>
    <s v="3NR-H981129"/>
    <s v="KCMK25002"/>
    <s v="RAHMAWATI"/>
    <s v="ALVIN"/>
    <s v="CST-000811674"/>
    <s v="DIKKY RIZQI MAULANA SETIAWAN"/>
    <s v="INDIVIDU"/>
    <s v="DIKKY RIZQI MAULANA SETIAWAN"/>
    <s v="KP. CIRATEUN PEUNTAS"/>
    <s v="KEC. LEMBANG"/>
    <s v="KAB. BANDUNG BARAT"/>
    <s v="KREDIT"/>
    <s v="PT. MANDIRI TUNAS FINANCE"/>
    <s v="001-26.64462111"/>
    <n v="196400000"/>
    <n v="150892857"/>
    <n v="27400000"/>
    <n v="17143928"/>
    <n v="0"/>
    <n v="0"/>
    <n v="8026786"/>
    <n v="187410000"/>
    <n v="0"/>
    <n v="-9951538"/>
    <s v="13/02/26"/>
    <s v="13/02/26"/>
    <s v="Invoice"/>
    <n v="1"/>
    <s v="3217011612940012"/>
    <s v="04/02/26"/>
    <s v="KC-25-001129"/>
    <s v="03/02/26"/>
    <s v="03/02/26"/>
    <s v="04/02/26 16.42"/>
    <s v="BO00410"/>
    <s v="07/02/26"/>
    <s v="09/03/26"/>
    <s v="2026013172"/>
    <s v="05/02/26"/>
    <s v="28/02/26 16.00"/>
    <n v="0"/>
  </r>
  <r>
    <n v="292"/>
    <n v="146"/>
    <s v="KC"/>
    <s v="146ARI2601-1291"/>
    <s v="31/01/26"/>
    <x v="3"/>
    <n v="2026"/>
    <x v="13"/>
    <x v="11"/>
    <s v="RAIZE S A/T"/>
    <x v="0"/>
    <x v="0"/>
    <x v="0"/>
    <x v="6"/>
    <x v="1"/>
    <x v="3"/>
    <x v="0"/>
    <x v="1"/>
    <x v="23"/>
    <x v="1"/>
    <s v="A250RA-GBVVJ-31"/>
    <s v="XJ7"/>
    <s v="BLACK WHITE"/>
    <s v="MHKAA1BA1TJ182471"/>
    <s v="1KR-B028357"/>
    <s v="KCMG052516"/>
    <s v="YENI"/>
    <s v="ALVIN"/>
    <s v="CST-000810152"/>
    <s v="DINI APRIYANI S.KEP NERS"/>
    <s v="INDIVIDU"/>
    <s v="ASEP HIDAYAT SE"/>
    <s v="DUSUN CIKEUYEUP"/>
    <s v="KEC. SUKASARI"/>
    <s v="KAB. SUMEDANG"/>
    <s v="KREDIT"/>
    <s v="PT. TOYOTA ASTRA FINANCIAL SERVICES"/>
    <m/>
    <n v="297300000"/>
    <n v="229140625"/>
    <n v="40662500"/>
    <n v="25222767"/>
    <n v="0"/>
    <n v="0"/>
    <n v="18950893"/>
    <n v="276075000"/>
    <n v="5000000"/>
    <n v="-21225000"/>
    <m/>
    <m/>
    <s v="Invoice"/>
    <n v="1"/>
    <m/>
    <s v="28/01/26"/>
    <s v="KC-25-001044"/>
    <s v="27/01/26"/>
    <s v="27/01/26"/>
    <s v="29/01/26 11.51"/>
    <s v="AZ00914"/>
    <m/>
    <s v="02/03/26"/>
    <s v="2026010518"/>
    <s v="29/01/26"/>
    <s v="02/02/26 11.35"/>
    <n v="0"/>
  </r>
  <r>
    <n v="311"/>
    <n v="146"/>
    <s v="KC"/>
    <s v="146ARI2603-1149"/>
    <s v="27/03/26"/>
    <x v="0"/>
    <n v="2026"/>
    <x v="3"/>
    <x v="3"/>
    <s v="INNOVA G M/T DIESEL"/>
    <x v="2"/>
    <x v="0"/>
    <x v="0"/>
    <x v="4"/>
    <x v="0"/>
    <x v="0"/>
    <x v="0"/>
    <x v="4"/>
    <x v="9"/>
    <x v="0"/>
    <s v="GUN142R-MDMSXD-30"/>
    <s v="040"/>
    <s v="SUPER WHITE II"/>
    <s v="MHFJB8EM8T1189248"/>
    <s v="2GD-5960167"/>
    <s v="KCMG042511"/>
    <s v="DADAN DARMADI"/>
    <s v="FERYANTO"/>
    <s v="CST-000815810"/>
    <s v="DODI ARIYANTO"/>
    <s v="INDIVIDU"/>
    <s v="DODI ARIYANTO"/>
    <s v="KIRCON"/>
    <s v="KEC. KIARACONDONG"/>
    <s v="KOTA BANDUNG"/>
    <s v="KREDIT"/>
    <s v="PT. MANDIRI TUNAS FINANCE"/>
    <m/>
    <n v="420300000"/>
    <n v="325591518"/>
    <n v="55637500"/>
    <n v="36820982"/>
    <n v="0"/>
    <n v="0"/>
    <n v="18750000"/>
    <n v="399300000"/>
    <n v="3200300"/>
    <n v="-21000000"/>
    <m/>
    <m/>
    <s v="Invoice"/>
    <n v="1"/>
    <m/>
    <s v="03/03/26"/>
    <s v="KC-26-000071"/>
    <s v="26/02/26"/>
    <s v="26/02/26"/>
    <s v="03/03/26 17.22"/>
    <s v="CC01162"/>
    <s v="27/03/26"/>
    <s v="10/04/26"/>
    <s v="2026031099"/>
    <s v="17/03/26"/>
    <s v="28/03/26 17.06"/>
    <n v="0"/>
  </r>
  <r>
    <n v="296"/>
    <n v="146"/>
    <s v="KC"/>
    <s v="146ARI2601-0764"/>
    <s v="20/01/26"/>
    <x v="3"/>
    <n v="2026"/>
    <x v="4"/>
    <x v="3"/>
    <s v="INNOVA ZENIX V A/T HYBRID"/>
    <x v="0"/>
    <x v="0"/>
    <x v="0"/>
    <x v="4"/>
    <x v="0"/>
    <x v="6"/>
    <x v="1"/>
    <x v="1"/>
    <x v="28"/>
    <x v="0"/>
    <s v="MAGH10R-BRXMBD-10"/>
    <s v="218"/>
    <s v="ATTITUDE BLACK MICA"/>
    <s v="MHFABAAA6T0048137"/>
    <s v="M20A-NF13944"/>
    <s v="KCMG112538"/>
    <s v="AGTHY EIKA PRATIWI"/>
    <s v="FERYANTO"/>
    <s v="CST-000808985"/>
    <s v="DODY WAHYUDI"/>
    <s v="INDIVIDU"/>
    <s v="ILHAM BINTANG RACHMAN"/>
    <s v="JLN CIKAMPEK 5 NO 29"/>
    <s v="KEC. ANTAPANI"/>
    <s v="KOTA BANDUNG"/>
    <s v="KREDIT"/>
    <s v="PT. TOYOTA ASTRA FINANCIAL SERVICES"/>
    <s v="001-26.64460814"/>
    <n v="551900000"/>
    <n v="428627232"/>
    <n v="71837500"/>
    <n v="49292410"/>
    <n v="0"/>
    <n v="0"/>
    <n v="17857143"/>
    <n v="531900000"/>
    <n v="0"/>
    <n v="-20000000"/>
    <s v="23/01/26"/>
    <s v="23/01/26"/>
    <s v="Invoice"/>
    <n v="1"/>
    <m/>
    <s v="20/01/26"/>
    <s v="KC-25-001023"/>
    <s v="19/01/26"/>
    <s v="19/01/26"/>
    <s v="20/01/26 15.08"/>
    <s v="AJ01361"/>
    <s v="20/01/26"/>
    <s v="19/02/26"/>
    <s v="2026005189"/>
    <s v="19/01/26"/>
    <s v="24/01/26 14.55"/>
    <n v="0"/>
  </r>
  <r>
    <n v="351"/>
    <n v="146"/>
    <s v="KC"/>
    <s v="146ARI2602-1334"/>
    <s v="27/02/26"/>
    <x v="1"/>
    <n v="2026"/>
    <x v="8"/>
    <x v="6"/>
    <s v="FORTUNER 4X2 VRZ A/T DIESEL"/>
    <x v="2"/>
    <x v="0"/>
    <x v="0"/>
    <x v="4"/>
    <x v="0"/>
    <x v="0"/>
    <x v="1"/>
    <x v="0"/>
    <x v="13"/>
    <x v="1"/>
    <s v="GUN166R-SDTHXD-31"/>
    <s v="218"/>
    <s v="ATTITUDE BLACK MICA"/>
    <s v="MHFAA8GS7T0934804"/>
    <s v="1GD-J148208"/>
    <s v="KCMG072433"/>
    <s v="AHMAD MAULANA"/>
    <s v="ALVIN"/>
    <s v="CST-000815101"/>
    <s v="DONI"/>
    <s v="INDIVIDU"/>
    <s v="NATHAN ANGKASA"/>
    <s v="JL. CIPARAY"/>
    <s v="KEC. BANDUNG KIDUL"/>
    <s v="KOTA BANDUNG"/>
    <s v="KREDIT"/>
    <s v="PT. MANDIRI TUNAS FINANCE"/>
    <m/>
    <n v="679700000"/>
    <n v="528470982"/>
    <n v="87812500"/>
    <n v="60202232"/>
    <n v="0"/>
    <n v="0"/>
    <n v="26785714"/>
    <n v="649700000"/>
    <n v="5000000"/>
    <n v="-30000000"/>
    <m/>
    <m/>
    <s v="Invoice"/>
    <n v="1"/>
    <m/>
    <s v="26/02/26"/>
    <s v="KC-26-000027"/>
    <s v="24/02/26"/>
    <s v="24/02/26"/>
    <s v="26/02/26 17.51"/>
    <s v="BF00213"/>
    <s v="27/02/26"/>
    <s v="13/03/26"/>
    <s v="2026013770"/>
    <s v="06/02/26"/>
    <s v="28/02/26 08.00"/>
    <n v="0"/>
  </r>
  <r>
    <n v="356"/>
    <n v="146"/>
    <s v="KC"/>
    <s v="146ARI2602-1150"/>
    <s v="24/02/26"/>
    <x v="1"/>
    <n v="2026"/>
    <x v="13"/>
    <x v="11"/>
    <s v="RAIZE G A/T"/>
    <x v="2"/>
    <x v="0"/>
    <x v="0"/>
    <x v="4"/>
    <x v="0"/>
    <x v="3"/>
    <x v="1"/>
    <x v="4"/>
    <x v="27"/>
    <x v="0"/>
    <s v="A250RA-GBXVJ-10"/>
    <s v="X13"/>
    <s v="BLACK"/>
    <s v="MHKAA1BA3TJ184660"/>
    <s v="1KR-B032666"/>
    <s v="KCMG052518"/>
    <s v="YANI ANDRIYANI"/>
    <s v="FERYANTO"/>
    <s v="CST-000814663"/>
    <s v="DR. IMAS ROSIDAWATI"/>
    <s v="INDIVIDU"/>
    <s v="IBRAHIM SYARIEF"/>
    <s v="JL. SEKAR GAMBIR I NO. 19"/>
    <s v="KEC. LENGKONG"/>
    <s v="KOTA BANDUNG"/>
    <s v="KREDIT"/>
    <s v="PT. MANDIRI TUNAS FINANCE"/>
    <m/>
    <n v="280700000"/>
    <n v="216752232"/>
    <n v="37937500"/>
    <n v="24403125"/>
    <n v="0"/>
    <n v="0"/>
    <n v="13392857"/>
    <n v="265700000"/>
    <n v="4999991"/>
    <n v="-15000000"/>
    <m/>
    <m/>
    <s v="Invoice"/>
    <n v="1"/>
    <m/>
    <s v="23/02/26"/>
    <s v="KC-26-000046"/>
    <s v="21/02/26"/>
    <s v="21/02/26"/>
    <s v="23/02/26 17.49"/>
    <s v="BZ00528"/>
    <s v="24/02/26"/>
    <s v="10/03/26"/>
    <s v="2026018628"/>
    <s v="19/02/26"/>
    <s v="28/02/26 17.26"/>
    <n v="0"/>
  </r>
  <r>
    <n v="393"/>
    <n v="146"/>
    <s v="KC"/>
    <s v="146ARI2604-0596"/>
    <s v="14/04/26"/>
    <x v="2"/>
    <n v="2026"/>
    <x v="9"/>
    <x v="7"/>
    <s v="AGYA G A/T"/>
    <x v="3"/>
    <x v="0"/>
    <x v="1"/>
    <x v="4"/>
    <x v="0"/>
    <x v="0"/>
    <x v="1"/>
    <x v="0"/>
    <x v="29"/>
    <x v="1"/>
    <s v="A351RA-GBEFJ-10"/>
    <s v="S28"/>
    <s v="Silver Metallic"/>
    <s v="MHKAB1BC4TJ082993"/>
    <s v="WA-A242123"/>
    <s v="KCMG042609"/>
    <s v="ANDRI JAYA LAKSANA"/>
    <s v="ALVIN"/>
    <s v="CST-000821356"/>
    <s v="DRS H AMRUL HIDAYAT. MM"/>
    <s v="INDIVIDU"/>
    <s v="ACHMAD FUADY"/>
    <s v="JL MARGASARI NO 201"/>
    <s v="KEC. BUAHBATU"/>
    <s v="KOTA BANDUNG"/>
    <s v="CASH"/>
    <s v="CASH"/>
    <m/>
    <n v="204000000"/>
    <n v="156607143"/>
    <n v="28600000"/>
    <n v="17721428"/>
    <n v="0"/>
    <n v="0"/>
    <n v="8928571"/>
    <n v="194000000"/>
    <n v="0"/>
    <n v="-10000000"/>
    <s v="17/04/26"/>
    <s v="17/04/26"/>
    <s v="Invoice"/>
    <n v="1"/>
    <m/>
    <s v="14/04/26"/>
    <s v="KC-26-000158"/>
    <s v="14/04/26"/>
    <s v="14/04/26"/>
    <s v="14/04/26 12.04"/>
    <s v="DR00069"/>
    <s v="14/04/26"/>
    <s v="23/04/26"/>
    <s v="2026033297"/>
    <s v="02/04/26"/>
    <s v="18/04/26 11.56"/>
    <n v="0"/>
  </r>
  <r>
    <n v="319"/>
    <n v="146"/>
    <s v="KC"/>
    <s v="146ARI2603-1283"/>
    <s v="30/03/26"/>
    <x v="0"/>
    <n v="2026"/>
    <x v="1"/>
    <x v="1"/>
    <s v="HIACE PREMIO"/>
    <x v="0"/>
    <x v="0"/>
    <x v="0"/>
    <x v="4"/>
    <x v="0"/>
    <x v="4"/>
    <x v="0"/>
    <x v="0"/>
    <x v="21"/>
    <x v="1"/>
    <s v="GDH321R-EDFDYD-10"/>
    <s v="058"/>
    <s v="WHITE"/>
    <s v="JTF2A9CP3S6012220"/>
    <s v="1GD-9695474"/>
    <s v="KCMG012502"/>
    <s v="DADI SOBARI"/>
    <s v="ALVIN"/>
    <s v="CST-000818911"/>
    <s v="DWI AFNI KUSUMAWARDHANI"/>
    <s v="INDIVIDU"/>
    <s v="SITI CHAERUNNISA"/>
    <s v="KOMP. BUMI PANYILEUKAN BLOK Q 4 NO.10"/>
    <s v="KEC. PANYILEUKAN"/>
    <s v="KOTA BANDUNG"/>
    <s v="KREDIT"/>
    <s v="PT. TOYOTA ASTRA FINANCIAL SERVICES"/>
    <m/>
    <n v="678400000"/>
    <n v="525133929"/>
    <n v="90250000"/>
    <n v="59027142"/>
    <n v="0"/>
    <n v="0"/>
    <n v="33241071"/>
    <n v="641170000"/>
    <n v="0"/>
    <n v="-38077637"/>
    <m/>
    <m/>
    <s v="Invoice"/>
    <n v="1"/>
    <m/>
    <s v="26/03/26"/>
    <s v="KC-26-000124"/>
    <s v="25/03/26"/>
    <s v="25/03/26"/>
    <s v="30/03/26 13.26"/>
    <s v="BP00426"/>
    <s v="30/03/26"/>
    <s v="13/04/26"/>
    <s v="2026020654"/>
    <s v="24/02/26"/>
    <s v="31/03/26 16.35"/>
    <n v="0"/>
  </r>
  <r>
    <n v="368"/>
    <n v="146"/>
    <s v="KC"/>
    <s v="146ARI2602-0695"/>
    <s v="16/02/26"/>
    <x v="1"/>
    <n v="2026"/>
    <x v="8"/>
    <x v="6"/>
    <s v="FORTUNER 4X2 VRZ A/T DIESEL"/>
    <x v="0"/>
    <x v="0"/>
    <x v="0"/>
    <x v="12"/>
    <x v="1"/>
    <x v="3"/>
    <x v="1"/>
    <x v="0"/>
    <x v="2"/>
    <x v="1"/>
    <s v="GUN166R-SDTHXD-31"/>
    <s v="218"/>
    <s v="ATTITUDE BLACK MICA"/>
    <s v="MHFAA8GS5T0935031"/>
    <s v="1GD-J149489"/>
    <s v="KCMG042414"/>
    <s v="RIZKI RISMAWAN"/>
    <s v="ALVIN"/>
    <s v="CST-000812976"/>
    <s v="DWI SUSI'ADDIN"/>
    <s v="INDIVIDU"/>
    <s v="HENI PRIYANTI"/>
    <s v="JL. CENDRAWASIH V NO.46"/>
    <s v="KEC. PONDOK AREN"/>
    <s v="KOTA TANGERANG SELATAN"/>
    <s v="KREDIT"/>
    <s v="PT. TOYOTA ASTRA FINANCIAL SERVICES"/>
    <s v="001-26.64462154"/>
    <n v="678300000"/>
    <n v="527703125"/>
    <n v="87272500"/>
    <n v="60110089"/>
    <n v="0"/>
    <n v="0"/>
    <n v="26785714"/>
    <n v="648300000"/>
    <n v="0"/>
    <n v="-30000000"/>
    <s v="23/02/26"/>
    <s v="23/02/26"/>
    <s v="Invoice"/>
    <n v="1"/>
    <m/>
    <s v="10/02/26"/>
    <s v="KC-26-000002"/>
    <s v="10/02/26"/>
    <s v="10/02/26"/>
    <s v="11/02/26 15.20"/>
    <s v="BF00480"/>
    <s v="16/02/26"/>
    <s v="18/03/26"/>
    <s v="2026016263"/>
    <s v="12/02/26"/>
    <s v="17/02/26 16.09"/>
    <n v="0"/>
  </r>
  <r>
    <n v="316"/>
    <n v="146"/>
    <s v="KC"/>
    <s v="146ARI2601-0732"/>
    <s v="19/01/26"/>
    <x v="3"/>
    <n v="2026"/>
    <x v="4"/>
    <x v="3"/>
    <s v="INNOVA ZENIX Q A/T HYBRID"/>
    <x v="0"/>
    <x v="0"/>
    <x v="0"/>
    <x v="4"/>
    <x v="0"/>
    <x v="2"/>
    <x v="0"/>
    <x v="1"/>
    <x v="11"/>
    <x v="1"/>
    <s v="MAGH10R-BPXHBD-11"/>
    <s v="089"/>
    <s v="PLATINUM WHITE PEARL"/>
    <s v="MHFABBAA5T0463522"/>
    <s v="M20A-NF10353"/>
    <s v="KCMG052428"/>
    <s v="MUHAMMAD FADIL FAHMI RUSTANDI"/>
    <s v="ALVIN"/>
    <s v="CST-000808547"/>
    <s v="DWI YUNITA WIBOWO"/>
    <s v="INDIVIDU"/>
    <s v="DWI YUNITA WIBOWO"/>
    <s v="JL. SUKAMANAH NO.48"/>
    <s v="KEC. ANDIR"/>
    <s v="KOTA BANDUNG"/>
    <s v="KREDIT"/>
    <s v="PT. TOYOTA ASTRA FINANCIAL SERVICES"/>
    <s v="001-26.64460720"/>
    <n v="630000000"/>
    <n v="489642857"/>
    <n v="81600000"/>
    <n v="55864285"/>
    <n v="0"/>
    <n v="0"/>
    <n v="24107143"/>
    <n v="603000000"/>
    <n v="0"/>
    <n v="-27000000"/>
    <s v="30/01/26"/>
    <s v="30/01/26"/>
    <s v="Invoice"/>
    <n v="1"/>
    <m/>
    <s v="17/01/26"/>
    <s v="KC-25-001012"/>
    <s v="16/01/26"/>
    <s v="16/01/26"/>
    <s v="17/01/26 12.09"/>
    <s v="AJ01055"/>
    <s v="19/01/26"/>
    <s v="18/02/26"/>
    <s v="2026004640"/>
    <s v="15/01/26"/>
    <s v="22/01/26 09.50"/>
    <n v="0"/>
  </r>
  <r>
    <n v="317"/>
    <n v="146"/>
    <s v="KC"/>
    <s v="146ARI2601-1293"/>
    <s v="31/01/26"/>
    <x v="3"/>
    <n v="2026"/>
    <x v="0"/>
    <x v="0"/>
    <s v="AVANZA E M/T"/>
    <x v="0"/>
    <x v="0"/>
    <x v="0"/>
    <x v="4"/>
    <x v="0"/>
    <x v="0"/>
    <x v="0"/>
    <x v="0"/>
    <x v="2"/>
    <x v="1"/>
    <s v="W100RE-LMDFJ-00"/>
    <s v="X12"/>
    <s v="BLACK MICA"/>
    <s v="MHKAA1BY9TJ011836"/>
    <s v="1NR-G317177"/>
    <s v="KCMG042414"/>
    <s v="RIZKI RISMAWAN"/>
    <s v="ALVIN"/>
    <s v="CST-000810249"/>
    <s v="EDAH"/>
    <s v="INDIVIDU"/>
    <s v="EDAH"/>
    <s v="JL SENJANO. 12 KOPO ELOK"/>
    <s v="KEC. BABAKAN CIPARAY"/>
    <s v="KOTA BANDUNG"/>
    <s v="KREDIT"/>
    <s v="PT. TOYOTA ASTRA FINANCIAL SERVICES"/>
    <m/>
    <n v="246700000"/>
    <n v="190189732"/>
    <n v="33687500"/>
    <n v="20679910"/>
    <n v="0"/>
    <n v="0"/>
    <n v="17857143"/>
    <n v="226700000"/>
    <n v="0"/>
    <n v="-20000000"/>
    <m/>
    <m/>
    <s v="Invoice"/>
    <n v="1"/>
    <m/>
    <s v="28/01/26"/>
    <s v="KC-25-001029"/>
    <s v="28/01/26"/>
    <s v="28/01/26"/>
    <s v="29/01/26 15.33"/>
    <s v="A702403"/>
    <m/>
    <s v="02/03/26"/>
    <s v="2026010291"/>
    <s v="29/01/26"/>
    <s v="01/02/26 16.41"/>
    <n v="0"/>
  </r>
  <r>
    <n v="340"/>
    <n v="146"/>
    <s v="KC"/>
    <s v="146ARI2603-0473"/>
    <s v="11/03/26"/>
    <x v="0"/>
    <n v="2026"/>
    <x v="13"/>
    <x v="11"/>
    <s v="RAIZE G A/T"/>
    <x v="0"/>
    <x v="0"/>
    <x v="0"/>
    <x v="4"/>
    <x v="0"/>
    <x v="0"/>
    <x v="0"/>
    <x v="7"/>
    <x v="10"/>
    <x v="2"/>
    <s v="A251RA-GBXFJ-10"/>
    <s v="W09"/>
    <s v="WHITE"/>
    <s v="MHKAB1BA2TJ159116"/>
    <s v="WA-A236570"/>
    <s v="KCMG012503"/>
    <s v="DERI NURSANDI"/>
    <s v="MUHAMMAD CAISARIVA"/>
    <s v="CST-000816843"/>
    <s v="ELANG ADING PRATAMA"/>
    <s v="INDIVIDU"/>
    <s v="DEA ARIANTI"/>
    <s v="JL. TURANGGA BARAT NO. 103"/>
    <s v="KEC. LENGKONG"/>
    <s v="KOTA BANDUNG"/>
    <s v="KREDIT"/>
    <s v="PT. TOYOTA ASTRA FINANCIAL SERVICES"/>
    <s v="002-26.36649387"/>
    <n v="261600000"/>
    <n v="201607143"/>
    <n v="35800000"/>
    <n v="22478571"/>
    <n v="0"/>
    <n v="0"/>
    <n v="14285714"/>
    <n v="245600000"/>
    <n v="0"/>
    <n v="-16000000"/>
    <s v="14/03/26"/>
    <s v="14/03/26"/>
    <s v="Invoice"/>
    <n v="1"/>
    <s v="0000000000000000"/>
    <s v="09/03/26"/>
    <s v="KC-26-000093"/>
    <s v="08/03/26"/>
    <s v="08/03/26"/>
    <s v="09/03/26 16.42"/>
    <s v="BZ00945"/>
    <s v="11/03/26"/>
    <s v="25/03/26"/>
    <s v="2026023514"/>
    <s v="02/03/26"/>
    <s v="13/03/26 13.24"/>
    <n v="0"/>
  </r>
  <r>
    <n v="430"/>
    <n v="146"/>
    <s v="KC"/>
    <s v="146ARI2604-0524"/>
    <s v="13/04/26"/>
    <x v="2"/>
    <n v="2026"/>
    <x v="4"/>
    <x v="3"/>
    <s v="INNOVA ZENIX V A/T HYBRID"/>
    <x v="2"/>
    <x v="0"/>
    <x v="0"/>
    <x v="4"/>
    <x v="0"/>
    <x v="0"/>
    <x v="0"/>
    <x v="1"/>
    <x v="30"/>
    <x v="2"/>
    <s v="MAGH10R-BRXMBD-10"/>
    <s v="218"/>
    <s v="ATTITUDE BLACK MICA"/>
    <s v="MHFABAAA7T0049281"/>
    <s v="M20A-NF28843"/>
    <s v="KCMG012604"/>
    <s v="SYAFRIL AGUNG SEFILA"/>
    <s v="MUHAMMAD CAISARIVA"/>
    <s v="CST-000820022"/>
    <s v="ELSA SUNDARI RUSTAM.S.SOS"/>
    <s v="INDIVIDU"/>
    <s v="ELSA SUNDARI RUSTAM.S.SOS"/>
    <s v="JL.PERMATA TAMANSARI II NO 98"/>
    <s v="KEC. ARCAMANIK"/>
    <s v="KOTA BANDUNG"/>
    <s v="KREDIT"/>
    <s v="PT. MANDIRI TUNAS FINANCE"/>
    <m/>
    <n v="551900000"/>
    <n v="428404018"/>
    <n v="72087500"/>
    <n v="49158482"/>
    <n v="0"/>
    <n v="0"/>
    <n v="18750000"/>
    <n v="530900000"/>
    <n v="174732800"/>
    <n v="-21000000"/>
    <m/>
    <m/>
    <s v="Invoice"/>
    <n v="1"/>
    <s v="0000000000000000"/>
    <s v="06/04/26"/>
    <s v="KC-26-000181"/>
    <s v="06/04/26"/>
    <s v="06/04/26"/>
    <s v="06/04/26 09.58"/>
    <s v="BJ00876"/>
    <m/>
    <s v="27/04/26"/>
    <s v="2026015140"/>
    <s v="10/02/26"/>
    <s v="14/04/26 08.58"/>
    <n v="0"/>
  </r>
  <r>
    <n v="434"/>
    <n v="146"/>
    <s v="KC"/>
    <s v="146ARI2604-1282"/>
    <s v="27/04/26"/>
    <x v="2"/>
    <n v="2026"/>
    <x v="0"/>
    <x v="0"/>
    <s v="AVANZA E M/T"/>
    <x v="1"/>
    <x v="0"/>
    <x v="0"/>
    <x v="0"/>
    <x v="0"/>
    <x v="3"/>
    <x v="0"/>
    <x v="5"/>
    <x v="13"/>
    <x v="1"/>
    <s v="W100RE-LMDFJ-00"/>
    <s v="X12"/>
    <s v="BLACK MICA"/>
    <s v="MHKAA1BY8TJ013111"/>
    <s v="1NR-G319168"/>
    <s v="KCMG072433"/>
    <s v="AHMAD MAULANA"/>
    <s v="ALVIN"/>
    <s v="CST-000822830"/>
    <s v="EMA MAESAROH"/>
    <s v="INDIVIDU"/>
    <s v="EMA MAESAROH"/>
    <s v="KP CANGKUANG"/>
    <s v="KEC. MAJALAYA"/>
    <s v="KAB. BANDUNG"/>
    <s v="KREDIT"/>
    <s v="PT. MANDIRI UTAMA FINANCE"/>
    <m/>
    <n v="246700000"/>
    <n v="189966518"/>
    <n v="33937500"/>
    <n v="21188839"/>
    <n v="0"/>
    <n v="0"/>
    <n v="13392857"/>
    <n v="231700000"/>
    <n v="5000000"/>
    <n v="-15000000"/>
    <m/>
    <m/>
    <s v="Invoice"/>
    <n v="1"/>
    <m/>
    <s v="24/04/26"/>
    <s v="KC-26-000220"/>
    <s v="17/04/26"/>
    <s v="17/04/26"/>
    <s v="24/04/26 14.16"/>
    <s v="B702334"/>
    <s v="27/04/26"/>
    <s v="11/05/26"/>
    <s v="2026023496"/>
    <s v="02/03/26"/>
    <s v="30/04/26 13.49"/>
    <n v="0"/>
  </r>
  <r>
    <n v="391"/>
    <n v="146"/>
    <s v="KC"/>
    <s v="146ARI2602-1342"/>
    <s v="28/02/26"/>
    <x v="1"/>
    <n v="2026"/>
    <x v="2"/>
    <x v="2"/>
    <s v="CALYA G M/T"/>
    <x v="2"/>
    <x v="0"/>
    <x v="0"/>
    <x v="4"/>
    <x v="0"/>
    <x v="0"/>
    <x v="0"/>
    <x v="1"/>
    <x v="1"/>
    <x v="0"/>
    <s v="B401RA-GMZFJ-20"/>
    <s v="X13"/>
    <s v="BLACK"/>
    <s v="MHKA6GJ6JTJ222771"/>
    <s v="3NR-H984303"/>
    <s v="KCMK24005"/>
    <s v="JAJANG NURJAMAN"/>
    <s v="FERYANTO"/>
    <s v="CST-000814722"/>
    <s v="ENDAH TRI REZEKI"/>
    <s v="INDIVIDU"/>
    <s v="ENDAH TRI REZEKI"/>
    <s v="JL. BABAKAN DESE"/>
    <s v="KEC. BATUNUNGGAL"/>
    <s v="KOTA BANDUNG"/>
    <s v="KREDIT"/>
    <s v="PT. MANDIRI TUNAS FINANCE"/>
    <m/>
    <n v="181900000"/>
    <n v="139564732"/>
    <n v="25587500"/>
    <n v="15569196"/>
    <n v="0"/>
    <n v="0"/>
    <n v="9821429"/>
    <n v="170900000"/>
    <n v="1000000"/>
    <n v="-11000000"/>
    <m/>
    <m/>
    <s v="Invoice"/>
    <n v="1"/>
    <m/>
    <s v="23/02/26"/>
    <s v="KC-26-000015"/>
    <s v="22/02/26"/>
    <s v="22/02/26"/>
    <s v="24/02/26 12.17"/>
    <s v="BO02007"/>
    <s v="28/02/26"/>
    <s v="14/03/26"/>
    <s v="2026020079"/>
    <s v="23/02/26"/>
    <s v="28/02/26 09.36"/>
    <n v="0"/>
  </r>
  <r>
    <n v="455"/>
    <n v="146"/>
    <s v="KC"/>
    <s v="146ARI2604-0642"/>
    <s v="15/04/26"/>
    <x v="2"/>
    <n v="2026"/>
    <x v="3"/>
    <x v="3"/>
    <s v="INNOVA G A/T DIESEL"/>
    <x v="0"/>
    <x v="0"/>
    <x v="0"/>
    <x v="4"/>
    <x v="0"/>
    <x v="0"/>
    <x v="0"/>
    <x v="7"/>
    <x v="0"/>
    <x v="0"/>
    <s v="GUN142R-MDTSXD-30"/>
    <s v="1G3"/>
    <s v="GRAY METALLIC"/>
    <s v="MHFJB8EM2T1190783"/>
    <s v="2GD-5965566"/>
    <s v="KCMG072432"/>
    <s v="DENO"/>
    <s v="FERYANTO"/>
    <s v="CST-000820284"/>
    <s v="ERIKSA RANO SAPUTRA"/>
    <s v="INDIVIDU"/>
    <s v="ERIKSA RANO SAPUTRA"/>
    <s v="JL. CIBATU IX NO. 18"/>
    <s v="KEC. ANTAPANI"/>
    <s v="KOTA BANDUNG"/>
    <s v="KREDIT"/>
    <s v="PT. TOYOTA ASTRA FINANCIAL SERVICES"/>
    <m/>
    <n v="442100000"/>
    <n v="342622768"/>
    <n v="58362500"/>
    <n v="38864732"/>
    <n v="0"/>
    <n v="0"/>
    <n v="18750000"/>
    <n v="421100000"/>
    <n v="0"/>
    <n v="-21000000"/>
    <s v="17/04/26"/>
    <s v="17/04/26"/>
    <s v="Invoice"/>
    <n v="1"/>
    <s v="0000000000000000"/>
    <s v="06/04/26"/>
    <s v="KC-26-000080"/>
    <s v="03/04/26"/>
    <s v="03/04/26"/>
    <s v="07/04/26 12.00"/>
    <s v="DC00817"/>
    <s v="15/04/26"/>
    <s v="29/04/26"/>
    <s v="2026038014"/>
    <s v="14/04/26"/>
    <s v="16/04/26 09.19"/>
    <n v="0"/>
  </r>
  <r>
    <n v="457"/>
    <n v="146"/>
    <s v="KC"/>
    <s v="146ARI2604-0786"/>
    <s v="17/04/26"/>
    <x v="2"/>
    <n v="2026"/>
    <x v="0"/>
    <x v="0"/>
    <s v="AVANZA G M/T"/>
    <x v="1"/>
    <x v="0"/>
    <x v="0"/>
    <x v="4"/>
    <x v="0"/>
    <x v="3"/>
    <x v="0"/>
    <x v="1"/>
    <x v="27"/>
    <x v="0"/>
    <s v="W101RE-LMMFJ-10"/>
    <s v="X12"/>
    <s v="BLACK MICA"/>
    <s v="MHKAB1BY6TJ017624"/>
    <s v="2NR-4F62587"/>
    <s v="KCMG052518"/>
    <s v="YANI ANDRIYANI"/>
    <s v="FERYANTO"/>
    <s v="CST-000821724"/>
    <s v="ERLINA"/>
    <s v="INDIVIDU"/>
    <s v="SANDI HADIAN"/>
    <s v="JL.PANGAMPAAN NO. 334/19B"/>
    <s v="KEC. REGOL"/>
    <s v="KOTA BANDUNG"/>
    <s v="KREDIT"/>
    <s v="CIMB NIAGA FINANCE"/>
    <m/>
    <n v="269700000"/>
    <n v="207935268"/>
    <n v="36812500"/>
    <n v="23345089"/>
    <n v="0"/>
    <n v="0"/>
    <n v="13392857"/>
    <n v="254700000"/>
    <n v="0"/>
    <n v="-15000000"/>
    <s v="21/04/26"/>
    <s v="21/04/26"/>
    <s v="Invoice"/>
    <n v="1"/>
    <m/>
    <s v="16/04/26"/>
    <s v="KC-26-000197"/>
    <s v="16/04/26"/>
    <s v="16/04/26"/>
    <s v="16/04/26 16.02"/>
    <s v="C700786"/>
    <s v="17/04/26"/>
    <s v="01/05/26"/>
    <s v="2026026943"/>
    <s v="09/03/26"/>
    <s v="18/04/26 08.00"/>
    <n v="0"/>
  </r>
  <r>
    <n v="359"/>
    <n v="146"/>
    <s v="KC"/>
    <s v="146ARI2603-0958"/>
    <s v="18/03/26"/>
    <x v="0"/>
    <n v="2026"/>
    <x v="7"/>
    <x v="5"/>
    <s v="HILUX DC V A/T DIESEL"/>
    <x v="3"/>
    <x v="0"/>
    <x v="1"/>
    <x v="0"/>
    <x v="0"/>
    <x v="0"/>
    <x v="0"/>
    <x v="0"/>
    <x v="30"/>
    <x v="2"/>
    <s v="GUN125R-DTTHXD-40"/>
    <s v="218"/>
    <s v="ATTITUDE BLACK MICA"/>
    <s v="MR0BB3CD6T6409139"/>
    <s v="2GD-J159398"/>
    <s v="KCMG012604"/>
    <s v="SYAFRIL AGUNG SEFILA"/>
    <s v="MUHAMMAD CAISARIVA"/>
    <s v="CST-000817864"/>
    <s v="ERMAN"/>
    <s v="INDIVIDU"/>
    <s v="ERMAN"/>
    <s v="MANGLAYANG REGENCY BLOK E6/10"/>
    <s v="KEC. CILEUNYI"/>
    <s v="KAB. BANDUNG"/>
    <s v="CASH"/>
    <s v="CASH"/>
    <m/>
    <n v="545800000"/>
    <n v="421540179"/>
    <n v="73675000"/>
    <n v="47799107"/>
    <n v="0"/>
    <n v="0"/>
    <n v="23214286"/>
    <n v="519800000"/>
    <n v="0"/>
    <n v="-26000000"/>
    <m/>
    <m/>
    <s v="Invoice"/>
    <n v="1"/>
    <s v="0000000000000000"/>
    <s v="16/03/26"/>
    <s v="KC-26-000091"/>
    <s v="16/03/26"/>
    <s v="16/03/26"/>
    <s v="16/03/26 10.55"/>
    <s v="CB01433"/>
    <s v="18/03/26"/>
    <s v="01/04/26"/>
    <s v="2026031141"/>
    <s v="17/03/26"/>
    <s v="28/03/26 08.44"/>
    <n v="0"/>
  </r>
  <r>
    <n v="400"/>
    <n v="146"/>
    <s v="KC"/>
    <s v="146ARI2602-1299"/>
    <s v="26/02/26"/>
    <x v="1"/>
    <n v="2026"/>
    <x v="2"/>
    <x v="2"/>
    <s v="CALYA G M/T"/>
    <x v="2"/>
    <x v="0"/>
    <x v="0"/>
    <x v="4"/>
    <x v="0"/>
    <x v="0"/>
    <x v="0"/>
    <x v="5"/>
    <x v="8"/>
    <x v="1"/>
    <s v="B401RA-GMZFJ-20"/>
    <s v="1G3"/>
    <s v="GRAY METALLIC"/>
    <s v="MHKA6GJ6JTJ221964"/>
    <s v="3NR-H982173"/>
    <s v="KCMK25002"/>
    <s v="RAHMAWATI"/>
    <s v="ALVIN"/>
    <s v="CST-000814101"/>
    <s v="ERNA KURNIAWATI"/>
    <s v="INDIVIDU"/>
    <s v="IRFAN GINANJAR"/>
    <s v="GG BUKIT JARIAN 2"/>
    <s v="KEC. CIDADAP"/>
    <s v="KOTA BANDUNG"/>
    <s v="KREDIT"/>
    <s v="PT. MANDIRI TUNAS FINANCE"/>
    <m/>
    <n v="181900000"/>
    <n v="139564732"/>
    <n v="25587500"/>
    <n v="15569196"/>
    <n v="0"/>
    <n v="0"/>
    <n v="9821429"/>
    <n v="170900000"/>
    <n v="1000000"/>
    <n v="-11000000"/>
    <m/>
    <m/>
    <s v="Invoice"/>
    <n v="1"/>
    <m/>
    <s v="18/02/26"/>
    <s v="KC-26-000026"/>
    <s v="17/02/26"/>
    <s v="17/02/26"/>
    <s v="19/02/26 14.59"/>
    <s v="BO01018"/>
    <m/>
    <s v="12/03/26"/>
    <s v="2026015565"/>
    <s v="11/02/26"/>
    <s v="27/02/26 14.48"/>
    <n v="0"/>
  </r>
  <r>
    <n v="462"/>
    <n v="146"/>
    <s v="KC"/>
    <s v="146ARI2604-0439"/>
    <s v="10/04/26"/>
    <x v="2"/>
    <n v="2026"/>
    <x v="9"/>
    <x v="7"/>
    <s v="AGYA G A/T"/>
    <x v="4"/>
    <x v="0"/>
    <x v="0"/>
    <x v="0"/>
    <x v="0"/>
    <x v="0"/>
    <x v="0"/>
    <x v="1"/>
    <x v="1"/>
    <x v="0"/>
    <s v="A351RA-GBEFJ-00"/>
    <s v="X13"/>
    <s v="BLACK"/>
    <s v="MHKAB1BC4TJ079429"/>
    <s v="WA-A233348"/>
    <s v="KCMK24005"/>
    <s v="JAJANG NURJAMAN"/>
    <s v="FERYANTO"/>
    <s v="CST-000820701"/>
    <s v="ERNI"/>
    <s v="INDIVIDU"/>
    <s v="ERNI"/>
    <s v="KP. BARU"/>
    <s v="KEC. PASEH"/>
    <s v="KAB. BANDUNG"/>
    <s v="KREDIT"/>
    <s v="PT. ASTRA SEDAYA FINANCE"/>
    <m/>
    <n v="200500000"/>
    <n v="153872768"/>
    <n v="28162500"/>
    <n v="17393303"/>
    <n v="0"/>
    <n v="0"/>
    <n v="8928571"/>
    <n v="190500000"/>
    <n v="0"/>
    <n v="-10000000"/>
    <s v="11/04/26"/>
    <s v="11/04/26"/>
    <s v="Invoice"/>
    <n v="1"/>
    <m/>
    <s v="09/04/26"/>
    <s v="KC-26-000172"/>
    <s v="03/04/26"/>
    <s v="03/04/26"/>
    <s v="09/04/26 15.16"/>
    <s v="BR00651"/>
    <s v="10/04/26"/>
    <s v="24/04/26"/>
    <s v="2026016859"/>
    <s v="13/02/26"/>
    <s v="12/04/26 13.39"/>
    <n v="0"/>
  </r>
  <r>
    <n v="366"/>
    <n v="146"/>
    <s v="KC"/>
    <s v="146ARI2601-0584"/>
    <s v="14/01/26"/>
    <x v="3"/>
    <n v="2026"/>
    <x v="3"/>
    <x v="3"/>
    <s v="INNOVA G A/T DIESEL"/>
    <x v="0"/>
    <x v="0"/>
    <x v="0"/>
    <x v="4"/>
    <x v="0"/>
    <x v="3"/>
    <x v="1"/>
    <x v="0"/>
    <x v="27"/>
    <x v="0"/>
    <s v="GUN142R-MDTSXD-30"/>
    <s v="040"/>
    <s v="SUPER WHITE II"/>
    <s v="MHFJB8EMXT1182480"/>
    <s v="2GD-5919596"/>
    <s v="KCMG052518"/>
    <s v="YANI ANDRIYANI"/>
    <s v="FERYANTO"/>
    <s v="CST-000808260"/>
    <s v="ESTI KURNIA"/>
    <s v="INDIVIDU"/>
    <s v="LEVY FAREL NUGRAHA"/>
    <s v="JL. SUMARMO NO 110/180"/>
    <s v="KEC. REGOL"/>
    <s v="KOTA BANDUNG"/>
    <s v="KREDIT"/>
    <s v="PT. TOYOTA ASTRA FINANCIAL SERVICES"/>
    <s v="001-26.64460591"/>
    <n v="442100000"/>
    <n v="342845982"/>
    <n v="58112500"/>
    <n v="38462946"/>
    <n v="0"/>
    <n v="0"/>
    <n v="22321429"/>
    <n v="417100000"/>
    <n v="0"/>
    <n v="-25000000"/>
    <s v="21/01/26"/>
    <s v="21/01/26"/>
    <s v="Invoice"/>
    <n v="1"/>
    <m/>
    <s v="14/01/26"/>
    <s v="KC-25-000995"/>
    <s v="14/01/26"/>
    <s v="14/01/26"/>
    <s v="14/01/26 16.59"/>
    <s v="AC00623"/>
    <s v="14/01/26"/>
    <s v="13/02/26"/>
    <s v="2026002919"/>
    <s v="13/01/26"/>
    <s v="20/01/26 16.47"/>
    <n v="0"/>
  </r>
  <r>
    <n v="405"/>
    <n v="146"/>
    <s v="KC"/>
    <s v="146ARI2602-0868"/>
    <s v="20/02/26"/>
    <x v="1"/>
    <n v="2026"/>
    <x v="0"/>
    <x v="0"/>
    <s v="AVANZA G M/T"/>
    <x v="2"/>
    <x v="0"/>
    <x v="0"/>
    <x v="0"/>
    <x v="0"/>
    <x v="0"/>
    <x v="0"/>
    <x v="0"/>
    <x v="24"/>
    <x v="0"/>
    <s v="W101RE-LMMFJ-00"/>
    <s v="X12"/>
    <s v="BLACK MICA"/>
    <s v="MHKAB1BY7TJ012836"/>
    <s v="2NR-4F29384"/>
    <s v="KCMG012605"/>
    <s v="JUARNA KARMAN PUTRA"/>
    <s v="FERYANTO"/>
    <s v="CST-000813820"/>
    <s v="EUIS EKA"/>
    <s v="INDIVIDU"/>
    <s v="EUIS EKA"/>
    <s v="KP RANCAKASO"/>
    <s v="KEC. SOLOKANJERUK"/>
    <s v="KAB. BANDUNG"/>
    <s v="KREDIT"/>
    <s v="PT. MANDIRI TUNAS FINANCE"/>
    <s v="001-26.64462162"/>
    <n v="269700000"/>
    <n v="208158482"/>
    <n v="36562500"/>
    <n v="23371875"/>
    <n v="0"/>
    <n v="0"/>
    <n v="13392857"/>
    <n v="254700000"/>
    <n v="0"/>
    <n v="-15000000"/>
    <s v="24/02/26"/>
    <s v="24/02/26"/>
    <s v="Invoice"/>
    <n v="1"/>
    <m/>
    <s v="16/02/26"/>
    <s v="KC-25-001119"/>
    <s v="14/02/26"/>
    <s v="14/02/26"/>
    <s v="18/02/26 10.56"/>
    <s v="A700363"/>
    <s v="20/02/26"/>
    <s v="06/03/26"/>
    <s v="2026001712"/>
    <s v="09/01/26"/>
    <s v="21/02/26 08.33"/>
    <n v="0"/>
  </r>
  <r>
    <n v="409"/>
    <n v="146"/>
    <s v="KC"/>
    <s v="146ARI2602-0873"/>
    <s v="21/02/26"/>
    <x v="1"/>
    <n v="2026"/>
    <x v="1"/>
    <x v="1"/>
    <s v="HIACE PREMIO"/>
    <x v="1"/>
    <x v="0"/>
    <x v="0"/>
    <x v="4"/>
    <x v="0"/>
    <x v="0"/>
    <x v="0"/>
    <x v="4"/>
    <x v="6"/>
    <x v="0"/>
    <s v="GDH321R-EDFDYD-10"/>
    <s v="058"/>
    <s v="WHITE"/>
    <s v="JTF2A9CPXS6012022"/>
    <s v="1GD-9681977"/>
    <s v="KCMG042509"/>
    <s v="ERICK JANUAR LISAPALY"/>
    <s v="FERYANTO"/>
    <s v="CST-000808583"/>
    <s v="FADZAR INDRIAWAN"/>
    <s v="INDIVIDU"/>
    <s v="SAUFA ADHA PARAMARTA"/>
    <s v="Jl BATU INDAH I NO 2"/>
    <s v="KEC. BANDUNG KIDUL"/>
    <s v="KOTA BANDUNG"/>
    <s v="KREDIT"/>
    <s v="PT. BPD JATENG"/>
    <m/>
    <n v="678400000"/>
    <n v="525848214"/>
    <n v="89450000"/>
    <n v="59351785"/>
    <n v="0"/>
    <n v="0"/>
    <n v="31250000"/>
    <n v="643400000"/>
    <n v="0"/>
    <n v="-35000000"/>
    <s v="21/02/26"/>
    <s v="21/02/26"/>
    <s v="Invoice"/>
    <n v="1"/>
    <s v="3310262712700001"/>
    <s v="17/01/26"/>
    <s v="KC-25-000999"/>
    <s v="17/01/26"/>
    <s v="17/01/26"/>
    <s v="17/01/26 13.54"/>
    <s v="AP00343"/>
    <s v="21/02/26"/>
    <s v="07/03/26"/>
    <s v="2026005363"/>
    <s v="19/01/26"/>
    <s v="21/02/26 13.37"/>
    <n v="0"/>
  </r>
  <r>
    <n v="410"/>
    <n v="146"/>
    <s v="KC"/>
    <s v="146ARI2602-0863"/>
    <s v="20/02/26"/>
    <x v="1"/>
    <n v="2026"/>
    <x v="1"/>
    <x v="1"/>
    <s v="HIACE PREMIO"/>
    <x v="1"/>
    <x v="0"/>
    <x v="0"/>
    <x v="4"/>
    <x v="0"/>
    <x v="0"/>
    <x v="0"/>
    <x v="4"/>
    <x v="6"/>
    <x v="0"/>
    <s v="GDH321R-EDFDYD-10"/>
    <s v="058"/>
    <s v="WHITE"/>
    <s v="JTF2A9CPXS6012022"/>
    <s v="1GD-9681977"/>
    <s v="KCMG042509"/>
    <s v="ERICK JANUAR LISAPALY"/>
    <s v="FERYANTO"/>
    <s v="CST-000808583"/>
    <s v="FADZAR INDRIAWAN"/>
    <s v="INDIVIDU"/>
    <s v="SAUFA ADHA PARAMARTA"/>
    <s v="Jl BATU INDAH I NO 2"/>
    <s v="KEC. BANDUNG KIDUL"/>
    <s v="KOTA BANDUNG"/>
    <s v="KREDIT"/>
    <s v="PT. BPD JATENG"/>
    <m/>
    <n v="678400000"/>
    <n v="-525848214"/>
    <n v="-89450000"/>
    <n v="-59458928"/>
    <n v="0"/>
    <n v="0"/>
    <n v="-30357143"/>
    <n v="-644400000"/>
    <n v="0"/>
    <n v="-34847637"/>
    <s v="21/02/26"/>
    <s v="21/02/26"/>
    <s v="Credit Memo"/>
    <n v="-1"/>
    <s v="3310262712700001"/>
    <s v="17/01/26"/>
    <s v="KC-25-000999"/>
    <s v="17/01/26"/>
    <s v="17/01/26"/>
    <s v="17/01/26 13.54"/>
    <s v="AP00343"/>
    <s v="21/02/26"/>
    <s v="06/03/26"/>
    <s v="2026005363"/>
    <s v="19/01/26"/>
    <s v="21/02/26 13.37"/>
    <n v="0"/>
  </r>
  <r>
    <n v="373"/>
    <n v="146"/>
    <s v="KC"/>
    <s v="146ARI2601-0825"/>
    <s v="22/01/26"/>
    <x v="3"/>
    <n v="2026"/>
    <x v="1"/>
    <x v="1"/>
    <s v="HIACE PREMIO"/>
    <x v="0"/>
    <x v="0"/>
    <x v="0"/>
    <x v="4"/>
    <x v="0"/>
    <x v="0"/>
    <x v="0"/>
    <x v="4"/>
    <x v="6"/>
    <x v="0"/>
    <s v="GDH321R-EDFDYD-10"/>
    <s v="058"/>
    <s v="WHITE"/>
    <s v="JTF2A9CPXS6012022"/>
    <s v="1GD-9681977"/>
    <s v="KCMG042509"/>
    <s v="ERICK JANUAR LISAPALY"/>
    <s v="FERYANTO"/>
    <s v="CST-000808583"/>
    <s v="FADZAR INDRIAWAN, S.SOS"/>
    <s v="INDIVIDU"/>
    <s v="SAUFA ADHA PARAMARTA"/>
    <s v="Jl BATU INDAH I NO 2"/>
    <s v="KEC. BANDUNG KIDUL"/>
    <s v="KOTA BANDUNG"/>
    <s v="KREDIT"/>
    <s v="PT. TOYOTA ASTRA FINANCIAL SERVICES"/>
    <m/>
    <n v="678400000"/>
    <n v="525848214"/>
    <n v="89450000"/>
    <n v="59458928"/>
    <n v="0"/>
    <n v="0"/>
    <n v="30357143"/>
    <n v="644400000"/>
    <n v="194000000"/>
    <n v="-34847637"/>
    <m/>
    <m/>
    <s v="Invoice"/>
    <n v="1"/>
    <s v="0000000000000000"/>
    <s v="17/01/26"/>
    <s v="KC-25-000999"/>
    <s v="17/01/26"/>
    <s v="17/01/26"/>
    <s v="17/01/26 13.54"/>
    <s v="AP00343"/>
    <m/>
    <s v="21/02/26"/>
    <s v="2026005363"/>
    <s v="19/01/26"/>
    <s v="31/01/26 13.37"/>
    <n v="0"/>
  </r>
  <r>
    <n v="369"/>
    <n v="146"/>
    <s v="KC"/>
    <s v="146ARI2603-0509"/>
    <s v="11/03/26"/>
    <x v="0"/>
    <n v="2026"/>
    <x v="4"/>
    <x v="3"/>
    <s v="INNOVA ZENIX V A/T HYBRID"/>
    <x v="3"/>
    <x v="0"/>
    <x v="1"/>
    <x v="4"/>
    <x v="0"/>
    <x v="3"/>
    <x v="0"/>
    <x v="4"/>
    <x v="19"/>
    <x v="0"/>
    <s v="MAGH10R-BRXMBD-11"/>
    <s v="089"/>
    <s v="PLATINUM WHITE PEARL"/>
    <s v="MHFABAAA6T0049157"/>
    <s v="M20A-NF27176"/>
    <s v="KCMG122541"/>
    <s v="GALIH HARISTIANTO"/>
    <s v="FERYANTO"/>
    <s v="CST-000817195"/>
    <s v="FAILLAH"/>
    <s v="INDIVIDU"/>
    <s v="FAILLAH. , S.Si."/>
    <s v="JL BUNGURSARI VII NO.10"/>
    <s v="KEC. CIBEUNYING KIDUL"/>
    <s v="KOTA BANDUNG"/>
    <s v="CASH"/>
    <s v="CASH"/>
    <s v="002-26.36649389"/>
    <n v="554800000"/>
    <n v="430669643"/>
    <n v="72450000"/>
    <n v="49537500"/>
    <n v="0"/>
    <n v="0"/>
    <n v="17857143"/>
    <n v="534800000"/>
    <n v="0"/>
    <n v="-20000000"/>
    <s v="16/03/26"/>
    <s v="16/03/26"/>
    <s v="Invoice"/>
    <n v="1"/>
    <m/>
    <s v="11/03/26"/>
    <s v="KC-26-000047"/>
    <s v="06/03/26"/>
    <s v="06/03/26"/>
    <s v="11/03/26 15.56"/>
    <s v="BJ00655"/>
    <s v="11/03/26"/>
    <s v="25/03/26"/>
    <s v="2026014801"/>
    <s v="10/02/26"/>
    <s v="16/03/26 14.59"/>
    <n v="0"/>
  </r>
  <r>
    <n v="420"/>
    <n v="146"/>
    <s v="KC"/>
    <s v="146ARI2602-0147"/>
    <s v="04/02/26"/>
    <x v="1"/>
    <n v="2026"/>
    <x v="12"/>
    <x v="10"/>
    <s v="RUSH S M/T"/>
    <x v="4"/>
    <x v="0"/>
    <x v="0"/>
    <x v="4"/>
    <x v="0"/>
    <x v="3"/>
    <x v="0"/>
    <x v="0"/>
    <x v="24"/>
    <x v="0"/>
    <s v="F800RE-GMGFJ-40"/>
    <s v="X12"/>
    <s v="BLACK MICA"/>
    <s v="MHKE8FA3JTK140136"/>
    <s v="2NR-4F42840"/>
    <s v="KCMG012605"/>
    <s v="JUARNA KARMAN PUTRA"/>
    <s v="FERYANTO"/>
    <s v="CST-000810984"/>
    <s v="FARID HERMAWAN"/>
    <s v="INDIVIDU"/>
    <s v="FARID HERMAWAN"/>
    <s v="JL RANDUSARI RAYA NO 27"/>
    <s v="KEC. ANTAPANI"/>
    <s v="KOTA BANDUNG"/>
    <s v="KREDIT"/>
    <s v="PT. ASTRA SEDAYA FINANCE"/>
    <s v="001-26.64462112"/>
    <n v="311400000"/>
    <n v="240736607"/>
    <n v="41775000"/>
    <n v="26745535"/>
    <n v="0"/>
    <n v="0"/>
    <n v="17857143"/>
    <n v="291400000"/>
    <n v="0"/>
    <n v="-20000000"/>
    <s v="12/02/26"/>
    <s v="12/02/26"/>
    <s v="Invoice"/>
    <n v="1"/>
    <m/>
    <s v="30/01/26"/>
    <s v="KC-25-001094"/>
    <s v="31/01/26"/>
    <s v="31/01/26"/>
    <s v="31/01/26 13.50"/>
    <s v="BG00150"/>
    <s v="04/02/26"/>
    <s v="06/03/26"/>
    <s v="2026011458"/>
    <s v="02/02/26"/>
    <s v="06/02/26 15.29"/>
    <n v="0"/>
  </r>
  <r>
    <n v="424"/>
    <n v="146"/>
    <s v="KC"/>
    <s v="146ARI2602-1232"/>
    <s v="25/02/26"/>
    <x v="1"/>
    <n v="2026"/>
    <x v="0"/>
    <x v="0"/>
    <s v="AVANZA G A/T"/>
    <x v="1"/>
    <x v="0"/>
    <x v="0"/>
    <x v="4"/>
    <x v="0"/>
    <x v="0"/>
    <x v="1"/>
    <x v="0"/>
    <x v="3"/>
    <x v="0"/>
    <s v="W101RE-LBMFJ-00"/>
    <s v="X12"/>
    <s v="BLACK MICA"/>
    <s v="MHKAB1BY3TJ015023"/>
    <s v="2NR-4F42728"/>
    <s v="KCMG052513"/>
    <s v="DENI ALFIAN"/>
    <s v="FERYANTO"/>
    <s v="CST-000814113"/>
    <s v="FAUDRIE MOHAMADIVA, SE"/>
    <s v="INDIVIDU"/>
    <s v="FAUDRIE MOHAMADIVA SE"/>
    <s v="JL LEUWIANYAR VI NO E 9"/>
    <s v="KEC. BOJONGLOA KIDUL"/>
    <s v="KOTA BANDUNG"/>
    <s v="KREDIT"/>
    <s v="PT. MANDIRI UTAMA FINANCE"/>
    <m/>
    <n v="284500000"/>
    <n v="219720982"/>
    <n v="38412500"/>
    <n v="24759375"/>
    <n v="0"/>
    <n v="0"/>
    <n v="13392857"/>
    <n v="269500000"/>
    <n v="5000000"/>
    <n v="-15000000"/>
    <m/>
    <m/>
    <s v="Invoice"/>
    <n v="1"/>
    <s v="3217061909940009"/>
    <s v="19/02/26"/>
    <s v="KC-26-000020"/>
    <s v="19/02/26"/>
    <s v="19/02/26"/>
    <s v="19/02/26 15.33"/>
    <s v="B700467"/>
    <s v="25/02/26"/>
    <s v="11/03/26"/>
    <s v="2026013816"/>
    <s v="06/02/26"/>
    <s v="28/02/26 15.03"/>
    <n v="0"/>
  </r>
  <r>
    <n v="501"/>
    <n v="146"/>
    <s v="KC"/>
    <s v="146ARI2604-0331"/>
    <s v="06/04/26"/>
    <x v="2"/>
    <n v="2026"/>
    <x v="4"/>
    <x v="3"/>
    <s v="INNOVA ZENIX Q A/T HYBRID"/>
    <x v="0"/>
    <x v="0"/>
    <x v="0"/>
    <x v="4"/>
    <x v="0"/>
    <x v="0"/>
    <x v="1"/>
    <x v="1"/>
    <x v="25"/>
    <x v="2"/>
    <s v="MAGH10R-BPXHBD-10"/>
    <s v="218"/>
    <s v="ATTITUDE BLACK MICA"/>
    <s v="MHFABBAA6T0468986"/>
    <s v="M20A-NF50824"/>
    <s v="KCMG112539"/>
    <s v="RIDWAN EFENDI"/>
    <s v="MUHAMMAD CAISARIVA"/>
    <s v="CST-000820066"/>
    <s v="FEBI AGUSTIAN"/>
    <s v="INDIVIDU"/>
    <s v="NURUL FAUZIAH RAHAYU"/>
    <s v="THE JARRDIN CIHAMPELAS NO. 1501"/>
    <s v="KEC. COBLONG"/>
    <s v="KOTA BANDUNG"/>
    <s v="KREDIT"/>
    <s v="PT. TOYOTA ASTRA FINANCIAL SERVICES"/>
    <m/>
    <n v="627100000"/>
    <n v="487154018"/>
    <n v="81487500"/>
    <n v="56208482"/>
    <n v="0"/>
    <n v="0"/>
    <n v="18750000"/>
    <n v="606100000"/>
    <n v="0"/>
    <n v="-21000000"/>
    <s v="10/04/26"/>
    <s v="10/04/26"/>
    <s v="Invoice"/>
    <n v="1"/>
    <m/>
    <s v="06/04/26"/>
    <s v="KC-26-000183"/>
    <s v="04/04/26"/>
    <s v="04/04/26"/>
    <s v="06/04/26 11.58"/>
    <s v="CJ02213"/>
    <s v="06/04/26"/>
    <s v="20/04/26"/>
    <s v="2026033243"/>
    <s v="02/04/26"/>
    <s v="10/04/26 11.00"/>
    <n v="0"/>
  </r>
  <r>
    <n v="520"/>
    <n v="146"/>
    <s v="KC"/>
    <s v="146ARI2604-0526"/>
    <s v="13/04/26"/>
    <x v="2"/>
    <n v="2026"/>
    <x v="0"/>
    <x v="0"/>
    <s v="AVANZA G M/T"/>
    <x v="0"/>
    <x v="0"/>
    <x v="0"/>
    <x v="0"/>
    <x v="0"/>
    <x v="3"/>
    <x v="0"/>
    <x v="5"/>
    <x v="11"/>
    <x v="1"/>
    <s v="W101RE-LMMFJ-00"/>
    <s v="X12"/>
    <s v="BLACK MICA"/>
    <s v="MHKAB1BY1TJ014968"/>
    <s v="2NR-4F43983"/>
    <s v="KCMG052428"/>
    <s v="MUHAMMAD FADIL FAHMI RUSTANDI"/>
    <s v="ALVIN"/>
    <s v="CST-000820869"/>
    <s v="FITRI MULYANI"/>
    <s v="INDIVIDU"/>
    <s v="FITRI MULYANI"/>
    <s v="KP. KIARAEUNYEUH"/>
    <s v="KEC. KATAPANG"/>
    <s v="KAB. BANDUNG"/>
    <s v="KREDIT"/>
    <s v="PT. TOYOTA ASTRA FINANCIAL SERVICES"/>
    <m/>
    <n v="269700000"/>
    <n v="207935268"/>
    <n v="36812500"/>
    <n v="23345089"/>
    <n v="0"/>
    <n v="0"/>
    <n v="13392857"/>
    <n v="254700000"/>
    <n v="0"/>
    <n v="-15000000"/>
    <s v="17/04/26"/>
    <s v="17/04/26"/>
    <s v="Invoice"/>
    <n v="1"/>
    <m/>
    <s v="10/04/26"/>
    <s v="KC-26-000209"/>
    <s v="08/04/26"/>
    <s v="08/04/26"/>
    <s v="10/04/26 16.06"/>
    <s v="B700426"/>
    <s v="13/04/26"/>
    <s v="27/04/26"/>
    <s v="2026013778"/>
    <s v="06/02/26"/>
    <s v="18/04/26 09.32"/>
    <n v="0"/>
  </r>
  <r>
    <n v="446"/>
    <n v="146"/>
    <s v="KC"/>
    <s v="146ARI2602-0745"/>
    <s v="18/02/26"/>
    <x v="1"/>
    <n v="2026"/>
    <x v="13"/>
    <x v="11"/>
    <s v="RAIZE G A/T"/>
    <x v="0"/>
    <x v="0"/>
    <x v="0"/>
    <x v="4"/>
    <x v="0"/>
    <x v="0"/>
    <x v="0"/>
    <x v="1"/>
    <x v="7"/>
    <x v="2"/>
    <s v="A251RA-GBXFJ-10"/>
    <s v="X13"/>
    <s v="BLACK"/>
    <s v="MHKAB1BA2TJ155647"/>
    <s v="WA-A229691"/>
    <s v="KCMG052525"/>
    <s v="AGUS SUPARMAN"/>
    <s v="MUHAMMAD CAISARIVA"/>
    <s v="CST-000813817"/>
    <s v="FITRI NURFHANIA PUTRI"/>
    <s v="INDIVIDU"/>
    <s v="FITRI NURFHANIA PUTRI"/>
    <s v="JL YUPITER TIMUR 1"/>
    <s v="KEC. BUAH BATU"/>
    <s v="KOTA BANDUNG"/>
    <s v="KREDIT"/>
    <s v="PT. TOYOTA ASTRA FINANCIAL SERVICES"/>
    <s v="001-26.64462158"/>
    <n v="261600000"/>
    <n v="201830357"/>
    <n v="35550000"/>
    <n v="22505357"/>
    <n v="0"/>
    <n v="0"/>
    <n v="14285714"/>
    <n v="245600000"/>
    <n v="0"/>
    <n v="-16000000"/>
    <s v="21/02/26"/>
    <s v="21/02/26"/>
    <s v="Invoice"/>
    <n v="1"/>
    <s v="0000000000000000"/>
    <s v="18/02/26"/>
    <s v="KC-26-000033"/>
    <s v="16/02/26"/>
    <s v="16/02/26"/>
    <s v="18/02/26 10.36"/>
    <s v="AZ00773"/>
    <s v="18/02/26"/>
    <s v="20/03/26"/>
    <s v="2026009730"/>
    <s v="28/01/26"/>
    <s v="19/02/26 09.49"/>
    <n v="0"/>
  </r>
  <r>
    <n v="522"/>
    <n v="146"/>
    <s v="KC"/>
    <s v="146ARI2604-1071"/>
    <s v="23/04/26"/>
    <x v="2"/>
    <n v="2026"/>
    <x v="9"/>
    <x v="7"/>
    <s v="AGYA G A/T"/>
    <x v="4"/>
    <x v="0"/>
    <x v="0"/>
    <x v="2"/>
    <x v="0"/>
    <x v="3"/>
    <x v="0"/>
    <x v="0"/>
    <x v="20"/>
    <x v="1"/>
    <s v="A351RA-GBEFJ-00"/>
    <s v="W09"/>
    <s v="WHITE"/>
    <s v="MHKAB1BC2TJ083902"/>
    <s v="WA-A245469"/>
    <s v="KCMG042424"/>
    <s v="INDAH PITALOKA"/>
    <s v="ALVIN"/>
    <s v="CST-000822430"/>
    <s v="FITRIAN RUDIANTO"/>
    <s v="INDIVIDU"/>
    <s v="FITRIAN RUDIANTO"/>
    <s v="KP WARUNG JAMBE"/>
    <s v="KEC. CIPATAT"/>
    <s v="KAB. BANDUNG BARAT"/>
    <s v="KREDIT"/>
    <s v="PT. ASTRA SEDAYA FINANCE"/>
    <m/>
    <n v="200500000"/>
    <n v="153872768"/>
    <n v="28162500"/>
    <n v="17393303"/>
    <n v="0"/>
    <n v="0"/>
    <n v="8928571"/>
    <n v="190500000"/>
    <n v="2000000"/>
    <n v="-10000000"/>
    <s v="27/04/26"/>
    <s v="27/04/26"/>
    <s v="Invoice"/>
    <n v="1"/>
    <m/>
    <s v="21/04/26"/>
    <s v="KC-26-000221"/>
    <s v="17/04/26"/>
    <s v="17/04/26"/>
    <s v="22/04/26 09.23"/>
    <s v="DR01005"/>
    <s v="23/04/26"/>
    <s v="07/05/26"/>
    <s v="2026042248"/>
    <s v="22/04/26"/>
    <s v="25/04/26 19.48"/>
    <n v="0"/>
  </r>
  <r>
    <n v="538"/>
    <n v="146"/>
    <s v="KC"/>
    <s v="146ARI2604-1127"/>
    <s v="23/04/26"/>
    <x v="2"/>
    <n v="2026"/>
    <x v="6"/>
    <x v="3"/>
    <s v="INNOVA ZENIX V A/T"/>
    <x v="3"/>
    <x v="0"/>
    <x v="1"/>
    <x v="4"/>
    <x v="0"/>
    <x v="4"/>
    <x v="2"/>
    <x v="7"/>
    <x v="13"/>
    <x v="1"/>
    <s v="MAGA10R-BRXMBD-10"/>
    <s v="1G3"/>
    <s v="GRAY METALLIC"/>
    <s v="MHFAAAAA6T0050246"/>
    <s v="M20A-NF62619"/>
    <s v="KCMG072433"/>
    <s v="AHMAD MAULANA"/>
    <s v="ALVIN"/>
    <s v="CST-000773131"/>
    <s v="GRACE KRISNA RAHAKBAU"/>
    <s v="INDIVIDU"/>
    <s v="USEP SUDIRMAN, SH."/>
    <s v="GRIYA CEMPAKA ARUM A-11 NO 44"/>
    <s v="KEC. GEDEBAGE"/>
    <s v="KOTA BANDUNG"/>
    <s v="CASH"/>
    <s v="CASH"/>
    <m/>
    <n v="485300000"/>
    <n v="376372768"/>
    <n v="63762500"/>
    <n v="42914732"/>
    <n v="0"/>
    <n v="0"/>
    <n v="18750000"/>
    <n v="464300000"/>
    <n v="5000000"/>
    <n v="-21000000"/>
    <m/>
    <m/>
    <s v="Invoice"/>
    <n v="1"/>
    <m/>
    <s v="15/04/26"/>
    <s v="KC-26-000193"/>
    <s v="12/04/26"/>
    <s v="12/04/26"/>
    <s v="15/04/26 14.31"/>
    <s v="DJ01272"/>
    <s v="23/04/26"/>
    <s v="02/05/26"/>
    <s v="2026041341"/>
    <s v="21/04/26"/>
    <s v="28/04/26 09.15"/>
    <n v="0"/>
  </r>
  <r>
    <n v="418"/>
    <n v="146"/>
    <s v="KC"/>
    <s v="146ARI2601-1276"/>
    <s v="30/01/26"/>
    <x v="3"/>
    <n v="2026"/>
    <x v="4"/>
    <x v="3"/>
    <s v="INNOVA ZENIX Q A/T HYBRID"/>
    <x v="0"/>
    <x v="0"/>
    <x v="0"/>
    <x v="0"/>
    <x v="0"/>
    <x v="0"/>
    <x v="0"/>
    <x v="0"/>
    <x v="13"/>
    <x v="1"/>
    <s v="MAGH10R-BPXHBD-00"/>
    <s v="1G3"/>
    <s v="GRAY METALLIC"/>
    <s v="MHFABBAA0S0446318"/>
    <s v="M20A-ND74191"/>
    <s v="KCMG072433"/>
    <s v="AHMAD MAULANA"/>
    <s v="ALVIN"/>
    <s v="CST-000810401"/>
    <s v="GUSTIAN AIDIL FITRI"/>
    <s v="INDIVIDU"/>
    <s v="GITA FARIDILLA"/>
    <s v="PALEDANG INDAH C.9"/>
    <s v="KEC. PAMEUNGPEUK"/>
    <s v="KAB. BANDUNG"/>
    <s v="KREDIT"/>
    <s v="PT. TOYOTA ASTRA FINANCIAL SERVICES"/>
    <s v="001-26.64460846"/>
    <n v="627100000"/>
    <n v="487377232"/>
    <n v="81237500"/>
    <n v="52860267"/>
    <n v="0"/>
    <n v="0"/>
    <n v="46875000"/>
    <n v="574600000"/>
    <n v="110320000"/>
    <n v="-52500000"/>
    <m/>
    <m/>
    <s v="Invoice"/>
    <n v="1"/>
    <m/>
    <s v="29/01/26"/>
    <s v="KC-25-001027"/>
    <s v="29/01/26"/>
    <s v="29/01/26"/>
    <s v="29/01/26 18.35"/>
    <s v="DJ02505"/>
    <m/>
    <s v="01/03/26"/>
    <s v="2025038483"/>
    <s v="29/04/25"/>
    <s v="04/02/26 18.23"/>
    <n v="0"/>
  </r>
  <r>
    <n v="419"/>
    <n v="146"/>
    <s v="KC"/>
    <s v="146ARI2603-0573"/>
    <s v="12/03/26"/>
    <x v="0"/>
    <n v="2026"/>
    <x v="2"/>
    <x v="2"/>
    <s v="CALYA G M/T"/>
    <x v="0"/>
    <x v="0"/>
    <x v="0"/>
    <x v="4"/>
    <x v="0"/>
    <x v="0"/>
    <x v="1"/>
    <x v="1"/>
    <x v="12"/>
    <x v="2"/>
    <s v="B401RA-GMZFJ-20"/>
    <s v="S28"/>
    <s v="Silver Metallic"/>
    <s v="MHKA6GJ6JTJ223051"/>
    <s v="3NR-H985148"/>
    <s v="KCMK25001"/>
    <s v="RIDWAN DWI AZHARI"/>
    <s v="MUHAMMAD CAISARIVA"/>
    <s v="CST-000816678"/>
    <s v="H. CHANDRA RESTURAMANDITA SUBRATA"/>
    <s v="INDIVIDU"/>
    <s v="H. CHANDRA RESTURAMANDITA SUBRATA"/>
    <s v="JL. AH NASUTION NO. 7"/>
    <s v="KEC. UJUNGBERUNG"/>
    <s v="KOTA BANDUNG"/>
    <s v="KREDIT"/>
    <s v="PT. TOYOTA ASTRA FINANCIAL SERVICES"/>
    <m/>
    <n v="181900000"/>
    <n v="139341518"/>
    <n v="25837500"/>
    <n v="15542410"/>
    <n v="0"/>
    <n v="0"/>
    <n v="9821429"/>
    <n v="170900000"/>
    <n v="0"/>
    <n v="-11000000"/>
    <s v="16/03/26"/>
    <s v="16/03/26"/>
    <s v="Invoice"/>
    <n v="1"/>
    <s v="0000000000000000"/>
    <s v="07/03/26"/>
    <s v="KC-26-000061"/>
    <s v="06/03/26"/>
    <s v="06/03/26"/>
    <s v="09/03/26 10.39"/>
    <s v="BO02461"/>
    <s v="12/03/26"/>
    <s v="26/03/26"/>
    <s v="2026023009"/>
    <s v="28/02/26"/>
    <s v="13/03/26 09.39"/>
    <n v="0"/>
  </r>
  <r>
    <n v="551"/>
    <n v="146"/>
    <s v="KC"/>
    <s v="146ARI2604-0755"/>
    <s v="17/04/26"/>
    <x v="2"/>
    <n v="2026"/>
    <x v="1"/>
    <x v="1"/>
    <s v="HIACE COMM"/>
    <x v="0"/>
    <x v="0"/>
    <x v="0"/>
    <x v="0"/>
    <x v="0"/>
    <x v="0"/>
    <x v="0"/>
    <x v="0"/>
    <x v="10"/>
    <x v="2"/>
    <s v="KDH223R-LEMDY-00"/>
    <s v="058"/>
    <s v="WHITE"/>
    <s v="JTFST22P8T0054678"/>
    <s v="1KD-B229716"/>
    <s v="KCMG012503"/>
    <s v="DERI NURSANDI"/>
    <s v="MUHAMMAD CAISARIVA"/>
    <s v="CST-000821065"/>
    <s v="H. YULIMAN RUCHIMAT"/>
    <s v="INDIVIDU"/>
    <s v="H. YULIMAN RUCHIMAT"/>
    <s v="KP WARUNG LOBAK"/>
    <s v="KEC. KATAPANG"/>
    <s v="KAB. BANDUNG"/>
    <s v="KREDIT"/>
    <s v="PT. TOYOTA ASTRA FINANCIAL SERVICES"/>
    <m/>
    <n v="578100000"/>
    <n v="450799550"/>
    <n v="77712500"/>
    <n v="47110472"/>
    <n v="0"/>
    <n v="0"/>
    <n v="22522523"/>
    <n v="553100000"/>
    <n v="5000000"/>
    <n v="-25000000"/>
    <s v="21/04/26"/>
    <s v="21/04/26"/>
    <s v="Invoice"/>
    <n v="1"/>
    <s v="0000000000000000"/>
    <s v="13/04/26"/>
    <s v="KC-26-000184"/>
    <s v="11/04/26"/>
    <s v="11/04/26"/>
    <s v="13/04/26 09.26"/>
    <s v="BP00160"/>
    <s v="17/04/26"/>
    <s v="01/05/26"/>
    <s v="2026018766"/>
    <s v="19/02/26"/>
    <s v="18/04/26 09.05"/>
    <n v="0"/>
  </r>
  <r>
    <n v="495"/>
    <n v="146"/>
    <s v="KC"/>
    <s v="146ARI2602-0972"/>
    <s v="21/02/26"/>
    <x v="1"/>
    <n v="2026"/>
    <x v="4"/>
    <x v="3"/>
    <s v="INNOVA ZENIX V A/T HYBRID"/>
    <x v="3"/>
    <x v="0"/>
    <x v="1"/>
    <x v="10"/>
    <x v="1"/>
    <x v="3"/>
    <x v="0"/>
    <x v="3"/>
    <x v="18"/>
    <x v="1"/>
    <s v="MAGH10R-BRXMBD-11"/>
    <s v="089"/>
    <s v="PLATINUM WHITE PEARL"/>
    <s v="MHFABAAA6T0048168"/>
    <s v="M20A-NF15288"/>
    <s v="KCMG052429"/>
    <s v="TOPIK HIDAYAT"/>
    <s v="ALVIN"/>
    <s v="CST-000814237"/>
    <s v="HAPSARI RETNO DEWANTI"/>
    <s v="INDIVIDU"/>
    <s v="HAPSARI RETNO DEWANTI"/>
    <s v="PURI BOTANICAL BLOK G/6 NO 17"/>
    <s v="KEC. KEMBANGAN"/>
    <s v="KOTA JAKARTA BARAT"/>
    <s v="CASH"/>
    <s v="CASH"/>
    <m/>
    <n v="551300000"/>
    <n v="428484375"/>
    <n v="71397500"/>
    <n v="49275267"/>
    <n v="0"/>
    <n v="0"/>
    <n v="17857143"/>
    <n v="531300000"/>
    <n v="0"/>
    <n v="-20000000"/>
    <s v="24/02/26"/>
    <s v="24/02/26"/>
    <s v="Invoice"/>
    <n v="1"/>
    <m/>
    <s v="20/02/26"/>
    <s v="KC-26-000025"/>
    <s v="19/02/26"/>
    <s v="19/02/26"/>
    <s v="20/02/26 14.09"/>
    <s v="AJ01505"/>
    <s v="21/02/26"/>
    <s v="02/03/26"/>
    <s v="2026007404"/>
    <s v="22/01/26"/>
    <s v="27/02/26 11.10"/>
    <n v="0"/>
  </r>
  <r>
    <n v="436"/>
    <n v="146"/>
    <s v="KC"/>
    <s v="146ARI2603-1314"/>
    <s v="31/03/26"/>
    <x v="0"/>
    <n v="2026"/>
    <x v="0"/>
    <x v="0"/>
    <s v="AVANZA G A/T"/>
    <x v="6"/>
    <x v="0"/>
    <x v="0"/>
    <x v="4"/>
    <x v="0"/>
    <x v="0"/>
    <x v="0"/>
    <x v="0"/>
    <x v="8"/>
    <x v="1"/>
    <s v="W101RE-LBMFJ-10"/>
    <s v="X12"/>
    <s v="BLACK MICA"/>
    <s v="MHKAB1BY6TJ018322"/>
    <s v="2NR-4F68635"/>
    <s v="KCMK25002"/>
    <s v="RAHMAWATI"/>
    <s v="ALVIN"/>
    <s v="CST-000817301"/>
    <s v="HARTON"/>
    <s v="INDIVIDU"/>
    <s v="GUGUM GUMILAR"/>
    <s v="CURUG CANDUNG"/>
    <s v="KEC. BANDUNG KIDUL"/>
    <s v="KOTA BANDUNG"/>
    <s v="KREDIT"/>
    <s v="UNIT KKB PT. BANK CENTRAL ASIA"/>
    <m/>
    <n v="284500000"/>
    <n v="219497768"/>
    <n v="38662500"/>
    <n v="24625446"/>
    <n v="0"/>
    <n v="0"/>
    <n v="14285714"/>
    <n v="268500000"/>
    <n v="4000000"/>
    <n v="-16000000"/>
    <m/>
    <m/>
    <s v="Invoice"/>
    <n v="1"/>
    <m/>
    <s v="12/03/26"/>
    <s v="KC-26-000117"/>
    <s v="10/03/26"/>
    <s v="10/03/26"/>
    <s v="16/03/26 13.54"/>
    <s v="C701795"/>
    <s v="31/03/26"/>
    <s v="14/04/26"/>
    <s v="2026031888"/>
    <s v="30/03/26"/>
    <s v="04/04/26 08.00"/>
    <n v="0"/>
  </r>
  <r>
    <n v="578"/>
    <n v="146"/>
    <s v="KC"/>
    <s v="146ARI2604-1432"/>
    <s v="30/04/26"/>
    <x v="2"/>
    <n v="2026"/>
    <x v="0"/>
    <x v="0"/>
    <s v="AVANZA E M/T"/>
    <x v="0"/>
    <x v="0"/>
    <x v="0"/>
    <x v="0"/>
    <x v="0"/>
    <x v="0"/>
    <x v="0"/>
    <x v="1"/>
    <x v="25"/>
    <x v="2"/>
    <s v="W100RE-LMDFJ-10"/>
    <s v="X12"/>
    <s v="BLACK MICA"/>
    <s v="MHKAA1BY8TJ014243"/>
    <s v="1NR-G323598"/>
    <s v="KCMG112539"/>
    <s v="RIDWAN EFENDI"/>
    <s v="MUHAMMAD CAISARIVA"/>
    <s v="CST-000823744"/>
    <s v="HASAN SADIKIN, A.MD"/>
    <s v="INDIVIDU"/>
    <s v="EMA PURNAMA"/>
    <s v="BOJONGSOANG 33 A"/>
    <s v="KEC. BOJONGSOANG"/>
    <s v="KAB. BANDUNG"/>
    <s v="KREDIT"/>
    <s v="PT. TOYOTA ASTRA FINANCIAL SERVICES"/>
    <m/>
    <n v="246700000"/>
    <n v="189966518"/>
    <n v="33937500"/>
    <n v="21188839"/>
    <n v="0"/>
    <n v="0"/>
    <n v="13392857"/>
    <n v="231700000"/>
    <n v="7055000"/>
    <n v="-15000000"/>
    <m/>
    <m/>
    <s v="Invoice"/>
    <n v="1"/>
    <m/>
    <s v="30/04/26"/>
    <s v="KC-26-000230"/>
    <s v="30/04/26"/>
    <s v="30/04/26"/>
    <s v="30/04/26 20.25"/>
    <s v="D701083"/>
    <m/>
    <s v="14/05/26"/>
    <s v="2026035913"/>
    <s v="09/04/26"/>
    <s v="08/05/26 15.00"/>
    <n v="0"/>
  </r>
  <r>
    <n v="501"/>
    <n v="146"/>
    <s v="KC"/>
    <s v="146ARI2602-0308"/>
    <s v="09/02/26"/>
    <x v="1"/>
    <n v="2026"/>
    <x v="2"/>
    <x v="2"/>
    <s v="CALYA G M/T"/>
    <x v="3"/>
    <x v="0"/>
    <x v="1"/>
    <x v="4"/>
    <x v="0"/>
    <x v="6"/>
    <x v="0"/>
    <x v="0"/>
    <x v="20"/>
    <x v="1"/>
    <s v="B401RA-GMZFJ-20"/>
    <s v="X13"/>
    <s v="BLACK"/>
    <s v="MHKA6GJ6JTJ221563"/>
    <s v="3NR-H981066"/>
    <s v="KCMG042424"/>
    <s v="INDAH PITALOKA"/>
    <s v="ALVIN"/>
    <s v="CST-000812291"/>
    <s v="HASIM"/>
    <s v="INDIVIDU"/>
    <s v="DONI ROMDONI"/>
    <s v="JL SUKAATI V"/>
    <s v="KEC. REGOL"/>
    <s v="KOTA BANDUNG"/>
    <s v="CASH"/>
    <s v="CASH"/>
    <s v="001-26.64462119"/>
    <n v="181900000"/>
    <n v="139564732"/>
    <n v="25587500"/>
    <n v="15569196"/>
    <n v="0"/>
    <n v="0"/>
    <n v="9821429"/>
    <n v="170900000"/>
    <n v="0"/>
    <n v="-11000000"/>
    <s v="13/02/26"/>
    <s v="13/02/26"/>
    <s v="Invoice"/>
    <n v="1"/>
    <m/>
    <s v="09/02/26"/>
    <s v="KC-25-001133"/>
    <s v="08/02/26"/>
    <s v="08/02/26"/>
    <s v="09/02/26 14.38"/>
    <s v="BO00403"/>
    <s v="09/02/26"/>
    <s v="18/02/26"/>
    <s v="2026013317"/>
    <s v="05/02/26"/>
    <s v="13/02/26 09.47"/>
    <n v="0"/>
  </r>
  <r>
    <n v="447"/>
    <n v="146"/>
    <s v="KC"/>
    <s v="146ARI2601-1185"/>
    <s v="29/01/26"/>
    <x v="3"/>
    <n v="2026"/>
    <x v="2"/>
    <x v="2"/>
    <s v="CALYA G M/T"/>
    <x v="4"/>
    <x v="0"/>
    <x v="0"/>
    <x v="4"/>
    <x v="0"/>
    <x v="0"/>
    <x v="0"/>
    <x v="0"/>
    <x v="0"/>
    <x v="0"/>
    <s v="B401RA-GMZFJ-20"/>
    <s v="X13"/>
    <s v="BLACK"/>
    <s v="MHKA6GJ6JTJ220737"/>
    <s v="3NR-H979195"/>
    <s v="KCMG072432"/>
    <s v="DENO"/>
    <s v="FERYANTO"/>
    <s v="CST-000809883"/>
    <s v="HELEN RYANITA NAINGGOLAN"/>
    <s v="INDIVIDU"/>
    <s v="HELEN RYANITA NAINGGOLAN, S.H,M.Kn"/>
    <s v="JL. PESONA 1 D. 18 KOMP. GRAHA PESONA"/>
    <s v="KEC. CINAMBO"/>
    <s v="KOTA BANDUNG"/>
    <s v="KREDIT"/>
    <s v="PT. ASTRA SEDAYA FINANCE"/>
    <s v="001-26.64460832"/>
    <n v="181900000"/>
    <n v="139564732"/>
    <n v="25587500"/>
    <n v="15676339"/>
    <n v="0"/>
    <n v="0"/>
    <n v="8928571"/>
    <n v="171900000"/>
    <n v="0"/>
    <n v="-10000000"/>
    <m/>
    <m/>
    <s v="Invoice"/>
    <n v="1"/>
    <s v="0000000000000000"/>
    <s v="26/01/26"/>
    <s v="KC-25-001053"/>
    <s v="24/01/26"/>
    <s v="24/01/26"/>
    <s v="27/01/26 12.10"/>
    <s v="AO01894"/>
    <s v="29/01/26"/>
    <s v="28/02/26"/>
    <s v="2026008217"/>
    <s v="26/01/26"/>
    <s v="30/01/26 09.35"/>
    <n v="0"/>
  </r>
  <r>
    <n v="448"/>
    <n v="146"/>
    <s v="KC"/>
    <s v="146ARI2601-1187"/>
    <s v="29/01/26"/>
    <x v="3"/>
    <n v="2026"/>
    <x v="2"/>
    <x v="2"/>
    <s v="CALYA G M/T"/>
    <x v="4"/>
    <x v="0"/>
    <x v="0"/>
    <x v="4"/>
    <x v="0"/>
    <x v="0"/>
    <x v="0"/>
    <x v="0"/>
    <x v="0"/>
    <x v="0"/>
    <s v="B401RA-GMZFJ-20"/>
    <s v="X13"/>
    <s v="BLACK"/>
    <s v="MHKA6GJ6JTJ219880"/>
    <s v="3NR-H977094"/>
    <s v="KCMG072432"/>
    <s v="DENO"/>
    <s v="FERYANTO"/>
    <s v="CST-000809882"/>
    <s v="HELEN RYANITA NAINGGOLAN NAINGGOLAN"/>
    <s v="INDIVIDU"/>
    <s v="HELEN RYANITA NAINGGOLAN, S.H, M.Kn"/>
    <s v="JL. PESONA 1 D. 18 KOMP. GRAHA PESONA"/>
    <s v="KEC. CINAMBO"/>
    <s v="KOTA BANDUNG"/>
    <s v="KREDIT"/>
    <s v="PT. ASTRA SEDAYA FINANCE"/>
    <s v="001-26.64460833"/>
    <n v="181900000"/>
    <n v="139564732"/>
    <n v="25587500"/>
    <n v="15676339"/>
    <n v="0"/>
    <n v="0"/>
    <n v="8928571"/>
    <n v="171900000"/>
    <n v="0"/>
    <n v="-10000000"/>
    <m/>
    <m/>
    <s v="Invoice"/>
    <n v="1"/>
    <s v="0000000000000000"/>
    <s v="26/01/26"/>
    <s v="KC-25-001052"/>
    <s v="24/01/26"/>
    <s v="24/01/26"/>
    <s v="27/01/26 12.06"/>
    <s v="AO00666"/>
    <s v="29/01/26"/>
    <s v="28/02/26"/>
    <s v="2026007068"/>
    <s v="22/01/26"/>
    <s v="30/01/26 09.25"/>
    <n v="0"/>
  </r>
  <r>
    <n v="588"/>
    <n v="146"/>
    <s v="KC"/>
    <s v="146ARI2604-1406"/>
    <s v="30/04/26"/>
    <x v="2"/>
    <n v="2026"/>
    <x v="0"/>
    <x v="0"/>
    <s v="AVANZA G M/T"/>
    <x v="2"/>
    <x v="0"/>
    <x v="0"/>
    <x v="0"/>
    <x v="0"/>
    <x v="1"/>
    <x v="0"/>
    <x v="0"/>
    <x v="22"/>
    <x v="1"/>
    <s v="W101RE-LMMFJ-10"/>
    <s v="P20"/>
    <s v="PURPLISH SILVER MICA METALLIC"/>
    <s v="MHKAB1BYXTJ019859"/>
    <s v="2NR-4F86862"/>
    <s v="KCMG112537"/>
    <s v="DEAN NUR IMAN"/>
    <s v="ALVIN"/>
    <s v="CST-000820676"/>
    <s v="HENDI"/>
    <s v="INDIVIDU"/>
    <s v="HENDI"/>
    <s v="KP BUKIT MULYA"/>
    <s v="KEC. BALEENDAH"/>
    <s v="KAB. BANDUNG"/>
    <s v="KREDIT"/>
    <s v="PT. MANDIRI TUNAS FINANCE"/>
    <m/>
    <n v="269700000"/>
    <n v="207935268"/>
    <n v="36812500"/>
    <n v="23345089"/>
    <n v="0"/>
    <n v="0"/>
    <n v="13392857"/>
    <n v="254700000"/>
    <n v="6000000"/>
    <n v="-15000000"/>
    <m/>
    <m/>
    <s v="Invoice"/>
    <n v="1"/>
    <m/>
    <s v="09/04/26"/>
    <s v="KC-26-000194"/>
    <s v="08/04/26"/>
    <s v="08/04/26"/>
    <s v="09/04/26 14.24"/>
    <s v="D703217"/>
    <m/>
    <s v="14/05/26"/>
    <s v="2026045657"/>
    <s v="29/04/26"/>
    <s v="01/05/26 13.56"/>
    <n v="0"/>
  </r>
  <r>
    <n v="525"/>
    <n v="146"/>
    <s v="KC"/>
    <s v="146ARI2602-1092"/>
    <s v="23/02/26"/>
    <x v="1"/>
    <n v="2026"/>
    <x v="2"/>
    <x v="2"/>
    <s v="CALYA G M/T"/>
    <x v="1"/>
    <x v="0"/>
    <x v="0"/>
    <x v="0"/>
    <x v="0"/>
    <x v="0"/>
    <x v="0"/>
    <x v="0"/>
    <x v="30"/>
    <x v="2"/>
    <s v="B401RA-GMZFJ-20"/>
    <s v="4T3"/>
    <s v="BRONZE M.M."/>
    <s v="MHKA6GJ6JTJ222322"/>
    <s v="3NR-H983249"/>
    <s v="KCMG012604"/>
    <s v="SYAFRIL AGUNG SEFILA"/>
    <s v="MUHAMMAD CAISARIVA"/>
    <s v="CST-000813184"/>
    <s v="HERMAN ASTONO"/>
    <s v="INDIVIDU"/>
    <s v="HERMAN ASTONO"/>
    <s v="MANGLAYANG REGENCY BLOK . E.5/10"/>
    <s v="KEC. CILEUNYI"/>
    <s v="KAB. BANDUNG"/>
    <s v="KREDIT"/>
    <s v="PT. MANDIRI UTAMA FINANCE"/>
    <m/>
    <n v="181900000"/>
    <n v="139564732"/>
    <n v="25587500"/>
    <n v="15676339"/>
    <n v="0"/>
    <n v="0"/>
    <n v="8928571"/>
    <n v="171900000"/>
    <n v="2000000"/>
    <n v="-10000000"/>
    <m/>
    <m/>
    <s v="Invoice"/>
    <n v="1"/>
    <s v="0000000000000000"/>
    <s v="12/02/26"/>
    <s v="KC-26-000022"/>
    <s v="12/02/26"/>
    <s v="12/02/26"/>
    <s v="12/02/26 14.29"/>
    <s v="BO01517"/>
    <s v="23/02/26"/>
    <s v="09/03/26"/>
    <s v="2026017407"/>
    <s v="16/02/26"/>
    <s v="25/02/26 12.08"/>
    <n v="0"/>
  </r>
  <r>
    <n v="526"/>
    <n v="146"/>
    <s v="KC"/>
    <s v="146ARI2602-0853"/>
    <s v="20/02/26"/>
    <x v="1"/>
    <n v="2026"/>
    <x v="9"/>
    <x v="7"/>
    <s v="AGYA G A/T"/>
    <x v="2"/>
    <x v="0"/>
    <x v="0"/>
    <x v="0"/>
    <x v="0"/>
    <x v="6"/>
    <x v="0"/>
    <x v="1"/>
    <x v="23"/>
    <x v="1"/>
    <s v="A351RA-GBEFJ-10"/>
    <s v="X13"/>
    <s v="BLACK"/>
    <s v="MHKAB1BC9TJ079362"/>
    <s v="WA-A233321"/>
    <s v="KCMG052516"/>
    <s v="YENI"/>
    <s v="ALVIN"/>
    <s v="CST-000808792"/>
    <s v="HERMAN SUGIANTO"/>
    <s v="INDIVIDU"/>
    <s v="DESI PUTRI SUSANTI"/>
    <s v="Jl.RAA WIRANATA KUSUMAH KOMP HEGAR ASRI RESIDENCE BLOK J NO. 5"/>
    <s v="KEC. BALEENDAH"/>
    <s v="KAB. BANDUNG"/>
    <s v="KREDIT"/>
    <s v="PT. MANDIRI TUNAS FINANCE"/>
    <s v="001-26.64462160"/>
    <n v="204000000"/>
    <n v="156830357"/>
    <n v="28350000"/>
    <n v="17533928"/>
    <n v="0"/>
    <n v="0"/>
    <n v="10714286"/>
    <n v="192000000"/>
    <n v="0"/>
    <n v="-12000000"/>
    <s v="26/02/26"/>
    <s v="26/02/26"/>
    <s v="Invoice"/>
    <n v="1"/>
    <s v="0000000000000000"/>
    <s v="19/01/26"/>
    <s v="KC-25-000979"/>
    <s v="17/01/26"/>
    <s v="17/01/26"/>
    <s v="19/01/26 14.26"/>
    <s v="BR00570"/>
    <s v="20/02/26"/>
    <s v="06/03/26"/>
    <s v="2026016554"/>
    <s v="13/02/26"/>
    <s v="23/02/26 10.46"/>
    <n v="0"/>
  </r>
  <r>
    <n v="466"/>
    <n v="146"/>
    <s v="KC"/>
    <s v="146ARI2603-0263"/>
    <s v="06/03/26"/>
    <x v="0"/>
    <n v="2026"/>
    <x v="8"/>
    <x v="6"/>
    <s v="FORTUNER 4X4 VRZ A/T DIESEL"/>
    <x v="2"/>
    <x v="0"/>
    <x v="0"/>
    <x v="0"/>
    <x v="0"/>
    <x v="0"/>
    <x v="1"/>
    <x v="0"/>
    <x v="2"/>
    <x v="1"/>
    <s v="GUN156R-SDTHXD-32"/>
    <s v="2PS"/>
    <s v="BLACK - PLATINUM WHITE PEARL"/>
    <s v="MHFBA3FS3T1175118"/>
    <s v="1GD-J154058"/>
    <s v="KCMG042414"/>
    <s v="RIZKI RISMAWAN"/>
    <s v="ALVIN"/>
    <s v="CST-000815418"/>
    <s v="HERMANSYAH"/>
    <s v="INDIVIDU"/>
    <s v="TAUFIK FATHURAHMAN"/>
    <s v="RANCACATANG"/>
    <s v="KEC. BOJONGSOANG"/>
    <s v="KAB. BANDUNG"/>
    <s v="KREDIT"/>
    <s v="PT. MANDIRI TUNAS FINANCE"/>
    <s v="002-26.36649377"/>
    <n v="793900000"/>
    <n v="617466518"/>
    <n v="102337500"/>
    <n v="70774553"/>
    <n v="0"/>
    <n v="0"/>
    <n v="27678571"/>
    <n v="762900000"/>
    <n v="0"/>
    <n v="-31000000"/>
    <s v="09/03/26"/>
    <s v="09/03/26"/>
    <s v="Invoice"/>
    <n v="1"/>
    <m/>
    <s v="25/02/26"/>
    <s v="KC-26-000051"/>
    <s v="25/02/26"/>
    <s v="25/02/26"/>
    <s v="28/02/26 21.42"/>
    <s v="CF00074"/>
    <s v="06/03/26"/>
    <s v="20/03/26"/>
    <s v="2026025649"/>
    <s v="05/03/26"/>
    <s v="07/03/26 16.21"/>
    <n v="0"/>
  </r>
  <r>
    <n v="471"/>
    <n v="146"/>
    <s v="KC"/>
    <s v="146ARI2601-1304"/>
    <s v="31/01/26"/>
    <x v="3"/>
    <n v="2026"/>
    <x v="2"/>
    <x v="2"/>
    <s v="CALYA G M/T"/>
    <x v="4"/>
    <x v="0"/>
    <x v="0"/>
    <x v="4"/>
    <x v="0"/>
    <x v="1"/>
    <x v="0"/>
    <x v="1"/>
    <x v="22"/>
    <x v="1"/>
    <s v="B401RA-GMZFJ-20"/>
    <s v="S28"/>
    <s v="Silver Metallic"/>
    <s v="MHKA6GJ6JTJ221238"/>
    <s v="3NR-H980382"/>
    <s v="KCMG112537"/>
    <s v="DEAN NUR IMAN"/>
    <s v="ALVIN"/>
    <s v="CST-000810247"/>
    <s v="HERMAWAN S.IP"/>
    <s v="INDIVIDU"/>
    <s v="RISA MAULIDA"/>
    <s v="Jl NEGLASARI"/>
    <s v="KEC. BUAHBATU"/>
    <s v="KOTA BANDUNG"/>
    <s v="KREDIT"/>
    <s v="PT. ASTRA SEDAYA FINANCE"/>
    <m/>
    <n v="181900000"/>
    <n v="139564732"/>
    <n v="25587500"/>
    <n v="15569196"/>
    <n v="0"/>
    <n v="0"/>
    <n v="9821429"/>
    <n v="170900000"/>
    <n v="0"/>
    <n v="-11000000"/>
    <m/>
    <m/>
    <s v="Invoice"/>
    <n v="1"/>
    <m/>
    <s v="29/01/26"/>
    <s v="KC-25-001041"/>
    <s v="25/01/26"/>
    <s v="25/01/26"/>
    <s v="29/01/26 11.57"/>
    <s v="AO02460"/>
    <m/>
    <s v="02/03/26"/>
    <s v="2026011223"/>
    <s v="31/01/26"/>
    <s v="10/02/26 12.00"/>
    <n v="0"/>
  </r>
  <r>
    <n v="620"/>
    <n v="146"/>
    <s v="KC"/>
    <s v="146ARI2604-1298"/>
    <s v="27/04/26"/>
    <x v="2"/>
    <n v="2026"/>
    <x v="5"/>
    <x v="4"/>
    <s v="VELOZ V AT HYBRID"/>
    <x v="3"/>
    <x v="0"/>
    <x v="1"/>
    <x v="0"/>
    <x v="0"/>
    <x v="0"/>
    <x v="0"/>
    <x v="0"/>
    <x v="31"/>
    <x v="0"/>
    <s v="W102RE-LBVFJ-11"/>
    <s v="089"/>
    <s v="PLATINUM WHITE PEARL MICA"/>
    <s v="MHFA71BY9T0005649"/>
    <s v="2NR-Y685193"/>
    <s v="KCMG072529"/>
    <s v="FANI PERMANI"/>
    <s v="FERYANTO"/>
    <s v="CST-000823200"/>
    <s v="HERTI NOPTIKA DEWI"/>
    <s v="INDIVIDU"/>
    <s v="HERTI NOPTIKA DEWI"/>
    <s v="JL. RAYA SOREANG NO. 203"/>
    <s v="KEC. SOREANG"/>
    <s v="KAB. BANDUNG"/>
    <s v="CASH"/>
    <s v="CASH"/>
    <m/>
    <n v="304500000"/>
    <n v="235122768"/>
    <n v="41162500"/>
    <n v="28214732"/>
    <n v="0"/>
    <n v="0"/>
    <n v="0"/>
    <n v="304500000"/>
    <n v="0"/>
    <n v="0"/>
    <s v="29/04/26"/>
    <s v="29/04/26"/>
    <s v="Invoice"/>
    <n v="1"/>
    <m/>
    <s v="27/04/26"/>
    <s v="KC-26-000263"/>
    <s v="26/04/26"/>
    <s v="26/04/26"/>
    <s v="27/04/26 17.22"/>
    <s v="D801400"/>
    <s v="27/04/26"/>
    <s v="11/05/26"/>
    <s v="2026040857"/>
    <s v="20/04/26"/>
    <s v="04/05/26 16.56"/>
    <n v="0"/>
  </r>
  <r>
    <n v="494"/>
    <n v="146"/>
    <s v="KC"/>
    <s v="146ARI2601-0344"/>
    <s v="09/01/26"/>
    <x v="3"/>
    <n v="2026"/>
    <x v="2"/>
    <x v="2"/>
    <s v="CALYA G M/T"/>
    <x v="1"/>
    <x v="0"/>
    <x v="0"/>
    <x v="0"/>
    <x v="0"/>
    <x v="3"/>
    <x v="0"/>
    <x v="4"/>
    <x v="17"/>
    <x v="2"/>
    <s v="B401RA-GMZFJ-20"/>
    <s v="1G3"/>
    <s v="GRAY METALLIC"/>
    <s v="MHKA6GJ6JTJ219413"/>
    <s v="3NR-H975919"/>
    <s v="KCMG112540"/>
    <s v="KHARISMA GALIH PUTRA"/>
    <s v="MUHAMMAD CAISARIVA"/>
    <s v="CST-000806700"/>
    <s v="IHSAN TAUPIK HIDAYAT"/>
    <s v="INDIVIDU"/>
    <s v="ELISA"/>
    <s v="PERUMAHAN BUMI PADMA BLOK I-I"/>
    <s v="KEC. PACET"/>
    <s v="KAB. BANDUNG"/>
    <s v="KREDIT"/>
    <s v="PT. MANDIRI UTAMA FINANCE"/>
    <s v="001-26.64460574"/>
    <n v="181900000"/>
    <n v="139564732"/>
    <n v="25587500"/>
    <n v="15676339"/>
    <n v="0"/>
    <n v="0"/>
    <n v="8928571"/>
    <n v="171900000"/>
    <n v="0"/>
    <n v="-10000000"/>
    <s v="13/01/26"/>
    <s v="13/01/26"/>
    <s v="Invoice"/>
    <n v="1"/>
    <m/>
    <s v="03/01/26"/>
    <s v="KC-25-000955"/>
    <s v="28/12/25"/>
    <s v="28/12/25"/>
    <s v="03/01/26 09.43"/>
    <s v="AO00029"/>
    <s v="09/01/26"/>
    <s v="08/02/26"/>
    <s v="2026000184"/>
    <s v="06/01/26"/>
    <s v="12/01/26 09.32"/>
    <n v="0"/>
  </r>
  <r>
    <n v="498"/>
    <n v="146"/>
    <s v="KC"/>
    <s v="146ARI2601-0609"/>
    <s v="15/01/26"/>
    <x v="3"/>
    <n v="2026"/>
    <x v="7"/>
    <x v="5"/>
    <s v="RANGGA-HILUX PU M/T"/>
    <x v="3"/>
    <x v="0"/>
    <x v="1"/>
    <x v="0"/>
    <x v="0"/>
    <x v="0"/>
    <x v="0"/>
    <x v="0"/>
    <x v="7"/>
    <x v="2"/>
    <s v="TGN110R-ATMHKD-10"/>
    <s v="058"/>
    <s v="WHITE"/>
    <s v="MR0AW9AA3S0343498"/>
    <s v="1TR-B359995"/>
    <s v="KCMG052525"/>
    <s v="AGUS SUPARMAN"/>
    <s v="MUHAMMAD CAISARIVA"/>
    <s v="CST-000808274"/>
    <s v="ILHAM WIRYA PRAJA"/>
    <s v="INDIVIDU"/>
    <s v="LUTHFI AUDRY MIFTAHUSSALAM"/>
    <s v="KMP CUKANG HAUR"/>
    <s v="KEC. SOREANG"/>
    <s v="KAB. BANDUNG"/>
    <s v="CASH"/>
    <s v="CASH"/>
    <s v="001-26.64460594"/>
    <n v="226200000"/>
    <n v="174121622"/>
    <n v="32925000"/>
    <n v="17171396"/>
    <n v="0"/>
    <n v="0"/>
    <n v="18018018"/>
    <n v="206200000"/>
    <n v="0"/>
    <n v="-20000000"/>
    <s v="20/01/26"/>
    <s v="20/01/26"/>
    <s v="Invoice"/>
    <n v="1"/>
    <s v="0000000000000000"/>
    <s v="14/01/26"/>
    <s v="KC-25-001017"/>
    <s v="14/01/26"/>
    <s v="14/01/26"/>
    <s v="14/01/26 19.50"/>
    <s v="KB01032"/>
    <s v="15/01/26"/>
    <s v="29/01/26"/>
    <s v="2025098552"/>
    <s v="13/11/25"/>
    <s v="16/01/26 19.19"/>
    <n v="0"/>
  </r>
  <r>
    <n v="499"/>
    <n v="146"/>
    <s v="KC"/>
    <s v="146ARI2601-0746"/>
    <s v="20/01/26"/>
    <x v="3"/>
    <n v="2026"/>
    <x v="7"/>
    <x v="5"/>
    <s v="RANGGA-HILUX PU M/T"/>
    <x v="3"/>
    <x v="0"/>
    <x v="1"/>
    <x v="0"/>
    <x v="0"/>
    <x v="0"/>
    <x v="0"/>
    <x v="0"/>
    <x v="7"/>
    <x v="2"/>
    <s v="TGN110R-ATMHKD-10"/>
    <s v="058"/>
    <s v="WHITE"/>
    <s v="MR0AW9AA4S0343476"/>
    <s v="1TR-B359232"/>
    <s v="KCMG052525"/>
    <s v="AGUS SUPARMAN"/>
    <s v="MUHAMMAD CAISARIVA"/>
    <s v="CST-000808804"/>
    <s v="ILHAM WIRYA PRAJA"/>
    <s v="INDIVIDU"/>
    <s v="LUTHFI AUDRY MIFTAHUSSALAM"/>
    <s v="KP CUKANG HAUR"/>
    <s v="KEC. SOREANG"/>
    <s v="KAB. BANDUNG"/>
    <s v="CASH"/>
    <s v="CASH"/>
    <s v="001-26.64460811"/>
    <n v="226200000"/>
    <n v="174121622"/>
    <n v="32925000"/>
    <n v="17072297"/>
    <n v="0"/>
    <n v="0"/>
    <n v="18918919"/>
    <n v="205200000"/>
    <n v="0"/>
    <n v="-21000000"/>
    <s v="21/01/26"/>
    <s v="21/01/26"/>
    <s v="Invoice"/>
    <n v="1"/>
    <s v="0000000000000000"/>
    <s v="19/01/26"/>
    <s v="KC-25-001019"/>
    <s v="19/01/26"/>
    <s v="19/01/26"/>
    <s v="19/01/26 14.56"/>
    <s v="KB00929"/>
    <s v="20/01/26"/>
    <s v="03/02/26"/>
    <s v="2025098552"/>
    <s v="13/11/25"/>
    <s v="22/01/26 14.12"/>
    <n v="0"/>
  </r>
  <r>
    <n v="563"/>
    <n v="146"/>
    <s v="KC"/>
    <s v="146ARI2602-0693"/>
    <s v="16/02/26"/>
    <x v="1"/>
    <n v="2026"/>
    <x v="2"/>
    <x v="2"/>
    <s v="CALYA G M/T"/>
    <x v="2"/>
    <x v="0"/>
    <x v="0"/>
    <x v="2"/>
    <x v="0"/>
    <x v="0"/>
    <x v="0"/>
    <x v="1"/>
    <x v="15"/>
    <x v="0"/>
    <s v="B401RA-GMZFJ-20"/>
    <s v="3Q3"/>
    <s v="DARK RED MICA MET."/>
    <s v="MHKA6GJ6JTJ221556"/>
    <s v="3NR-H981286"/>
    <s v="CMMG122342"/>
    <s v="REGYAWAN KURNIA"/>
    <s v="FERYANTO"/>
    <s v="CST-000812689"/>
    <s v="IMAN JUANDA"/>
    <s v="INDIVIDU"/>
    <s v="IMAN JUANDA"/>
    <s v="PESONA PRIMA CITAPEN BLOK B1 NO.44"/>
    <s v="KEC. CIHAMPELAS"/>
    <s v="KAB. BANDUNG BARAT"/>
    <s v="KREDIT"/>
    <s v="PT. MANDIRI TUNAS FINANCE"/>
    <s v="001-26.64462153"/>
    <n v="181900000"/>
    <n v="139564732"/>
    <n v="25587500"/>
    <n v="15569196"/>
    <n v="0"/>
    <n v="0"/>
    <n v="9821429"/>
    <n v="170900000"/>
    <n v="0"/>
    <n v="-11000000"/>
    <m/>
    <m/>
    <s v="Invoice"/>
    <n v="1"/>
    <m/>
    <s v="10/02/26"/>
    <s v="KC-25-001136"/>
    <s v="09/02/26"/>
    <s v="09/02/26"/>
    <s v="10/02/26 14.47"/>
    <s v="BO00460"/>
    <s v="16/02/26"/>
    <s v="18/03/26"/>
    <s v="2026013660"/>
    <s v="06/02/26"/>
    <s v="19/02/26 14.16"/>
    <n v="0"/>
  </r>
  <r>
    <n v="673"/>
    <n v="146"/>
    <s v="KC"/>
    <s v="146ARI2604-1370"/>
    <s v="29/04/26"/>
    <x v="2"/>
    <n v="2026"/>
    <x v="0"/>
    <x v="0"/>
    <s v="AVANZA G A/T"/>
    <x v="4"/>
    <x v="0"/>
    <x v="0"/>
    <x v="0"/>
    <x v="0"/>
    <x v="3"/>
    <x v="0"/>
    <x v="0"/>
    <x v="19"/>
    <x v="0"/>
    <s v="W101RE-LBMFJ-10"/>
    <s v="W09"/>
    <s v="WHITE"/>
    <s v="MHKAB1BY4TJ019890"/>
    <s v="2NR-4F85882"/>
    <s v="KCMG122541"/>
    <s v="GALIH HARISTIANTO"/>
    <s v="FERYANTO"/>
    <s v="CST-000821851"/>
    <s v="IMAS SUMARNI"/>
    <s v="INDIVIDU"/>
    <s v="IMAS SUMARNI"/>
    <s v="KP PASAR PEUNDEUY"/>
    <s v="KEC. SOREANG"/>
    <s v="KAB. BANDUNG"/>
    <s v="KREDIT"/>
    <s v="PT. ASTRA SEDAYA FINANCE"/>
    <m/>
    <n v="284500000"/>
    <n v="219497768"/>
    <n v="38662500"/>
    <n v="24732589"/>
    <n v="0"/>
    <n v="0"/>
    <n v="13392857"/>
    <n v="269500000"/>
    <n v="39000000"/>
    <n v="-15000000"/>
    <m/>
    <m/>
    <s v="Invoice"/>
    <n v="1"/>
    <m/>
    <s v="16/04/26"/>
    <s v="KC-26-000196"/>
    <s v="15/04/26"/>
    <s v="15/04/26"/>
    <s v="17/04/26 14.43"/>
    <s v="D703166"/>
    <m/>
    <s v="13/05/26"/>
    <s v="2026045367"/>
    <s v="29/04/26"/>
    <s v="30/04/26 14.07"/>
    <n v="0"/>
  </r>
  <r>
    <n v="573"/>
    <n v="146"/>
    <s v="KC"/>
    <s v="146ARI2602-1386"/>
    <s v="28/02/26"/>
    <x v="1"/>
    <n v="2026"/>
    <x v="4"/>
    <x v="3"/>
    <s v="INNOVA ZENIX Q A/T HYBRID"/>
    <x v="0"/>
    <x v="0"/>
    <x v="0"/>
    <x v="4"/>
    <x v="0"/>
    <x v="1"/>
    <x v="1"/>
    <x v="7"/>
    <x v="3"/>
    <x v="0"/>
    <s v="MAGH10R-BPXHBD-10"/>
    <s v="218"/>
    <s v="ATTITUDE BLACK MICA"/>
    <s v="MHFABBAA7T0466969"/>
    <s v="M20A-NF37560"/>
    <s v="KCMG052513"/>
    <s v="DENI ALFIAN"/>
    <s v="FERYANTO"/>
    <s v="CST-000815400"/>
    <s v="INDRA BUDI"/>
    <s v="INDIVIDU"/>
    <s v="INDRA BUDI"/>
    <s v="ASPOL JL NIAS BLOK A1"/>
    <s v="KEC. SUMUR BANDUNG"/>
    <s v="KOTA BANDUNG"/>
    <s v="KREDIT"/>
    <s v="PT. TOYOTA ASTRA FINANCIAL SERVICES"/>
    <m/>
    <n v="627100000"/>
    <n v="487377232"/>
    <n v="81237500"/>
    <n v="56235267"/>
    <n v="0"/>
    <n v="0"/>
    <n v="18750000"/>
    <n v="606100000"/>
    <n v="221615200"/>
    <n v="-21000000"/>
    <m/>
    <m/>
    <s v="Invoice"/>
    <n v="1"/>
    <s v="3278042310730009"/>
    <s v="28/02/26"/>
    <s v="KC-26-000084"/>
    <s v="28/02/26"/>
    <s v="28/02/26"/>
    <s v="28/02/26 18.10"/>
    <s v="BJ02248"/>
    <m/>
    <s v="14/03/26"/>
    <s v="2026022977"/>
    <s v="27/02/26"/>
    <s v="08/03/26 17.37"/>
    <n v="0"/>
  </r>
  <r>
    <n v="538"/>
    <n v="146"/>
    <s v="KC"/>
    <s v="146ARI2601-1301"/>
    <s v="31/01/26"/>
    <x v="3"/>
    <n v="2026"/>
    <x v="3"/>
    <x v="3"/>
    <s v="INNOVA G A/T DIESEL"/>
    <x v="3"/>
    <x v="0"/>
    <x v="1"/>
    <x v="4"/>
    <x v="0"/>
    <x v="6"/>
    <x v="1"/>
    <x v="5"/>
    <x v="28"/>
    <x v="0"/>
    <s v="GUN142R-MDTSXD-30"/>
    <s v="218"/>
    <s v="ATTITUDE BLACK MICA"/>
    <s v="MHFJB8EM8T1183952"/>
    <s v="2GD-5930086"/>
    <s v="KCMG112538"/>
    <s v="AGTHY EIKA PRATIWI"/>
    <s v="FERYANTO"/>
    <s v="CST-000811110"/>
    <s v="ITA HITAYATI"/>
    <s v="INDIVIDU"/>
    <s v="ITA HITAYATI"/>
    <s v="KOMP BIR B-3 NO 9"/>
    <s v="KEC. RANCASARI"/>
    <s v="KOTA BANDUNG"/>
    <s v="CASH"/>
    <s v="CASH"/>
    <m/>
    <n v="442100000"/>
    <n v="342845982"/>
    <n v="58112500"/>
    <n v="38462946"/>
    <n v="0"/>
    <n v="0"/>
    <n v="22321429"/>
    <n v="417100000"/>
    <n v="217100000"/>
    <n v="-25000000"/>
    <m/>
    <m/>
    <s v="Invoice"/>
    <n v="1"/>
    <m/>
    <s v="31/01/26"/>
    <s v="KC-25-001121"/>
    <s v="31/01/26"/>
    <s v="31/01/26"/>
    <s v="31/01/26 16.54"/>
    <s v="AC02191"/>
    <m/>
    <s v="14/02/26"/>
    <s v="2026010878"/>
    <s v="30/01/26"/>
    <s v="05/02/26 14.00"/>
    <n v="0"/>
  </r>
  <r>
    <n v="594"/>
    <n v="146"/>
    <s v="KC"/>
    <s v="146ARI2602-0309"/>
    <s v="09/02/26"/>
    <x v="1"/>
    <n v="2026"/>
    <x v="8"/>
    <x v="6"/>
    <s v="FORTUNER 4X4 VRZ A/T DIESEL"/>
    <x v="0"/>
    <x v="0"/>
    <x v="0"/>
    <x v="0"/>
    <x v="0"/>
    <x v="4"/>
    <x v="0"/>
    <x v="0"/>
    <x v="21"/>
    <x v="1"/>
    <s v="GUN156R-SDTHXD-32"/>
    <s v="2PS"/>
    <s v="BLACK - PLATINUM WHITE PEARL"/>
    <s v="MHFBA3FSXT1174421"/>
    <s v="1GD-5918718"/>
    <s v="KCMG012502"/>
    <s v="DADI SOBARI"/>
    <s v="ALVIN"/>
    <s v="CST-000807243"/>
    <s v="IWAN KURNIAWAN"/>
    <s v="INDIVIDU"/>
    <s v="IWAN KURNIAWAN"/>
    <s v="JL TERUSAN CIBIUK CANGKUANG NO 7"/>
    <s v="KEC. DAYEUHKOLOT"/>
    <s v="KAB. BANDUNG"/>
    <s v="KREDIT"/>
    <s v="PT. TOYOTA ASTRA FINANCIAL SERVICES"/>
    <s v="001-26.64462120"/>
    <n v="793900000"/>
    <n v="617689732"/>
    <n v="102087500"/>
    <n v="69837053"/>
    <n v="0"/>
    <n v="0"/>
    <n v="35714286"/>
    <n v="753900000"/>
    <n v="0"/>
    <n v="-40000000"/>
    <s v="14/02/26"/>
    <s v="14/02/26"/>
    <s v="Invoice"/>
    <n v="1"/>
    <m/>
    <s v="07/01/26"/>
    <s v="KC-25-000931"/>
    <s v="07/01/26"/>
    <s v="07/01/26"/>
    <s v="07/01/26 15.37"/>
    <s v="AF00240"/>
    <s v="09/02/26"/>
    <s v="11/03/26"/>
    <s v="2026001978"/>
    <s v="09/01/26"/>
    <s v="10/02/26 14.38"/>
    <n v="0"/>
  </r>
  <r>
    <n v="719"/>
    <n v="146"/>
    <s v="KC"/>
    <s v="146ARI2604-1357"/>
    <s v="29/04/26"/>
    <x v="2"/>
    <n v="2026"/>
    <x v="3"/>
    <x v="3"/>
    <s v="INNOVA G A/T DIESEL"/>
    <x v="3"/>
    <x v="0"/>
    <x v="1"/>
    <x v="4"/>
    <x v="0"/>
    <x v="4"/>
    <x v="1"/>
    <x v="0"/>
    <x v="27"/>
    <x v="0"/>
    <s v="GUN142R-MDTSXD-30"/>
    <s v="040"/>
    <s v="SUPER WHITE II"/>
    <s v="MHFJB8EM0T1192242"/>
    <s v="2GD-1961597"/>
    <s v="KCMG052518"/>
    <s v="YANI ANDRIYANI"/>
    <s v="FERYANTO"/>
    <s v="CST-000822829"/>
    <s v="JACKY"/>
    <s v="INDIVIDU"/>
    <s v="AGUS HASAN MUNANDAR"/>
    <s v="JL. CARINGIN BLK NO. 116"/>
    <s v="KEC. BABAKAN CIPARAY"/>
    <s v="KOTA BANDUNG"/>
    <s v="CASH"/>
    <s v="CASH"/>
    <m/>
    <n v="442100000"/>
    <n v="342622768"/>
    <n v="58362500"/>
    <n v="38864732"/>
    <n v="0"/>
    <n v="0"/>
    <n v="18750000"/>
    <n v="421100000"/>
    <n v="206100000"/>
    <n v="-21000000"/>
    <m/>
    <m/>
    <s v="Invoice"/>
    <n v="1"/>
    <s v="3273031408900001"/>
    <s v="24/04/26"/>
    <s v="KC-26-000250"/>
    <s v="17/04/26"/>
    <s v="17/04/26"/>
    <s v="24/04/26 14.14"/>
    <s v="DC02367"/>
    <m/>
    <s v="13/05/26"/>
    <s v="2026044790"/>
    <s v="28/04/26"/>
    <s v="30/04/26 14.03"/>
    <n v="0"/>
  </r>
  <r>
    <n v="729"/>
    <n v="146"/>
    <s v="KC"/>
    <s v="146ARI2604-0528"/>
    <s v="13/04/26"/>
    <x v="2"/>
    <n v="2026"/>
    <x v="3"/>
    <x v="3"/>
    <s v="INNOVA G A/T DIESEL"/>
    <x v="4"/>
    <x v="0"/>
    <x v="0"/>
    <x v="14"/>
    <x v="1"/>
    <x v="0"/>
    <x v="1"/>
    <x v="0"/>
    <x v="15"/>
    <x v="0"/>
    <s v="GUN142R-MDTSXD-30"/>
    <s v="040"/>
    <s v="SUPER WHITE II"/>
    <s v="MHFJB8EM0T1190300"/>
    <s v="2GD-5961459"/>
    <s v="CMMG122342"/>
    <s v="REGYAWAN KURNIA"/>
    <s v="FERYANTO"/>
    <s v="CST-000811686"/>
    <s v="JANURI"/>
    <s v="INDIVIDU"/>
    <s v="SUPARMI"/>
    <s v="JL.KRAMAT NO.150"/>
    <s v="KEC. CINERE"/>
    <s v="KOTA DEPOK"/>
    <s v="KREDIT"/>
    <s v="PT. ASTRA SEDAYA FINANCE"/>
    <m/>
    <n v="438700000"/>
    <n v="340422768"/>
    <n v="57426500"/>
    <n v="38172160"/>
    <n v="0"/>
    <n v="0"/>
    <n v="22321429"/>
    <n v="413700000"/>
    <n v="0"/>
    <n v="-25000000"/>
    <s v="15/04/26"/>
    <s v="15/04/26"/>
    <s v="Invoice"/>
    <n v="1"/>
    <m/>
    <s v="31/01/26"/>
    <s v="KC-25-001125"/>
    <s v="31/01/26"/>
    <s v="31/01/26"/>
    <s v="04/02/26 17.19"/>
    <s v="DC00301"/>
    <s v="13/04/26"/>
    <s v="27/04/26"/>
    <s v="2026035815"/>
    <s v="09/04/26"/>
    <s v="14/04/26 17.44"/>
    <n v="0"/>
  </r>
  <r>
    <n v="750"/>
    <n v="146"/>
    <s v="KC"/>
    <s v="146ARI2604-1120"/>
    <s v="23/04/26"/>
    <x v="2"/>
    <n v="2026"/>
    <x v="4"/>
    <x v="3"/>
    <s v="INNOVA ZENIX Q A/T HYBRID"/>
    <x v="4"/>
    <x v="0"/>
    <x v="0"/>
    <x v="2"/>
    <x v="0"/>
    <x v="0"/>
    <x v="0"/>
    <x v="1"/>
    <x v="6"/>
    <x v="0"/>
    <s v="MAGH10R-BPXHBD-10"/>
    <s v="218"/>
    <s v="ATTITUDE BLACK MICA"/>
    <s v="MHFABBAA5T0469093"/>
    <s v="M20A-NF51254"/>
    <s v="KCMG042509"/>
    <s v="ERICK JANUAR LISAPALY"/>
    <s v="FERYANTO"/>
    <s v="CST-000822489"/>
    <s v="JOSEFA DESMA RAMADHAN, SH"/>
    <s v="INDIVIDU"/>
    <s v="FARZA NABIL PUTRA"/>
    <s v="PONDOK PADALARANG INDAH A1.3"/>
    <s v="KEC. PADALARANG"/>
    <s v="KAB. BANDUNG BARAT"/>
    <s v="KREDIT"/>
    <s v="PT. ASTRA SEDAYA FINANCE"/>
    <m/>
    <n v="627100000"/>
    <n v="487154018"/>
    <n v="81487500"/>
    <n v="56208482"/>
    <n v="0"/>
    <n v="0"/>
    <n v="18750000"/>
    <n v="606100000"/>
    <n v="6000000"/>
    <n v="-21000000"/>
    <s v="29/04/26"/>
    <s v="29/04/26"/>
    <s v="Invoice"/>
    <n v="1"/>
    <m/>
    <s v="21/04/26"/>
    <s v="KC-26-000242"/>
    <s v="21/04/26"/>
    <s v="21/04/26"/>
    <s v="22/04/26 12.13"/>
    <s v="CJ02649"/>
    <s v="23/04/26"/>
    <s v="07/05/26"/>
    <s v="2026035253"/>
    <s v="08/04/26"/>
    <s v="25/04/26 08.00"/>
    <n v="0"/>
  </r>
  <r>
    <n v="591"/>
    <n v="146"/>
    <s v="KC"/>
    <s v="146ARI2601-0759"/>
    <s v="20/01/26"/>
    <x v="3"/>
    <n v="2026"/>
    <x v="1"/>
    <x v="1"/>
    <s v="HIACE PREMIO"/>
    <x v="0"/>
    <x v="0"/>
    <x v="0"/>
    <x v="4"/>
    <x v="0"/>
    <x v="0"/>
    <x v="0"/>
    <x v="0"/>
    <x v="6"/>
    <x v="0"/>
    <s v="GDH321R-EDFDYD-10"/>
    <s v="058"/>
    <s v="WHITE"/>
    <s v="JTF2A9CP1S6011082"/>
    <s v="1GD-9641400"/>
    <s v="KCMG042509"/>
    <s v="ERICK JANUAR LISAPALY"/>
    <s v="FERYANTO"/>
    <s v="CST-000808857"/>
    <s v="KHAIRIL HIDAYA"/>
    <s v="INDIVIDU"/>
    <s v="KHAIRIL HIDAYA"/>
    <s v="Jl BATU INDAH 5 NO 1"/>
    <s v="KEC. BANDUNG KIDUL"/>
    <s v="KOTA BANDUNG"/>
    <s v="KREDIT"/>
    <s v="PT. TOYOTA ASTRA FINANCIAL SERVICES"/>
    <s v="001-26.64460813"/>
    <n v="678400000"/>
    <n v="525848214"/>
    <n v="89450000"/>
    <n v="59351785"/>
    <n v="0"/>
    <n v="0"/>
    <n v="31250000"/>
    <n v="643400000"/>
    <n v="0"/>
    <n v="-35000000"/>
    <m/>
    <m/>
    <s v="Invoice"/>
    <n v="1"/>
    <s v="0000000000000000"/>
    <s v="19/01/26"/>
    <s v="KC-25-001024"/>
    <s v="19/01/26"/>
    <s v="19/01/26"/>
    <s v="19/01/26 19.49"/>
    <s v="KP00135"/>
    <s v="20/01/26"/>
    <s v="19/02/26"/>
    <s v="2025096341"/>
    <s v="07/11/25"/>
    <s v="31/01/26 19.27"/>
    <n v="0"/>
  </r>
  <r>
    <n v="775"/>
    <n v="146"/>
    <s v="KC"/>
    <s v="146ARI2604-1434"/>
    <s v="30/04/26"/>
    <x v="2"/>
    <n v="2026"/>
    <x v="7"/>
    <x v="5"/>
    <s v="HILUX DC V A/T DIESEL"/>
    <x v="0"/>
    <x v="0"/>
    <x v="0"/>
    <x v="4"/>
    <x v="0"/>
    <x v="3"/>
    <x v="1"/>
    <x v="0"/>
    <x v="11"/>
    <x v="1"/>
    <s v="GUN125R-DTTHXD-40"/>
    <s v="218"/>
    <s v="ATTITUDE BLACK MICA"/>
    <s v="MR0BB3CD4T5819105"/>
    <s v="2GD-J169433"/>
    <s v="KCMG052428"/>
    <s v="MUHAMMAD FADIL FAHMI RUSTANDI"/>
    <s v="ALVIN"/>
    <s v="CST-000823762"/>
    <s v="KHAIRUL UT AMA SIMANJUNTAK"/>
    <s v="INDIVIDU"/>
    <s v="JULIANA PANJAITAN"/>
    <s v="JL. CYNTHIA RAYA BLOK CB 10"/>
    <s v="KEC. GEDEBAGE"/>
    <s v="KOTA BANDUNG"/>
    <s v="KREDIT"/>
    <s v="PT. TOYOTA ASTRA FINANCIAL SERVICES"/>
    <m/>
    <n v="545800000"/>
    <n v="421540179"/>
    <n v="73675000"/>
    <n v="47906250"/>
    <n v="0"/>
    <n v="0"/>
    <n v="22321429"/>
    <n v="520800000"/>
    <n v="273000000"/>
    <n v="-25000000"/>
    <m/>
    <m/>
    <s v="Invoice"/>
    <n v="1"/>
    <m/>
    <s v="29/04/26"/>
    <s v="KC-26-000255"/>
    <s v="29/04/26"/>
    <s v="29/04/26"/>
    <s v="30/04/26 22.24"/>
    <s v="EB00029"/>
    <m/>
    <s v="14/05/26"/>
    <s v="2026046289"/>
    <s v="30/04/26"/>
    <s v="05/05/26 15.02"/>
    <n v="0"/>
  </r>
  <r>
    <n v="776"/>
    <n v="146"/>
    <s v="KC"/>
    <s v="146ARI2604-1303"/>
    <s v="27/04/26"/>
    <x v="2"/>
    <n v="2026"/>
    <x v="3"/>
    <x v="3"/>
    <s v="INNOVA G A/T DIESEL"/>
    <x v="2"/>
    <x v="0"/>
    <x v="0"/>
    <x v="4"/>
    <x v="0"/>
    <x v="3"/>
    <x v="1"/>
    <x v="1"/>
    <x v="14"/>
    <x v="2"/>
    <s v="GUN142R-MDTSXD-30"/>
    <s v="1G3"/>
    <s v="GRAY METALLIC"/>
    <s v="MHFJB8EM1T1191942"/>
    <s v="2GD-1958895"/>
    <s v="KCMG022606"/>
    <s v="RIDWAN MUSTOFA"/>
    <s v="MUHAMMAD CAISARIVA"/>
    <s v="CST-000823096"/>
    <s v="KHOERUDIN"/>
    <s v="INDIVIDU"/>
    <s v="RISMA YULIANTI"/>
    <s v="JL PADASUKA"/>
    <s v="KEC. CIBEUNYING KIDUL"/>
    <s v="KOTA BANDUNG"/>
    <s v="KREDIT"/>
    <s v="PT. MANDIRI TUNAS FINANCE"/>
    <m/>
    <n v="442100000"/>
    <n v="342622768"/>
    <n v="58362500"/>
    <n v="38864732"/>
    <n v="0"/>
    <n v="0"/>
    <n v="18750000"/>
    <n v="421100000"/>
    <n v="4000000"/>
    <n v="-21000000"/>
    <m/>
    <m/>
    <s v="Invoice"/>
    <n v="1"/>
    <m/>
    <s v="27/04/26"/>
    <s v="KC-26-000273"/>
    <s v="25/04/26"/>
    <s v="25/04/26"/>
    <s v="27/04/26 11.46"/>
    <s v="DC01922"/>
    <s v="27/04/26"/>
    <s v="11/05/26"/>
    <s v="2026043953"/>
    <s v="25/04/26"/>
    <s v="04/05/26 11.15"/>
    <n v="0"/>
  </r>
  <r>
    <n v="581"/>
    <n v="146"/>
    <s v="KC"/>
    <s v="146ARI2603-1062"/>
    <s v="26/03/26"/>
    <x v="0"/>
    <n v="2026"/>
    <x v="0"/>
    <x v="0"/>
    <s v="AVANZA E M/T"/>
    <x v="0"/>
    <x v="0"/>
    <x v="0"/>
    <x v="2"/>
    <x v="0"/>
    <x v="3"/>
    <x v="0"/>
    <x v="0"/>
    <x v="5"/>
    <x v="2"/>
    <s v="W100RE-LMDFJ-00"/>
    <s v="X12"/>
    <s v="BLACK MICA"/>
    <s v="MHKAA1BY9TJ012887"/>
    <s v="1NR-G318738"/>
    <s v="KCMG072528"/>
    <s v="GIYONO"/>
    <s v="MUHAMMAD CAISARIVA"/>
    <s v="CST-000817884"/>
    <s v="KIKI KOSWARA"/>
    <s v="INDIVIDU"/>
    <s v="RANI RAHMAWATI S.Pd"/>
    <s v="KP. BUNISARI"/>
    <s v="KEC. LEMBANG"/>
    <s v="KAB. BANDUNG BARAT"/>
    <s v="KREDIT"/>
    <s v="PT. TOYOTA ASTRA FINANCIAL SERVICES"/>
    <m/>
    <n v="246700000"/>
    <n v="189966518"/>
    <n v="33937500"/>
    <n v="21081696"/>
    <n v="0"/>
    <n v="0"/>
    <n v="14285714"/>
    <n v="230700000"/>
    <n v="0"/>
    <n v="-16000000"/>
    <s v="28/03/26"/>
    <s v="28/03/26"/>
    <s v="Invoice"/>
    <n v="1"/>
    <m/>
    <s v="16/03/26"/>
    <s v="KC-26-000136"/>
    <s v="15/03/26"/>
    <s v="15/03/26"/>
    <s v="16/03/26 11.52"/>
    <s v="B701782"/>
    <s v="26/03/26"/>
    <s v="09/04/26"/>
    <s v="2026020749"/>
    <s v="24/02/26"/>
    <s v="27/03/26 11.36"/>
    <n v="0"/>
  </r>
  <r>
    <n v="601"/>
    <n v="146"/>
    <s v="KC"/>
    <s v="146ARI2601-0648"/>
    <s v="17/01/26"/>
    <x v="3"/>
    <n v="2026"/>
    <x v="2"/>
    <x v="2"/>
    <s v="CALYA G A/T"/>
    <x v="1"/>
    <x v="0"/>
    <x v="0"/>
    <x v="6"/>
    <x v="1"/>
    <x v="0"/>
    <x v="0"/>
    <x v="1"/>
    <x v="10"/>
    <x v="2"/>
    <s v="B401RA-GQZFJ-20"/>
    <s v="1G3"/>
    <s v="GRAY METALLIC"/>
    <s v="MHKA6GK6JSJ086696"/>
    <s v="3NR-H970994"/>
    <s v="KCMG012503"/>
    <s v="DERI NURSANDI"/>
    <s v="MUHAMMAD CAISARIVA"/>
    <s v="CST-000807537"/>
    <s v="KONI KUSTIKAH"/>
    <s v="INDIVIDU"/>
    <s v="KONI KUSTIKAH"/>
    <s v="DUSUN CIJANGGEL"/>
    <s v="KEC. TANJUNGSARI"/>
    <s v="KAB. SUMEDANG"/>
    <s v="KREDIT"/>
    <s v="PT. INDOMOBIL FINANCE"/>
    <s v="001-26.64460579"/>
    <n v="196400000"/>
    <n v="150312500"/>
    <n v="28050000"/>
    <n v="16323214"/>
    <n v="0"/>
    <n v="0"/>
    <n v="14285714"/>
    <n v="180400000"/>
    <n v="0"/>
    <n v="-16000000"/>
    <s v="21/01/26"/>
    <s v="21/01/26"/>
    <s v="Invoice"/>
    <n v="1"/>
    <s v="0000000000000000"/>
    <s v="09/01/26"/>
    <s v="KC-25-000976"/>
    <s v="07/01/26"/>
    <s v="07/01/26"/>
    <s v="09/01/26 14.21"/>
    <s v="LO00175"/>
    <s v="17/01/26"/>
    <s v="16/02/26"/>
    <s v="2025104922"/>
    <s v="04/12/25"/>
    <s v="19/01/26 14.10"/>
    <n v="0"/>
  </r>
  <r>
    <n v="782"/>
    <n v="146"/>
    <s v="KC"/>
    <s v="146ARI2604-0306"/>
    <s v="06/04/26"/>
    <x v="2"/>
    <n v="2026"/>
    <x v="3"/>
    <x v="3"/>
    <s v="INNOVA G A/T DIESEL"/>
    <x v="6"/>
    <x v="0"/>
    <x v="0"/>
    <x v="4"/>
    <x v="0"/>
    <x v="0"/>
    <x v="1"/>
    <x v="0"/>
    <x v="12"/>
    <x v="2"/>
    <s v="GUN142R-MDTSXD-30"/>
    <s v="040"/>
    <s v="SUPER WHITE II"/>
    <s v="MHFJB8EMXT1189591"/>
    <s v="2GD-5954980"/>
    <s v="KCMK25001"/>
    <s v="RIDWAN DWI AZHARI"/>
    <s v="MUHAMMAD CAISARIVA"/>
    <s v="CST-000813123"/>
    <s v="KONKON WISASTERA WIDJAJA"/>
    <s v="INDIVIDU"/>
    <s v="KONKON WISASTERA WIDJAJA"/>
    <s v="JL. IPONG NO. 8"/>
    <s v="KEC. ANDIR"/>
    <s v="KOTA BANDUNG"/>
    <s v="KREDIT"/>
    <s v="UNIT KKB PT. BANK CENTRAL ASIA"/>
    <m/>
    <n v="442100000"/>
    <n v="342622768"/>
    <n v="58362500"/>
    <n v="38971875"/>
    <n v="0"/>
    <n v="0"/>
    <n v="17857143"/>
    <n v="422100000"/>
    <n v="0"/>
    <n v="-20000000"/>
    <s v="14/04/26"/>
    <s v="14/04/26"/>
    <s v="Invoice"/>
    <n v="1"/>
    <s v="0000000000000000"/>
    <s v="12/02/26"/>
    <s v="KC-25-001146"/>
    <s v="10/02/26"/>
    <s v="10/02/26"/>
    <s v="12/02/26 11.24"/>
    <s v="CC01473"/>
    <s v="06/04/26"/>
    <s v="20/04/26"/>
    <s v="2026032828"/>
    <s v="01/04/26"/>
    <s v="07/04/26 09.55"/>
    <n v="0"/>
  </r>
  <r>
    <n v="684"/>
    <n v="146"/>
    <s v="KC"/>
    <s v="146ARI2602-1285"/>
    <s v="26/02/26"/>
    <x v="1"/>
    <n v="2026"/>
    <x v="2"/>
    <x v="2"/>
    <s v="CALYA G M/T"/>
    <x v="4"/>
    <x v="0"/>
    <x v="0"/>
    <x v="4"/>
    <x v="0"/>
    <x v="0"/>
    <x v="1"/>
    <x v="1"/>
    <x v="1"/>
    <x v="0"/>
    <s v="B401RA-GMZFJ-20"/>
    <s v="S28"/>
    <s v="Silver Metallic"/>
    <s v="MHKA6GJ6JTJ222591"/>
    <s v="3NR-H983942"/>
    <s v="KCMK24005"/>
    <s v="JAJANG NURJAMAN"/>
    <s v="FERYANTO"/>
    <s v="CST-000814717"/>
    <s v="KUSMAYA"/>
    <s v="INDIVIDU"/>
    <s v="KUSMAYA"/>
    <s v="JL. MERKURI TIMUR III-Z NO.22"/>
    <s v="KEC. RANCASARI"/>
    <s v="KOTA BANDUNG"/>
    <s v="KREDIT"/>
    <s v="PT. ASTRA SEDAYA FINANCE"/>
    <m/>
    <n v="181900000"/>
    <n v="139564732"/>
    <n v="25587500"/>
    <n v="15569196"/>
    <n v="0"/>
    <n v="0"/>
    <n v="9821429"/>
    <n v="170900000"/>
    <n v="0"/>
    <n v="-11000000"/>
    <m/>
    <m/>
    <s v="Invoice"/>
    <n v="1"/>
    <m/>
    <s v="24/02/26"/>
    <s v="KC-26-000043"/>
    <s v="21/02/26"/>
    <s v="21/02/26"/>
    <s v="24/02/26 12.02"/>
    <s v="BO01759"/>
    <s v="26/02/26"/>
    <s v="12/03/26"/>
    <s v="2026018993"/>
    <s v="20/02/26"/>
    <s v="28/02/26 11.28"/>
    <n v="0"/>
  </r>
  <r>
    <n v="711"/>
    <n v="146"/>
    <s v="KC"/>
    <s v="146ARI2602-1188"/>
    <s v="24/02/26"/>
    <x v="1"/>
    <n v="2026"/>
    <x v="2"/>
    <x v="2"/>
    <s v="CALYA G M/T"/>
    <x v="3"/>
    <x v="0"/>
    <x v="1"/>
    <x v="15"/>
    <x v="1"/>
    <x v="0"/>
    <x v="0"/>
    <x v="8"/>
    <x v="12"/>
    <x v="2"/>
    <s v="B401RA-GMZFJ-20"/>
    <s v="4T3"/>
    <s v="BRONZE M.M."/>
    <s v="MHKA6GJ6JTJ222802"/>
    <s v="3NR-H984263"/>
    <s v="KCMK25001"/>
    <s v="RIDWAN DWI AZHARI"/>
    <s v="MUHAMMAD CAISARIVA"/>
    <s v="CST-000814727"/>
    <s v="LOIS HASADUNGAN MANURUNG"/>
    <s v="INDIVIDU"/>
    <s v="SUSI AMYA NAPITULU"/>
    <s v="RSTA BLOK 57 LT. 4 NO. 4"/>
    <s v="KEC. TANAH ABANG"/>
    <s v="KOTA JAKARTA PUSAT"/>
    <s v="CASH"/>
    <s v="CASH"/>
    <m/>
    <n v="178800000"/>
    <n v="137468750"/>
    <n v="24835000"/>
    <n v="15317678"/>
    <n v="0"/>
    <n v="0"/>
    <n v="9821429"/>
    <n v="167800000"/>
    <n v="116800000"/>
    <n v="-11000000"/>
    <m/>
    <m/>
    <s v="Invoice"/>
    <n v="1"/>
    <s v="0000000000000000"/>
    <s v="24/02/26"/>
    <s v="KC-26-000068"/>
    <s v="24/02/26"/>
    <s v="24/02/26"/>
    <s v="24/02/26 12.34"/>
    <s v="BO02111"/>
    <m/>
    <s v="10/03/26"/>
    <s v="2026020079"/>
    <s v="23/02/26"/>
    <s v="06/03/26 12.11"/>
    <n v="0"/>
  </r>
  <r>
    <n v="631"/>
    <n v="146"/>
    <s v="KC"/>
    <s v="146ARI2603-0275"/>
    <s v="06/03/26"/>
    <x v="0"/>
    <n v="2026"/>
    <x v="4"/>
    <x v="3"/>
    <s v="INNOVA ZENIX V A/T HYBRID"/>
    <x v="1"/>
    <x v="0"/>
    <x v="0"/>
    <x v="5"/>
    <x v="0"/>
    <x v="0"/>
    <x v="1"/>
    <x v="1"/>
    <x v="1"/>
    <x v="0"/>
    <s v="MAGH10R-BRXMBD-11"/>
    <s v="089"/>
    <s v="PLATINUM WHITE PEARL"/>
    <s v="MHFABAAA1T0050071"/>
    <s v="M20A-NF38263"/>
    <s v="KCMK24005"/>
    <s v="JAJANG NURJAMAN"/>
    <s v="FERYANTO"/>
    <s v="CST-000815972"/>
    <s v="LUTHVY INDAKA"/>
    <s v="INDIVIDU"/>
    <s v="LUTHVY INDAKA"/>
    <s v="KOMP. MGG JL. DACOTA 3 NO.5"/>
    <s v="KEC. CIMAHI SELATAN"/>
    <s v="KOTA CIMAHI"/>
    <s v="KREDIT"/>
    <s v="PT. BANK SYARIAH INDONESIA"/>
    <s v="002-26.36649378"/>
    <n v="554800000"/>
    <n v="430669643"/>
    <n v="72450000"/>
    <n v="49430357"/>
    <n v="0"/>
    <n v="0"/>
    <n v="18750000"/>
    <n v="533800000"/>
    <n v="0"/>
    <n v="-21000000"/>
    <s v="17/03/26"/>
    <s v="17/03/26"/>
    <s v="Invoice"/>
    <n v="1"/>
    <m/>
    <s v="04/03/26"/>
    <s v="KC-26-000082"/>
    <s v="04/03/26"/>
    <s v="04/03/26"/>
    <s v="04/03/26 14.42"/>
    <s v="BJ02443"/>
    <s v="06/03/26"/>
    <s v="20/03/26"/>
    <s v="2026022373"/>
    <s v="27/02/26"/>
    <s v="10/03/26 14.12"/>
    <n v="0"/>
  </r>
  <r>
    <n v="848"/>
    <n v="146"/>
    <s v="KC"/>
    <s v="146ARI2604-0311"/>
    <s v="06/04/26"/>
    <x v="2"/>
    <n v="2026"/>
    <x v="8"/>
    <x v="6"/>
    <s v="FORTUNER 4X2 VRZ A/T DIESEL"/>
    <x v="0"/>
    <x v="0"/>
    <x v="0"/>
    <x v="4"/>
    <x v="0"/>
    <x v="3"/>
    <x v="0"/>
    <x v="1"/>
    <x v="2"/>
    <x v="1"/>
    <s v="GUN166R-SDTHXD-32"/>
    <s v="2PS"/>
    <s v="BLACK - PLATINUM WHITE PEARL"/>
    <s v="MHFAA8GS5T0936180"/>
    <s v="1GD-5959193"/>
    <s v="KCMG042414"/>
    <s v="RIZKI RISMAWAN"/>
    <s v="ALVIN"/>
    <s v="CST-000818915"/>
    <s v="M RIZAL"/>
    <s v="INDIVIDU"/>
    <s v="M RIZAL"/>
    <s v="JL. DAYANA III DB 003"/>
    <s v="KEC. GEDEBAGE"/>
    <s v="KOTA BANDUNG"/>
    <s v="KREDIT"/>
    <s v="PT. TOYOTA ASTRA FINANCIAL SERVICES"/>
    <m/>
    <n v="684700000"/>
    <n v="532154018"/>
    <n v="88687500"/>
    <n v="60537053"/>
    <n v="0"/>
    <n v="0"/>
    <n v="27678571"/>
    <n v="653700000"/>
    <n v="0"/>
    <n v="-31000000"/>
    <s v="09/04/26"/>
    <s v="09/04/26"/>
    <s v="Invoice"/>
    <n v="1"/>
    <m/>
    <s v="27/03/26"/>
    <s v="KC-26-000129"/>
    <s v="26/03/26"/>
    <s v="26/03/26"/>
    <s v="27/03/26 16.30"/>
    <s v="CF00814"/>
    <s v="06/04/26"/>
    <s v="20/04/26"/>
    <s v="2026033718"/>
    <s v="03/04/26"/>
    <s v="07/04/26 08.54"/>
    <n v="0"/>
  </r>
  <r>
    <n v="723"/>
    <n v="146"/>
    <s v="KC"/>
    <s v="146ARI2602-1094"/>
    <s v="23/02/26"/>
    <x v="1"/>
    <n v="2026"/>
    <x v="1"/>
    <x v="1"/>
    <s v="HIACE COMM"/>
    <x v="1"/>
    <x v="0"/>
    <x v="0"/>
    <x v="0"/>
    <x v="0"/>
    <x v="1"/>
    <x v="0"/>
    <x v="0"/>
    <x v="22"/>
    <x v="1"/>
    <s v="KDH223R-LEMDY-00"/>
    <s v="058"/>
    <s v="WHITE"/>
    <s v="JTFST22P5S0054443"/>
    <s v="1KD-B228113"/>
    <s v="KCMG112537"/>
    <s v="DEAN NUR IMAN"/>
    <s v="ALVIN"/>
    <s v="CST-000812826"/>
    <s v="M WARSO ADI"/>
    <s v="INDIVIDU"/>
    <s v="NIKEN RAHMA SAWITRI"/>
    <s v="KP.SADANG"/>
    <s v="KEC. MARGAHAYU"/>
    <s v="KAB. BANDUNG"/>
    <s v="KREDIT"/>
    <s v="CIMB NIAGA FINANCE"/>
    <m/>
    <n v="578100000"/>
    <n v="451520270"/>
    <n v="76912500"/>
    <n v="47685247"/>
    <n v="0"/>
    <n v="0"/>
    <n v="18018018"/>
    <n v="558100000"/>
    <n v="20000000"/>
    <n v="-20000000"/>
    <s v="24/02/26"/>
    <s v="24/02/26"/>
    <s v="Invoice"/>
    <n v="1"/>
    <s v="1703140801770001"/>
    <s v="09/02/26"/>
    <s v="KC-25-001132"/>
    <s v="05/02/26"/>
    <s v="05/02/26"/>
    <s v="11/02/26 08.31"/>
    <s v="AP00419"/>
    <s v="23/02/26"/>
    <s v="09/03/26"/>
    <s v="2026007126"/>
    <s v="22/01/26"/>
    <s v="24/02/26 15.43"/>
    <n v="0"/>
  </r>
  <r>
    <n v="737"/>
    <n v="146"/>
    <s v="KC"/>
    <s v="146ARI2602-1186"/>
    <s v="24/02/26"/>
    <x v="1"/>
    <n v="2026"/>
    <x v="3"/>
    <x v="3"/>
    <s v="INNOVA G A/T DIESEL"/>
    <x v="2"/>
    <x v="0"/>
    <x v="0"/>
    <x v="2"/>
    <x v="0"/>
    <x v="3"/>
    <x v="0"/>
    <x v="0"/>
    <x v="21"/>
    <x v="1"/>
    <s v="GUN142R-MDTSXD-30"/>
    <s v="218"/>
    <s v="ATTITUDE BLACK MICA"/>
    <s v="MHFJB8EM5T1186646"/>
    <s v="2GD-5943883"/>
    <s v="KCMG012502"/>
    <s v="DADI SOBARI"/>
    <s v="ALVIN"/>
    <s v="CST-000814032"/>
    <s v="MANSUR SOLIHIN LUBIS"/>
    <s v="INDIVIDU"/>
    <s v="SANTIKA"/>
    <s v="KP RAWA TENGAH"/>
    <s v="KEC. NGAMPRAH"/>
    <s v="KAB. BANDUNG BARAT"/>
    <s v="KREDIT"/>
    <s v="PT. MANDIRI TUNAS FINANCE"/>
    <m/>
    <n v="442100000"/>
    <n v="342845982"/>
    <n v="58112500"/>
    <n v="38998660"/>
    <n v="0"/>
    <n v="0"/>
    <n v="17857143"/>
    <n v="422100000"/>
    <n v="5000000"/>
    <n v="-20000000"/>
    <m/>
    <m/>
    <s v="Invoice"/>
    <n v="1"/>
    <m/>
    <s v="19/02/26"/>
    <s v="KC-26-000009"/>
    <s v="13/02/26"/>
    <s v="13/02/26"/>
    <s v="19/02/26 11.11"/>
    <s v="BC01947"/>
    <s v="24/02/26"/>
    <s v="10/03/26"/>
    <s v="2026020074"/>
    <s v="23/02/26"/>
    <s v="25/02/26 08.29"/>
    <n v="0"/>
  </r>
  <r>
    <n v="750"/>
    <n v="146"/>
    <s v="KC"/>
    <s v="146ARI2602-1354"/>
    <s v="28/02/26"/>
    <x v="1"/>
    <n v="2026"/>
    <x v="7"/>
    <x v="5"/>
    <s v="HILUX DC V A/T DIESEL"/>
    <x v="3"/>
    <x v="0"/>
    <x v="1"/>
    <x v="16"/>
    <x v="1"/>
    <x v="3"/>
    <x v="0"/>
    <x v="0"/>
    <x v="30"/>
    <x v="2"/>
    <s v="GUN125R-DTTHXD-40"/>
    <s v="218"/>
    <s v="ATTITUDE BLACK MICA"/>
    <s v="MR0BB3CDXT5818329"/>
    <s v="2GD-J156065"/>
    <s v="KCMG012604"/>
    <s v="SYAFRIL AGUNG SEFILA"/>
    <s v="MUHAMMAD CAISARIVA"/>
    <s v="CST-000815182"/>
    <s v="MARSONO"/>
    <s v="INDIVIDU"/>
    <s v="MARSONO"/>
    <s v="7, Jl. Mampang Prapatan XI No.83-85"/>
    <s v="KEC. MAMPANG PRAPATAN"/>
    <s v="KOTA JAKARTA SELATAN"/>
    <s v="CASH"/>
    <s v="CASH"/>
    <m/>
    <n v="545900000"/>
    <n v="423854911"/>
    <n v="71182500"/>
    <n v="48184017"/>
    <n v="0"/>
    <n v="0"/>
    <n v="22321429"/>
    <n v="520900000"/>
    <n v="440900000"/>
    <n v="-25000000"/>
    <m/>
    <m/>
    <s v="Invoice"/>
    <n v="1"/>
    <s v="0000000000000000"/>
    <s v="27/02/26"/>
    <s v="KC-26-000060"/>
    <s v="27/02/26"/>
    <s v="27/02/26"/>
    <s v="27/02/26 12.53"/>
    <s v="BB01555"/>
    <m/>
    <s v="14/03/26"/>
    <s v="2026022092"/>
    <s v="26/02/26"/>
    <s v="03/03/26 12.18"/>
    <n v="0"/>
  </r>
  <r>
    <n v="672"/>
    <n v="146"/>
    <s v="KC"/>
    <s v="146ARI2601-0461"/>
    <s v="12/01/26"/>
    <x v="3"/>
    <n v="2026"/>
    <x v="3"/>
    <x v="3"/>
    <s v="INNOVA G A/T DIESEL"/>
    <x v="3"/>
    <x v="0"/>
    <x v="1"/>
    <x v="4"/>
    <x v="0"/>
    <x v="3"/>
    <x v="0"/>
    <x v="4"/>
    <x v="19"/>
    <x v="0"/>
    <s v="GUN142R-MDTSXD-30"/>
    <s v="218"/>
    <s v="ATTITUDE BLACK MICA"/>
    <s v="MHFJB8EM9T1182440"/>
    <s v="2GD-5919253"/>
    <s v="KCMG122541"/>
    <s v="GALIH HARISTIANTO"/>
    <s v="FERYANTO"/>
    <s v="CST-000807678"/>
    <s v="MARYANTI UTAMI NINGSIH"/>
    <s v="INDIVIDU"/>
    <s v="MARYANTI UTAMI NINGSIH"/>
    <s v="CIGENDING"/>
    <s v="KEC. UJUNGBERUNG"/>
    <s v="KOTA BANDUNG"/>
    <s v="CASH"/>
    <s v="CASH"/>
    <s v="001-26.64460585"/>
    <n v="442100000"/>
    <n v="342845982"/>
    <n v="58112500"/>
    <n v="38462946"/>
    <n v="0"/>
    <n v="0"/>
    <n v="22321429"/>
    <n v="417100000"/>
    <n v="0"/>
    <n v="-25000000"/>
    <s v="27/01/26"/>
    <s v="27/01/26"/>
    <s v="Invoice"/>
    <n v="1"/>
    <m/>
    <s v="10/01/26"/>
    <s v="KC-25-000990"/>
    <s v="09/01/26"/>
    <s v="09/01/26"/>
    <s v="10/01/26 11.01"/>
    <s v="AC00655"/>
    <s v="12/01/26"/>
    <s v="26/01/26"/>
    <s v="2026002390"/>
    <s v="12/01/26"/>
    <s v="15/01/26 10.50"/>
    <n v="0"/>
  </r>
  <r>
    <n v="669"/>
    <n v="146"/>
    <s v="KC"/>
    <s v="146ARI2603-0667"/>
    <s v="14/03/26"/>
    <x v="0"/>
    <n v="2026"/>
    <x v="5"/>
    <x v="4"/>
    <s v="VELOZ Q AT HYBRID"/>
    <x v="2"/>
    <x v="0"/>
    <x v="0"/>
    <x v="0"/>
    <x v="0"/>
    <x v="1"/>
    <x v="0"/>
    <x v="0"/>
    <x v="21"/>
    <x v="1"/>
    <s v="W102RE-LBVFJ-07"/>
    <s v="089"/>
    <s v="PLATINUM WHITE PEARL MICA"/>
    <s v="MHFA71BY3T0002908"/>
    <s v="2NR-Y664414"/>
    <s v="KCMG012502"/>
    <s v="DADI SOBARI"/>
    <s v="ALVIN"/>
    <s v="CST-000815339"/>
    <s v="MAWARDI"/>
    <s v="INDIVIDU"/>
    <s v="MAWARDI"/>
    <s v="KOMPLEK PASIR ENDAH I BLOK C67"/>
    <s v="KEC. BALEENDAH"/>
    <s v="KAB. BANDUNG"/>
    <s v="KREDIT"/>
    <s v="PT. MANDIRI TUNAS FINANCE"/>
    <m/>
    <n v="351500000"/>
    <n v="271841518"/>
    <n v="47037500"/>
    <n v="32620982"/>
    <n v="0"/>
    <n v="0"/>
    <n v="0"/>
    <n v="351500000"/>
    <n v="0"/>
    <n v="0"/>
    <s v="16/03/26"/>
    <s v="16/03/26"/>
    <s v="Invoice"/>
    <n v="1"/>
    <m/>
    <s v="27/02/26"/>
    <s v="KC-26-000055"/>
    <s v="23/02/26"/>
    <s v="23/02/26"/>
    <s v="28/02/26 12.08"/>
    <s v="C801250"/>
    <s v="14/03/26"/>
    <s v="28/03/26"/>
    <s v="2026027764"/>
    <s v="10/03/26"/>
    <s v="16/03/26 15.42"/>
    <n v="0"/>
  </r>
  <r>
    <n v="763"/>
    <n v="146"/>
    <s v="KC"/>
    <s v="146ARI2602-0134"/>
    <s v="04/02/26"/>
    <x v="1"/>
    <n v="2026"/>
    <x v="0"/>
    <x v="0"/>
    <s v="AVANZA G M/T"/>
    <x v="4"/>
    <x v="0"/>
    <x v="0"/>
    <x v="0"/>
    <x v="0"/>
    <x v="1"/>
    <x v="0"/>
    <x v="0"/>
    <x v="8"/>
    <x v="1"/>
    <s v="W101RE-LMMFJ-00"/>
    <s v="X12"/>
    <s v="BLACK MICA"/>
    <s v="MHKAB1BY0TJ012743"/>
    <s v="2NR-4F28365"/>
    <s v="KCMK25002"/>
    <s v="RAHMAWATI"/>
    <s v="ALVIN"/>
    <s v="CST-000807855"/>
    <s v="MEGA RIZKI TANIA"/>
    <s v="INDIVIDU"/>
    <s v="MEGA RIZKI TANIA"/>
    <s v="KP SUKAWANGI"/>
    <s v="KEC. BALEENDAH"/>
    <s v="KAB. BANDUNG"/>
    <s v="KREDIT"/>
    <s v="PT. ASTRA SEDAYA FINANCE"/>
    <s v="001-26.64462110"/>
    <n v="269700000"/>
    <n v="208158482"/>
    <n v="36562500"/>
    <n v="22881597"/>
    <n v="0"/>
    <n v="0"/>
    <n v="17478500"/>
    <n v="250124080"/>
    <n v="0"/>
    <n v="-20537458"/>
    <s v="07/02/26"/>
    <s v="07/02/26"/>
    <s v="Invoice"/>
    <n v="1"/>
    <m/>
    <s v="12/01/26"/>
    <s v="KC-25-001001"/>
    <s v="10/01/26"/>
    <s v="10/01/26"/>
    <s v="12/01/26 12.07"/>
    <s v="A700272"/>
    <s v="04/02/26"/>
    <s v="06/03/26"/>
    <s v="2026000687"/>
    <s v="07/01/26"/>
    <s v="05/02/26 10.04"/>
    <n v="0"/>
  </r>
  <r>
    <n v="895"/>
    <n v="146"/>
    <s v="KC"/>
    <s v="146ARI2604-0939"/>
    <s v="20/04/26"/>
    <x v="2"/>
    <n v="2026"/>
    <x v="13"/>
    <x v="11"/>
    <s v="RAIZE S A/T"/>
    <x v="0"/>
    <x v="0"/>
    <x v="0"/>
    <x v="0"/>
    <x v="0"/>
    <x v="2"/>
    <x v="0"/>
    <x v="1"/>
    <x v="23"/>
    <x v="1"/>
    <s v="A250RA-GBVVJ-30"/>
    <s v="X13"/>
    <s v="BLACK"/>
    <s v="MHKAA1BA4TJ184490"/>
    <s v="1KR-B029459"/>
    <s v="KCMG052516"/>
    <s v="YENI"/>
    <s v="ALVIN"/>
    <s v="CST-000822263"/>
    <s v="MEILIANAWATI GUNAWAN"/>
    <s v="INDIVIDU"/>
    <s v="GUNAWAN SUTAWIDJAJA"/>
    <s v="TAMAN KOPO INDAH II BLOK I. A 1 NO 4"/>
    <s v="KEC. MARGAASIH"/>
    <s v="KAB. BANDUNG"/>
    <s v="KREDIT"/>
    <s v="PT. TOYOTA ASTRA FINANCIAL SERVICES"/>
    <m/>
    <n v="294800000"/>
    <n v="227544643"/>
    <n v="39950000"/>
    <n v="25698214"/>
    <n v="0"/>
    <n v="0"/>
    <n v="13392857"/>
    <n v="279800000"/>
    <n v="0"/>
    <n v="-15000000"/>
    <s v="23/04/26"/>
    <s v="23/04/26"/>
    <s v="Invoice"/>
    <n v="1"/>
    <m/>
    <s v="20/04/26"/>
    <s v="KC-26-000204"/>
    <s v="19/04/26"/>
    <s v="19/04/26"/>
    <s v="20/04/26 17.32"/>
    <s v="BZ00277"/>
    <s v="20/04/26"/>
    <s v="04/05/26"/>
    <s v="2026014922"/>
    <s v="10/02/26"/>
    <s v="24/04/26 17.10"/>
    <n v="0"/>
  </r>
  <r>
    <n v="696"/>
    <n v="146"/>
    <s v="KC"/>
    <s v="146ARI2601-1306"/>
    <s v="31/01/26"/>
    <x v="3"/>
    <n v="2026"/>
    <x v="0"/>
    <x v="0"/>
    <s v="AVANZA E A/T"/>
    <x v="2"/>
    <x v="0"/>
    <x v="0"/>
    <x v="0"/>
    <x v="0"/>
    <x v="0"/>
    <x v="1"/>
    <x v="1"/>
    <x v="8"/>
    <x v="1"/>
    <s v="W100RE-LBDFJ-00"/>
    <s v="W09"/>
    <s v="WHITE"/>
    <s v="MHKAA1BYXTJ012011"/>
    <s v="1NR-G317323"/>
    <s v="KCMK25002"/>
    <s v="RAHMAWATI"/>
    <s v="ALVIN"/>
    <s v="CST-000811194"/>
    <s v="MOCHAMAD ARIEF HIDAYAT PUTRA"/>
    <s v="INDIVIDU"/>
    <s v="MOCHAMAD ARIEF HIDAYAT PUTRA"/>
    <s v="KOTA ARJASARI BLOCK H"/>
    <s v="KEC. ARJASARI"/>
    <s v="KAB. BANDUNG"/>
    <s v="KREDIT"/>
    <s v="PT. MANDIRI TUNAS FINANCE"/>
    <m/>
    <n v="261700000"/>
    <n v="201908482"/>
    <n v="35562500"/>
    <n v="22086160"/>
    <n v="0"/>
    <n v="0"/>
    <n v="17857143"/>
    <n v="241700000"/>
    <n v="0"/>
    <n v="-20000000"/>
    <m/>
    <m/>
    <s v="Invoice"/>
    <n v="1"/>
    <m/>
    <s v="31/01/26"/>
    <s v="KC-25-001103"/>
    <s v="31/01/26"/>
    <s v="31/01/26"/>
    <s v="31/01/26 19.32"/>
    <s v="A702775"/>
    <s v="31/01/26"/>
    <s v="02/03/26"/>
    <s v="2026011240"/>
    <s v="31/01/26"/>
    <s v="03/02/26 12.23"/>
    <n v="0"/>
  </r>
  <r>
    <n v="701"/>
    <n v="146"/>
    <s v="KC"/>
    <s v="146ARI2603-0699"/>
    <s v="14/03/26"/>
    <x v="0"/>
    <n v="2026"/>
    <x v="0"/>
    <x v="0"/>
    <s v="AVANZA E A/T"/>
    <x v="4"/>
    <x v="0"/>
    <x v="0"/>
    <x v="4"/>
    <x v="0"/>
    <x v="0"/>
    <x v="0"/>
    <x v="4"/>
    <x v="14"/>
    <x v="2"/>
    <s v="W100RE-LBDFJ-10"/>
    <s v="X12"/>
    <s v="BLACK MICA"/>
    <s v="MHKAA1BY6TJ013429"/>
    <s v="1NR-G320086"/>
    <s v="KCMG022606"/>
    <s v="RIDWAN MUSTOFA"/>
    <s v="MUHAMMAD CAISARIVA"/>
    <s v="CST-000816725"/>
    <s v="MOH SOFIYULOH"/>
    <s v="INDIVIDU"/>
    <s v="MOH SOFIYULOH"/>
    <s v="JL. BINONG KULON V"/>
    <s v="KEC. BATUNUNGGAL"/>
    <s v="KOTA BANDUNG"/>
    <s v="KREDIT"/>
    <s v="PT. ASTRA SEDAYA FINANCE"/>
    <m/>
    <n v="261700000"/>
    <n v="201685268"/>
    <n v="35812500"/>
    <n v="22487946"/>
    <n v="0"/>
    <n v="0"/>
    <n v="14285714"/>
    <n v="245700000"/>
    <n v="0"/>
    <n v="-16000000"/>
    <s v="17/03/26"/>
    <s v="17/03/26"/>
    <s v="Invoice"/>
    <n v="1"/>
    <s v="0000000000000000"/>
    <s v="09/03/26"/>
    <s v="KC-26-000092"/>
    <s v="09/03/26"/>
    <s v="09/03/26"/>
    <s v="09/03/26 12.09"/>
    <s v="C701289"/>
    <s v="14/03/26"/>
    <s v="28/03/26"/>
    <s v="2026029385"/>
    <s v="12/03/26"/>
    <s v="16/03/26 10.30"/>
    <n v="0"/>
  </r>
  <r>
    <n v="791"/>
    <n v="146"/>
    <s v="KC"/>
    <s v="146ARI2602-1374"/>
    <s v="28/02/26"/>
    <x v="1"/>
    <n v="2026"/>
    <x v="3"/>
    <x v="3"/>
    <s v="INNOVA G A/T DIESEL"/>
    <x v="0"/>
    <x v="0"/>
    <x v="0"/>
    <x v="4"/>
    <x v="0"/>
    <x v="0"/>
    <x v="0"/>
    <x v="0"/>
    <x v="10"/>
    <x v="2"/>
    <s v="GUN142R-MDTSXD-30"/>
    <s v="218"/>
    <s v="ATTITUDE BLACK MICA"/>
    <s v="MHFJB8EM8T1187970"/>
    <s v="2GD-5950098"/>
    <s v="KCMG012503"/>
    <s v="DERI NURSANDI"/>
    <s v="MUHAMMAD CAISARIVA"/>
    <s v="CST-000814709"/>
    <s v="MUCHAMAD RIDWAN S."/>
    <s v="INDIVIDU"/>
    <s v="MUCHAMAD RIDWAN S."/>
    <s v="JL. CISEBE NO.21"/>
    <s v="KEC. CIBEUNYING KIDUL"/>
    <s v="KOTA BANDUNG"/>
    <s v="KREDIT"/>
    <s v="PT. TOYOTA ASTRA FINANCIAL SERVICES"/>
    <m/>
    <n v="442100000"/>
    <n v="342845982"/>
    <n v="58112500"/>
    <n v="38998660"/>
    <n v="0"/>
    <n v="0"/>
    <n v="17857143"/>
    <n v="422100000"/>
    <n v="5000000"/>
    <n v="-20000000"/>
    <m/>
    <m/>
    <s v="Invoice"/>
    <n v="1"/>
    <s v="0000000000000000"/>
    <s v="23/02/26"/>
    <s v="KC-26-000063"/>
    <s v="23/02/26"/>
    <s v="23/02/26"/>
    <s v="24/02/26 11.28"/>
    <s v="BC03413"/>
    <m/>
    <s v="14/03/26"/>
    <s v="2026022552"/>
    <s v="27/02/26"/>
    <s v="02/03/26 18.48"/>
    <n v="0"/>
  </r>
  <r>
    <n v="930"/>
    <n v="146"/>
    <s v="KC"/>
    <s v="146ARI2604-0681"/>
    <s v="15/04/26"/>
    <x v="2"/>
    <n v="2026"/>
    <x v="1"/>
    <x v="1"/>
    <s v="HIACE PREMIO"/>
    <x v="0"/>
    <x v="0"/>
    <x v="0"/>
    <x v="0"/>
    <x v="0"/>
    <x v="0"/>
    <x v="0"/>
    <x v="0"/>
    <x v="5"/>
    <x v="2"/>
    <s v="GDH321R-EDFDYD-10"/>
    <s v="058"/>
    <s v="WHITE"/>
    <s v="JTF2A9CPXT6012684"/>
    <s v="1GD-9717748"/>
    <s v="KCMG072528"/>
    <s v="GIYONO"/>
    <s v="MUHAMMAD CAISARIVA"/>
    <s v="CST-000821061"/>
    <s v="MUCHAMMAD TAUFIQURROHMAN"/>
    <s v="INDIVIDU"/>
    <s v="ADINA ISLAMIYA SALSABILA BASTOMI"/>
    <s v="KP PASARKEMIS"/>
    <s v="KEC. BALEENDAH"/>
    <s v="KAB. BANDUNG"/>
    <s v="KREDIT"/>
    <s v="PT. TOYOTA ASTRA FINANCIAL SERVICES"/>
    <m/>
    <n v="678400000"/>
    <n v="525133929"/>
    <n v="90250000"/>
    <n v="60337500"/>
    <n v="0"/>
    <n v="0"/>
    <n v="22321429"/>
    <n v="653400000"/>
    <n v="0"/>
    <n v="-25000000"/>
    <s v="16/04/26"/>
    <s v="16/04/26"/>
    <s v="Invoice"/>
    <n v="1"/>
    <s v="0000000000000000"/>
    <s v="11/04/26"/>
    <s v="KC-26-000182"/>
    <s v="11/04/26"/>
    <s v="11/04/26"/>
    <s v="13/04/26 09.15"/>
    <s v="CP00213"/>
    <s v="15/04/26"/>
    <s v="29/04/26"/>
    <s v="2026028005"/>
    <s v="10/03/26"/>
    <s v="16/04/26 11.29"/>
    <n v="0"/>
  </r>
  <r>
    <n v="712"/>
    <n v="146"/>
    <s v="KC"/>
    <s v="146ARI2603-0430"/>
    <s v="09/03/26"/>
    <x v="0"/>
    <n v="2026"/>
    <x v="2"/>
    <x v="2"/>
    <s v="CALYA G A/T"/>
    <x v="2"/>
    <x v="0"/>
    <x v="0"/>
    <x v="0"/>
    <x v="0"/>
    <x v="3"/>
    <x v="0"/>
    <x v="8"/>
    <x v="15"/>
    <x v="0"/>
    <s v="B401RA-GQZFJ-20"/>
    <s v="X13"/>
    <s v="BLACK"/>
    <s v="MHKA6GK6JTJ089386"/>
    <s v="3NR-H986822"/>
    <s v="CMMG122342"/>
    <s v="REGYAWAN KURNIA"/>
    <s v="FERYANTO"/>
    <s v="CST-000816791"/>
    <s v="MUHAMAD RAMDAN"/>
    <s v="INDIVIDU"/>
    <s v="MUHAMAD RAMDAN"/>
    <s v="KP.LEBAK BIRU"/>
    <s v="KEC. CIPARAY"/>
    <s v="KAB. BANDUNG"/>
    <s v="KREDIT"/>
    <s v="PT. MANDIRI TUNAS FINANCE"/>
    <s v="001-26.64462995"/>
    <n v="196400000"/>
    <n v="150669643"/>
    <n v="27650000"/>
    <n v="16901785"/>
    <n v="0"/>
    <n v="0"/>
    <n v="9821429"/>
    <n v="185400000"/>
    <n v="0"/>
    <n v="-11000000"/>
    <s v="14/03/26"/>
    <s v="14/03/26"/>
    <s v="Invoice"/>
    <n v="1"/>
    <m/>
    <s v="06/03/26"/>
    <s v="KC-26-000019"/>
    <s v="06/03/26"/>
    <s v="06/03/26"/>
    <s v="09/03/26 14.31"/>
    <s v="CO00951"/>
    <s v="09/03/26"/>
    <s v="23/03/26"/>
    <s v="2026026130"/>
    <s v="06/03/26"/>
    <s v="11/03/26 19.33"/>
    <n v="0"/>
  </r>
  <r>
    <n v="715"/>
    <n v="146"/>
    <s v="KC"/>
    <s v="146ARI2601-0855"/>
    <s v="23/01/26"/>
    <x v="3"/>
    <n v="2026"/>
    <x v="0"/>
    <x v="0"/>
    <s v="AVANZA E M/T"/>
    <x v="2"/>
    <x v="0"/>
    <x v="0"/>
    <x v="11"/>
    <x v="1"/>
    <x v="3"/>
    <x v="0"/>
    <x v="8"/>
    <x v="18"/>
    <x v="1"/>
    <s v="W100RE-LMDFJ-00"/>
    <s v="X12"/>
    <s v="BLACK MICA"/>
    <s v="MHKAA1BY3TJ011539"/>
    <s v="1NR-G316612"/>
    <s v="KCMG052429"/>
    <s v="TOPIK HIDAYAT"/>
    <s v="ALVIN"/>
    <s v="CST-000808173"/>
    <s v="MUHAMAD UJANG ADIYASA"/>
    <s v="INDIVIDU"/>
    <s v="MUHAMAD UJANG ADIYASA"/>
    <s v="KP PULO BABULAK"/>
    <s v="KEC. RAJEG"/>
    <s v="KAB. TANGERANG (PLAT A)"/>
    <s v="KREDIT"/>
    <s v="PT. MANDIRI TUNAS FINANCE"/>
    <s v="001-26.64460819"/>
    <n v="244500000"/>
    <n v="187676339"/>
    <n v="34302500"/>
    <n v="20378303"/>
    <n v="0"/>
    <n v="0"/>
    <n v="17857143"/>
    <n v="224500000"/>
    <n v="0"/>
    <n v="-20000000"/>
    <s v="26/01/26"/>
    <s v="26/01/26"/>
    <s v="Invoice"/>
    <n v="1"/>
    <m/>
    <s v="14/01/26"/>
    <s v="KC-25-000980"/>
    <s v="10/01/26"/>
    <s v="10/01/26"/>
    <s v="14/01/26 11.15"/>
    <s v="A701678"/>
    <s v="23/01/26"/>
    <s v="22/02/26"/>
    <s v="2026006470"/>
    <s v="21/01/26"/>
    <s v="28/01/26 10.00"/>
    <n v="0"/>
  </r>
  <r>
    <n v="952"/>
    <n v="146"/>
    <s v="KC"/>
    <s v="146ARI2604-0340"/>
    <s v="07/04/26"/>
    <x v="2"/>
    <n v="2026"/>
    <x v="2"/>
    <x v="2"/>
    <s v="CALYA G M/T"/>
    <x v="0"/>
    <x v="0"/>
    <x v="0"/>
    <x v="3"/>
    <x v="1"/>
    <x v="3"/>
    <x v="0"/>
    <x v="0"/>
    <x v="18"/>
    <x v="1"/>
    <s v="B401RA-GMZFJ-20"/>
    <s v="X13"/>
    <s v="BLACK"/>
    <s v="MHKA6GJ6JTJ223870"/>
    <s v="3NR-H986729"/>
    <s v="KCMG052429"/>
    <s v="TOPIK HIDAYAT"/>
    <s v="ALVIN"/>
    <s v="CST-000818227"/>
    <s v="MUHAMAD YUSUP"/>
    <s v="INDIVIDU"/>
    <s v="MUHAMAD YUSUP"/>
    <s v="KP SADANG"/>
    <s v="KEC. BOJONGPICUNG"/>
    <s v="KAB. CIANJUR"/>
    <s v="KREDIT"/>
    <s v="PT. TOYOTA ASTRA FINANCIAL SERVICES"/>
    <m/>
    <n v="181900000"/>
    <n v="138582589"/>
    <n v="26687500"/>
    <n v="15558482"/>
    <n v="0"/>
    <n v="0"/>
    <n v="8928571"/>
    <n v="171900000"/>
    <n v="0"/>
    <n v="-10000000"/>
    <s v="09/04/26"/>
    <s v="09/04/26"/>
    <s v="Invoice"/>
    <n v="1"/>
    <m/>
    <s v="16/03/26"/>
    <s v="KC-26-000119"/>
    <s v="14/03/26"/>
    <s v="14/03/26"/>
    <s v="18/03/26 10.03"/>
    <s v="CO00981"/>
    <s v="07/04/26"/>
    <s v="21/04/26"/>
    <s v="2026026183"/>
    <s v="06/03/26"/>
    <s v="10/04/26 12.43"/>
    <n v="0"/>
  </r>
  <r>
    <n v="978"/>
    <n v="146"/>
    <s v="KC"/>
    <s v="146ARI2604-1374"/>
    <s v="29/04/26"/>
    <x v="2"/>
    <n v="2026"/>
    <x v="2"/>
    <x v="2"/>
    <s v="CALYA G M/T"/>
    <x v="2"/>
    <x v="0"/>
    <x v="0"/>
    <x v="0"/>
    <x v="0"/>
    <x v="3"/>
    <x v="0"/>
    <x v="0"/>
    <x v="24"/>
    <x v="0"/>
    <s v="B401RA-GMZFJ-20"/>
    <s v="W09"/>
    <s v="WHITE"/>
    <s v="MHKA6GJ6JTJ225491"/>
    <s v="3NR-H991038"/>
    <s v="KCMG012605"/>
    <s v="JUARNA KARMAN PUTRA"/>
    <s v="FERYANTO"/>
    <s v="CST-000823498"/>
    <s v="MULYADI"/>
    <s v="INDIVIDU"/>
    <s v="YULI ASTUTI"/>
    <s v="KP SANGHEULANG RT:001 RW:003 KEL.KARYALAKSANA KEC.IBUN KABUPATEN BANDUNG"/>
    <s v="KEC. IBUN"/>
    <s v="KAB. BANDUNG"/>
    <s v="KREDIT"/>
    <s v="PT. MANDIRI TUNAS FINANCE"/>
    <m/>
    <n v="181900000"/>
    <n v="139341518"/>
    <n v="25837500"/>
    <n v="15649553"/>
    <n v="0"/>
    <n v="0"/>
    <n v="8928571"/>
    <n v="171900000"/>
    <n v="2000000"/>
    <n v="-10000000"/>
    <m/>
    <m/>
    <s v="Invoice"/>
    <n v="1"/>
    <m/>
    <s v="28/04/26"/>
    <s v="KC-26-000252"/>
    <s v="27/04/26"/>
    <s v="27/04/26"/>
    <s v="29/04/26 16.05"/>
    <s v="DO01223"/>
    <m/>
    <s v="13/05/26"/>
    <s v="2026044173"/>
    <s v="27/04/26"/>
    <s v="06/05/26 08.00"/>
    <n v="0"/>
  </r>
  <r>
    <n v="986"/>
    <n v="146"/>
    <s v="KC"/>
    <s v="146ARI2604-0597"/>
    <s v="14/04/26"/>
    <x v="2"/>
    <n v="2026"/>
    <x v="3"/>
    <x v="3"/>
    <s v="INNOVA G M/T DIESEL"/>
    <x v="2"/>
    <x v="0"/>
    <x v="0"/>
    <x v="16"/>
    <x v="1"/>
    <x v="0"/>
    <x v="1"/>
    <x v="1"/>
    <x v="15"/>
    <x v="0"/>
    <s v="GUN142R-MDMSXD-30"/>
    <s v="218"/>
    <s v="ATTITUDE BLACK MICA"/>
    <s v="MHFJB8EM5T1188073"/>
    <s v="2GD-5947923"/>
    <s v="CMMG122342"/>
    <s v="REGYAWAN KURNIA"/>
    <s v="FERYANTO"/>
    <s v="CST-000820705"/>
    <s v="MUSTAROCHIM"/>
    <s v="INDIVIDU"/>
    <s v="MUSTAROCHIM"/>
    <s v="LEBAK BULUS"/>
    <s v="KEC. CILANDAK"/>
    <s v="KOTA JAKARTA SELATAN"/>
    <s v="KREDIT"/>
    <s v="PT. MANDIRI TUNAS FINANCE"/>
    <m/>
    <n v="417800000"/>
    <n v="324094643"/>
    <n v="54814000"/>
    <n v="36641357"/>
    <n v="0"/>
    <n v="0"/>
    <n v="18750000"/>
    <n v="396800000"/>
    <n v="0"/>
    <n v="-21000000"/>
    <s v="21/04/26"/>
    <s v="21/04/26"/>
    <s v="Invoice"/>
    <n v="1"/>
    <m/>
    <s v="08/04/26"/>
    <s v="KC-26-000166"/>
    <s v="08/04/26"/>
    <s v="08/04/26"/>
    <s v="09/04/26 15.33"/>
    <s v="BC03477"/>
    <s v="14/04/26"/>
    <s v="28/04/26"/>
    <s v="2026023472"/>
    <s v="02/03/26"/>
    <s v="15/04/26 15.08"/>
    <n v="0"/>
  </r>
  <r>
    <n v="988"/>
    <n v="146"/>
    <s v="KC"/>
    <s v="146ARI2604-0980"/>
    <s v="21/04/26"/>
    <x v="2"/>
    <n v="2026"/>
    <x v="2"/>
    <x v="2"/>
    <s v="CALYA G M/T"/>
    <x v="0"/>
    <x v="0"/>
    <x v="0"/>
    <x v="1"/>
    <x v="1"/>
    <x v="3"/>
    <x v="0"/>
    <x v="3"/>
    <x v="15"/>
    <x v="0"/>
    <s v="B401RA-GMZFJ-20"/>
    <s v="W09"/>
    <s v="WHITE"/>
    <s v="MHKA6GJ6JTJ225850"/>
    <s v="3NR-H991854"/>
    <s v="CMMG122342"/>
    <s v="REGYAWAN KURNIA"/>
    <s v="FERYANTO"/>
    <s v="CST-000821698"/>
    <s v="N.LILIS KOMALASARI, AMA.PD"/>
    <s v="INDIVIDU"/>
    <s v="DENI SAEPULLOH, SPD.I"/>
    <s v="KP.CIPAKSA"/>
    <s v="KEC. CISOMPET"/>
    <s v="KAB. GARUT"/>
    <s v="KREDIT"/>
    <s v="PT. TOYOTA ASTRA FINANCIAL SERVICES"/>
    <m/>
    <n v="181900000"/>
    <n v="139037946"/>
    <n v="26177500"/>
    <n v="15613125"/>
    <n v="0"/>
    <n v="0"/>
    <n v="8928571"/>
    <n v="171900000"/>
    <n v="2000000"/>
    <n v="-10000000"/>
    <s v="28/04/26"/>
    <s v="28/04/26"/>
    <s v="Invoice"/>
    <n v="1"/>
    <m/>
    <s v="10/04/26"/>
    <s v="KC-26-000200"/>
    <s v="09/04/26"/>
    <s v="09/04/26"/>
    <s v="16/04/26 14.00"/>
    <s v="DO01915"/>
    <s v="21/04/26"/>
    <s v="05/05/26"/>
    <s v="2026040850"/>
    <s v="20/04/26"/>
    <s v="22/04/26 10.13"/>
    <n v="0"/>
  </r>
  <r>
    <n v="846"/>
    <n v="146"/>
    <s v="KC"/>
    <s v="146ARI2602-0731"/>
    <s v="18/02/26"/>
    <x v="1"/>
    <n v="2026"/>
    <x v="1"/>
    <x v="1"/>
    <s v="HIACE COMM"/>
    <x v="3"/>
    <x v="0"/>
    <x v="1"/>
    <x v="4"/>
    <x v="0"/>
    <x v="3"/>
    <x v="1"/>
    <x v="8"/>
    <x v="20"/>
    <x v="1"/>
    <s v="KDH223R-LEMDY-00"/>
    <s v="058"/>
    <s v="WHITE"/>
    <s v="JTFST22P8S0054453"/>
    <s v="1KD-B228153"/>
    <s v="KCMG042424"/>
    <s v="INDAH PITALOKA"/>
    <s v="ALVIN"/>
    <s v="CST-000813630"/>
    <s v="NAIFA KANIAWATI EPENDI"/>
    <s v="INDIVIDU"/>
    <s v="NAIFA KANIAWATI EPENDI"/>
    <s v="GG CIKAWAO DLM III NO 74/36A"/>
    <s v="KEC. LENGKONG"/>
    <s v="KOTA BANDUNG"/>
    <s v="CASH"/>
    <s v="CASH"/>
    <s v="001-26.64462156"/>
    <n v="578100000"/>
    <n v="451520270"/>
    <n v="76912500"/>
    <n v="47685247"/>
    <n v="0"/>
    <n v="0"/>
    <n v="18018018"/>
    <n v="558100000"/>
    <n v="0"/>
    <n v="-20000000"/>
    <m/>
    <m/>
    <s v="Invoice"/>
    <n v="1"/>
    <m/>
    <s v="16/02/26"/>
    <s v="KC-26-000007"/>
    <s v="16/02/26"/>
    <s v="16/02/26"/>
    <s v="16/02/26 14.32"/>
    <s v="AP00389"/>
    <s v="18/02/26"/>
    <s v="04/03/26"/>
    <s v="2026006532"/>
    <s v="21/01/26"/>
    <s v="23/02/26 11.28"/>
    <n v="0"/>
  </r>
  <r>
    <n v="757"/>
    <n v="146"/>
    <s v="KC"/>
    <s v="146ARI2603-0321"/>
    <s v="07/03/26"/>
    <x v="0"/>
    <n v="2026"/>
    <x v="3"/>
    <x v="3"/>
    <s v="INNOVA G M/T DIESEL"/>
    <x v="0"/>
    <x v="0"/>
    <x v="0"/>
    <x v="4"/>
    <x v="0"/>
    <x v="0"/>
    <x v="0"/>
    <x v="0"/>
    <x v="9"/>
    <x v="0"/>
    <s v="GUN142R-MDMSXD-30"/>
    <s v="218"/>
    <s v="ATTITUDE BLACK MICA"/>
    <s v="MHFJB8EMXT1186254"/>
    <s v="2GD-5939696"/>
    <s v="KCMG042511"/>
    <s v="DADAN DARMADI"/>
    <s v="FERYANTO"/>
    <s v="CST-000815775"/>
    <s v="NANA SURYANA"/>
    <s v="INDIVIDU"/>
    <s v="LIA RISMAYANTI"/>
    <s v="BBK CIPARAY GG.MAMA APIN 1/50"/>
    <s v="KEC. BOJONGLOA KALER"/>
    <s v="KOTA BANDUNG"/>
    <s v="KREDIT"/>
    <s v="PT. TOYOTA ASTRA FINANCIAL SERVICES"/>
    <s v="002-26.36649380"/>
    <n v="420300000"/>
    <n v="325591518"/>
    <n v="55637500"/>
    <n v="36820982"/>
    <n v="0"/>
    <n v="0"/>
    <n v="18750000"/>
    <n v="399300000"/>
    <n v="0"/>
    <n v="-21000000"/>
    <s v="10/03/26"/>
    <s v="10/03/26"/>
    <s v="Invoice"/>
    <n v="1"/>
    <m/>
    <s v="28/02/26"/>
    <s v="KC-26-000081"/>
    <s v="27/02/26"/>
    <s v="27/02/26"/>
    <s v="03/03/26 16.12"/>
    <s v="BC01726"/>
    <s v="07/03/26"/>
    <s v="21/03/26"/>
    <s v="2026017527"/>
    <s v="16/02/26"/>
    <s v="09/03/26 09.24"/>
    <n v="0"/>
  </r>
  <r>
    <n v="850"/>
    <n v="146"/>
    <s v="KC"/>
    <s v="146ARI2602-1234"/>
    <s v="25/02/26"/>
    <x v="1"/>
    <n v="2026"/>
    <x v="2"/>
    <x v="2"/>
    <s v="CALYA G M/T"/>
    <x v="2"/>
    <x v="0"/>
    <x v="0"/>
    <x v="0"/>
    <x v="0"/>
    <x v="1"/>
    <x v="0"/>
    <x v="1"/>
    <x v="23"/>
    <x v="1"/>
    <s v="B401RA-GMZFJ-20"/>
    <s v="1G3"/>
    <s v="GRAY METALLIC"/>
    <s v="MHKA6GJ6JTJ222387"/>
    <s v="3NR-H983330"/>
    <s v="KCMG052516"/>
    <s v="YENI"/>
    <s v="ALVIN"/>
    <s v="CST-000814939"/>
    <s v="NANANG SUNTARA"/>
    <s v="INDIVIDU"/>
    <s v="ATO HAMDAN"/>
    <s v="KP. BABAKAN HARJA"/>
    <s v="KEC. RANCAEKEK"/>
    <s v="KAB. BANDUNG"/>
    <s v="KREDIT"/>
    <s v="PT. MANDIRI TUNAS FINANCE"/>
    <m/>
    <n v="181900000"/>
    <n v="139564732"/>
    <n v="25587500"/>
    <n v="15569196"/>
    <n v="0"/>
    <n v="0"/>
    <n v="9821429"/>
    <n v="170900000"/>
    <n v="730000"/>
    <n v="-11000000"/>
    <m/>
    <m/>
    <s v="Invoice"/>
    <n v="1"/>
    <m/>
    <s v="25/02/26"/>
    <s v="KC-26-000035"/>
    <s v="25/02/26"/>
    <s v="25/02/26"/>
    <s v="25/02/26 16.37"/>
    <s v="BO02860"/>
    <s v="25/02/26"/>
    <s v="11/03/26"/>
    <s v="2026017895"/>
    <s v="17/02/26"/>
    <s v="27/02/26 16.29"/>
    <n v="0"/>
  </r>
  <r>
    <n v="758"/>
    <n v="146"/>
    <s v="KC"/>
    <s v="146ARI2603-0627"/>
    <s v="13/03/26"/>
    <x v="0"/>
    <n v="2026"/>
    <x v="1"/>
    <x v="1"/>
    <s v="HIACE COMM"/>
    <x v="1"/>
    <x v="0"/>
    <x v="0"/>
    <x v="0"/>
    <x v="0"/>
    <x v="0"/>
    <x v="1"/>
    <x v="0"/>
    <x v="1"/>
    <x v="0"/>
    <s v="KDH223R-LEMDY-01"/>
    <s v="1E7"/>
    <s v="Silver Mica Metallic"/>
    <s v="JTFST22P0S0054494"/>
    <s v="1KD-B228450"/>
    <s v="KCMK24005"/>
    <s v="JAJANG NURJAMAN"/>
    <s v="FERYANTO"/>
    <s v="CST-000815391"/>
    <s v="NANANG SYAMSUDIN"/>
    <s v="INDIVIDU"/>
    <s v="PT GAGAH RAJIN BERANI"/>
    <s v="KAMPUNG RANCAKASIAT"/>
    <s v="KEC. PAMEUNGPEUK"/>
    <s v="KAB. BANDUNG"/>
    <s v="KREDIT"/>
    <s v="PT. INDOMOBIL FINANCE"/>
    <m/>
    <n v="578100000"/>
    <n v="450799550"/>
    <n v="77712500"/>
    <n v="45623986"/>
    <n v="0"/>
    <n v="0"/>
    <n v="36036036"/>
    <n v="538100000"/>
    <n v="0"/>
    <n v="-40000000"/>
    <s v="14/03/26"/>
    <s v="14/03/26"/>
    <s v="Invoice"/>
    <n v="1"/>
    <m/>
    <s v="23/02/26"/>
    <s v="KC-26-000050"/>
    <s v="28/02/26"/>
    <s v="28/02/26"/>
    <s v="28/02/26 16.07"/>
    <s v="AP00506"/>
    <s v="13/03/26"/>
    <s v="27/03/26"/>
    <s v="2026008580"/>
    <s v="26/01/26"/>
    <s v="16/03/26 15.54"/>
    <n v="0"/>
  </r>
  <r>
    <n v="1001"/>
    <n v="146"/>
    <s v="KC"/>
    <s v="146ARI2604-1130"/>
    <s v="23/04/26"/>
    <x v="2"/>
    <n v="2026"/>
    <x v="2"/>
    <x v="2"/>
    <s v="CALYA G A/T"/>
    <x v="2"/>
    <x v="0"/>
    <x v="0"/>
    <x v="2"/>
    <x v="0"/>
    <x v="0"/>
    <x v="0"/>
    <x v="1"/>
    <x v="32"/>
    <x v="1"/>
    <s v="B401RA-GQZFJ-20"/>
    <s v="1G3"/>
    <s v="GRAY METALLIC"/>
    <s v="MHKA6GK6JTJ090421"/>
    <s v="3NR-H992042"/>
    <s v="KCMG042608"/>
    <s v="ARDIAN PURNAMA"/>
    <s v="ALVIN"/>
    <s v="CST-000822726"/>
    <s v="NANDANG EFFENDI"/>
    <s v="INDIVIDU"/>
    <s v="RITA FEBRIANI"/>
    <s v="KP DAYAMEKAR"/>
    <s v="KEC. CIKALONGWETAN"/>
    <s v="KAB. BANDUNG BARAT"/>
    <s v="KREDIT"/>
    <s v="PT. MANDIRI TUNAS FINANCE"/>
    <m/>
    <n v="196400000"/>
    <n v="150669643"/>
    <n v="27650000"/>
    <n v="17008928"/>
    <n v="0"/>
    <n v="0"/>
    <n v="8928571"/>
    <n v="186400000"/>
    <n v="2000000"/>
    <n v="-10000000"/>
    <s v="28/04/26"/>
    <s v="28/04/26"/>
    <s v="Invoice"/>
    <n v="1"/>
    <m/>
    <s v="23/04/26"/>
    <s v="KC-26-000192"/>
    <s v="17/04/26"/>
    <s v="17/04/26"/>
    <s v="23/04/26 16.52"/>
    <s v="DO01976"/>
    <s v="23/04/26"/>
    <s v="07/05/26"/>
    <s v="2026041336"/>
    <s v="21/04/26"/>
    <s v="28/04/26 16.34"/>
    <n v="0"/>
  </r>
  <r>
    <n v="759"/>
    <n v="146"/>
    <s v="KC"/>
    <s v="146ARI2601-0453"/>
    <s v="12/01/26"/>
    <x v="3"/>
    <n v="2026"/>
    <x v="0"/>
    <x v="0"/>
    <s v="AVANZA G M/T"/>
    <x v="2"/>
    <x v="0"/>
    <x v="0"/>
    <x v="3"/>
    <x v="1"/>
    <x v="1"/>
    <x v="1"/>
    <x v="0"/>
    <x v="3"/>
    <x v="0"/>
    <s v="W101RE-LMMFJ-00"/>
    <s v="X12"/>
    <s v="BLACK MICA"/>
    <s v="MHKAB1BY0TJ012757"/>
    <s v="2NR-4F28459"/>
    <s v="KCMG052513"/>
    <s v="DENI ALFIAN"/>
    <s v="FERYANTO"/>
    <s v="CST-000806976"/>
    <s v="NENENG RESTI SUDRAJAT"/>
    <s v="INDIVIDU"/>
    <s v="DENI HAMDANI AROM"/>
    <s v="KP PASIRRARANGAN"/>
    <s v="KEC. PASIRKUDA"/>
    <s v="KAB. CIANJUR"/>
    <s v="KREDIT"/>
    <s v="PT. MANDIRI TUNAS FINANCE"/>
    <s v="001-26.64460584"/>
    <n v="269700000"/>
    <n v="207667411"/>
    <n v="37112500"/>
    <n v="22777232"/>
    <n v="0"/>
    <n v="0"/>
    <n v="17857143"/>
    <n v="249700000"/>
    <n v="0"/>
    <n v="-20000000"/>
    <s v="13/01/26"/>
    <s v="13/01/26"/>
    <s v="Invoice"/>
    <n v="1"/>
    <s v="3203325612870001"/>
    <s v="26/12/25"/>
    <s v="KC-25-000958"/>
    <s v="24/12/25"/>
    <s v="24/12/25"/>
    <s v="06/01/26 08.35"/>
    <s v="A700353"/>
    <s v="12/01/26"/>
    <s v="11/02/26"/>
    <s v="2026000687"/>
    <s v="07/01/26"/>
    <s v="13/01/26 08.50"/>
    <n v="0"/>
  </r>
  <r>
    <n v="1016"/>
    <n v="146"/>
    <s v="KC"/>
    <s v="146ARI2604-1423"/>
    <s v="30/04/26"/>
    <x v="2"/>
    <n v="2026"/>
    <x v="4"/>
    <x v="3"/>
    <s v="INNOVA ZENIX V A/T HYBRID"/>
    <x v="3"/>
    <x v="0"/>
    <x v="1"/>
    <x v="0"/>
    <x v="0"/>
    <x v="0"/>
    <x v="1"/>
    <x v="5"/>
    <x v="13"/>
    <x v="1"/>
    <s v="MAGH10R-BRXMBD-11"/>
    <s v="089"/>
    <s v="PLATINUM WHITE PEARL"/>
    <s v="MHFABAAA8T0051296"/>
    <s v="M20A-NF51080"/>
    <s v="KCMG072433"/>
    <s v="AHMAD MAULANA"/>
    <s v="ALVIN"/>
    <s v="CST-000823563"/>
    <s v="NENG DIDAH, A.MD"/>
    <s v="INDIVIDU"/>
    <s v="H NANA SUPRIATNA"/>
    <s v="JL SUKALUYU"/>
    <s v="KEC. MARGAHAYU"/>
    <s v="KAB. BANDUNG"/>
    <s v="CASH"/>
    <s v="CASH"/>
    <m/>
    <n v="554800000"/>
    <n v="430669643"/>
    <n v="72450000"/>
    <n v="49430357"/>
    <n v="0"/>
    <n v="0"/>
    <n v="18750000"/>
    <n v="533800000"/>
    <n v="9000000"/>
    <n v="-21000000"/>
    <m/>
    <m/>
    <s v="Invoice"/>
    <n v="1"/>
    <m/>
    <s v="30/04/26"/>
    <s v="KC-26-000218"/>
    <s v="30/04/26"/>
    <s v="30/04/26"/>
    <s v="30/04/26 09.28"/>
    <s v="CJ02564"/>
    <m/>
    <s v="14/05/26"/>
    <s v="2026033348"/>
    <s v="02/04/26"/>
    <s v="05/05/26 09.03"/>
    <n v="0"/>
  </r>
  <r>
    <n v="775"/>
    <n v="146"/>
    <s v="KC"/>
    <s v="146ARI2603-0541"/>
    <s v="12/03/26"/>
    <x v="0"/>
    <n v="2026"/>
    <x v="0"/>
    <x v="0"/>
    <s v="AVANZA G A/T"/>
    <x v="2"/>
    <x v="0"/>
    <x v="0"/>
    <x v="4"/>
    <x v="0"/>
    <x v="0"/>
    <x v="1"/>
    <x v="0"/>
    <x v="8"/>
    <x v="1"/>
    <s v="W101RE-LBMFJ-10"/>
    <s v="W09"/>
    <s v="WHITE"/>
    <s v="MHKAB1BY3TJ017726"/>
    <s v="2NR-4F63132"/>
    <s v="KCMK25002"/>
    <s v="RAHMAWATI"/>
    <s v="ALVIN"/>
    <s v="CST-000810248"/>
    <s v="NIKE HARDIANTI"/>
    <s v="INDIVIDU"/>
    <s v="NIKE HARDIANTI"/>
    <s v="JL CISARANTEN NO 59"/>
    <s v="KEC. ARCAMANIK"/>
    <s v="KOTA BANDUNG"/>
    <s v="KREDIT"/>
    <s v="PT. MANDIRI TUNAS FINANCE"/>
    <m/>
    <n v="284500000"/>
    <n v="219497768"/>
    <n v="38662500"/>
    <n v="24625446"/>
    <n v="0"/>
    <n v="0"/>
    <n v="14285714"/>
    <n v="268500000"/>
    <n v="0"/>
    <n v="-16000000"/>
    <s v="16/03/26"/>
    <s v="16/03/26"/>
    <s v="Invoice"/>
    <n v="1"/>
    <m/>
    <s v="28/01/26"/>
    <s v="KC-25-001038"/>
    <s v="30/12/25"/>
    <s v="30/12/25"/>
    <s v="29/01/26 11.54"/>
    <s v="C700816"/>
    <s v="12/03/26"/>
    <s v="26/03/26"/>
    <s v="2026028623"/>
    <s v="11/03/26"/>
    <s v="13/03/26 19.20"/>
    <n v="0"/>
  </r>
  <r>
    <n v="882"/>
    <n v="146"/>
    <s v="KC"/>
    <s v="146ARI2602-0866"/>
    <s v="20/02/26"/>
    <x v="1"/>
    <n v="2026"/>
    <x v="2"/>
    <x v="2"/>
    <s v="CALYA G M/T"/>
    <x v="2"/>
    <x v="0"/>
    <x v="0"/>
    <x v="4"/>
    <x v="0"/>
    <x v="0"/>
    <x v="2"/>
    <x v="1"/>
    <x v="17"/>
    <x v="2"/>
    <s v="B401RA-GMZFJ-20"/>
    <s v="W09"/>
    <s v="WHITE"/>
    <s v="MHKA6GJ6JTJ221876"/>
    <s v="3NR-H981240"/>
    <s v="KCMG112540"/>
    <s v="KHARISMA GALIH PUTRA"/>
    <s v="MUHAMMAD CAISARIVA"/>
    <s v="CST-000813404"/>
    <s v="NOVI AYUSTIANAH"/>
    <s v="INDIVIDU"/>
    <s v="NOVI AYUSTIANAH"/>
    <s v="JL. CIBADUYUT RAYA NO. 183A"/>
    <s v="KEC. BOJONGLOA KIDUL"/>
    <s v="KOTA BANDUNG"/>
    <s v="KREDIT"/>
    <s v="PT. MANDIRI TUNAS FINANCE"/>
    <s v="001-26.64462161"/>
    <n v="181900000"/>
    <n v="139564732"/>
    <n v="25587500"/>
    <n v="15676339"/>
    <n v="0"/>
    <n v="0"/>
    <n v="8928571"/>
    <n v="171900000"/>
    <n v="0"/>
    <n v="-10000000"/>
    <s v="27/02/26"/>
    <s v="27/02/26"/>
    <s v="Invoice"/>
    <n v="1"/>
    <s v="0000000000000000"/>
    <s v="13/02/26"/>
    <s v="KC-26-000023"/>
    <s v="12/02/26"/>
    <s v="12/02/26"/>
    <s v="13/02/26 18.04"/>
    <s v="BO00947"/>
    <s v="20/02/26"/>
    <s v="06/03/26"/>
    <s v="2026016716"/>
    <s v="13/02/26"/>
    <s v="21/02/26 17.00"/>
    <n v="0"/>
  </r>
  <r>
    <n v="773"/>
    <n v="146"/>
    <s v="KC"/>
    <s v="146ARI2601-0263"/>
    <s v="07/01/26"/>
    <x v="3"/>
    <n v="2026"/>
    <x v="8"/>
    <x v="6"/>
    <s v="FORTUNER 4X2 VRZ A/T DIESEL"/>
    <x v="2"/>
    <x v="0"/>
    <x v="0"/>
    <x v="4"/>
    <x v="0"/>
    <x v="0"/>
    <x v="0"/>
    <x v="5"/>
    <x v="9"/>
    <x v="0"/>
    <s v="GUN166R-SDTHXD-31"/>
    <s v="218"/>
    <s v="ATTITUDE BLACK MICA"/>
    <s v="MHFAA8GS4S0933706"/>
    <s v="1GD-J139240"/>
    <s v="KCMG042511"/>
    <s v="DADAN DARMADI"/>
    <s v="FERYANTO"/>
    <s v="CST-000807082"/>
    <s v="NOVI RATNA KOMALA"/>
    <s v="INDIVIDU"/>
    <s v="NOVI RATNA KOMALA"/>
    <s v="JL. CIGADUNG PESANTREN NO. 160 E"/>
    <s v="KEC. CIBEUNYING KALER"/>
    <s v="KOTA BANDUNG"/>
    <s v="KREDIT"/>
    <s v="PT. MANDIRI TUNAS FINANCE"/>
    <s v="001-26.64460572"/>
    <n v="679700000"/>
    <n v="528470982"/>
    <n v="87812500"/>
    <n v="58059375"/>
    <n v="0"/>
    <n v="0"/>
    <n v="44642857"/>
    <n v="629700000"/>
    <n v="0"/>
    <n v="-50000000"/>
    <s v="12/01/26"/>
    <s v="12/01/26"/>
    <s v="Invoice"/>
    <n v="1"/>
    <s v="0000000000000000"/>
    <s v="06/01/26"/>
    <s v="KC-25-000948"/>
    <s v="03/01/26"/>
    <s v="03/01/26"/>
    <s v="06/01/26 15.08"/>
    <s v="LF01041"/>
    <s v="07/01/26"/>
    <s v="06/02/26"/>
    <s v="2025114620"/>
    <s v="30/12/25"/>
    <s v="12/01/26 10.51"/>
    <n v="0"/>
  </r>
  <r>
    <n v="789"/>
    <n v="146"/>
    <s v="KC"/>
    <s v="146ARI2603-1285"/>
    <s v="30/03/26"/>
    <x v="0"/>
    <n v="2026"/>
    <x v="0"/>
    <x v="0"/>
    <s v="AVANZA G M/T"/>
    <x v="4"/>
    <x v="0"/>
    <x v="0"/>
    <x v="4"/>
    <x v="0"/>
    <x v="0"/>
    <x v="0"/>
    <x v="1"/>
    <x v="31"/>
    <x v="0"/>
    <s v="W101RE-LMMFJ-10"/>
    <s v="X12"/>
    <s v="BLACK MICA"/>
    <s v="MHKAB1BY0TJ018123"/>
    <s v="2NR-4F65843"/>
    <s v="KCMG072529"/>
    <s v="FANI PERMANI"/>
    <s v="FERYANTO"/>
    <s v="CST-000819273"/>
    <s v="NUR'AENI"/>
    <s v="INDIVIDU"/>
    <s v="NUR'AENI"/>
    <s v="JL.PASIRLEUTIK"/>
    <s v="KEC. CIBEUNYING KIDUL"/>
    <s v="KOTA BANDUNG"/>
    <s v="KREDIT"/>
    <s v="PT. ASTRA SEDAYA FINANCE"/>
    <m/>
    <n v="269700000"/>
    <n v="207935268"/>
    <n v="36812500"/>
    <n v="23237946"/>
    <n v="0"/>
    <n v="0"/>
    <n v="14285714"/>
    <n v="253700000"/>
    <n v="6000000"/>
    <n v="-16000000"/>
    <m/>
    <m/>
    <s v="Invoice"/>
    <n v="1"/>
    <m/>
    <s v="30/03/26"/>
    <s v="KC-26-000174"/>
    <s v="27/03/26"/>
    <s v="27/03/26"/>
    <s v="30/03/26 17.38"/>
    <s v="C701510"/>
    <s v="30/03/26"/>
    <s v="13/04/26"/>
    <s v="2026031264"/>
    <s v="17/03/26"/>
    <s v="31/03/26 08.00"/>
    <n v="0"/>
  </r>
  <r>
    <n v="1055"/>
    <n v="146"/>
    <s v="KC"/>
    <s v="146ARI2604-0699"/>
    <s v="15/04/26"/>
    <x v="2"/>
    <n v="2026"/>
    <x v="3"/>
    <x v="3"/>
    <s v="INNOVA G A/T DIESEL"/>
    <x v="3"/>
    <x v="0"/>
    <x v="1"/>
    <x v="0"/>
    <x v="0"/>
    <x v="0"/>
    <x v="0"/>
    <x v="0"/>
    <x v="4"/>
    <x v="0"/>
    <s v="GUN142R-MDTSXD-30"/>
    <s v="1D6"/>
    <s v="Silver Metallic"/>
    <s v="MHFJB8EM3T1190663"/>
    <s v="2GD-5964663"/>
    <s v="KCMG032507"/>
    <s v="SENOAJI"/>
    <s v="FERYANTO"/>
    <s v="CST-000820886"/>
    <s v="NURHUDA"/>
    <s v="INDIVIDU"/>
    <s v="NURHUDA"/>
    <s v="KOMPLEK USB YPKP JL AKUTANSI NO 1"/>
    <s v="KEC. CIMENYAN"/>
    <s v="KAB. BANDUNG"/>
    <s v="CASH"/>
    <s v="CASH"/>
    <m/>
    <n v="442100000"/>
    <n v="342622768"/>
    <n v="58362500"/>
    <n v="38864732"/>
    <n v="0"/>
    <n v="0"/>
    <n v="18750000"/>
    <n v="421100000"/>
    <n v="0"/>
    <n v="-21000000"/>
    <s v="22/04/26"/>
    <s v="22/04/26"/>
    <s v="Invoice"/>
    <n v="1"/>
    <s v="0000000000000000"/>
    <s v="10/04/26"/>
    <s v="KC-26-000162"/>
    <s v="09/04/26"/>
    <s v="09/04/26"/>
    <s v="10/04/26 17.50"/>
    <s v="DC00655"/>
    <s v="15/04/26"/>
    <s v="24/04/26"/>
    <s v="2026038622"/>
    <s v="15/04/26"/>
    <s v="16/04/26 14.49"/>
    <n v="0"/>
  </r>
  <r>
    <n v="1057"/>
    <n v="146"/>
    <s v="KC"/>
    <s v="146ARI2604-0753"/>
    <s v="17/04/26"/>
    <x v="2"/>
    <n v="2026"/>
    <x v="2"/>
    <x v="2"/>
    <s v="CALYA G M/T"/>
    <x v="4"/>
    <x v="0"/>
    <x v="0"/>
    <x v="0"/>
    <x v="0"/>
    <x v="3"/>
    <x v="0"/>
    <x v="1"/>
    <x v="29"/>
    <x v="1"/>
    <s v="B401RA-GMZFJ-20"/>
    <s v="1G3"/>
    <s v="GRAY METALLIC"/>
    <s v="MHKA6GJ6JTJ225467"/>
    <s v="3NR-H990799"/>
    <s v="KCMG042609"/>
    <s v="ANDRI JAYA LAKSANA"/>
    <s v="ALVIN"/>
    <s v="CST-000821420"/>
    <s v="NURJANAH"/>
    <s v="INDIVIDU"/>
    <s v="NURJANAH"/>
    <s v="KP SAYANG TENGAH"/>
    <s v="KEC. CIKANCUNG"/>
    <s v="KAB. BANDUNG"/>
    <s v="KREDIT"/>
    <s v="PT. ASTRA SEDAYA FINANCE"/>
    <m/>
    <n v="181900000"/>
    <n v="139341518"/>
    <n v="25837500"/>
    <n v="15649553"/>
    <n v="0"/>
    <n v="0"/>
    <n v="8928571"/>
    <n v="171900000"/>
    <n v="0"/>
    <n v="-10000000"/>
    <s v="25/04/26"/>
    <s v="25/04/26"/>
    <s v="Invoice"/>
    <n v="1"/>
    <m/>
    <s v="14/04/26"/>
    <s v="KC-26-000212"/>
    <s v="12/04/26"/>
    <s v="12/04/26"/>
    <s v="14/04/26 15.57"/>
    <s v="DO01332"/>
    <s v="17/04/26"/>
    <s v="01/05/26"/>
    <s v="2026038092"/>
    <s v="14/04/26"/>
    <s v="21/04/26 14.28"/>
    <n v="0"/>
  </r>
  <r>
    <n v="1089"/>
    <n v="146"/>
    <s v="KC"/>
    <s v="146ARI2604-0664"/>
    <s v="15/04/26"/>
    <x v="2"/>
    <n v="2026"/>
    <x v="7"/>
    <x v="5"/>
    <s v="RANGGA-HILUX PU DIESEL A/T"/>
    <x v="3"/>
    <x v="0"/>
    <x v="1"/>
    <x v="4"/>
    <x v="0"/>
    <x v="0"/>
    <x v="0"/>
    <x v="0"/>
    <x v="8"/>
    <x v="1"/>
    <s v="GUN110R-ATTHXD-10"/>
    <s v="058"/>
    <s v="WHITE"/>
    <s v="MR0AD9AA2T0001810"/>
    <s v="2GD-1946483"/>
    <s v="KCMK25002"/>
    <s v="RAHMAWATI"/>
    <s v="ALVIN"/>
    <s v="CST-000820469"/>
    <s v="PENDI RONI PUSLA"/>
    <s v="INDIVIDU"/>
    <s v="PENDI RONI PUSLA"/>
    <s v="ASRAMA YON ZIPUR 9"/>
    <s v="KEC. CINAMBO"/>
    <s v="KOTA BANDUNG"/>
    <s v="CASH"/>
    <s v="CASH"/>
    <m/>
    <n v="315000000"/>
    <n v="243400901"/>
    <n v="44825000"/>
    <n v="25783108"/>
    <n v="0"/>
    <n v="0"/>
    <n v="9009009"/>
    <n v="305000000"/>
    <n v="0"/>
    <n v="-10000000"/>
    <s v="22/04/26"/>
    <s v="22/04/26"/>
    <s v="Invoice"/>
    <n v="1"/>
    <m/>
    <s v="08/04/26"/>
    <s v="KC-26-000156"/>
    <s v="07/04/26"/>
    <s v="07/04/26"/>
    <s v="08/04/26 11.13"/>
    <s v="CB01719"/>
    <s v="15/04/26"/>
    <s v="24/04/26"/>
    <s v="2026031664"/>
    <s v="18/03/26"/>
    <s v="16/04/26 10.12"/>
    <n v="0"/>
  </r>
  <r>
    <n v="815"/>
    <n v="146"/>
    <s v="KC"/>
    <s v="146ARI2601-0845"/>
    <s v="23/01/26"/>
    <x v="3"/>
    <n v="2026"/>
    <x v="0"/>
    <x v="0"/>
    <s v="AVANZA G M/T"/>
    <x v="0"/>
    <x v="0"/>
    <x v="0"/>
    <x v="2"/>
    <x v="0"/>
    <x v="0"/>
    <x v="0"/>
    <x v="0"/>
    <x v="20"/>
    <x v="1"/>
    <s v="W101RE-LMMFJ-00"/>
    <s v="X12"/>
    <s v="BLACK MICA"/>
    <s v="MHKAB1BY7TJ012741"/>
    <s v="2NR-4F27938"/>
    <s v="KCMG042424"/>
    <s v="INDAH PITALOKA"/>
    <s v="ALVIN"/>
    <s v="CST-000809023"/>
    <s v="PIPIT SUNDARI"/>
    <s v="INDIVIDU"/>
    <s v="PIPIT SUNDARI"/>
    <s v="KP CICEURI"/>
    <s v="KEC. RONGGA"/>
    <s v="KAB. BANDUNG BARAT"/>
    <s v="KREDIT"/>
    <s v="PT. TOYOTA ASTRA FINANCIAL SERVICES"/>
    <s v="001-26.64460818"/>
    <n v="269700000"/>
    <n v="208158482"/>
    <n v="36562500"/>
    <n v="22836160"/>
    <n v="0"/>
    <n v="0"/>
    <n v="17857143"/>
    <n v="249700000"/>
    <n v="0"/>
    <n v="-20000000"/>
    <s v="29/01/26"/>
    <s v="29/01/26"/>
    <s v="Invoice"/>
    <n v="1"/>
    <m/>
    <s v="20/01/26"/>
    <s v="KC-25-001028"/>
    <s v="20/01/26"/>
    <s v="20/01/26"/>
    <s v="20/01/26 16.52"/>
    <s v="A700256"/>
    <s v="23/01/26"/>
    <s v="22/02/26"/>
    <s v="2026000687"/>
    <s v="07/01/26"/>
    <s v="25/01/26 16.42"/>
    <n v="0"/>
  </r>
  <r>
    <n v="883"/>
    <n v="146"/>
    <s v="KC"/>
    <s v="146ARI2601-0610"/>
    <s v="15/01/26"/>
    <x v="3"/>
    <n v="2026"/>
    <x v="7"/>
    <x v="5"/>
    <s v="HILUX SC M/T DIESEL"/>
    <x v="0"/>
    <x v="1"/>
    <x v="0"/>
    <x v="16"/>
    <x v="1"/>
    <x v="4"/>
    <x v="1"/>
    <x v="6"/>
    <x v="1"/>
    <x v="1"/>
    <s v="GUN125R-BTFLXD-30"/>
    <s v="218"/>
    <s v="ATTITUDE BLACK MICA"/>
    <s v="MR0DB8CB2S6009548"/>
    <s v="2GD-D556611"/>
    <s v="KCMK24005"/>
    <s v="JAJANG NURJAMAN"/>
    <s v="ALVIN"/>
    <s v="CST-000807857"/>
    <s v="PT. BHINNEKA KREASI PRATAMA"/>
    <s v="PT"/>
    <s v="PT BHINNEKA KREASI PRATAMA"/>
    <s v="ALAMANDA TOWER LT.2 UNIT H.1 HARKA OFFICE, JALAN TB. SIMATUPANG NOMOR 23-24"/>
    <s v="KEC. CILANDAK"/>
    <s v="KOTA JAKARTA SELATAN"/>
    <s v="KREDIT"/>
    <s v="PT. TOYOTA ASTRA FINANCIAL SERVICES"/>
    <s v="001-26.64460595"/>
    <n v="416800000"/>
    <n v="325905405"/>
    <n v="55045000"/>
    <n v="32827072"/>
    <n v="0"/>
    <n v="0"/>
    <n v="27477477"/>
    <n v="386300000"/>
    <n v="0"/>
    <n v="-30500000"/>
    <s v="21/01/26"/>
    <s v="21/01/26"/>
    <s v="Invoice"/>
    <n v="1"/>
    <s v="0283602159016000"/>
    <s v="10/01/26"/>
    <s v="KC-25-000970"/>
    <s v="12/01/26"/>
    <s v="12/01/26"/>
    <s v="12/01/26 11.59"/>
    <s v="LB01509"/>
    <s v="15/01/26"/>
    <s v="14/02/26"/>
    <s v="2025111254"/>
    <s v="19/12/25"/>
    <s v="16/01/26 10.19"/>
    <n v="0"/>
  </r>
  <r>
    <n v="909"/>
    <n v="146"/>
    <s v="KC"/>
    <s v="146ARI2601-0858"/>
    <s v="23/01/26"/>
    <x v="3"/>
    <n v="2026"/>
    <x v="7"/>
    <x v="5"/>
    <s v="RANGGA-HILUX PU DIESEL M/T"/>
    <x v="0"/>
    <x v="1"/>
    <x v="0"/>
    <x v="0"/>
    <x v="0"/>
    <x v="0"/>
    <x v="0"/>
    <x v="6"/>
    <x v="25"/>
    <x v="2"/>
    <s v="GUN112R-ATMSXD-10"/>
    <s v="058"/>
    <s v="WHITE"/>
    <s v="MR0ACAEAXT0241895"/>
    <s v="2GD-D564151"/>
    <s v="KCMG112539"/>
    <s v="RIDWAN EFENDI"/>
    <s v="MUHAMMAD CAISARIVA"/>
    <s v="CST-000809413"/>
    <s v="PT. ITER AERO INDUSTRI"/>
    <s v="PT"/>
    <s v="PT ITER AERO INDUSTRI NO 26"/>
    <s v="JL PASIR PANJANG NO 126"/>
    <s v="KEC. KATAPANG"/>
    <s v="KAB. BANDUNG"/>
    <s v="KREDIT"/>
    <s v="PT. TOYOTA ASTRA FINANCIAL SERVICES"/>
    <s v="001-26.64460826"/>
    <n v="259200000"/>
    <n v="200135135"/>
    <n v="37050000"/>
    <n v="20528378"/>
    <n v="0"/>
    <n v="0"/>
    <n v="13513514"/>
    <n v="244200000"/>
    <n v="0"/>
    <n v="-15000000"/>
    <m/>
    <m/>
    <s v="Invoice"/>
    <n v="1"/>
    <s v="0000000000000000"/>
    <s v="23/01/26"/>
    <s v="KC-25-001032"/>
    <s v="23/01/26"/>
    <s v="23/01/26"/>
    <s v="23/01/26 11.28"/>
    <s v="AB01679"/>
    <m/>
    <s v="22/02/26"/>
    <s v="2026007112"/>
    <s v="22/01/26"/>
    <s v="24/01/26 11.16"/>
    <n v="0"/>
  </r>
  <r>
    <n v="874"/>
    <n v="146"/>
    <s v="KC"/>
    <s v="146ARI2603-0817"/>
    <s v="16/03/26"/>
    <x v="0"/>
    <n v="2026"/>
    <x v="4"/>
    <x v="3"/>
    <s v="INNOVA ZENIX V A/T HYBRID"/>
    <x v="2"/>
    <x v="1"/>
    <x v="0"/>
    <x v="4"/>
    <x v="0"/>
    <x v="3"/>
    <x v="0"/>
    <x v="6"/>
    <x v="24"/>
    <x v="0"/>
    <s v="MAGH10R-BRXMBD-10"/>
    <s v="218"/>
    <s v="ATTITUDE BLACK MICA"/>
    <s v="MHFABAAA2T0049642"/>
    <s v="M20A-NF32473"/>
    <s v="KCMG012605"/>
    <s v="JUARNA KARMAN PUTRA"/>
    <s v="FERYANTO"/>
    <s v="CST-000817912"/>
    <s v="PT. KARYACIPT.A PELANGI BANGSA"/>
    <s v="PT"/>
    <s v="PT KARYACIPTA PELANGI BANGSA"/>
    <s v="JL CANDRA KIRANA NO 2 LANTAI IV"/>
    <s v="KEC. BOJONGLOA KIDUL"/>
    <s v="KOTA BANDUNG"/>
    <s v="KREDIT"/>
    <s v="PT. MANDIRI TUNAS FINANCE"/>
    <m/>
    <n v="551900000"/>
    <n v="428404018"/>
    <n v="72087500"/>
    <n v="49158482"/>
    <n v="0"/>
    <n v="0"/>
    <n v="18750000"/>
    <n v="530900000"/>
    <n v="0"/>
    <n v="-21000000"/>
    <s v="17/03/26"/>
    <s v="17/03/26"/>
    <s v="Invoice"/>
    <n v="1"/>
    <s v="0929963312422000"/>
    <s v="14/03/26"/>
    <s v="KC-26-000108"/>
    <s v="14/03/26"/>
    <s v="14/03/26"/>
    <s v="16/03/26 13.23"/>
    <s v="BJ01505"/>
    <s v="16/03/26"/>
    <s v="30/03/26"/>
    <s v="2026017851"/>
    <s v="17/02/26"/>
    <s v="17/03/26 13.30"/>
    <n v="0"/>
  </r>
  <r>
    <n v="911"/>
    <n v="146"/>
    <s v="KC"/>
    <s v="146ARI2601-0931"/>
    <s v="26/01/26"/>
    <x v="3"/>
    <n v="2026"/>
    <x v="4"/>
    <x v="3"/>
    <s v="INNOVA ZENIX Q A/T HYBRID"/>
    <x v="0"/>
    <x v="1"/>
    <x v="0"/>
    <x v="2"/>
    <x v="0"/>
    <x v="0"/>
    <x v="1"/>
    <x v="6"/>
    <x v="23"/>
    <x v="1"/>
    <s v="MAGH10R-BPXHBD-11"/>
    <s v="089"/>
    <s v="PLATINUM WHITE PEARL"/>
    <s v="MHFABBAA0T0464271"/>
    <s v="M20A-NF17787"/>
    <s v="KCMG052516"/>
    <s v="YENI"/>
    <s v="ALVIN"/>
    <s v="CST-000809451"/>
    <s v="PT. KURNIA ARTHA PRATIWI"/>
    <s v="PT"/>
    <s v="PERSEROAN TERBATAS BADAN KURNIA ARTHA PRATIWI"/>
    <s v="JALAN RAYA PAMUCATAN KM 22,5"/>
    <s v="KEC. PADALARANG"/>
    <s v="KAB. BANDUNG BARAT"/>
    <s v="KREDIT"/>
    <s v="PT. TOYOTA ASTRA FINANCIAL SERVICES"/>
    <s v="001-26.64460810"/>
    <n v="630000000"/>
    <n v="489642857"/>
    <n v="81600000"/>
    <n v="55757142"/>
    <n v="0"/>
    <n v="0"/>
    <n v="25000000"/>
    <n v="602000000"/>
    <n v="0"/>
    <n v="-28000000"/>
    <m/>
    <m/>
    <s v="Invoice"/>
    <n v="1"/>
    <m/>
    <s v="23/01/26"/>
    <s v="KC-25-001040"/>
    <s v="22/01/26"/>
    <s v="22/01/26"/>
    <s v="23/01/26 14.30"/>
    <s v="AJ01978"/>
    <s v="26/01/26"/>
    <s v="25/02/26"/>
    <s v="2026008155"/>
    <s v="24/01/26"/>
    <s v="27/01/26 10.08"/>
    <n v="0"/>
  </r>
  <r>
    <n v="912"/>
    <n v="146"/>
    <s v="KC"/>
    <s v="146ARI2601-0934"/>
    <s v="26/01/26"/>
    <x v="3"/>
    <n v="2026"/>
    <x v="4"/>
    <x v="3"/>
    <s v="INNOVA ZENIX Q A/T HYBRID"/>
    <x v="0"/>
    <x v="1"/>
    <x v="0"/>
    <x v="2"/>
    <x v="0"/>
    <x v="0"/>
    <x v="1"/>
    <x v="6"/>
    <x v="23"/>
    <x v="1"/>
    <s v="MAGH10R-BPXHBD-10"/>
    <s v="218"/>
    <s v="ATTITUDE BLACK MICA"/>
    <s v="MHFABBAAXT0464049"/>
    <s v="M20A-NF16482"/>
    <s v="KCMG052516"/>
    <s v="YENI"/>
    <s v="ALVIN"/>
    <s v="CST-000809450"/>
    <s v="PT. KURNIA PARAMA ADHARA"/>
    <s v="PT"/>
    <s v="PERSEROAN TERBATAS BADAN KURNIA PARAMA ADHARA"/>
    <s v="JL. RAYA PAMUCATAN KM 22,5"/>
    <s v="KEC. PADALARANG"/>
    <s v="KAB. BANDUNG BARAT"/>
    <s v="KREDIT"/>
    <s v="PT. TOYOTA ASTRA FINANCIAL SERVICES"/>
    <s v="001-26.64460823"/>
    <n v="627100000"/>
    <n v="487377232"/>
    <n v="81237500"/>
    <n v="55485267"/>
    <n v="0"/>
    <n v="0"/>
    <n v="25000000"/>
    <n v="599100000"/>
    <n v="0"/>
    <n v="-28000000"/>
    <m/>
    <m/>
    <s v="Invoice"/>
    <n v="1"/>
    <m/>
    <s v="23/01/26"/>
    <s v="KC-25-001037"/>
    <s v="22/01/26"/>
    <s v="22/01/26"/>
    <s v="23/01/26 14.41"/>
    <s v="AJ01692"/>
    <s v="26/01/26"/>
    <s v="25/02/26"/>
    <s v="2026007193"/>
    <s v="22/01/26"/>
    <s v="27/01/26 09.59"/>
    <n v="0"/>
  </r>
  <r>
    <n v="913"/>
    <n v="146"/>
    <s v="KC"/>
    <s v="146ARI2601-0942"/>
    <s v="27/01/26"/>
    <x v="3"/>
    <n v="2026"/>
    <x v="4"/>
    <x v="3"/>
    <s v="INNOVA ZENIX Q A/T HYBRID"/>
    <x v="0"/>
    <x v="1"/>
    <x v="0"/>
    <x v="2"/>
    <x v="0"/>
    <x v="0"/>
    <x v="1"/>
    <x v="6"/>
    <x v="23"/>
    <x v="1"/>
    <s v="MAGH10R-BPXHBD-11"/>
    <s v="089"/>
    <s v="PLATINUM WHITE PEARL"/>
    <s v="MHFABBAAXT0464391"/>
    <s v="M20A-NF18846"/>
    <s v="KCMG052516"/>
    <s v="YENI"/>
    <s v="ALVIN"/>
    <s v="CST-000809449"/>
    <s v="PT. KURNIA PARAMA ADHARA"/>
    <s v="PT"/>
    <s v="PERSEROAN TERBATAS BADAN KURNIA PARAMA ADHARA"/>
    <s v="JL. RAYA PAMUCATAN KM 22,5"/>
    <s v="KEC. PADALARANG"/>
    <s v="KAB. BANDUNG BARAT"/>
    <s v="KREDIT"/>
    <s v="PT. TOYOTA ASTRA FINANCIAL SERVICES"/>
    <s v="001-26.64460824"/>
    <n v="630000000"/>
    <n v="489642857"/>
    <n v="81600000"/>
    <n v="55757142"/>
    <n v="0"/>
    <n v="0"/>
    <n v="25000000"/>
    <n v="602000000"/>
    <n v="0"/>
    <n v="-28000000"/>
    <m/>
    <m/>
    <s v="Invoice"/>
    <n v="1"/>
    <m/>
    <s v="23/01/26"/>
    <s v="KC-25-001039"/>
    <s v="22/01/26"/>
    <s v="22/01/26"/>
    <s v="23/01/26 14.36"/>
    <s v="AJ02162"/>
    <s v="27/01/26"/>
    <s v="26/02/26"/>
    <s v="2026008618"/>
    <s v="26/01/26"/>
    <s v="28/01/26 09.49"/>
    <n v="0"/>
  </r>
  <r>
    <n v="1201"/>
    <n v="146"/>
    <s v="KC"/>
    <s v="146ARI2604-1299"/>
    <s v="27/04/26"/>
    <x v="2"/>
    <n v="2026"/>
    <x v="0"/>
    <x v="0"/>
    <s v="AVANZA G A/T"/>
    <x v="6"/>
    <x v="1"/>
    <x v="0"/>
    <x v="4"/>
    <x v="0"/>
    <x v="6"/>
    <x v="1"/>
    <x v="6"/>
    <x v="20"/>
    <x v="1"/>
    <s v="W101RE-LBMFJ-10"/>
    <s v="X12"/>
    <s v="BLACK MICA"/>
    <s v="MHKAB1BYXTJ019621"/>
    <s v="2NR-4F83514"/>
    <s v="KCMG042424"/>
    <s v="INDAH PITALOKA"/>
    <s v="ALVIN"/>
    <s v="CST-000822174"/>
    <s v="PT. MAXIMILES TRANSPORTASI INDONESIA"/>
    <s v="PT"/>
    <s v="PT MAXIMILES TRANSPORTASI INDONESIA"/>
    <s v="GEDEBAGE SELATAN NO 178"/>
    <s v="KEC. GEDEBAGE"/>
    <s v="KOTA BANDUNG"/>
    <s v="KREDIT"/>
    <s v="UNIT KKB PT. BANK CENTRAL ASIA"/>
    <m/>
    <n v="284500000"/>
    <n v="219497768"/>
    <n v="38662500"/>
    <n v="24732589"/>
    <n v="0"/>
    <n v="0"/>
    <n v="13392857"/>
    <n v="269500000"/>
    <n v="5500000"/>
    <n v="-15000000"/>
    <m/>
    <m/>
    <s v="Invoice"/>
    <n v="1"/>
    <m/>
    <s v="19/04/26"/>
    <s v="KC-26-000217"/>
    <s v="17/04/26"/>
    <s v="17/04/26"/>
    <s v="20/04/26 14.56"/>
    <s v="D702614"/>
    <s v="27/04/26"/>
    <s v="11/05/26"/>
    <s v="2026043369"/>
    <s v="24/04/26"/>
    <s v="29/04/26 17.10"/>
    <n v="0"/>
  </r>
  <r>
    <n v="1202"/>
    <n v="146"/>
    <s v="KC"/>
    <s v="146ARI2604-1190"/>
    <s v="24/04/26"/>
    <x v="2"/>
    <n v="2026"/>
    <x v="3"/>
    <x v="3"/>
    <s v="INNOVA G A/T DIESEL"/>
    <x v="6"/>
    <x v="1"/>
    <x v="0"/>
    <x v="4"/>
    <x v="0"/>
    <x v="6"/>
    <x v="1"/>
    <x v="6"/>
    <x v="20"/>
    <x v="1"/>
    <s v="GUN142R-MDTSXD-30"/>
    <s v="218"/>
    <s v="ATTITUDE BLACK MICA"/>
    <s v="MHFJB8EM1T1191892"/>
    <s v="2GD-1958601"/>
    <s v="KCMG042424"/>
    <s v="INDAH PITALOKA"/>
    <s v="ALVIN"/>
    <s v="CST-000822174"/>
    <s v="PT. MAXIMILES TRANSPORTASI INDONESIA"/>
    <s v="PT"/>
    <s v="PT MAXIMILES TRANSPORTASI INDONESIA"/>
    <s v="GEDEBAGE SELATAN NO 178"/>
    <s v="KEC. GEDEBAGE"/>
    <s v="KOTA BANDUNG"/>
    <s v="KREDIT"/>
    <s v="UNIT KKB PT. BANK CENTRAL ASIA"/>
    <m/>
    <n v="442100000"/>
    <n v="342622768"/>
    <n v="58362500"/>
    <n v="38864732"/>
    <n v="0"/>
    <n v="0"/>
    <n v="18750000"/>
    <n v="421100000"/>
    <n v="4000000"/>
    <n v="-21000000"/>
    <m/>
    <m/>
    <s v="Invoice"/>
    <n v="1"/>
    <m/>
    <s v="19/04/26"/>
    <s v="KC-26-000215"/>
    <s v="17/04/26"/>
    <s v="17/04/26"/>
    <s v="20/04/26 14.52"/>
    <s v="DC01976"/>
    <s v="24/04/26"/>
    <s v="08/05/26"/>
    <s v="2026042768"/>
    <s v="23/04/26"/>
    <s v="28/04/26 17.25"/>
    <n v="0"/>
  </r>
  <r>
    <n v="1215"/>
    <n v="146"/>
    <s v="KC"/>
    <s v="146ARI2604-0530"/>
    <s v="13/04/26"/>
    <x v="2"/>
    <n v="2026"/>
    <x v="14"/>
    <x v="12"/>
    <s v="ALPHARD A/T HYBRID"/>
    <x v="3"/>
    <x v="1"/>
    <x v="1"/>
    <x v="4"/>
    <x v="0"/>
    <x v="0"/>
    <x v="1"/>
    <x v="6"/>
    <x v="23"/>
    <x v="1"/>
    <s v="AAHH40R-PFXLB-11"/>
    <s v="089"/>
    <s v="PLATINUM WHITE PEARL MICA"/>
    <s v="JTNACAAH3T8016488"/>
    <s v="A25A-6492912"/>
    <s v="KCMG052516"/>
    <s v="YENI"/>
    <s v="ALVIN"/>
    <s v="CST-000802665"/>
    <s v="PT. MULYA KENCANA METALINDO"/>
    <s v="PT"/>
    <s v="MULYA KENCANA METALINDO"/>
    <s v="JALAN PASIR KOJA NO. 109B"/>
    <s v="KEC. ASTANA ANYAR"/>
    <s v="KOTA BANDUNG"/>
    <s v="CASH"/>
    <s v="CASH"/>
    <m/>
    <n v="1734400000"/>
    <n v="1350133929"/>
    <n v="222250000"/>
    <n v="159016071"/>
    <n v="0"/>
    <n v="0"/>
    <n v="25000000"/>
    <n v="1706400000"/>
    <n v="0"/>
    <n v="-28000000"/>
    <s v="17/04/26"/>
    <s v="17/04/26"/>
    <s v="Invoice"/>
    <n v="1"/>
    <s v="000.000.000.0-000.000"/>
    <s v="03/12/25"/>
    <s v="KC-25-000846"/>
    <s v="03/12/25"/>
    <s v="03/12/25"/>
    <s v="05/12/25 16.39"/>
    <s v="DN00124"/>
    <s v="13/04/26"/>
    <s v="22/04/26"/>
    <s v="2026036053"/>
    <s v="09/04/26"/>
    <s v="14/04/26 16.48"/>
    <n v="0"/>
  </r>
  <r>
    <n v="907"/>
    <n v="146"/>
    <s v="KC"/>
    <s v="146ARI2603-0241"/>
    <s v="05/03/26"/>
    <x v="0"/>
    <n v="2026"/>
    <x v="5"/>
    <x v="4"/>
    <s v="VELOZ V AT HYBRID"/>
    <x v="3"/>
    <x v="1"/>
    <x v="1"/>
    <x v="4"/>
    <x v="0"/>
    <x v="0"/>
    <x v="1"/>
    <x v="6"/>
    <x v="17"/>
    <x v="2"/>
    <s v="W102RE-LBVFJ-11"/>
    <s v="089"/>
    <s v="PLATINUM WHITE PEARL MICA"/>
    <s v="MHFA71BY8T0001978"/>
    <s v="2NR-Y659211"/>
    <s v="KCMG112540"/>
    <s v="KHARISMA GALIH PUTRA"/>
    <s v="MUHAMMAD CAISARIVA"/>
    <s v="CST-000802501"/>
    <s v="PT. POLARIS PRIMA CHEMICALS"/>
    <s v="PT"/>
    <s v="PT. POLARIS PRIMA CHEMICALS"/>
    <s v="JALAN CARINGIN NO. 256"/>
    <s v="KEC. BABAKAN CIPARAY"/>
    <s v="KOTA BANDUNG"/>
    <s v="CASH"/>
    <s v="CASH"/>
    <s v="001-26.64463216"/>
    <n v="304500000"/>
    <n v="235122768"/>
    <n v="41162500"/>
    <n v="28214732"/>
    <n v="0"/>
    <n v="0"/>
    <n v="0"/>
    <n v="304500000"/>
    <n v="0"/>
    <n v="0"/>
    <s v="13/03/26"/>
    <s v="13/03/26"/>
    <s v="Invoice"/>
    <n v="1"/>
    <m/>
    <s v="04/12/25"/>
    <s v="KC-25-000860"/>
    <s v="03/12/25"/>
    <s v="03/12/25"/>
    <s v="04/12/25 18.01"/>
    <s v="C800496"/>
    <s v="05/03/26"/>
    <s v="19/03/26"/>
    <s v="2026024640"/>
    <s v="04/03/26"/>
    <s v="06/03/26 11.00"/>
    <n v="0"/>
  </r>
  <r>
    <n v="1124"/>
    <n v="146"/>
    <s v="KC"/>
    <s v="146ARI2602-0395"/>
    <s v="11/02/26"/>
    <x v="1"/>
    <n v="2026"/>
    <x v="0"/>
    <x v="0"/>
    <s v="AVANZA G A/T"/>
    <x v="3"/>
    <x v="1"/>
    <x v="1"/>
    <x v="0"/>
    <x v="0"/>
    <x v="0"/>
    <x v="0"/>
    <x v="6"/>
    <x v="26"/>
    <x v="2"/>
    <s v="W101RE-LBMFJ-00"/>
    <s v="S28"/>
    <s v="Silver Metallic"/>
    <s v="MHKAB1BY0TJ013665"/>
    <s v="2NR-4F32757"/>
    <s v="KCMG012603"/>
    <s v="BADII ADITIA"/>
    <s v="MUHAMMAD CAISARIVA"/>
    <s v="CST-000811573"/>
    <s v="PT. PROTEX INDONESIA"/>
    <s v="PT"/>
    <s v="PROTEX INDONESIA"/>
    <s v="JALAN SADANG RAHAYU C-9"/>
    <s v="KEC. MARGAASIH"/>
    <s v="KAB. BANDUNG"/>
    <s v="CASH"/>
    <s v="CASH"/>
    <s v="001-26.64462126"/>
    <n v="284500000"/>
    <n v="219720982"/>
    <n v="38412500"/>
    <n v="25080803"/>
    <n v="0"/>
    <n v="0"/>
    <n v="10714286"/>
    <n v="272500000"/>
    <n v="0"/>
    <n v="-17000000"/>
    <s v="19/02/26"/>
    <s v="19/02/26"/>
    <s v="Invoice"/>
    <n v="1"/>
    <m/>
    <s v="04/02/26"/>
    <s v="KC-25-001116"/>
    <s v="03/02/26"/>
    <s v="03/02/26"/>
    <s v="04/02/26 09.34"/>
    <s v="A703325"/>
    <s v="11/02/26"/>
    <s v="25/02/26"/>
    <s v="2026007057"/>
    <s v="22/01/26"/>
    <s v="15/02/26 09.27"/>
    <n v="5000000"/>
  </r>
  <r>
    <n v="1000"/>
    <n v="146"/>
    <s v="KC"/>
    <s v="146ARI2601-1240"/>
    <s v="30/01/26"/>
    <x v="3"/>
    <n v="2026"/>
    <x v="1"/>
    <x v="1"/>
    <s v="HIACE PREMIO"/>
    <x v="0"/>
    <x v="1"/>
    <x v="0"/>
    <x v="4"/>
    <x v="0"/>
    <x v="0"/>
    <x v="0"/>
    <x v="6"/>
    <x v="10"/>
    <x v="2"/>
    <s v="GDH321R-EDFDYD-11"/>
    <s v="1E7"/>
    <s v="Silver Metallic"/>
    <s v="JTF2A9CP7S6011572"/>
    <s v="1GD-9662187"/>
    <s v="KCMG012503"/>
    <s v="DERI NURSANDI"/>
    <s v="MUHAMMAD CAISARIVA"/>
    <s v="CST-000808304"/>
    <s v="PT. RAGAM JAVAYA DESTINASI"/>
    <s v="PT"/>
    <s v="PT RAGAM JAVAYA DESTINASI"/>
    <s v="SOVEREIGN  ,PLAZA ,LANTAI 12 ,JL. TB SIMATUPANG NO 36"/>
    <s v="KEC. ARCAMANIK"/>
    <s v="KOTA BANDUNG"/>
    <s v="KREDIT"/>
    <s v="PT. TOYOTA ASTRA FINANCIAL SERVICES"/>
    <s v="001-26.64460844"/>
    <n v="678400000"/>
    <n v="525848214"/>
    <n v="89450000"/>
    <n v="59244642"/>
    <n v="0"/>
    <n v="0"/>
    <n v="32142857"/>
    <n v="642400000"/>
    <n v="0"/>
    <n v="-36000000"/>
    <m/>
    <m/>
    <s v="Invoice"/>
    <n v="1"/>
    <s v="1000000005566549"/>
    <s v="15/01/26"/>
    <s v="KC-25-000988"/>
    <s v="11/01/26"/>
    <s v="11/01/26"/>
    <s v="15/01/26 09.46"/>
    <s v="LP00217"/>
    <m/>
    <s v="01/03/26"/>
    <s v="2026003806"/>
    <s v="14/01/26"/>
    <s v="31/01/26 09.35"/>
    <n v="0"/>
  </r>
  <r>
    <n v="1147"/>
    <n v="146"/>
    <s v="KC"/>
    <s v="146ARI2602-0474"/>
    <s v="13/02/26"/>
    <x v="1"/>
    <n v="2026"/>
    <x v="0"/>
    <x v="0"/>
    <s v="AVANZA G A/T"/>
    <x v="0"/>
    <x v="1"/>
    <x v="0"/>
    <x v="4"/>
    <x v="0"/>
    <x v="1"/>
    <x v="1"/>
    <x v="6"/>
    <x v="2"/>
    <x v="1"/>
    <s v="W101RE-LBMFJ-00"/>
    <s v="X12"/>
    <s v="BLACK MICA"/>
    <s v="MHKAB1BY3TJ013580"/>
    <s v="2NR-4F36263"/>
    <s v="KCMG042414"/>
    <s v="RIZKI RISMAWAN"/>
    <s v="ALVIN"/>
    <s v="CST-000812296"/>
    <s v="PT. SERLINDO PRIMA ENERGI"/>
    <s v="PT"/>
    <s v="PT SERLINDO PRIMA ENERGI"/>
    <s v="JL. PINUS RAYA NO 135 PERUMAHAN PINUS REGENCY"/>
    <s v="KEC. CINAMBO"/>
    <s v="KOTA BANDUNG"/>
    <s v="KREDIT"/>
    <s v="PT. TOYOTA ASTRA FINANCIAL SERVICES"/>
    <s v="001-26.64462149"/>
    <n v="284500000"/>
    <n v="219720982"/>
    <n v="38412500"/>
    <n v="24545089"/>
    <n v="0"/>
    <n v="0"/>
    <n v="15178571"/>
    <n v="267500000"/>
    <n v="0"/>
    <n v="-17000000"/>
    <s v="20/02/26"/>
    <s v="20/02/26"/>
    <s v="Invoice"/>
    <n v="1"/>
    <m/>
    <s v="07/02/26"/>
    <s v="KC-25-001134"/>
    <s v="06/02/26"/>
    <s v="06/02/26"/>
    <s v="09/02/26 15.06"/>
    <s v="A703218"/>
    <s v="13/02/26"/>
    <s v="15/03/26"/>
    <s v="2026011429"/>
    <s v="31/01/26"/>
    <s v="14/02/26 09.07"/>
    <n v="0"/>
  </r>
  <r>
    <n v="1295"/>
    <n v="146"/>
    <s v="KC"/>
    <s v="146ARI2604-0521"/>
    <s v="13/04/26"/>
    <x v="2"/>
    <n v="2026"/>
    <x v="4"/>
    <x v="3"/>
    <s v="INNOVA ZENIX Q A/T HYBRID"/>
    <x v="3"/>
    <x v="1"/>
    <x v="1"/>
    <x v="4"/>
    <x v="0"/>
    <x v="4"/>
    <x v="1"/>
    <x v="6"/>
    <x v="15"/>
    <x v="0"/>
    <s v="MAGH10R-BPXHBD-10"/>
    <s v="218"/>
    <s v="ATTITUDE BLACK MICA"/>
    <s v="MHFABBAA9T0469386"/>
    <s v="M20A-NF54453"/>
    <s v="CMMG122342"/>
    <s v="REGYAWAN KURNIA"/>
    <s v="FERYANTO"/>
    <s v="CST-000783953"/>
    <s v="PT. SURYA SUDECO"/>
    <s v="PT"/>
    <s v="PT. SURYA SUDECO"/>
    <s v="JL. GEMPOL NO. 52"/>
    <s v="KEC. PANYILEUKAN"/>
    <s v="KOTA BANDUNG"/>
    <s v="CASH"/>
    <s v="CASH"/>
    <m/>
    <n v="627100000"/>
    <n v="487154018"/>
    <n v="81487500"/>
    <n v="55672767"/>
    <n v="0"/>
    <n v="0"/>
    <n v="23214286"/>
    <n v="601100000"/>
    <n v="601100000"/>
    <n v="-26264886"/>
    <m/>
    <m/>
    <s v="Invoice"/>
    <n v="1"/>
    <s v="0013318217062000"/>
    <s v="13/04/26"/>
    <s v="KC-26-000205"/>
    <s v="13/04/26"/>
    <s v="13/04/26"/>
    <s v="13/04/26 14.35"/>
    <s v="DJ00165"/>
    <s v="13/04/26"/>
    <s v="13/05/26"/>
    <s v="2026035633"/>
    <s v="09/04/26"/>
    <s v="17/04/26 12.54"/>
    <n v="0"/>
  </r>
  <r>
    <n v="1157"/>
    <n v="146"/>
    <s v="KC"/>
    <s v="146ARI2602-0489"/>
    <s v="13/02/26"/>
    <x v="1"/>
    <n v="2026"/>
    <x v="0"/>
    <x v="0"/>
    <s v="AVANZA E M/T"/>
    <x v="3"/>
    <x v="1"/>
    <x v="1"/>
    <x v="4"/>
    <x v="0"/>
    <x v="4"/>
    <x v="1"/>
    <x v="6"/>
    <x v="15"/>
    <x v="0"/>
    <s v="W100RE-LMDFJ-00"/>
    <s v="X12"/>
    <s v="BLACK MICA"/>
    <s v="MHKAA1BYXTJ012364"/>
    <s v="1NR-G317878"/>
    <s v="CMMG122342"/>
    <s v="REGYAWAN KURNIA"/>
    <s v="FERYANTO"/>
    <s v="CST-000783953"/>
    <s v="PT. SURYA SUDECO"/>
    <s v="PT"/>
    <s v="PT. SURYA SUDECO"/>
    <s v="JL. GEMPOL NO. 52"/>
    <s v="KEC. RANCASARI"/>
    <s v="KOTA BANDUNG"/>
    <s v="CASH"/>
    <s v="CASH"/>
    <s v="001-26.64462144"/>
    <n v="246700000"/>
    <n v="190189732"/>
    <n v="33687500"/>
    <n v="19822767"/>
    <n v="0"/>
    <n v="0"/>
    <n v="25000000"/>
    <n v="218700000"/>
    <n v="218700000"/>
    <n v="-28264886"/>
    <s v="21/02/26"/>
    <s v="21/02/26"/>
    <s v="Invoice"/>
    <n v="1"/>
    <s v="0013318217062000"/>
    <s v="29/01/26"/>
    <s v="KC-25-001077"/>
    <s v="29/01/26"/>
    <s v="29/01/26"/>
    <s v="30/01/26 21.08"/>
    <s v="B700697"/>
    <s v="13/02/26"/>
    <s v="30/03/26"/>
    <s v="2026016040"/>
    <s v="12/02/26"/>
    <s v="14/02/26 12.55"/>
    <n v="0"/>
  </r>
  <r>
    <n v="1158"/>
    <n v="146"/>
    <s v="KC"/>
    <s v="146ARI2602-0490"/>
    <s v="13/02/26"/>
    <x v="1"/>
    <n v="2026"/>
    <x v="0"/>
    <x v="0"/>
    <s v="AVANZA E M/T"/>
    <x v="3"/>
    <x v="1"/>
    <x v="1"/>
    <x v="4"/>
    <x v="0"/>
    <x v="4"/>
    <x v="1"/>
    <x v="6"/>
    <x v="27"/>
    <x v="0"/>
    <s v="W100RE-LMDFJ-00"/>
    <s v="X12"/>
    <s v="BLACK MICA"/>
    <s v="MHKAA1BYXTJ012347"/>
    <s v="1NR-G317880"/>
    <s v="KCMG052518"/>
    <s v="YANI ANDRIYANI"/>
    <s v="FERYANTO"/>
    <s v="CST-000773455"/>
    <s v="PT. SURYA SUDECO"/>
    <s v="PT"/>
    <s v="PT. SURYA SUDECO"/>
    <s v="JL. GEMPOL NO. 52"/>
    <s v="KEC. RANCASARI"/>
    <s v="KOTA BANDUNG"/>
    <s v="CASH"/>
    <s v="CASH"/>
    <s v="001-26.64462145"/>
    <n v="246700000"/>
    <n v="190189732"/>
    <n v="33687500"/>
    <n v="19822767"/>
    <n v="0"/>
    <n v="0"/>
    <n v="25000000"/>
    <n v="218700000"/>
    <n v="218700000"/>
    <n v="-28264886"/>
    <s v="21/02/26"/>
    <s v="21/02/26"/>
    <s v="Invoice"/>
    <n v="1"/>
    <s v="0013318217062000"/>
    <s v="29/01/26"/>
    <s v="KC-25-001078"/>
    <s v="29/01/26"/>
    <s v="29/01/26"/>
    <s v="30/01/26 16.27"/>
    <s v="B700661"/>
    <s v="13/02/26"/>
    <s v="30/03/26"/>
    <s v="2026016040"/>
    <s v="12/02/26"/>
    <s v="14/02/26 14.27"/>
    <n v="0"/>
  </r>
  <r>
    <n v="1159"/>
    <n v="146"/>
    <s v="KC"/>
    <s v="146ARI2602-0491"/>
    <s v="13/02/26"/>
    <x v="1"/>
    <n v="2026"/>
    <x v="0"/>
    <x v="0"/>
    <s v="AVANZA E M/T"/>
    <x v="3"/>
    <x v="1"/>
    <x v="1"/>
    <x v="4"/>
    <x v="0"/>
    <x v="4"/>
    <x v="1"/>
    <x v="6"/>
    <x v="27"/>
    <x v="0"/>
    <s v="W100RE-LMDFJ-00"/>
    <s v="X12"/>
    <s v="BLACK MICA"/>
    <s v="MHKAA1BY9TJ012341"/>
    <s v="1NR-G317956"/>
    <s v="KCMG052518"/>
    <s v="YANI ANDRIYANI"/>
    <s v="FERYANTO"/>
    <s v="CST-000773455"/>
    <s v="PT. SURYA SUDECO"/>
    <s v="PT"/>
    <s v="PT. SURYA SUDECO"/>
    <s v="JL. GEMPOL NO. 52"/>
    <s v="KEC. RANCASARI"/>
    <s v="KOTA BANDUNG"/>
    <s v="CASH"/>
    <s v="CASH"/>
    <s v="001-26.64462146"/>
    <n v="246700000"/>
    <n v="190189732"/>
    <n v="33687500"/>
    <n v="19822767"/>
    <n v="0"/>
    <n v="0"/>
    <n v="25000000"/>
    <n v="218700000"/>
    <n v="218700000"/>
    <n v="-28264886"/>
    <s v="21/02/26"/>
    <s v="21/02/26"/>
    <s v="Invoice"/>
    <n v="1"/>
    <s v="0013318217062000"/>
    <s v="29/01/26"/>
    <s v="KC-25-001080"/>
    <s v="29/01/26"/>
    <s v="29/01/26"/>
    <s v="30/01/26 16.21"/>
    <s v="B700719"/>
    <s v="13/02/26"/>
    <s v="30/03/26"/>
    <s v="2026016040"/>
    <s v="12/02/26"/>
    <s v="14/02/26 14.08"/>
    <n v="0"/>
  </r>
  <r>
    <n v="1160"/>
    <n v="146"/>
    <s v="KC"/>
    <s v="146ARI2602-0492"/>
    <s v="13/02/26"/>
    <x v="1"/>
    <n v="2026"/>
    <x v="0"/>
    <x v="0"/>
    <s v="AVANZA E M/T"/>
    <x v="3"/>
    <x v="1"/>
    <x v="1"/>
    <x v="4"/>
    <x v="0"/>
    <x v="4"/>
    <x v="1"/>
    <x v="6"/>
    <x v="27"/>
    <x v="0"/>
    <s v="W100RE-LMDFJ-00"/>
    <s v="X12"/>
    <s v="BLACK MICA"/>
    <s v="MHKAA1BY9TJ012355"/>
    <s v="1NR-G317879"/>
    <s v="KCMG052518"/>
    <s v="YANI ANDRIYANI"/>
    <s v="FERYANTO"/>
    <s v="CST-000773455"/>
    <s v="PT. SURYA SUDECO"/>
    <s v="PT"/>
    <s v="PT. SURYA SUDECO"/>
    <s v="JL. GEMPOL NO. 52"/>
    <s v="KEC. RANCASARI"/>
    <s v="KOTA BANDUNG"/>
    <s v="CASH"/>
    <s v="CASH"/>
    <s v="001-26.64462147"/>
    <n v="246700000"/>
    <n v="190189732"/>
    <n v="33687500"/>
    <n v="19822767"/>
    <n v="0"/>
    <n v="0"/>
    <n v="25000000"/>
    <n v="218700000"/>
    <n v="218700000"/>
    <n v="-28264886"/>
    <s v="21/02/26"/>
    <s v="21/02/26"/>
    <s v="Invoice"/>
    <n v="1"/>
    <s v="0013318217062000"/>
    <s v="29/01/26"/>
    <s v="KC-25-001079"/>
    <s v="29/01/26"/>
    <s v="29/01/26"/>
    <s v="30/01/26 16.25"/>
    <s v="B700741"/>
    <s v="13/02/26"/>
    <s v="30/03/26"/>
    <s v="2026016040"/>
    <s v="12/02/26"/>
    <s v="14/02/26 14.16"/>
    <n v="0"/>
  </r>
  <r>
    <n v="1172"/>
    <n v="146"/>
    <s v="KC"/>
    <s v="146ARI2602-0419"/>
    <s v="12/02/26"/>
    <x v="1"/>
    <n v="2026"/>
    <x v="0"/>
    <x v="0"/>
    <s v="AVANZA E M/T"/>
    <x v="3"/>
    <x v="1"/>
    <x v="1"/>
    <x v="4"/>
    <x v="0"/>
    <x v="4"/>
    <x v="1"/>
    <x v="6"/>
    <x v="15"/>
    <x v="0"/>
    <s v="W100RE-LMDFJ-00"/>
    <s v="X12"/>
    <s v="BLACK MICA"/>
    <s v="MHKAA1BY6TJ012362"/>
    <s v="1NR-G317942"/>
    <s v="CMMG122342"/>
    <s v="REGYAWAN KURNIA"/>
    <s v="FERYANTO"/>
    <s v="CST-000783953"/>
    <s v="PT. SURYA SUDECO"/>
    <s v="PT"/>
    <s v="PT. SURYA SUDECO"/>
    <s v="JL. GEMPOL NO. 52"/>
    <s v="KEC. RANCASARI"/>
    <s v="KOTA BANDUNG"/>
    <s v="CASH"/>
    <s v="CASH"/>
    <s v="001-26.64462133"/>
    <n v="246700000"/>
    <n v="190189732"/>
    <n v="33687500"/>
    <n v="19822767"/>
    <n v="0"/>
    <n v="0"/>
    <n v="25000000"/>
    <n v="218700000"/>
    <n v="218700000"/>
    <n v="-28264886"/>
    <s v="21/02/26"/>
    <s v="21/02/26"/>
    <s v="Invoice"/>
    <n v="1"/>
    <s v="0013318217062000"/>
    <s v="29/01/26"/>
    <s v="KC-25-001068"/>
    <s v="29/01/26"/>
    <s v="29/01/26"/>
    <s v="30/01/26 21.04"/>
    <s v="B700776"/>
    <s v="12/02/26"/>
    <s v="29/03/26"/>
    <s v="2026015987"/>
    <s v="12/02/26"/>
    <s v="13/02/26 12.27"/>
    <n v="0"/>
  </r>
  <r>
    <n v="1173"/>
    <n v="146"/>
    <s v="KC"/>
    <s v="146ARI2602-0421"/>
    <s v="12/02/26"/>
    <x v="1"/>
    <n v="2026"/>
    <x v="0"/>
    <x v="0"/>
    <s v="AVANZA E M/T"/>
    <x v="3"/>
    <x v="1"/>
    <x v="1"/>
    <x v="4"/>
    <x v="0"/>
    <x v="0"/>
    <x v="1"/>
    <x v="6"/>
    <x v="15"/>
    <x v="0"/>
    <s v="W100RE-LMDFJ-00"/>
    <s v="X12"/>
    <s v="BLACK MICA"/>
    <s v="MHKAA1BY6TJ012359"/>
    <s v="1NR-G317944"/>
    <s v="CMMG122342"/>
    <s v="REGYAWAN KURNIA"/>
    <s v="FERYANTO"/>
    <s v="CST-000783953"/>
    <s v="PT. SURYA SUDECO"/>
    <s v="PT"/>
    <s v="PT. SURYA SUDECO"/>
    <s v="JL. GEMPOL NO. 52"/>
    <s v="KEC. RANCASARI"/>
    <s v="KOTA BANDUNG"/>
    <s v="CASH"/>
    <s v="CASH"/>
    <s v="001-26.64462134"/>
    <n v="246700000"/>
    <n v="190189732"/>
    <n v="33687500"/>
    <n v="19822767"/>
    <n v="0"/>
    <n v="0"/>
    <n v="25000000"/>
    <n v="218700000"/>
    <n v="218700000"/>
    <n v="-28264886"/>
    <s v="21/02/26"/>
    <s v="21/02/26"/>
    <s v="Invoice"/>
    <n v="1"/>
    <s v="0013318217062000"/>
    <s v="30/01/26"/>
    <s v="KC-25-001069"/>
    <s v="29/01/26"/>
    <s v="29/01/26"/>
    <s v="30/01/26 20.52"/>
    <s v="B700752"/>
    <s v="12/02/26"/>
    <s v="29/03/26"/>
    <s v="2026015829"/>
    <s v="12/02/26"/>
    <s v="13/02/26 16.42"/>
    <n v="0"/>
  </r>
  <r>
    <n v="1174"/>
    <n v="146"/>
    <s v="KC"/>
    <s v="146ARI2602-0424"/>
    <s v="12/02/26"/>
    <x v="1"/>
    <n v="2026"/>
    <x v="0"/>
    <x v="0"/>
    <s v="AVANZA E M/T"/>
    <x v="3"/>
    <x v="1"/>
    <x v="1"/>
    <x v="4"/>
    <x v="0"/>
    <x v="4"/>
    <x v="1"/>
    <x v="6"/>
    <x v="15"/>
    <x v="0"/>
    <s v="W100RE-LMDFJ-00"/>
    <s v="X12"/>
    <s v="BLACK MICA"/>
    <s v="MHKAA1BY5TJ012353"/>
    <s v="1NR-G317844"/>
    <s v="CMMG122342"/>
    <s v="REGYAWAN KURNIA"/>
    <s v="FERYANTO"/>
    <s v="CST-000783953"/>
    <s v="PT. SURYA SUDECO"/>
    <s v="PT"/>
    <s v="PT. SURYA SUDECO"/>
    <s v="JL. GEMPOL NO. 52"/>
    <s v="KEC. RANCASARI"/>
    <s v="KOTA BANDUNG"/>
    <s v="CASH"/>
    <s v="CASH"/>
    <s v="001-26.64462135"/>
    <n v="246700000"/>
    <n v="190189732"/>
    <n v="33687500"/>
    <n v="19822767"/>
    <n v="0"/>
    <n v="0"/>
    <n v="25000000"/>
    <n v="218700000"/>
    <n v="218700000"/>
    <n v="-28264886"/>
    <s v="21/02/26"/>
    <s v="21/02/26"/>
    <s v="Invoice"/>
    <n v="1"/>
    <s v="0013318217062000"/>
    <s v="29/01/26"/>
    <s v="KC-25-001070"/>
    <s v="29/01/26"/>
    <s v="29/01/26"/>
    <s v="30/01/26 21.32"/>
    <s v="B700733"/>
    <s v="12/02/26"/>
    <s v="29/03/26"/>
    <s v="2026015416"/>
    <s v="11/02/26"/>
    <s v="13/02/26 13.13"/>
    <n v="0"/>
  </r>
  <r>
    <n v="1175"/>
    <n v="146"/>
    <s v="KC"/>
    <s v="146ARI2602-0427"/>
    <s v="12/02/26"/>
    <x v="1"/>
    <n v="2026"/>
    <x v="0"/>
    <x v="0"/>
    <s v="AVANZA E M/T"/>
    <x v="3"/>
    <x v="1"/>
    <x v="1"/>
    <x v="4"/>
    <x v="0"/>
    <x v="4"/>
    <x v="1"/>
    <x v="6"/>
    <x v="15"/>
    <x v="0"/>
    <s v="W100RE-LMDFJ-00"/>
    <s v="X12"/>
    <s v="BLACK MICA"/>
    <s v="MHKAA1BY4TJ012344"/>
    <s v="1NR-G317840"/>
    <s v="CMMG122342"/>
    <s v="REGYAWAN KURNIA"/>
    <s v="FERYANTO"/>
    <s v="CST-000783953"/>
    <s v="PT. SURYA SUDECO"/>
    <s v="PT"/>
    <s v="PT. SURYA SUDECO"/>
    <s v="JL. GEMPOL NO. 52"/>
    <s v="KEC. RANCASARI"/>
    <s v="KOTA BANDUNG"/>
    <s v="CASH"/>
    <s v="CASH"/>
    <s v="001-26.64462136"/>
    <n v="246700000"/>
    <n v="190189732"/>
    <n v="33687500"/>
    <n v="19822767"/>
    <n v="0"/>
    <n v="0"/>
    <n v="25000000"/>
    <n v="218700000"/>
    <n v="218700000"/>
    <n v="-28264886"/>
    <s v="21/02/26"/>
    <s v="21/02/26"/>
    <s v="Invoice"/>
    <n v="1"/>
    <s v="0013318217062000"/>
    <s v="29/01/26"/>
    <s v="KC-25-001071"/>
    <s v="29/01/26"/>
    <s v="29/01/26"/>
    <s v="30/01/26 21.26"/>
    <s v="B700764"/>
    <s v="12/02/26"/>
    <s v="29/03/26"/>
    <s v="2026015416"/>
    <s v="11/02/26"/>
    <s v="13/02/26 12.35"/>
    <n v="0"/>
  </r>
  <r>
    <n v="1176"/>
    <n v="146"/>
    <s v="KC"/>
    <s v="146ARI2602-0428"/>
    <s v="12/02/26"/>
    <x v="1"/>
    <n v="2026"/>
    <x v="0"/>
    <x v="0"/>
    <s v="AVANZA E M/T"/>
    <x v="3"/>
    <x v="1"/>
    <x v="1"/>
    <x v="4"/>
    <x v="0"/>
    <x v="4"/>
    <x v="1"/>
    <x v="6"/>
    <x v="15"/>
    <x v="0"/>
    <s v="W100RE-LMDFJ-00"/>
    <s v="X12"/>
    <s v="BLACK MICA"/>
    <s v="MHKAA1BY3TJ012349"/>
    <s v="1NR-G317819"/>
    <s v="CMMG122342"/>
    <s v="REGYAWAN KURNIA"/>
    <s v="FERYANTO"/>
    <s v="CST-000783953"/>
    <s v="PT. SURYA SUDECO"/>
    <s v="PT"/>
    <s v="PT. SURYA SUDECO"/>
    <s v="JL. GEMPOL NO. 52"/>
    <s v="KEC. RANCASARI"/>
    <s v="KOTA BANDUNG"/>
    <s v="CASH"/>
    <s v="CASH"/>
    <s v="001-26.64462137"/>
    <n v="246700000"/>
    <n v="190189732"/>
    <n v="33687500"/>
    <n v="19822767"/>
    <n v="0"/>
    <n v="0"/>
    <n v="25000000"/>
    <n v="218700000"/>
    <n v="218700000"/>
    <n v="-28264886"/>
    <s v="21/02/26"/>
    <s v="21/02/26"/>
    <s v="Invoice"/>
    <n v="1"/>
    <s v="0013318217062000"/>
    <s v="29/01/26"/>
    <s v="KC-25-001072"/>
    <s v="29/01/26"/>
    <s v="29/01/26"/>
    <s v="30/01/26 21.21"/>
    <s v="B700677"/>
    <s v="12/02/26"/>
    <s v="29/03/26"/>
    <s v="2026015416"/>
    <s v="11/02/26"/>
    <s v="13/02/26 13.26"/>
    <n v="0"/>
  </r>
  <r>
    <n v="1177"/>
    <n v="146"/>
    <s v="KC"/>
    <s v="146ARI2602-0429"/>
    <s v="12/02/26"/>
    <x v="1"/>
    <n v="2026"/>
    <x v="0"/>
    <x v="0"/>
    <s v="AVANZA E M/T"/>
    <x v="3"/>
    <x v="1"/>
    <x v="1"/>
    <x v="4"/>
    <x v="0"/>
    <x v="4"/>
    <x v="1"/>
    <x v="6"/>
    <x v="15"/>
    <x v="0"/>
    <s v="W100RE-LMDFJ-00"/>
    <s v="X12"/>
    <s v="BLACK MICA"/>
    <s v="MHKAA1BY2TJ012343"/>
    <s v="1NR-G317816"/>
    <s v="CMMG122342"/>
    <s v="REGYAWAN KURNIA"/>
    <s v="FERYANTO"/>
    <s v="CST-000783953"/>
    <s v="PT. SURYA SUDECO"/>
    <s v="PT"/>
    <s v="PT. SURYA SUDECO"/>
    <s v="JL. GEMPOL NO. 52"/>
    <s v="KEC. RANCASARI"/>
    <s v="KOTA BANDUNG"/>
    <s v="CASH"/>
    <s v="CASH"/>
    <s v="001-26.64462138"/>
    <n v="246700000"/>
    <n v="190189732"/>
    <n v="33687500"/>
    <n v="19822767"/>
    <n v="0"/>
    <n v="0"/>
    <n v="25000000"/>
    <n v="218700000"/>
    <n v="218700000"/>
    <n v="-28264886"/>
    <s v="21/02/26"/>
    <s v="21/02/26"/>
    <s v="Invoice"/>
    <n v="1"/>
    <s v="0013318217062000"/>
    <s v="29/01/26"/>
    <s v="KC-25-001073"/>
    <s v="29/01/26"/>
    <s v="29/01/26"/>
    <s v="30/01/26 21.15"/>
    <s v="B700708"/>
    <s v="12/02/26"/>
    <s v="29/03/26"/>
    <s v="2026015416"/>
    <s v="11/02/26"/>
    <s v="13/02/26 14.32"/>
    <n v="0"/>
  </r>
  <r>
    <n v="1178"/>
    <n v="146"/>
    <s v="KC"/>
    <s v="146ARI2602-0430"/>
    <s v="12/02/26"/>
    <x v="1"/>
    <n v="2026"/>
    <x v="0"/>
    <x v="0"/>
    <s v="AVANZA E M/T"/>
    <x v="3"/>
    <x v="1"/>
    <x v="1"/>
    <x v="4"/>
    <x v="0"/>
    <x v="0"/>
    <x v="1"/>
    <x v="6"/>
    <x v="15"/>
    <x v="0"/>
    <s v="W100RE-LMDFJ-00"/>
    <s v="X12"/>
    <s v="BLACK MICA"/>
    <s v="MHKAA1BY1TJ012382"/>
    <s v="1NR-G317821"/>
    <s v="CMMG122342"/>
    <s v="REGYAWAN KURNIA"/>
    <s v="FERYANTO"/>
    <s v="CST-000783953"/>
    <s v="PT. SURYA SUDECO"/>
    <s v="PT"/>
    <s v="PT. SURYA SUDECO"/>
    <s v="JL. GEMPOL NO. 52"/>
    <s v="KEC. RANCASARI"/>
    <s v="KOTA BANDUNG"/>
    <s v="CASH"/>
    <s v="CASH"/>
    <s v="001-26.64462139"/>
    <n v="246700000"/>
    <n v="190189732"/>
    <n v="33687500"/>
    <n v="19822767"/>
    <n v="0"/>
    <n v="0"/>
    <n v="25000000"/>
    <n v="218700000"/>
    <n v="218700000"/>
    <n v="-28264886"/>
    <s v="21/02/26"/>
    <s v="21/02/26"/>
    <s v="Invoice"/>
    <n v="1"/>
    <s v="0013318217062000"/>
    <s v="31/01/26"/>
    <s v="KC-25-001074"/>
    <s v="29/01/26"/>
    <s v="29/01/26"/>
    <s v="31/01/26 09.01"/>
    <s v="B700755"/>
    <s v="12/02/26"/>
    <s v="29/03/26"/>
    <s v="2026015416"/>
    <s v="11/02/26"/>
    <s v="13/02/26 08.40"/>
    <n v="0"/>
  </r>
  <r>
    <n v="1179"/>
    <n v="146"/>
    <s v="KC"/>
    <s v="146ARI2602-0431"/>
    <s v="12/02/26"/>
    <x v="1"/>
    <n v="2026"/>
    <x v="0"/>
    <x v="0"/>
    <s v="AVANZA E M/T"/>
    <x v="3"/>
    <x v="1"/>
    <x v="1"/>
    <x v="4"/>
    <x v="0"/>
    <x v="0"/>
    <x v="1"/>
    <x v="6"/>
    <x v="15"/>
    <x v="0"/>
    <s v="W100RE-LMDFJ-00"/>
    <s v="X12"/>
    <s v="BLACK MICA"/>
    <s v="MHKAA1BY1TJ012365"/>
    <s v="1NR-G317790"/>
    <s v="CMMG122342"/>
    <s v="REGYAWAN KURNIA"/>
    <s v="FERYANTO"/>
    <s v="CST-000783953"/>
    <s v="PT. SURYA SUDECO"/>
    <s v="PT"/>
    <s v="PT. SURYA SUDECO"/>
    <s v="JL. GEMPOL NO. 52"/>
    <s v="KEC. RANCASARI"/>
    <s v="KOTA BANDUNG"/>
    <s v="CASH"/>
    <s v="CASH"/>
    <s v="001-26.64462140"/>
    <n v="246700000"/>
    <n v="190189732"/>
    <n v="33687500"/>
    <n v="19822767"/>
    <n v="0"/>
    <n v="0"/>
    <n v="25000000"/>
    <n v="218700000"/>
    <n v="218700000"/>
    <n v="-28264886"/>
    <s v="21/02/26"/>
    <s v="21/02/26"/>
    <s v="Invoice"/>
    <n v="1"/>
    <s v="0013318217062000"/>
    <s v="30/01/26"/>
    <s v="KC-25-001075"/>
    <s v="29/01/26"/>
    <s v="29/01/26"/>
    <s v="30/01/26 21.12"/>
    <s v="B700706"/>
    <s v="12/02/26"/>
    <s v="29/03/26"/>
    <s v="2026015416"/>
    <s v="11/02/26"/>
    <s v="13/02/26 16.34"/>
    <n v="0"/>
  </r>
  <r>
    <n v="1180"/>
    <n v="146"/>
    <s v="KC"/>
    <s v="146ARI2602-0433"/>
    <s v="12/02/26"/>
    <x v="1"/>
    <n v="2026"/>
    <x v="0"/>
    <x v="0"/>
    <s v="AVANZA E M/T"/>
    <x v="3"/>
    <x v="1"/>
    <x v="1"/>
    <x v="4"/>
    <x v="0"/>
    <x v="4"/>
    <x v="1"/>
    <x v="6"/>
    <x v="15"/>
    <x v="0"/>
    <s v="W100RE-LMDFJ-00"/>
    <s v="X12"/>
    <s v="BLACK MICA"/>
    <s v="MHKAA1BY5TJ012370"/>
    <s v="1NR-G317845"/>
    <s v="CMMG122342"/>
    <s v="REGYAWAN KURNIA"/>
    <s v="FERYANTO"/>
    <s v="CST-000783953"/>
    <s v="PT. SURYA SUDECO"/>
    <s v="PT"/>
    <s v="PT. SURYA SUDECO"/>
    <s v="JL. GEMPOL NO. 52"/>
    <s v="KEC. RANCASARI"/>
    <s v="KOTA BANDUNG"/>
    <s v="CASH"/>
    <s v="CASH"/>
    <s v="001-26.64462141"/>
    <n v="246700000"/>
    <n v="190189732"/>
    <n v="33687500"/>
    <n v="19822767"/>
    <n v="0"/>
    <n v="0"/>
    <n v="25000000"/>
    <n v="218700000"/>
    <n v="218700000"/>
    <n v="-28264886"/>
    <s v="21/02/26"/>
    <s v="21/02/26"/>
    <s v="Invoice"/>
    <n v="1"/>
    <s v="0013318217062000"/>
    <s v="29/01/26"/>
    <s v="KC-25-001076"/>
    <s v="29/01/26"/>
    <s v="29/01/26"/>
    <s v="30/01/26 20.59"/>
    <s v="B700770"/>
    <s v="12/02/26"/>
    <s v="29/03/26"/>
    <s v="2026015823"/>
    <s v="12/02/26"/>
    <s v="13/02/26 12.48"/>
    <n v="0"/>
  </r>
  <r>
    <n v="1181"/>
    <n v="146"/>
    <s v="KC"/>
    <s v="146ARI2602-0435"/>
    <s v="12/02/26"/>
    <x v="1"/>
    <n v="2026"/>
    <x v="6"/>
    <x v="3"/>
    <s v="INNOVA ZENIX G A/T"/>
    <x v="3"/>
    <x v="1"/>
    <x v="1"/>
    <x v="4"/>
    <x v="0"/>
    <x v="4"/>
    <x v="1"/>
    <x v="6"/>
    <x v="27"/>
    <x v="0"/>
    <s v="MAGA10R-BRXLBD-10"/>
    <s v="218"/>
    <s v="ATTITUDE BLACK MICA"/>
    <s v="MHFAAAAA1T0048789"/>
    <s v="M20A-NF29018"/>
    <s v="KCMG052518"/>
    <s v="YANI ANDRIYANI"/>
    <s v="FERYANTO"/>
    <s v="CST-000773455"/>
    <s v="PT. SURYA SUDECO"/>
    <s v="PT"/>
    <s v="PT. SURYA SUDECO"/>
    <s v="JL. GEMPOL NO. 52"/>
    <s v="KEC. RANCASARI"/>
    <s v="KOTA BANDUNG"/>
    <s v="CASH"/>
    <s v="CASH"/>
    <s v="001-26.64462142"/>
    <n v="439300000"/>
    <n v="340658482"/>
    <n v="57762500"/>
    <n v="37107589"/>
    <n v="0"/>
    <n v="0"/>
    <n v="31428571"/>
    <n v="404100000"/>
    <n v="404100000"/>
    <n v="-35464886"/>
    <s v="21/02/26"/>
    <s v="21/02/26"/>
    <s v="Invoice"/>
    <n v="1"/>
    <s v="0013318217062000"/>
    <s v="29/01/26"/>
    <s v="KC-25-001083"/>
    <s v="29/01/26"/>
    <s v="29/01/26"/>
    <s v="30/01/26 15.16"/>
    <s v="BJ00778"/>
    <s v="12/02/26"/>
    <s v="29/03/26"/>
    <s v="2026015488"/>
    <s v="11/02/26"/>
    <s v="13/02/26 14.49"/>
    <n v="0"/>
  </r>
  <r>
    <n v="1192"/>
    <n v="146"/>
    <s v="KC"/>
    <s v="146ARI2602-0200"/>
    <s v="06/02/26"/>
    <x v="1"/>
    <n v="2026"/>
    <x v="0"/>
    <x v="0"/>
    <s v="AVANZA E M/T"/>
    <x v="3"/>
    <x v="1"/>
    <x v="1"/>
    <x v="4"/>
    <x v="0"/>
    <x v="4"/>
    <x v="1"/>
    <x v="6"/>
    <x v="27"/>
    <x v="0"/>
    <s v="W100RE-LMDFJ-00"/>
    <s v="X12"/>
    <s v="BLACK MICA"/>
    <s v="MHKAA1BY5TJ012000"/>
    <s v="1NR-G317300"/>
    <s v="KCMG052518"/>
    <s v="YANI ANDRIYANI"/>
    <s v="FERYANTO"/>
    <s v="CST-000773455"/>
    <s v="PT. SURYA SUDECO"/>
    <s v="PT"/>
    <s v="PT. SURYA SUDECO"/>
    <s v="JL. GEMPOL NO. 52"/>
    <s v="KEC. RANCASARI"/>
    <s v="KOTA BANDUNG"/>
    <s v="CASH"/>
    <s v="CASH"/>
    <s v="001-26.64462114"/>
    <n v="246700000"/>
    <n v="190189732"/>
    <n v="33687500"/>
    <n v="19822767"/>
    <n v="0"/>
    <n v="0"/>
    <n v="25000000"/>
    <n v="218700000"/>
    <n v="218700000"/>
    <n v="-28264886"/>
    <s v="21/02/26"/>
    <s v="21/02/26"/>
    <s v="Invoice"/>
    <n v="1"/>
    <s v="0013318217062000"/>
    <s v="29/01/26"/>
    <s v="KC-25-001082"/>
    <s v="29/01/26"/>
    <s v="29/01/26"/>
    <s v="30/01/26 14.41"/>
    <s v="A702748"/>
    <s v="06/02/26"/>
    <s v="23/03/26"/>
    <s v="2026012025"/>
    <s v="03/02/26"/>
    <s v="09/02/26 14.37"/>
    <n v="0"/>
  </r>
  <r>
    <n v="1194"/>
    <n v="146"/>
    <s v="KC"/>
    <s v="146ARI2602-0399"/>
    <s v="11/02/26"/>
    <x v="1"/>
    <n v="2026"/>
    <x v="6"/>
    <x v="3"/>
    <s v="INNOVA ZENIX G A/T"/>
    <x v="3"/>
    <x v="1"/>
    <x v="1"/>
    <x v="4"/>
    <x v="0"/>
    <x v="4"/>
    <x v="1"/>
    <x v="6"/>
    <x v="27"/>
    <x v="0"/>
    <s v="MAGA10R-BRXLBD-10"/>
    <s v="218"/>
    <s v="ATTITUDE BLACK MICA"/>
    <s v="MHFAAAAA6T0048769"/>
    <s v="M20A-NF28733"/>
    <s v="KCMG052518"/>
    <s v="YANI ANDRIYANI"/>
    <s v="FERYANTO"/>
    <s v="CST-000773455"/>
    <s v="PT. SURYA SUDECO"/>
    <s v="PT"/>
    <s v="PT. SURYA SUDECO"/>
    <s v="JL. GEMPOL NO. 52"/>
    <s v="KEC. RANCASARI"/>
    <s v="KOTA BANDUNG"/>
    <s v="CASH"/>
    <s v="CASH"/>
    <s v="001-26.64462127"/>
    <n v="439300000"/>
    <n v="340658482"/>
    <n v="57762500"/>
    <n v="37107589"/>
    <n v="0"/>
    <n v="0"/>
    <n v="31428571"/>
    <n v="404100000"/>
    <n v="404100000"/>
    <n v="-35464886"/>
    <s v="21/02/26"/>
    <s v="21/02/26"/>
    <s v="Invoice"/>
    <n v="1"/>
    <s v="0013318217062000"/>
    <s v="29/01/26"/>
    <s v="KC-25-001085"/>
    <s v="29/01/26"/>
    <s v="29/01/26"/>
    <s v="30/01/26 15.01"/>
    <s v="BJ00672"/>
    <s v="11/02/26"/>
    <s v="28/03/26"/>
    <s v="2026014328"/>
    <s v="09/02/26"/>
    <s v="12/02/26 15.05"/>
    <n v="0"/>
  </r>
  <r>
    <n v="1195"/>
    <n v="146"/>
    <s v="KC"/>
    <s v="146ARI2602-0400"/>
    <s v="11/02/26"/>
    <x v="1"/>
    <n v="2026"/>
    <x v="6"/>
    <x v="3"/>
    <s v="INNOVA ZENIX G A/T"/>
    <x v="3"/>
    <x v="1"/>
    <x v="1"/>
    <x v="4"/>
    <x v="0"/>
    <x v="4"/>
    <x v="1"/>
    <x v="6"/>
    <x v="27"/>
    <x v="0"/>
    <s v="MAGA10R-BRXLBD-10"/>
    <s v="218"/>
    <s v="ATTITUDE BLACK MICA"/>
    <s v="MHFAAAAA9T0048801"/>
    <s v="M20A-NF29970"/>
    <s v="KCMG052518"/>
    <s v="YANI ANDRIYANI"/>
    <s v="FERYANTO"/>
    <s v="CST-000773455"/>
    <s v="PT. SURYA SUDECO"/>
    <s v="PT"/>
    <s v="PT. SURYA SUDECO"/>
    <s v="JL. GEMPOL NO. 52"/>
    <s v="KEC. RANCASARI"/>
    <s v="KOTA BANDUNG"/>
    <s v="CASH"/>
    <s v="CASH"/>
    <s v="001-26.64462128"/>
    <n v="439300000"/>
    <n v="340658482"/>
    <n v="57762500"/>
    <n v="37107589"/>
    <n v="0"/>
    <n v="0"/>
    <n v="31428571"/>
    <n v="404100000"/>
    <n v="404100000"/>
    <n v="-35464886"/>
    <s v="21/02/26"/>
    <s v="21/02/26"/>
    <s v="Invoice"/>
    <n v="1"/>
    <s v="0013318217062000"/>
    <s v="29/01/26"/>
    <s v="KC-25-001084"/>
    <s v="29/01/26"/>
    <s v="29/01/26"/>
    <s v="30/01/26 15.06"/>
    <s v="BJ00777"/>
    <s v="11/02/26"/>
    <s v="28/03/26"/>
    <s v="2026014878"/>
    <s v="10/02/26"/>
    <s v="12/02/26 14.43"/>
    <n v="0"/>
  </r>
  <r>
    <n v="1196"/>
    <n v="146"/>
    <s v="KC"/>
    <s v="146ARI2602-0401"/>
    <s v="11/02/26"/>
    <x v="1"/>
    <n v="2026"/>
    <x v="0"/>
    <x v="0"/>
    <s v="AVANZA E M/T"/>
    <x v="3"/>
    <x v="1"/>
    <x v="1"/>
    <x v="4"/>
    <x v="0"/>
    <x v="4"/>
    <x v="1"/>
    <x v="6"/>
    <x v="27"/>
    <x v="0"/>
    <s v="W100RE-LMDFJ-00"/>
    <s v="X12"/>
    <s v="BLACK MICA"/>
    <s v="MHKAA1BY3TJ012335"/>
    <s v="1NR-G317806"/>
    <s v="KCMG052518"/>
    <s v="YANI ANDRIYANI"/>
    <s v="FERYANTO"/>
    <s v="CST-000773455"/>
    <s v="PT. SURYA SUDECO"/>
    <s v="PT"/>
    <s v="PT. SURYA SUDECO"/>
    <s v="JL. GEMPOL NO. 52"/>
    <s v="KEC. RANCASARI"/>
    <s v="KOTA BANDUNG"/>
    <s v="CASH"/>
    <s v="CASH"/>
    <s v="001-26.64462129"/>
    <n v="246700000"/>
    <n v="190189732"/>
    <n v="33687500"/>
    <n v="19822767"/>
    <n v="0"/>
    <n v="0"/>
    <n v="25000000"/>
    <n v="218700000"/>
    <n v="218700000"/>
    <n v="-28264886"/>
    <s v="21/02/26"/>
    <s v="21/02/26"/>
    <s v="Invoice"/>
    <n v="1"/>
    <s v="0013318217062000"/>
    <s v="29/01/26"/>
    <s v="KC-25-001081"/>
    <s v="29/01/26"/>
    <s v="29/01/26"/>
    <s v="30/01/26 15.24"/>
    <s v="B700633"/>
    <s v="11/02/26"/>
    <s v="28/03/26"/>
    <s v="2026014865"/>
    <s v="10/02/26"/>
    <s v="12/02/26 14.32"/>
    <n v="0"/>
  </r>
  <r>
    <n v="1226"/>
    <n v="146"/>
    <s v="KC"/>
    <s v="146ARI2602-0149"/>
    <s v="04/02/26"/>
    <x v="1"/>
    <n v="2026"/>
    <x v="0"/>
    <x v="0"/>
    <s v="AVANZA E M/T"/>
    <x v="3"/>
    <x v="1"/>
    <x v="1"/>
    <x v="4"/>
    <x v="0"/>
    <x v="4"/>
    <x v="1"/>
    <x v="6"/>
    <x v="27"/>
    <x v="0"/>
    <s v="W100RE-LMDFJ-00"/>
    <s v="X12"/>
    <s v="BLACK MICA"/>
    <s v="MHKAA1BY7TJ012080"/>
    <s v="1NR-G317493"/>
    <s v="KCMG052518"/>
    <s v="YANI ANDRIYANI"/>
    <s v="FERYANTO"/>
    <s v="CST-000773455"/>
    <s v="PT. SURYA SUDECO"/>
    <s v="PT"/>
    <s v="PT. SURYA SUDECO"/>
    <s v="JL. GEMPOL NO. 52"/>
    <s v="KEC. RANCASARI"/>
    <s v="KOTA BANDUNG"/>
    <s v="CASH"/>
    <s v="CASH"/>
    <s v="001-26.64462113"/>
    <n v="246700000"/>
    <n v="190189732"/>
    <n v="33687500"/>
    <n v="19822767"/>
    <n v="0"/>
    <n v="0"/>
    <n v="25000000"/>
    <n v="218700000"/>
    <n v="218700000"/>
    <n v="-28264886"/>
    <s v="21/02/26"/>
    <s v="21/02/26"/>
    <s v="Invoice"/>
    <n v="1"/>
    <s v="0013318217062000"/>
    <s v="29/01/26"/>
    <s v="KC-25-001087"/>
    <s v="29/01/26"/>
    <s v="29/01/26"/>
    <s v="30/01/26 16.43"/>
    <s v="B700070"/>
    <s v="04/02/26"/>
    <s v="21/03/26"/>
    <s v="2026011765"/>
    <s v="03/02/26"/>
    <s v="08/02/26 14.55"/>
    <n v="0"/>
  </r>
  <r>
    <n v="1227"/>
    <n v="146"/>
    <s v="KC"/>
    <s v="146ARI2602-0174"/>
    <s v="05/02/26"/>
    <x v="1"/>
    <n v="2026"/>
    <x v="0"/>
    <x v="0"/>
    <s v="AVANZA E M/T"/>
    <x v="3"/>
    <x v="1"/>
    <x v="1"/>
    <x v="4"/>
    <x v="0"/>
    <x v="4"/>
    <x v="1"/>
    <x v="6"/>
    <x v="27"/>
    <x v="0"/>
    <s v="W100RE-LMDFJ-00"/>
    <s v="X12"/>
    <s v="BLACK MICA"/>
    <s v="MHKAA1BY0TJ012096"/>
    <s v="1NR-G317424"/>
    <s v="KCMG052518"/>
    <s v="YANI ANDRIYANI"/>
    <s v="FERYANTO"/>
    <s v="CST-000773455"/>
    <s v="PT. SURYA SUDECO"/>
    <s v="PT"/>
    <s v="PT. SURYA SUDECO"/>
    <s v="JL. GEMPOL NO. 52"/>
    <s v="KEC. RANCASARI"/>
    <s v="KOTA BANDUNG"/>
    <s v="CASH"/>
    <s v="CASH"/>
    <s v="001-26.64462109"/>
    <n v="246700000"/>
    <n v="190189732"/>
    <n v="33687500"/>
    <n v="19822767"/>
    <n v="0"/>
    <n v="0"/>
    <n v="25000000"/>
    <n v="218700000"/>
    <n v="218700000"/>
    <n v="-28264886"/>
    <s v="21/02/26"/>
    <s v="21/02/26"/>
    <s v="Invoice"/>
    <n v="1"/>
    <s v="0013318217062000"/>
    <s v="29/01/26"/>
    <s v="KC-25-001086"/>
    <s v="29/01/26"/>
    <s v="29/01/26"/>
    <s v="30/01/26 16.33"/>
    <s v="B700095"/>
    <s v="05/02/26"/>
    <s v="22/03/26"/>
    <s v="2026012627"/>
    <s v="04/02/26"/>
    <s v="08/02/26 14.59"/>
    <n v="0"/>
  </r>
  <r>
    <n v="1013"/>
    <n v="146"/>
    <s v="KC"/>
    <s v="146ARI2601-1088"/>
    <s v="28/01/26"/>
    <x v="3"/>
    <n v="2026"/>
    <x v="0"/>
    <x v="0"/>
    <s v="AVANZA G M/T"/>
    <x v="3"/>
    <x v="1"/>
    <x v="1"/>
    <x v="4"/>
    <x v="0"/>
    <x v="4"/>
    <x v="1"/>
    <x v="6"/>
    <x v="15"/>
    <x v="0"/>
    <s v="W101RE-LMMFJ-00"/>
    <s v="S28"/>
    <s v="Silver Metallic"/>
    <s v="MHKAB1BY2TJ014350"/>
    <s v="2NR-4F39141"/>
    <s v="CMMG122342"/>
    <s v="REGYAWAN KURNIA"/>
    <s v="FERYANTO"/>
    <s v="CST-000783953"/>
    <s v="PT. SURYA SUDECO"/>
    <s v="PT"/>
    <s v="PT. SURYA SUDECO"/>
    <s v="JL. GEMPOL NO. 52"/>
    <s v="KEC. RANCASARI"/>
    <s v="KOTA BANDUNG"/>
    <s v="CASH"/>
    <s v="CASH"/>
    <s v="001-26.64460828"/>
    <n v="269700000"/>
    <n v="208158482"/>
    <n v="36562500"/>
    <n v="22836160"/>
    <n v="0"/>
    <n v="0"/>
    <n v="17857143"/>
    <n v="249700000"/>
    <n v="249700000"/>
    <n v="-20264886"/>
    <m/>
    <m/>
    <s v="Invoice"/>
    <n v="1"/>
    <s v="0013318217062000"/>
    <s v="26/01/26"/>
    <s v="KC-25-001063"/>
    <s v="27/01/26"/>
    <s v="27/01/26"/>
    <s v="27/01/26 14.41"/>
    <s v="A702405"/>
    <s v="28/01/26"/>
    <s v="14/03/26"/>
    <s v="2026009034"/>
    <s v="27/01/26"/>
    <s v="30/01/26 17.02"/>
    <n v="0"/>
  </r>
  <r>
    <n v="1021"/>
    <n v="146"/>
    <s v="KC"/>
    <s v="146ARI2601-0857"/>
    <s v="23/01/26"/>
    <x v="3"/>
    <n v="2026"/>
    <x v="0"/>
    <x v="0"/>
    <s v="AVANZA G A/T"/>
    <x v="3"/>
    <x v="1"/>
    <x v="1"/>
    <x v="4"/>
    <x v="0"/>
    <x v="0"/>
    <x v="0"/>
    <x v="6"/>
    <x v="0"/>
    <x v="0"/>
    <s v="W101RE-LBMFJ-00"/>
    <s v="X12"/>
    <s v="BLACK MICA"/>
    <s v="MHKAB1BY2TJ013974"/>
    <s v="2NR-4F35157"/>
    <s v="KCMG072432"/>
    <s v="DENO"/>
    <s v="FERYANTO"/>
    <s v="CST-000809499"/>
    <s v="PT. SURYA SUDECO"/>
    <s v="PT"/>
    <s v="PT. SURYA SUDECO"/>
    <s v="JL. SOEKARNO HATTA NO. 352"/>
    <s v="KEC. BANDUNG KIDUL"/>
    <s v="KOTA BANDUNG"/>
    <s v="CASH"/>
    <s v="CASH"/>
    <s v="001-26.64460822"/>
    <n v="284500000"/>
    <n v="219720982"/>
    <n v="38412500"/>
    <n v="24009375"/>
    <n v="0"/>
    <n v="0"/>
    <n v="19642857"/>
    <n v="262500000"/>
    <n v="262500000"/>
    <n v="-22264886"/>
    <m/>
    <m/>
    <s v="Invoice"/>
    <n v="1"/>
    <s v="0013318217062000"/>
    <s v="23/01/26"/>
    <s v="KC-25-001046"/>
    <s v="23/01/26"/>
    <s v="23/01/26"/>
    <s v="23/01/26 16.59"/>
    <s v="A701712"/>
    <s v="27/01/26"/>
    <s v="06/02/26"/>
    <s v="2026007057"/>
    <s v="22/01/26"/>
    <s v="25/01/26 15.31"/>
    <n v="0"/>
  </r>
  <r>
    <n v="1023"/>
    <n v="146"/>
    <s v="KC"/>
    <s v="146ARI2601-1284"/>
    <s v="30/01/26"/>
    <x v="3"/>
    <n v="2026"/>
    <x v="0"/>
    <x v="0"/>
    <s v="AVANZA G M/T"/>
    <x v="3"/>
    <x v="1"/>
    <x v="1"/>
    <x v="4"/>
    <x v="0"/>
    <x v="0"/>
    <x v="1"/>
    <x v="6"/>
    <x v="15"/>
    <x v="0"/>
    <s v="W101RE-LMMFJ-00"/>
    <s v="X12"/>
    <s v="BLACK MICA"/>
    <s v="MHKAB1BY7TJ014022"/>
    <s v="2NR-4F37313"/>
    <s v="CMMG122342"/>
    <s v="REGYAWAN KURNIA"/>
    <s v="FERYANTO"/>
    <s v="CST-000783953"/>
    <s v="PT. SURYA SUDECO"/>
    <s v="PT"/>
    <s v="PT. SURYA SUDECO"/>
    <s v="JL. GEMPOL NO. 52"/>
    <s v="KEC. RANCASARI"/>
    <s v="KOTA BANDUNG"/>
    <s v="CASH"/>
    <s v="CASH"/>
    <s v="001-26.64460850"/>
    <n v="269700000"/>
    <n v="208158482"/>
    <n v="36562500"/>
    <n v="22621875"/>
    <n v="0"/>
    <n v="0"/>
    <n v="19642857"/>
    <n v="247700000"/>
    <n v="247700000"/>
    <n v="-22264886"/>
    <m/>
    <m/>
    <s v="Invoice"/>
    <n v="1"/>
    <s v="0013318217062000"/>
    <s v="30/01/26"/>
    <s v="KC-25-001101"/>
    <s v="30/01/26"/>
    <s v="30/01/26"/>
    <s v="30/01/26 17.22"/>
    <s v="A701790"/>
    <m/>
    <s v="16/03/26"/>
    <s v="2026008442"/>
    <s v="26/01/26"/>
    <s v="02/02/26 16.50"/>
    <n v="0"/>
  </r>
  <r>
    <n v="932"/>
    <n v="146"/>
    <s v="KC"/>
    <s v="146ARI2603-1337"/>
    <s v="31/03/26"/>
    <x v="0"/>
    <n v="2026"/>
    <x v="0"/>
    <x v="0"/>
    <s v="AVANZA G M/T"/>
    <x v="3"/>
    <x v="1"/>
    <x v="1"/>
    <x v="4"/>
    <x v="0"/>
    <x v="4"/>
    <x v="1"/>
    <x v="6"/>
    <x v="15"/>
    <x v="0"/>
    <s v="W101RE-LMMFJ-10"/>
    <s v="S28"/>
    <s v="Silver Metallic"/>
    <s v="MHKAB1BY9TJ018282"/>
    <s v="2NR-4F67784"/>
    <s v="CMMG122342"/>
    <s v="REGYAWAN KURNIA"/>
    <s v="FERYANTO"/>
    <s v="CST-000783953"/>
    <s v="PT. SURYA SUDECO"/>
    <s v="PT"/>
    <s v="PT. SURYA SUDECO"/>
    <s v="JL. GEMPOL NO. 52"/>
    <s v="KEC. PANYILEUKAN"/>
    <s v="KOTA BANDUNG"/>
    <s v="CASH"/>
    <s v="CASH"/>
    <m/>
    <n v="269700000"/>
    <n v="207935268"/>
    <n v="36812500"/>
    <n v="22809375"/>
    <n v="0"/>
    <n v="0"/>
    <n v="17857143"/>
    <n v="249700000"/>
    <n v="249700000"/>
    <n v="-20264886"/>
    <m/>
    <m/>
    <s v="Invoice"/>
    <n v="1"/>
    <s v="0013318217062000"/>
    <s v="26/03/26"/>
    <s v="KC-26-000163"/>
    <s v="26/03/26"/>
    <s v="26/03/26"/>
    <s v="26/03/26 16.21"/>
    <s v="C701726"/>
    <m/>
    <s v="15/05/26"/>
    <s v="2026032493"/>
    <s v="31/03/26"/>
    <s v="01/04/26 14.43"/>
    <n v="0"/>
  </r>
  <r>
    <n v="1037"/>
    <n v="146"/>
    <s v="KC"/>
    <s v="146ARI2601-1189"/>
    <s v="30/01/26"/>
    <x v="3"/>
    <n v="2026"/>
    <x v="3"/>
    <x v="3"/>
    <s v="INNOVA G A/T DIESEL"/>
    <x v="0"/>
    <x v="1"/>
    <x v="0"/>
    <x v="10"/>
    <x v="1"/>
    <x v="0"/>
    <x v="2"/>
    <x v="6"/>
    <x v="9"/>
    <x v="0"/>
    <s v="GUN142R-MDTSXD-30"/>
    <s v="040"/>
    <s v="SUPER WHITE II"/>
    <s v="MHFJB8EM0T1183766"/>
    <s v="2GD-5928386"/>
    <s v="KCMG042511"/>
    <s v="DADAN DARMADI"/>
    <s v="FERYANTO"/>
    <s v="CST-000809926"/>
    <s v="PT. TEKNOLOGI REKAYASA KATUP"/>
    <s v="PT"/>
    <s v="PT TEKNOLOGI REKAYASA KATUP"/>
    <s v="THE CITY RESORT RESIDENCES KOMP RUKAN MALIBU I NO.12 RT:006 RW: 014"/>
    <s v="KEC. CENGKARENG"/>
    <s v="KOTA JAKARTA BARAT"/>
    <s v="KREDIT"/>
    <s v="PT. TOYOTA ASTRA FINANCIAL SERVICES"/>
    <s v="001-26.64460851"/>
    <n v="438700000"/>
    <n v="340515625"/>
    <n v="57322500"/>
    <n v="38183303"/>
    <n v="0"/>
    <n v="0"/>
    <n v="22321429"/>
    <n v="413700000"/>
    <n v="0"/>
    <n v="-25386734"/>
    <m/>
    <m/>
    <s v="Invoice"/>
    <n v="1"/>
    <s v="0743746422034000"/>
    <s v="27/01/26"/>
    <s v="KC-25-001062"/>
    <s v="27/01/26"/>
    <s v="27/01/26"/>
    <s v="27/01/26 14.51"/>
    <s v="AC02018"/>
    <s v="30/01/26"/>
    <s v="01/03/26"/>
    <s v="2026008420"/>
    <s v="26/01/26"/>
    <s v="02/02/26 08.00"/>
    <n v="0"/>
  </r>
  <r>
    <n v="939"/>
    <n v="146"/>
    <s v="KC"/>
    <s v="146ARI2603-0434"/>
    <s v="09/03/26"/>
    <x v="0"/>
    <n v="2026"/>
    <x v="5"/>
    <x v="4"/>
    <s v="VELOZ Q AT HYBRID"/>
    <x v="3"/>
    <x v="1"/>
    <x v="1"/>
    <x v="4"/>
    <x v="0"/>
    <x v="4"/>
    <x v="1"/>
    <x v="6"/>
    <x v="1"/>
    <x v="0"/>
    <s v="W102RE-LBVFJ-03"/>
    <s v="089"/>
    <s v="PLATINUM WHITE PEARL MICA"/>
    <s v="MHFA71BY5T0001081"/>
    <s v="2NR-Y649087"/>
    <s v="KCMK24005"/>
    <s v="JAJANG NURJAMAN"/>
    <s v="FERYANTO"/>
    <s v="CST-000816835"/>
    <s v="PT. TOYOTA ASTRA FINANCIAL SERVICE"/>
    <s v="PT"/>
    <s v="PT. TOYOTA ASTRA FINANCIAL SERVICES"/>
    <s v="JL. BKR NO.118"/>
    <s v="KEC. REGOL"/>
    <s v="KOTA BANDUNG"/>
    <s v="CASH"/>
    <s v="CASH"/>
    <s v="001-26.64462997"/>
    <n v="359000000"/>
    <n v="277700893"/>
    <n v="47975000"/>
    <n v="33324107"/>
    <n v="0"/>
    <n v="0"/>
    <n v="0"/>
    <n v="359000000"/>
    <n v="359000000"/>
    <n v="0"/>
    <s v="14/03/26"/>
    <s v="14/03/26"/>
    <s v="Invoice"/>
    <n v="1"/>
    <m/>
    <s v="06/03/26"/>
    <s v="KC-26-000102"/>
    <s v="06/03/26"/>
    <s v="06/03/26"/>
    <s v="09/03/26 16.26"/>
    <s v="B800087"/>
    <s v="09/03/26"/>
    <s v="08/04/26"/>
    <s v="2026021093"/>
    <s v="25/02/26"/>
    <s v="11/03/26 16.41"/>
    <n v="0"/>
  </r>
  <r>
    <n v="1699"/>
    <n v="146"/>
    <s v="KC"/>
    <s v="146ARI2602-0311"/>
    <s v="09/02/26"/>
    <x v="1"/>
    <n v="2026"/>
    <x v="2"/>
    <x v="2"/>
    <s v="CALYA G M/T"/>
    <x v="0"/>
    <x v="0"/>
    <x v="0"/>
    <x v="6"/>
    <x v="1"/>
    <x v="3"/>
    <x v="0"/>
    <x v="1"/>
    <x v="23"/>
    <x v="1"/>
    <s v="B401RA-GMZFJ-20"/>
    <s v="1G3"/>
    <s v="GRAY METALLIC"/>
    <s v="MHKA6GJ6JTJ221350"/>
    <s v="3NR-H980221"/>
    <s v="KCMG052516"/>
    <s v="YENI"/>
    <s v="ALVIN"/>
    <s v="CST-000811756"/>
    <s v="PUJIONO"/>
    <s v="INDIVIDU"/>
    <s v="KINKIN SEPTIANI"/>
    <s v="BPR PUSKOPAD"/>
    <s v="KEC. TANJUNGSARI"/>
    <s v="KAB. SUMEDANG"/>
    <s v="KREDIT"/>
    <s v="PT. TOYOTA ASTRA FINANCIAL SERVICES"/>
    <s v="001-26.64462121"/>
    <n v="181900000"/>
    <n v="138984375"/>
    <n v="26237500"/>
    <n v="15499553"/>
    <n v="0"/>
    <n v="0"/>
    <n v="9821429"/>
    <n v="170900000"/>
    <n v="0"/>
    <n v="-11000000"/>
    <s v="13/02/26"/>
    <s v="13/02/26"/>
    <s v="Invoice"/>
    <n v="1"/>
    <m/>
    <s v="04/02/26"/>
    <s v="KC-25-001089"/>
    <s v="02/02/26"/>
    <s v="02/02/26"/>
    <s v="05/02/26 11.19"/>
    <s v="BO00086"/>
    <s v="09/02/26"/>
    <s v="11/03/26"/>
    <s v="2026012001"/>
    <s v="03/02/26"/>
    <s v="10/02/26 16.36"/>
    <n v="0"/>
  </r>
  <r>
    <n v="1708"/>
    <n v="146"/>
    <s v="KC"/>
    <s v="146ARI2602-1392"/>
    <s v="28/02/26"/>
    <x v="1"/>
    <n v="2026"/>
    <x v="4"/>
    <x v="3"/>
    <s v="INNOVA ZENIX Q A/T HYBRID"/>
    <x v="4"/>
    <x v="0"/>
    <x v="0"/>
    <x v="4"/>
    <x v="0"/>
    <x v="0"/>
    <x v="0"/>
    <x v="1"/>
    <x v="25"/>
    <x v="2"/>
    <s v="MAGH10R-BPXHBD-10"/>
    <s v="218"/>
    <s v="ATTITUDE BLACK MICA"/>
    <s v="MHFABBAA2T0466233"/>
    <s v="M20A-NF33835"/>
    <s v="KCMG112539"/>
    <s v="RIDWAN EFENDI"/>
    <s v="MUHAMMAD CAISARIVA"/>
    <s v="CST-000815084"/>
    <s v="R YONI WIYARTO"/>
    <s v="INDIVIDU"/>
    <s v="R. YONI WIYARTO"/>
    <s v="JL JURANG NO 616 A / 181"/>
    <s v="KEC. SUKAJADI"/>
    <s v="KOTA BANDUNG"/>
    <s v="KREDIT"/>
    <s v="PT. ASTRA SEDAYA FINANCE"/>
    <m/>
    <n v="627100000"/>
    <n v="487377232"/>
    <n v="81237500"/>
    <n v="56235267"/>
    <n v="0"/>
    <n v="0"/>
    <n v="18750000"/>
    <n v="606100000"/>
    <n v="103425000"/>
    <n v="-21000000"/>
    <m/>
    <m/>
    <s v="Invoice"/>
    <n v="1"/>
    <s v="0000000000000000"/>
    <s v="26/02/26"/>
    <s v="KC-26-000030"/>
    <s v="24/02/26"/>
    <s v="24/02/26"/>
    <s v="26/02/26 16.17"/>
    <s v="BJ01458"/>
    <m/>
    <s v="14/03/26"/>
    <s v="2026017931"/>
    <s v="18/02/26"/>
    <s v="01/03/26 15.54"/>
    <n v="0"/>
  </r>
  <r>
    <n v="1404"/>
    <n v="146"/>
    <s v="KC"/>
    <s v="146ARI2601-1295"/>
    <s v="31/01/26"/>
    <x v="3"/>
    <n v="2026"/>
    <x v="2"/>
    <x v="2"/>
    <s v="CALYA G M/T"/>
    <x v="2"/>
    <x v="0"/>
    <x v="0"/>
    <x v="4"/>
    <x v="0"/>
    <x v="3"/>
    <x v="2"/>
    <x v="1"/>
    <x v="15"/>
    <x v="0"/>
    <s v="B401RA-GMZFJ-20"/>
    <s v="X13"/>
    <s v="BLACK"/>
    <s v="MHKA6GJ6JTJ221168"/>
    <s v="3NR-H980104"/>
    <s v="CMMG122342"/>
    <s v="REGYAWAN KURNIA"/>
    <s v="FERYANTO"/>
    <s v="CST-000810243"/>
    <s v="RAHMAT BUDIMAN"/>
    <s v="INDIVIDU"/>
    <s v="RAHMAT BUDIMAN"/>
    <s v="JL.CINTA ASIH NO.237/122"/>
    <s v="KEC. BATUNUNGGAL"/>
    <s v="KOTA BANDUNG"/>
    <s v="KREDIT"/>
    <s v="PT. MANDIRI TUNAS FINANCE"/>
    <m/>
    <n v="181900000"/>
    <n v="139564732"/>
    <n v="25587500"/>
    <n v="15569196"/>
    <n v="0"/>
    <n v="0"/>
    <n v="9821429"/>
    <n v="170900000"/>
    <n v="0"/>
    <n v="-11000000"/>
    <m/>
    <m/>
    <s v="Invoice"/>
    <n v="1"/>
    <m/>
    <s v="29/01/26"/>
    <s v="KC-25-000997"/>
    <s v="27/01/26"/>
    <s v="27/01/26"/>
    <s v="29/01/26 11.33"/>
    <s v="AO02410"/>
    <m/>
    <s v="02/03/26"/>
    <s v="2026011029"/>
    <s v="30/01/26"/>
    <s v="02/02/26 10.13"/>
    <n v="0"/>
  </r>
  <r>
    <n v="1237"/>
    <n v="146"/>
    <s v="KC"/>
    <s v="146ARI2603-0850"/>
    <s v="17/03/26"/>
    <x v="0"/>
    <n v="2026"/>
    <x v="10"/>
    <x v="8"/>
    <s v="YARIS CROSS S A/T"/>
    <x v="3"/>
    <x v="0"/>
    <x v="1"/>
    <x v="4"/>
    <x v="0"/>
    <x v="0"/>
    <x v="1"/>
    <x v="1"/>
    <x v="27"/>
    <x v="0"/>
    <s v="NYC200R-DHXHBD-01"/>
    <s v="218"/>
    <s v="ATTITUDE BLACK MICA"/>
    <s v="MHFAB8BF0T0038156"/>
    <s v="2NR-Y640736"/>
    <s v="KCMG052518"/>
    <s v="YANI ANDRIYANI"/>
    <s v="FERYANTO"/>
    <s v="CST-000817926"/>
    <s v="RAHMAT NUGRAHA"/>
    <s v="INDIVIDU"/>
    <s v="ANA MARLIANA"/>
    <s v="KOMP. GRAHA INDAH KAV C4 JL. CILEMBER"/>
    <s v="KEC. CICENDO"/>
    <s v="KOTA BANDUNG"/>
    <s v="CASH"/>
    <s v="CASH"/>
    <m/>
    <n v="460300000"/>
    <n v="356841518"/>
    <n v="60637500"/>
    <n v="40570982"/>
    <n v="0"/>
    <n v="0"/>
    <n v="18750000"/>
    <n v="439300000"/>
    <n v="0"/>
    <n v="-21000000"/>
    <s v="17/03/26"/>
    <s v="17/03/26"/>
    <s v="Invoice"/>
    <n v="1"/>
    <m/>
    <s v="16/03/26"/>
    <s v="KC-26-000109"/>
    <s v="16/03/26"/>
    <s v="16/03/26"/>
    <s v="16/03/26 13.56"/>
    <s v="B100087"/>
    <s v="17/03/26"/>
    <s v="31/03/26"/>
    <s v="2026013933"/>
    <s v="06/02/26"/>
    <s v="18/03/26 13.23"/>
    <n v="0"/>
  </r>
  <r>
    <n v="1720"/>
    <n v="146"/>
    <s v="KC"/>
    <s v="146ARI2602-1332"/>
    <s v="27/02/26"/>
    <x v="1"/>
    <n v="2026"/>
    <x v="9"/>
    <x v="7"/>
    <s v="AGYA G A/T"/>
    <x v="2"/>
    <x v="0"/>
    <x v="0"/>
    <x v="4"/>
    <x v="0"/>
    <x v="0"/>
    <x v="0"/>
    <x v="1"/>
    <x v="14"/>
    <x v="2"/>
    <s v="A351RA-GBEFJ-10"/>
    <s v="W09"/>
    <s v="WHITE"/>
    <s v="MHKAB1BC8TJ079868"/>
    <s v="WA-A235824"/>
    <s v="KCMG022606"/>
    <s v="RIDWAN MUSTOFA"/>
    <s v="MUHAMMAD CAISARIVA"/>
    <s v="CST-000814823"/>
    <s v="RAKA MAHARDIKA"/>
    <s v="INDIVIDU"/>
    <s v="RARAS LINTANG KIRANA"/>
    <s v="JL JATI INDAH NO 5"/>
    <s v="KEC. MANDALAJATI"/>
    <s v="KOTA BANDUNG"/>
    <s v="KREDIT"/>
    <s v="PT. MANDIRI TUNAS FINANCE"/>
    <m/>
    <n v="204000000"/>
    <n v="156830357"/>
    <n v="28350000"/>
    <n v="17641071"/>
    <n v="0"/>
    <n v="0"/>
    <n v="9821429"/>
    <n v="193000000"/>
    <n v="11000000"/>
    <n v="-11000000"/>
    <m/>
    <m/>
    <s v="Invoice"/>
    <n v="1"/>
    <s v="0000000000000099"/>
    <s v="24/02/26"/>
    <s v="KC-26-000032"/>
    <s v="16/02/26"/>
    <s v="16/02/26"/>
    <s v="25/02/26 08.42"/>
    <s v="BR01048"/>
    <m/>
    <s v="13/03/26"/>
    <s v="2026022294"/>
    <s v="26/02/26"/>
    <s v="28/02/26 09.35"/>
    <n v="0"/>
  </r>
  <r>
    <n v="1243"/>
    <n v="146"/>
    <s v="KC"/>
    <s v="146ARI2603-1061"/>
    <s v="26/03/26"/>
    <x v="0"/>
    <n v="2026"/>
    <x v="4"/>
    <x v="3"/>
    <s v="INNOVA ZENIX V A/T HYBRID"/>
    <x v="3"/>
    <x v="0"/>
    <x v="1"/>
    <x v="2"/>
    <x v="0"/>
    <x v="0"/>
    <x v="1"/>
    <x v="7"/>
    <x v="12"/>
    <x v="2"/>
    <s v="MAGH10R-BRXMBD-10"/>
    <s v="218"/>
    <s v="ATTITUDE BLACK MICA"/>
    <s v="MHFABAAA0T0050725"/>
    <s v="M20A-NF44657"/>
    <s v="KCMK25001"/>
    <s v="RIDWAN DWI AZHARI"/>
    <s v="MUHAMMAD CAISARIVA"/>
    <s v="CST-000818723"/>
    <s v="RAMDHANI AKBAR"/>
    <s v="INDIVIDU"/>
    <s v="RAMDHANI AKBAR"/>
    <s v="JL. TERUSAN SERSAN BAJURI NO. 39 KP. KANCAH"/>
    <s v="KEC. PARONGPONG"/>
    <s v="KAB. BANDUNG BARAT"/>
    <s v="CASH"/>
    <s v="CASH"/>
    <m/>
    <n v="551900000"/>
    <n v="428404018"/>
    <n v="72087500"/>
    <n v="49158482"/>
    <n v="0"/>
    <n v="0"/>
    <n v="18750000"/>
    <n v="530900000"/>
    <n v="370900000"/>
    <n v="-21000000"/>
    <m/>
    <m/>
    <s v="Invoice"/>
    <n v="1"/>
    <s v="0000000000000000"/>
    <s v="26/03/26"/>
    <s v="KC-26-000094"/>
    <s v="26/03/26"/>
    <s v="26/03/26"/>
    <s v="26/03/26 13.26"/>
    <s v="CJ01204"/>
    <s v="26/03/26"/>
    <s v="09/04/26"/>
    <s v="2026028412"/>
    <s v="11/03/26"/>
    <s v="31/03/26 13.01"/>
    <n v="0"/>
  </r>
  <r>
    <n v="1247"/>
    <n v="146"/>
    <s v="KC"/>
    <s v="146ARI2603-0631"/>
    <s v="13/03/26"/>
    <x v="0"/>
    <n v="2026"/>
    <x v="0"/>
    <x v="0"/>
    <s v="AVANZA E A/T"/>
    <x v="4"/>
    <x v="0"/>
    <x v="0"/>
    <x v="4"/>
    <x v="0"/>
    <x v="0"/>
    <x v="1"/>
    <x v="1"/>
    <x v="8"/>
    <x v="1"/>
    <s v="W100RE-LBDFJ-10"/>
    <s v="W09"/>
    <s v="WHITE"/>
    <s v="MHKAA1BY9TJ013392"/>
    <s v="1NR-G320147"/>
    <s v="KCMK25002"/>
    <s v="RAHMAWATI"/>
    <s v="ALVIN"/>
    <s v="CST-000813635"/>
    <s v="RANA WAHYUDI"/>
    <s v="INDIVIDU"/>
    <s v="RANA WAHYUDI"/>
    <s v="JL DR SETIABUDHI GG BP DIRA"/>
    <s v="KEC. CIDADAP"/>
    <s v="KOTA BANDUNG"/>
    <s v="KREDIT"/>
    <s v="PT. ASTRA SEDAYA FINANCE"/>
    <m/>
    <n v="261700000"/>
    <n v="201685268"/>
    <n v="35812500"/>
    <n v="22487946"/>
    <n v="0"/>
    <n v="0"/>
    <n v="14285714"/>
    <n v="245700000"/>
    <n v="0"/>
    <n v="-16000000"/>
    <s v="17/03/26"/>
    <s v="17/03/26"/>
    <s v="Invoice"/>
    <n v="1"/>
    <m/>
    <s v="16/02/26"/>
    <s v="KC-26-000028"/>
    <s v="14/02/26"/>
    <s v="14/02/26"/>
    <s v="16/02/26 13.26"/>
    <s v="C701132"/>
    <s v="13/03/26"/>
    <s v="27/03/26"/>
    <s v="2026029385"/>
    <s v="12/03/26"/>
    <s v="14/03/26 11.21"/>
    <n v="0"/>
  </r>
  <r>
    <n v="1756"/>
    <n v="146"/>
    <s v="KC"/>
    <s v="146ARI2604-1045"/>
    <s v="23/04/26"/>
    <x v="2"/>
    <n v="2026"/>
    <x v="12"/>
    <x v="10"/>
    <s v="RUSH S A/T"/>
    <x v="2"/>
    <x v="0"/>
    <x v="0"/>
    <x v="4"/>
    <x v="0"/>
    <x v="0"/>
    <x v="0"/>
    <x v="1"/>
    <x v="21"/>
    <x v="1"/>
    <s v="F800RE-GQGFJ-40"/>
    <s v="W09"/>
    <s v="WHITE"/>
    <s v="MHKE8FB3JTK120123"/>
    <s v="2NR-4F80026"/>
    <s v="KCMG012502"/>
    <s v="DADI SOBARI"/>
    <s v="ALVIN"/>
    <s v="CST-000822429"/>
    <s v="RATNA DEWI NASUTION"/>
    <s v="INDIVIDU"/>
    <s v="RATNA DEWI NASUTION"/>
    <s v="JL HAUR PANCUH III"/>
    <s v="KEC. COBLONG"/>
    <s v="KOTA BANDUNG"/>
    <s v="KREDIT"/>
    <s v="PT. MANDIRI TUNAS FINANCE"/>
    <m/>
    <n v="322100000"/>
    <n v="248872768"/>
    <n v="43362500"/>
    <n v="28257589"/>
    <n v="0"/>
    <n v="0"/>
    <n v="13392857"/>
    <n v="307100000"/>
    <n v="8000000"/>
    <n v="-15000000"/>
    <s v="24/04/26"/>
    <s v="24/04/26"/>
    <s v="Invoice"/>
    <n v="1"/>
    <m/>
    <s v="21/04/26"/>
    <s v="KC-26-000214"/>
    <s v="18/04/26"/>
    <s v="18/04/26"/>
    <s v="22/04/26 09.00"/>
    <s v="DG01501"/>
    <s v="23/04/26"/>
    <s v="07/05/26"/>
    <s v="2026040798"/>
    <s v="20/04/26"/>
    <s v="24/04/26 22.18"/>
    <n v="0"/>
  </r>
  <r>
    <n v="1250"/>
    <n v="146"/>
    <s v="KC"/>
    <s v="146ARI2603-0444"/>
    <s v="10/03/26"/>
    <x v="0"/>
    <n v="2026"/>
    <x v="5"/>
    <x v="4"/>
    <s v="VELOZ V AT HYBRID"/>
    <x v="0"/>
    <x v="0"/>
    <x v="0"/>
    <x v="0"/>
    <x v="0"/>
    <x v="1"/>
    <x v="0"/>
    <x v="1"/>
    <x v="24"/>
    <x v="0"/>
    <s v="W102RE-LBVFJ-11"/>
    <s v="089"/>
    <s v="PLATINUM WHITE PEARL MICA"/>
    <s v="MHFA71BY0T0002543"/>
    <s v="2NR-Y660948"/>
    <s v="KCMG012605"/>
    <s v="JUARNA KARMAN PUTRA"/>
    <s v="FERYANTO"/>
    <s v="CST-000809203"/>
    <s v="RAYENDRO"/>
    <s v="INDIVIDU"/>
    <s v="VILLAR WIBAWA WICAKSANA"/>
    <s v="GADING TUTUKA I BLOK L2 NO 36"/>
    <s v="KEC. SOREANG"/>
    <s v="KAB. BANDUNG"/>
    <s v="KREDIT"/>
    <s v="PT. TOYOTA ASTRA FINANCIAL SERVICES"/>
    <s v="002-26.36649384"/>
    <n v="304500000"/>
    <n v="235122768"/>
    <n v="41162500"/>
    <n v="27786160"/>
    <n v="0"/>
    <n v="0"/>
    <n v="3571429"/>
    <n v="300500000"/>
    <n v="0"/>
    <n v="-4000000"/>
    <s v="14/03/26"/>
    <s v="14/03/26"/>
    <s v="Invoice"/>
    <n v="1"/>
    <m/>
    <s v="21/01/26"/>
    <s v="KC-25-001000"/>
    <s v="21/01/26"/>
    <s v="21/01/26"/>
    <s v="21/01/26 19.12"/>
    <s v="C801008"/>
    <s v="10/03/26"/>
    <s v="24/03/26"/>
    <s v="2026026670"/>
    <s v="07/03/26"/>
    <s v="12/03/26 18.05"/>
    <n v="0"/>
  </r>
  <r>
    <n v="1258"/>
    <n v="146"/>
    <s v="KC"/>
    <s v="146ARI2603-0239"/>
    <s v="05/03/26"/>
    <x v="0"/>
    <n v="2026"/>
    <x v="2"/>
    <x v="2"/>
    <s v="CALYA G M/T"/>
    <x v="0"/>
    <x v="0"/>
    <x v="0"/>
    <x v="0"/>
    <x v="0"/>
    <x v="0"/>
    <x v="0"/>
    <x v="0"/>
    <x v="9"/>
    <x v="0"/>
    <s v="B401RA-GMZFJ-20"/>
    <s v="W09"/>
    <s v="WHITE"/>
    <s v="MHKA6GJ6JTJ223245"/>
    <s v="3NR-H985593"/>
    <s v="KCMG042511"/>
    <s v="DADAN DARMADI"/>
    <s v="FERYANTO"/>
    <s v="CST-000815778"/>
    <s v="RESTU ADITIA"/>
    <s v="INDIVIDU"/>
    <s v="RESTU ADITIA"/>
    <s v="KP ANCOL"/>
    <s v="KEC. ARJASARI"/>
    <s v="KAB. BANDUNG"/>
    <s v="KREDIT"/>
    <s v="PT. TOYOTA ASTRA FINANCIAL SERVICES"/>
    <s v="001-26.64463215"/>
    <n v="181900000"/>
    <n v="139341518"/>
    <n v="25837500"/>
    <n v="15542410"/>
    <n v="0"/>
    <n v="0"/>
    <n v="9821429"/>
    <n v="170900000"/>
    <n v="0"/>
    <n v="-11000000"/>
    <s v="13/03/26"/>
    <s v="13/03/26"/>
    <s v="Invoice"/>
    <n v="1"/>
    <s v="0000000000000000"/>
    <s v="02/03/26"/>
    <s v="KC-26-000042"/>
    <s v="28/02/26"/>
    <s v="28/02/26"/>
    <s v="03/03/26 16.21"/>
    <s v="BO02724"/>
    <s v="05/03/26"/>
    <s v="19/03/26"/>
    <s v="2026023191"/>
    <s v="28/02/26"/>
    <s v="06/03/26 10.30"/>
    <n v="0"/>
  </r>
  <r>
    <n v="1426"/>
    <n v="146"/>
    <s v="KC"/>
    <s v="146ARI2601-0534"/>
    <s v="13/01/26"/>
    <x v="3"/>
    <n v="2026"/>
    <x v="7"/>
    <x v="5"/>
    <s v="HILUX DC V A/T DIESEL"/>
    <x v="4"/>
    <x v="0"/>
    <x v="0"/>
    <x v="0"/>
    <x v="0"/>
    <x v="4"/>
    <x v="1"/>
    <x v="0"/>
    <x v="1"/>
    <x v="1"/>
    <s v="GUN125R-DTTHXD-40"/>
    <s v="040"/>
    <s v="SUPER WHITE II"/>
    <s v="MR0BB3CD8S5818067"/>
    <s v="2GD-J144613"/>
    <s v="KCMK24005"/>
    <s v="JAJANG NURJAMAN"/>
    <s v="ALVIN"/>
    <s v="CST-000805432"/>
    <s v="REZA FEBRIAN"/>
    <s v="INDIVIDU"/>
    <s v="REZA FEBRIAN, AMdPT"/>
    <s v="SUWARNA MAS RESIDENCE KAV 29"/>
    <s v="KEC. BOJONGSOANG"/>
    <s v="KAB. BANDUNG"/>
    <s v="KREDIT"/>
    <s v="PT. ASTRA SEDAYA FINANCE"/>
    <s v="001-26.64460588"/>
    <n v="545800000"/>
    <n v="422254464"/>
    <n v="72875000"/>
    <n v="46920535"/>
    <n v="0"/>
    <n v="0"/>
    <n v="31250000"/>
    <n v="510800000"/>
    <n v="0"/>
    <n v="-35000000"/>
    <s v="28/01/26"/>
    <s v="28/01/26"/>
    <s v="Invoice"/>
    <n v="1"/>
    <s v="3206191502910003"/>
    <s v="22/12/25"/>
    <s v="KC-25-000930"/>
    <s v="22/12/25"/>
    <s v="22/12/25"/>
    <s v="23/12/25 15.22"/>
    <s v="AB01221"/>
    <s v="13/01/26"/>
    <s v="12/02/26"/>
    <s v="2026000780"/>
    <s v="07/01/26"/>
    <s v="14/01/26 16.29"/>
    <n v="0"/>
  </r>
  <r>
    <n v="1786"/>
    <n v="146"/>
    <s v="KC"/>
    <s v="146ARI2604-1327"/>
    <s v="28/04/26"/>
    <x v="2"/>
    <n v="2026"/>
    <x v="7"/>
    <x v="5"/>
    <s v="HILUX DC V A/T DIESEL"/>
    <x v="0"/>
    <x v="0"/>
    <x v="0"/>
    <x v="4"/>
    <x v="0"/>
    <x v="0"/>
    <x v="0"/>
    <x v="0"/>
    <x v="0"/>
    <x v="0"/>
    <s v="GUN125R-DTTHXD-40"/>
    <s v="218"/>
    <s v="ATTITUDE BLACK MICA"/>
    <s v="MR0BB3CD6T5818912"/>
    <s v="2GD-J166815"/>
    <s v="KCMG072432"/>
    <s v="DENO"/>
    <s v="FERYANTO"/>
    <s v="CST-000820295"/>
    <s v="RIANDA PRAKARSA"/>
    <s v="INDIVIDU"/>
    <s v="RIANDA PRAKARSA"/>
    <s v="JL. CIBATU IX NO. 18"/>
    <s v="KEC. ANTAPANI"/>
    <s v="KOTA BANDUNG"/>
    <s v="KREDIT"/>
    <s v="PT. TOYOTA ASTRA FINANCIAL SERVICES"/>
    <m/>
    <n v="545800000"/>
    <n v="421540179"/>
    <n v="73675000"/>
    <n v="47906250"/>
    <n v="0"/>
    <n v="0"/>
    <n v="22321429"/>
    <n v="520800000"/>
    <n v="4000000"/>
    <n v="-25000000"/>
    <m/>
    <m/>
    <s v="Invoice"/>
    <n v="1"/>
    <s v="0000000000000000"/>
    <s v="06/04/26"/>
    <s v="KC-26-000111"/>
    <s v="03/04/26"/>
    <s v="03/04/26"/>
    <s v="07/04/26 15.13"/>
    <s v="DB02060"/>
    <s v="28/04/26"/>
    <s v="12/05/26"/>
    <s v="2026044087"/>
    <s v="27/04/26"/>
    <s v="29/04/26 10.29"/>
    <n v="0"/>
  </r>
  <r>
    <n v="1793"/>
    <n v="146"/>
    <s v="KC"/>
    <s v="146ARI2604-0612"/>
    <s v="15/04/26"/>
    <x v="2"/>
    <n v="2026"/>
    <x v="1"/>
    <x v="1"/>
    <s v="HIACE PREMIO"/>
    <x v="0"/>
    <x v="0"/>
    <x v="0"/>
    <x v="0"/>
    <x v="0"/>
    <x v="3"/>
    <x v="0"/>
    <x v="0"/>
    <x v="18"/>
    <x v="1"/>
    <s v="GDH321R-EDFDYD-10"/>
    <s v="058"/>
    <s v="WHITE"/>
    <s v="JTF2A9CP3T6012865"/>
    <s v="1GD-9724585"/>
    <s v="KCMG052429"/>
    <s v="TOPIK HIDAYAT"/>
    <s v="ALVIN"/>
    <s v="CST-000820696"/>
    <s v="RIDWAN MUHAMAD RIDWAN"/>
    <s v="INDIVIDU"/>
    <s v="TATI MARYATI HJ"/>
    <s v="KP WARUNG"/>
    <s v="KEC. PASIRJAMBU"/>
    <s v="KAB. BANDUNG"/>
    <s v="KREDIT"/>
    <s v="PT. TOYOTA ASTRA FINANCIAL SERVICES"/>
    <m/>
    <n v="678400000"/>
    <n v="525133929"/>
    <n v="90250000"/>
    <n v="60337500"/>
    <n v="0"/>
    <n v="0"/>
    <n v="22321429"/>
    <n v="653400000"/>
    <n v="0"/>
    <n v="-25000000"/>
    <s v="23/04/26"/>
    <s v="23/04/26"/>
    <s v="Invoice"/>
    <n v="1"/>
    <m/>
    <s v="09/04/26"/>
    <s v="KC-26-000206"/>
    <s v="09/04/26"/>
    <s v="09/04/26"/>
    <s v="09/04/26 15.14"/>
    <s v="CP00293"/>
    <s v="15/04/26"/>
    <s v="29/04/26"/>
    <s v="2026029072"/>
    <s v="12/03/26"/>
    <s v="16/04/26 13.43"/>
    <n v="0"/>
  </r>
  <r>
    <n v="1439"/>
    <n v="146"/>
    <s v="KC"/>
    <s v="146ARI2601-0484"/>
    <s v="12/01/26"/>
    <x v="3"/>
    <n v="2026"/>
    <x v="0"/>
    <x v="0"/>
    <s v="AVANZA E M/T"/>
    <x v="0"/>
    <x v="0"/>
    <x v="0"/>
    <x v="4"/>
    <x v="0"/>
    <x v="0"/>
    <x v="0"/>
    <x v="1"/>
    <x v="33"/>
    <x v="0"/>
    <s v="W100RE-LMDFJ-00"/>
    <s v="X12"/>
    <s v="BLACK MICA"/>
    <s v="MHKAA1BY1SJ010453"/>
    <s v="1NR-G315239"/>
    <s v="KCMG082531"/>
    <s v="DENI SETIAWAN"/>
    <s v="FERYANTO"/>
    <s v="CST-000804351"/>
    <s v="RIKI KUSTIMAN"/>
    <s v="INDIVIDU"/>
    <s v="MANDA MAULUDIANTY"/>
    <s v="CLUSTER CIPTA PESONA KAVLING 3"/>
    <s v="KEC. CINAMBO"/>
    <s v="KOTA BANDUNG"/>
    <s v="KREDIT"/>
    <s v="PT. TOYOTA ASTRA FINANCIAL SERVICES"/>
    <s v="001-26.64460581"/>
    <n v="246700000"/>
    <n v="190189732"/>
    <n v="33687500"/>
    <n v="20144196"/>
    <n v="0"/>
    <n v="0"/>
    <n v="22321429"/>
    <n v="221700000"/>
    <n v="0"/>
    <n v="-25000000"/>
    <s v="17/01/26"/>
    <s v="17/01/26"/>
    <s v="Invoice"/>
    <n v="1"/>
    <s v="0000000000000000"/>
    <s v="16/12/25"/>
    <s v="KC-25-000911"/>
    <s v="13/12/25"/>
    <s v="13/12/25"/>
    <s v="16/12/25 12.23"/>
    <s v="L704312"/>
    <s v="12/01/26"/>
    <s v="11/02/26"/>
    <s v="2025113323"/>
    <s v="26/12/25"/>
    <s v="14/01/26 10.35"/>
    <n v="0"/>
  </r>
  <r>
    <n v="1440"/>
    <n v="146"/>
    <s v="KC"/>
    <s v="146ARI2601-0766"/>
    <s v="20/01/26"/>
    <x v="3"/>
    <n v="2026"/>
    <x v="0"/>
    <x v="0"/>
    <s v="AVANZA E M/T"/>
    <x v="2"/>
    <x v="0"/>
    <x v="0"/>
    <x v="4"/>
    <x v="0"/>
    <x v="0"/>
    <x v="2"/>
    <x v="0"/>
    <x v="24"/>
    <x v="0"/>
    <s v="W100RE-LMDFJ-00"/>
    <s v="S28"/>
    <s v="Silver Metallic"/>
    <s v="MHKAA1BY9TJ010864"/>
    <s v="1NR-G316058"/>
    <s v="KCMG012605"/>
    <s v="JUARNA KARMAN PUTRA"/>
    <s v="FERYANTO"/>
    <s v="CST-000808852"/>
    <s v="RIKI KUSTIMAN"/>
    <s v="INDIVIDU"/>
    <s v="PT BAGJA KUSTI PERSADA"/>
    <s v="CLUSTER CIPTA PESONA KAVLING 3"/>
    <s v="KEC. CINAMBO"/>
    <s v="KOTA BANDUNG"/>
    <s v="KREDIT"/>
    <s v="PT. MANDIRI TUNAS FINANCE"/>
    <s v="001-26.64460815"/>
    <n v="246700000"/>
    <n v="190189732"/>
    <n v="33687500"/>
    <n v="20679910"/>
    <n v="0"/>
    <n v="0"/>
    <n v="17857143"/>
    <n v="226700000"/>
    <n v="0"/>
    <n v="-20000000"/>
    <s v="23/01/26"/>
    <s v="23/01/26"/>
    <s v="Invoice"/>
    <n v="1"/>
    <m/>
    <s v="19/01/26"/>
    <s v="KC-25-000993"/>
    <s v="19/01/26"/>
    <s v="19/01/26"/>
    <s v="19/01/26 18.48"/>
    <s v="A700383"/>
    <s v="20/01/26"/>
    <s v="19/02/26"/>
    <s v="2026002343"/>
    <s v="11/01/26"/>
    <s v="22/01/26 17.08"/>
    <n v="0"/>
  </r>
  <r>
    <n v="1755"/>
    <n v="146"/>
    <s v="KC"/>
    <s v="146ARI2602-0202"/>
    <s v="06/02/26"/>
    <x v="1"/>
    <n v="2026"/>
    <x v="12"/>
    <x v="10"/>
    <s v="RUSH S A/T"/>
    <x v="3"/>
    <x v="0"/>
    <x v="1"/>
    <x v="0"/>
    <x v="0"/>
    <x v="0"/>
    <x v="0"/>
    <x v="0"/>
    <x v="8"/>
    <x v="1"/>
    <s v="F800RE-GQGFJ-40"/>
    <s v="W09"/>
    <s v="WHITE"/>
    <s v="MHKE8FB3JTK117380"/>
    <s v="2NR-4F38969"/>
    <s v="KCMK25002"/>
    <s v="RAHMAWATI"/>
    <s v="ALVIN"/>
    <s v="CST-000811960"/>
    <s v="RINA"/>
    <s v="INDIVIDU"/>
    <s v="SUJIANTO"/>
    <s v="KP  SUKAJADI"/>
    <s v="KEC. CANGKUANG"/>
    <s v="KAB. BANDUNG"/>
    <s v="CASH"/>
    <s v="CASH"/>
    <s v="001-26.64462115"/>
    <n v="322100000"/>
    <n v="249095982"/>
    <n v="43112500"/>
    <n v="28498660"/>
    <n v="0"/>
    <n v="0"/>
    <n v="11607143"/>
    <n v="309100000"/>
    <n v="0"/>
    <n v="-13000000"/>
    <s v="12/02/26"/>
    <s v="12/02/26"/>
    <s v="Invoice"/>
    <n v="1"/>
    <m/>
    <s v="06/02/26"/>
    <s v="KC-25-001131"/>
    <s v="06/02/26"/>
    <s v="06/02/26"/>
    <s v="06/02/26 15.02"/>
    <s v="AG01920"/>
    <s v="06/02/26"/>
    <s v="20/02/26"/>
    <s v="2026009630"/>
    <s v="28/01/26"/>
    <s v="12/02/26 14.52"/>
    <n v="0"/>
  </r>
  <r>
    <n v="1448"/>
    <n v="146"/>
    <s v="KC"/>
    <s v="146ARI2601-0532"/>
    <s v="13/01/26"/>
    <x v="3"/>
    <n v="2026"/>
    <x v="4"/>
    <x v="3"/>
    <s v="INNOVA ZENIX V A/T HYBRID"/>
    <x v="1"/>
    <x v="0"/>
    <x v="0"/>
    <x v="4"/>
    <x v="0"/>
    <x v="0"/>
    <x v="1"/>
    <x v="4"/>
    <x v="12"/>
    <x v="2"/>
    <s v="MAGH10R-BRXMBD-10"/>
    <s v="218"/>
    <s v="ATTITUDE BLACK MICA"/>
    <s v="MHFABAAA2T0047728"/>
    <s v="M20A-NF08328"/>
    <s v="KCMK25001"/>
    <s v="RIDWAN DWI AZHARI"/>
    <s v="MUHAMMAD CAISARIVA"/>
    <s v="CST-000807171"/>
    <s v="RISDEVI RENTA RIA MANALU"/>
    <s v="INDIVIDU"/>
    <s v="RISDEVI RENTA RIA MANALU"/>
    <s v="JL. CISITU LAMA III NO. 24-A/154C"/>
    <s v="KEC. COBLONG"/>
    <s v="KOTA BANDUNG"/>
    <s v="KREDIT"/>
    <s v="PT. MAYBANK FINANCE INDONESIA"/>
    <s v="001-26.64460587"/>
    <n v="551900000"/>
    <n v="428627232"/>
    <n v="71837500"/>
    <n v="49292410"/>
    <n v="0"/>
    <n v="0"/>
    <n v="17857143"/>
    <n v="531900000"/>
    <n v="0"/>
    <n v="-20000000"/>
    <s v="15/01/26"/>
    <s v="15/01/26"/>
    <s v="Invoice"/>
    <n v="1"/>
    <s v="0000000000000000"/>
    <s v="05/01/26"/>
    <s v="KC-25-000972"/>
    <s v="03/01/26"/>
    <s v="03/01/26"/>
    <s v="07/01/26 11.21"/>
    <s v="AJ00574"/>
    <s v="13/01/26"/>
    <s v="12/02/26"/>
    <s v="2026001877"/>
    <s v="09/01/26"/>
    <s v="14/01/26 08.56"/>
    <n v="0"/>
  </r>
  <r>
    <n v="1776"/>
    <n v="146"/>
    <s v="KC"/>
    <s v="146ARI2602-0467"/>
    <s v="13/02/26"/>
    <x v="1"/>
    <n v="2026"/>
    <x v="3"/>
    <x v="3"/>
    <s v="INNOVA G A/T DIESEL"/>
    <x v="3"/>
    <x v="0"/>
    <x v="1"/>
    <x v="4"/>
    <x v="0"/>
    <x v="0"/>
    <x v="0"/>
    <x v="1"/>
    <x v="6"/>
    <x v="0"/>
    <s v="GUN142R-MDTSXD-30"/>
    <s v="218"/>
    <s v="ATTITUDE BLACK MICA"/>
    <s v="MHFJB8EM8T1185233"/>
    <s v="2GD-5936961"/>
    <s v="KCMG042509"/>
    <s v="ERICK JANUAR LISAPALY"/>
    <s v="FERYANTO"/>
    <s v="CST-000809334"/>
    <s v="RIZKY MULYAWAN"/>
    <s v="INDIVIDU"/>
    <s v="RIZKY MULYAWAN"/>
    <s v="Jl ADIWINANGUN NO 20"/>
    <s v="KEC. BATUNUNGGAL"/>
    <s v="KOTA BANDUNG"/>
    <s v="CASH"/>
    <s v="CASH"/>
    <s v="001-26.64462143"/>
    <n v="442100000"/>
    <n v="342845982"/>
    <n v="58112500"/>
    <n v="38366517"/>
    <n v="0"/>
    <n v="0"/>
    <n v="23125000"/>
    <n v="416200000"/>
    <n v="0"/>
    <n v="-25900000"/>
    <m/>
    <m/>
    <s v="Invoice"/>
    <n v="1"/>
    <s v="0000000000000000"/>
    <s v="22/01/26"/>
    <s v="KC-25-001035"/>
    <s v="22/01/26"/>
    <s v="22/01/26"/>
    <s v="22/01/26 16.28"/>
    <s v="BC00666"/>
    <s v="13/02/26"/>
    <s v="27/02/26"/>
    <s v="2026013714"/>
    <s v="06/02/26"/>
    <s v="16/02/26 16.00"/>
    <n v="0"/>
  </r>
  <r>
    <n v="1292"/>
    <n v="146"/>
    <s v="KC"/>
    <s v="146ARI2603-1016"/>
    <s v="25/03/26"/>
    <x v="0"/>
    <n v="2026"/>
    <x v="7"/>
    <x v="5"/>
    <s v="HILUX DC V A/T DIESEL"/>
    <x v="2"/>
    <x v="0"/>
    <x v="0"/>
    <x v="2"/>
    <x v="0"/>
    <x v="0"/>
    <x v="0"/>
    <x v="8"/>
    <x v="6"/>
    <x v="0"/>
    <s v="GUN125R-DTTHXD-40"/>
    <s v="040"/>
    <s v="SUPER WHITE II"/>
    <s v="MR0BB3CD6T6409142"/>
    <s v="2GD-J159558"/>
    <s v="KCMG042509"/>
    <s v="ERICK JANUAR LISAPALY"/>
    <s v="FERYANTO"/>
    <s v="CST-000816783"/>
    <s v="RIZKY PRAMOEDYA FIRDAUS RAMADHAN"/>
    <s v="INDIVIDU"/>
    <s v="TIARA AMELIA LESTARI"/>
    <s v="Jl CIRIRIP NO.29"/>
    <s v="KEC. CILILIN"/>
    <s v="KAB. BANDUNG BARAT"/>
    <s v="KREDIT"/>
    <s v="PT. MANDIRI TUNAS FINANCE"/>
    <m/>
    <n v="545800000"/>
    <n v="421540179"/>
    <n v="73675000"/>
    <n v="47799107"/>
    <n v="0"/>
    <n v="0"/>
    <n v="23214286"/>
    <n v="519800000"/>
    <n v="73407750"/>
    <n v="-26000000"/>
    <m/>
    <m/>
    <s v="Invoice"/>
    <n v="1"/>
    <s v="6133893454210000"/>
    <s v="07/03/26"/>
    <s v="KC-26-000077"/>
    <s v="06/03/26"/>
    <s v="06/03/26"/>
    <s v="09/03/26 14.18"/>
    <s v="CB01264"/>
    <s v="25/03/26"/>
    <s v="08/04/26"/>
    <s v="2026030659"/>
    <s v="16/03/26"/>
    <s v="26/03/26 09.08"/>
    <n v="0"/>
  </r>
  <r>
    <n v="1824"/>
    <n v="146"/>
    <s v="KC"/>
    <s v="146ARI2604-0985"/>
    <s v="21/04/26"/>
    <x v="2"/>
    <n v="2026"/>
    <x v="5"/>
    <x v="4"/>
    <s v="VELOZ V AT HYBRID"/>
    <x v="2"/>
    <x v="0"/>
    <x v="0"/>
    <x v="4"/>
    <x v="0"/>
    <x v="4"/>
    <x v="1"/>
    <x v="7"/>
    <x v="27"/>
    <x v="0"/>
    <s v="W102RE-LBVFJ-10"/>
    <s v="X12"/>
    <s v="BLACK MICA"/>
    <s v="MHFA71BY0T0005250"/>
    <s v="2NR-Y683397"/>
    <s v="KCMG052518"/>
    <s v="YANI ANDRIYANI"/>
    <s v="FERYANTO"/>
    <s v="CST-000822328"/>
    <s v="ROBY SEPTIADI, S.IK"/>
    <s v="INDIVIDU"/>
    <s v="ROBY SEPTIADI, S.IK"/>
    <s v="KLUSTER KIARQ RESIDENCR BLOK PIRUS NO. 1B KIARA SARIRAYA"/>
    <s v="KEC. BUAH BATU"/>
    <s v="KOTA BANDUNG"/>
    <s v="KREDIT"/>
    <s v="PT. MANDIRI TUNAS FINANCE"/>
    <m/>
    <n v="303000000"/>
    <n v="233950893"/>
    <n v="40975000"/>
    <n v="28074107"/>
    <n v="0"/>
    <n v="0"/>
    <n v="0"/>
    <n v="303000000"/>
    <n v="0"/>
    <n v="0"/>
    <s v="25/04/26"/>
    <s v="25/04/26"/>
    <s v="Invoice"/>
    <n v="1"/>
    <m/>
    <s v="21/04/26"/>
    <s v="KC-26-000249"/>
    <s v="18/04/26"/>
    <s v="18/04/26"/>
    <s v="21/04/26 12.40"/>
    <s v="D800897"/>
    <s v="21/04/26"/>
    <s v="05/05/26"/>
    <s v="2026038725"/>
    <s v="15/04/26"/>
    <s v="29/04/26 11.04"/>
    <n v="0"/>
  </r>
  <r>
    <n v="1853"/>
    <n v="146"/>
    <s v="KC"/>
    <s v="146ARI2604-0884"/>
    <s v="20/04/26"/>
    <x v="2"/>
    <n v="2026"/>
    <x v="5"/>
    <x v="4"/>
    <s v="VELOZ V AT HYBRID"/>
    <x v="3"/>
    <x v="0"/>
    <x v="1"/>
    <x v="2"/>
    <x v="0"/>
    <x v="1"/>
    <x v="2"/>
    <x v="3"/>
    <x v="20"/>
    <x v="1"/>
    <s v="W102RE-LBVFJ-11"/>
    <s v="089"/>
    <s v="PLATINUM WHITE PEARL MICA"/>
    <s v="MHFA71BY8T0004881"/>
    <s v="2NR-Y681026"/>
    <s v="KCMG042424"/>
    <s v="INDAH PITALOKA"/>
    <s v="ALVIN"/>
    <s v="CST-000822093"/>
    <s v="S NAILUL MUNA ALJAMALIAH S.PD M.PD"/>
    <s v="INDIVIDU"/>
    <s v="S NAILUL MUNA ALJAMALIAH, S.Pd, M.Pd"/>
    <s v="JL RAYA BATUJAJAR NO 342"/>
    <s v="KEC. BATUJAJAR"/>
    <s v="KAB. BANDUNG BARAT"/>
    <s v="CASH"/>
    <s v="CASH"/>
    <m/>
    <n v="304500000"/>
    <n v="235122768"/>
    <n v="41162500"/>
    <n v="28214732"/>
    <n v="0"/>
    <n v="0"/>
    <n v="0"/>
    <n v="304500000"/>
    <n v="0"/>
    <n v="0"/>
    <s v="22/04/26"/>
    <s v="22/04/26"/>
    <s v="Invoice"/>
    <n v="1"/>
    <m/>
    <s v="20/04/26"/>
    <s v="KC-26-000211"/>
    <s v="19/04/26"/>
    <s v="19/04/26"/>
    <s v="20/04/26 10.17"/>
    <s v="D800582"/>
    <s v="20/04/26"/>
    <s v="29/04/26"/>
    <s v="2026038488"/>
    <s v="15/04/26"/>
    <s v="24/04/26 08.46"/>
    <n v="0"/>
  </r>
  <r>
    <n v="1863"/>
    <n v="146"/>
    <s v="KC"/>
    <s v="146ARI2604-1285"/>
    <s v="27/04/26"/>
    <x v="2"/>
    <n v="2026"/>
    <x v="8"/>
    <x v="6"/>
    <s v="FORTUNER 4X2 VRZ A/T DIESEL"/>
    <x v="0"/>
    <x v="0"/>
    <x v="0"/>
    <x v="4"/>
    <x v="0"/>
    <x v="3"/>
    <x v="1"/>
    <x v="0"/>
    <x v="20"/>
    <x v="1"/>
    <s v="GUN166R-SDTHXD-32"/>
    <s v="2PS"/>
    <s v="BLACK - PLATINUM WHITE PEARL"/>
    <s v="MHFAA8GS1T0937049"/>
    <s v="1GD-5973188"/>
    <s v="KCMG042424"/>
    <s v="INDAH PITALOKA"/>
    <s v="ALVIN"/>
    <s v="CST-000822431"/>
    <s v="SALMAN RIADI"/>
    <s v="INDIVIDU"/>
    <s v="SALMAN RIADI"/>
    <s v="KOMP GRIYA PESONA JL SARIWATES NO. 19"/>
    <s v="KEC. ANTAPANI"/>
    <s v="KOTA BANDUNG"/>
    <s v="KREDIT"/>
    <s v="PT. TOYOTA ASTRA FINANCIAL SERVICES"/>
    <m/>
    <n v="684700000"/>
    <n v="532154018"/>
    <n v="88687500"/>
    <n v="60537053"/>
    <n v="0"/>
    <n v="0"/>
    <n v="27678571"/>
    <n v="653700000"/>
    <n v="4000000"/>
    <n v="-31000000"/>
    <m/>
    <m/>
    <s v="Invoice"/>
    <n v="1"/>
    <m/>
    <s v="21/04/26"/>
    <s v="KC-26-000213"/>
    <s v="13/04/26"/>
    <s v="13/04/26"/>
    <s v="22/04/26 09.15"/>
    <s v="DF00914"/>
    <s v="27/04/26"/>
    <s v="11/05/26"/>
    <s v="2026043641"/>
    <s v="24/04/26"/>
    <s v="28/04/26 19.22"/>
    <n v="0"/>
  </r>
  <r>
    <n v="1337"/>
    <n v="146"/>
    <s v="KC"/>
    <s v="146ARI2603-0507"/>
    <s v="11/03/26"/>
    <x v="0"/>
    <n v="2026"/>
    <x v="2"/>
    <x v="2"/>
    <s v="CALYA G M/T"/>
    <x v="1"/>
    <x v="0"/>
    <x v="0"/>
    <x v="0"/>
    <x v="0"/>
    <x v="1"/>
    <x v="0"/>
    <x v="0"/>
    <x v="8"/>
    <x v="1"/>
    <s v="B401RA-GMZFJ-20"/>
    <s v="1G3"/>
    <s v="GRAY METALLIC"/>
    <s v="MHKA6GJ6JTJ223074"/>
    <s v="3NR-H985168"/>
    <s v="KCMK25002"/>
    <s v="RAHMAWATI"/>
    <s v="ALVIN"/>
    <s v="CST-000814816"/>
    <s v="SANSAN SAMSUROJI"/>
    <s v="INDIVIDU"/>
    <s v="SANSAN SAMSUROJI"/>
    <s v="KP. KADUNENGGANG"/>
    <s v="KEC. CIMAUNG"/>
    <s v="KAB. BANDUNG"/>
    <s v="KREDIT"/>
    <s v="PT. MANDIRI UTAMA FINANCE"/>
    <s v="002-26.36649388"/>
    <n v="181900000"/>
    <n v="139341518"/>
    <n v="25837500"/>
    <n v="15542410"/>
    <n v="0"/>
    <n v="0"/>
    <n v="9821429"/>
    <n v="170900000"/>
    <n v="0"/>
    <n v="-11000000"/>
    <s v="13/03/26"/>
    <s v="13/03/26"/>
    <s v="Invoice"/>
    <n v="1"/>
    <m/>
    <s v="20/02/26"/>
    <s v="KC-26-000056"/>
    <s v="21/02/26"/>
    <s v="21/02/26"/>
    <s v="24/02/26 19.06"/>
    <s v="BO02534"/>
    <s v="11/03/26"/>
    <s v="25/03/26"/>
    <s v="2026021946"/>
    <s v="26/02/26"/>
    <s v="12/03/26 08.00"/>
    <n v="0"/>
  </r>
  <r>
    <n v="1875"/>
    <n v="146"/>
    <s v="KC"/>
    <s v="146ARI2604-1430"/>
    <s v="30/04/26"/>
    <x v="2"/>
    <n v="2026"/>
    <x v="3"/>
    <x v="3"/>
    <s v="INNOVA G A/T DIESEL"/>
    <x v="2"/>
    <x v="1"/>
    <x v="0"/>
    <x v="0"/>
    <x v="0"/>
    <x v="0"/>
    <x v="1"/>
    <x v="6"/>
    <x v="20"/>
    <x v="1"/>
    <s v="GUN142R-MDTSXD-30"/>
    <s v="040"/>
    <s v="SUPER WHITE II"/>
    <s v="MHFJB8EM1T1192525"/>
    <s v="2GD-1963826"/>
    <s v="KCMG042424"/>
    <s v="INDAH PITALOKA"/>
    <s v="ALVIN"/>
    <s v="CST-000822173"/>
    <s v="SAPTA SATRIA JAYA"/>
    <s v="PT"/>
    <s v="ADE TAUFIK ROHMAN"/>
    <s v="KP CIPUTIH"/>
    <s v="KEC. SOREANG"/>
    <s v="KAB. BANDUNG"/>
    <s v="KREDIT"/>
    <s v="PT. MANDIRI TUNAS FINANCE"/>
    <m/>
    <n v="442100000"/>
    <n v="342622768"/>
    <n v="58362500"/>
    <n v="38757589"/>
    <n v="0"/>
    <n v="0"/>
    <n v="19642857"/>
    <n v="420100000"/>
    <n v="3000000"/>
    <n v="-22000000"/>
    <m/>
    <m/>
    <s v="Invoice"/>
    <n v="1"/>
    <m/>
    <s v="19/04/26"/>
    <s v="KC-26-000219"/>
    <s v="16/04/26"/>
    <s v="16/04/26"/>
    <s v="20/04/26 14.46"/>
    <s v="DC02660"/>
    <m/>
    <s v="14/05/26"/>
    <s v="2026046154"/>
    <s v="30/04/26"/>
    <s v="01/05/26 16.53"/>
    <n v="0"/>
  </r>
  <r>
    <n v="1521"/>
    <n v="146"/>
    <s v="KC"/>
    <s v="146ARI2601-0374"/>
    <s v="09/01/26"/>
    <x v="3"/>
    <n v="2026"/>
    <x v="10"/>
    <x v="8"/>
    <s v="YARIS CROSS S A/T"/>
    <x v="2"/>
    <x v="0"/>
    <x v="0"/>
    <x v="17"/>
    <x v="1"/>
    <x v="0"/>
    <x v="1"/>
    <x v="4"/>
    <x v="12"/>
    <x v="2"/>
    <s v="NYC200R-DHXHBD-03"/>
    <s v="2PS"/>
    <s v="BLACK - PLATINUM WHITE PEARL"/>
    <s v="MHFAB8BF9S0035657"/>
    <s v="2NR-Y600752"/>
    <s v="KCMK25001"/>
    <s v="RIDWAN DWI AZHARI"/>
    <s v="MUHAMMAD CAISARIVA"/>
    <s v="CST-000807237"/>
    <s v="SHIFA KHONITA TESLA BOSE"/>
    <s v="INDIVIDU"/>
    <s v="DR. SHIFA KHONITA TESLA BOSE"/>
    <s v="PERUM GARDEN VIEW BLOK D3 NO. 2"/>
    <s v="KEC. JALANCAGAK"/>
    <s v="KAB. SUBANG"/>
    <s v="KREDIT"/>
    <s v="PT. MANDIRI TUNAS FINANCE"/>
    <s v="001-26.64460578"/>
    <n v="465500000"/>
    <n v="361127232"/>
    <n v="61037500"/>
    <n v="38835267"/>
    <n v="0"/>
    <n v="0"/>
    <n v="37500000"/>
    <n v="423500000"/>
    <n v="0"/>
    <n v="-42000000"/>
    <s v="14/01/26"/>
    <s v="14/01/26"/>
    <s v="Invoice"/>
    <n v="1"/>
    <s v="3213125306950001"/>
    <s v="07/01/26"/>
    <s v="KC-25-000973"/>
    <s v="04/01/26"/>
    <s v="04/01/26"/>
    <s v="07/01/26 15.15"/>
    <s v="L100096"/>
    <s v="09/01/26"/>
    <s v="08/02/26"/>
    <s v="2025105843"/>
    <s v="08/12/25"/>
    <s v="16/01/26 15.08"/>
    <n v="0"/>
  </r>
  <r>
    <n v="1523"/>
    <n v="146"/>
    <s v="KC"/>
    <s v="146ARI2601-0586"/>
    <s v="14/01/26"/>
    <x v="3"/>
    <n v="2026"/>
    <x v="1"/>
    <x v="1"/>
    <s v="HIACE COMM"/>
    <x v="0"/>
    <x v="0"/>
    <x v="0"/>
    <x v="18"/>
    <x v="1"/>
    <x v="3"/>
    <x v="0"/>
    <x v="0"/>
    <x v="5"/>
    <x v="2"/>
    <s v="KDH223R-LEMDY-00"/>
    <s v="058"/>
    <s v="WHITE"/>
    <s v="JTFST22P7S0054055"/>
    <s v="1KD-B225923"/>
    <s v="KCMG072528"/>
    <s v="GIYONO"/>
    <s v="MUHAMMAD CAISARIVA"/>
    <s v="CST-000807883"/>
    <s v="SHOLAH IKBALUDIN"/>
    <s v="INDIVIDU"/>
    <s v="SHOLAH IKBALUDIN"/>
    <s v="Kp teladan"/>
    <s v="KEC. CISARUA"/>
    <s v="KAB. BOGOR"/>
    <s v="KREDIT"/>
    <s v="PT. TOYOTA ASTRA FINANCIAL SERVICES"/>
    <s v="001-26.64460592"/>
    <n v="578100000"/>
    <n v="451038288"/>
    <n v="77447500"/>
    <n v="45650247"/>
    <n v="0"/>
    <n v="0"/>
    <n v="36036036"/>
    <n v="538100000"/>
    <n v="0"/>
    <n v="-40000000"/>
    <s v="21/01/26"/>
    <s v="21/01/26"/>
    <s v="Invoice"/>
    <n v="1"/>
    <s v="0000000000000000"/>
    <s v="12/01/26"/>
    <s v="KC-25-000989"/>
    <s v="11/01/26"/>
    <s v="11/01/26"/>
    <s v="12/01/26 14.13"/>
    <s v="AP00013"/>
    <s v="14/01/26"/>
    <s v="13/02/26"/>
    <s v="2026000116"/>
    <s v="05/01/26"/>
    <s v="14/01/26 15.31"/>
    <n v="0"/>
  </r>
  <r>
    <n v="1524"/>
    <n v="146"/>
    <s v="KC"/>
    <s v="146ARI2601-1280"/>
    <s v="30/01/26"/>
    <x v="3"/>
    <n v="2026"/>
    <x v="3"/>
    <x v="3"/>
    <s v="INNOVA G A/T DIESEL"/>
    <x v="2"/>
    <x v="0"/>
    <x v="0"/>
    <x v="3"/>
    <x v="1"/>
    <x v="0"/>
    <x v="1"/>
    <x v="0"/>
    <x v="16"/>
    <x v="1"/>
    <s v="GUN142R-MDTSXD-30"/>
    <s v="040"/>
    <s v="SUPER WHITE II"/>
    <s v="MHFJB8EM1T1184392"/>
    <s v="2GD-5932227"/>
    <s v="KCMG052519"/>
    <s v="LUVITA DAMAYANTI"/>
    <s v="ALVIN"/>
    <s v="CST-000810740"/>
    <s v="SHOPA ARBI"/>
    <s v="INDIVIDU"/>
    <s v="SHOPA ARBI"/>
    <s v="KP KUBANG MAREME"/>
    <s v="KEC. BOJONGPICUNG"/>
    <s v="KAB. CIANJUR"/>
    <s v="KREDIT"/>
    <s v="PT. MANDIRI TUNAS FINANCE"/>
    <s v="001-26.64460848"/>
    <n v="442100000"/>
    <n v="342354911"/>
    <n v="58662500"/>
    <n v="38404017"/>
    <n v="0"/>
    <n v="0"/>
    <n v="22321429"/>
    <n v="417100000"/>
    <n v="0"/>
    <n v="-25000000"/>
    <m/>
    <m/>
    <s v="Invoice"/>
    <n v="1"/>
    <m/>
    <s v="29/01/26"/>
    <s v="KC-25-001042"/>
    <s v="28/01/26"/>
    <s v="28/01/26"/>
    <s v="30/01/26 18.18"/>
    <s v="AC02561"/>
    <m/>
    <s v="01/03/26"/>
    <s v="2026010314"/>
    <s v="29/01/26"/>
    <s v="02/02/26 16.04"/>
    <n v="0"/>
  </r>
  <r>
    <n v="1529"/>
    <n v="146"/>
    <s v="KC"/>
    <s v="146ARI2601-0731"/>
    <s v="19/01/26"/>
    <x v="3"/>
    <n v="2026"/>
    <x v="10"/>
    <x v="8"/>
    <s v="YARIS CROSS S A/T"/>
    <x v="3"/>
    <x v="0"/>
    <x v="1"/>
    <x v="4"/>
    <x v="0"/>
    <x v="0"/>
    <x v="0"/>
    <x v="0"/>
    <x v="0"/>
    <x v="0"/>
    <s v="NYC200R-DHXHBD-02"/>
    <s v="2PS"/>
    <s v="BLACK - PLATINUM WHITE PEARL"/>
    <s v="MHFAB8BF4S0035419"/>
    <s v="2NR-Y597317"/>
    <s v="KCMG072432"/>
    <s v="DENO"/>
    <s v="FERYANTO"/>
    <s v="CST-000808777"/>
    <s v="SINTA LESTIAWATI"/>
    <s v="INDIVIDU"/>
    <s v="SINTA LESTIAWATI"/>
    <s v="JL. MEGA NO. 1 KOPO ELOK"/>
    <s v="KEC. BABAKAN CIPARAY"/>
    <s v="KOTA BANDUNG"/>
    <s v="CASH"/>
    <s v="CASH"/>
    <s v="001-26.64460719"/>
    <n v="455900000"/>
    <n v="353627232"/>
    <n v="59837500"/>
    <n v="37613839"/>
    <n v="0"/>
    <n v="0"/>
    <n v="40178571"/>
    <n v="410900000"/>
    <n v="0"/>
    <n v="-45000000"/>
    <s v="24/01/26"/>
    <s v="24/01/26"/>
    <s v="Invoice"/>
    <n v="1"/>
    <s v="0000000000000000"/>
    <s v="19/01/26"/>
    <s v="KC-25-001020"/>
    <s v="18/01/26"/>
    <s v="18/01/26"/>
    <s v="19/01/26 13.56"/>
    <s v="L100035"/>
    <s v="19/01/26"/>
    <s v="02/02/26"/>
    <s v="2025104357"/>
    <s v="02/12/25"/>
    <s v="24/01/26 08.38"/>
    <n v="0"/>
  </r>
  <r>
    <n v="1911"/>
    <n v="146"/>
    <s v="KC"/>
    <s v="146ARI2604-1372"/>
    <s v="29/04/26"/>
    <x v="2"/>
    <n v="2026"/>
    <x v="12"/>
    <x v="10"/>
    <s v="RUSH S A/T"/>
    <x v="2"/>
    <x v="0"/>
    <x v="0"/>
    <x v="0"/>
    <x v="0"/>
    <x v="1"/>
    <x v="0"/>
    <x v="5"/>
    <x v="8"/>
    <x v="1"/>
    <s v="F800RE-GQGFJ-40"/>
    <s v="W09"/>
    <s v="WHITE"/>
    <s v="MHKE8FB3JTK120448"/>
    <s v="2NR-4F84355"/>
    <s v="KCMK25002"/>
    <s v="RAHMAWATI"/>
    <s v="ALVIN"/>
    <s v="CST-000819738"/>
    <s v="SITI PATMAWATI"/>
    <s v="INDIVIDU"/>
    <s v="SITI PATMAWATI"/>
    <s v="KP PANGGUH"/>
    <s v="KEC. IBUN"/>
    <s v="KAB. BANDUNG"/>
    <s v="KREDIT"/>
    <s v="PT. MANDIRI TUNAS FINANCE"/>
    <m/>
    <n v="322100000"/>
    <n v="248872768"/>
    <n v="43362500"/>
    <n v="28257589"/>
    <n v="0"/>
    <n v="0"/>
    <n v="13392857"/>
    <n v="307100000"/>
    <n v="6520000"/>
    <n v="-15000000"/>
    <m/>
    <m/>
    <s v="Invoice"/>
    <n v="1"/>
    <m/>
    <s v="02/04/26"/>
    <s v="KC-26-000134"/>
    <s v="18/03/26"/>
    <s v="18/03/26"/>
    <s v="02/04/26 15.17"/>
    <s v="DG02354"/>
    <m/>
    <s v="13/05/26"/>
    <s v="2026044110"/>
    <s v="27/04/26"/>
    <s v="30/04/26 15.09"/>
    <n v="0"/>
  </r>
  <r>
    <n v="1379"/>
    <n v="146"/>
    <s v="KC"/>
    <s v="146ARI2603-0446"/>
    <s v="10/03/26"/>
    <x v="0"/>
    <n v="2026"/>
    <x v="3"/>
    <x v="3"/>
    <s v="INNOVA G A/T DIESEL"/>
    <x v="0"/>
    <x v="0"/>
    <x v="0"/>
    <x v="4"/>
    <x v="0"/>
    <x v="0"/>
    <x v="0"/>
    <x v="0"/>
    <x v="0"/>
    <x v="0"/>
    <s v="GUN142R-MDTSXD-30"/>
    <s v="1G3"/>
    <s v="GRAY METALLIC"/>
    <s v="MHFJB8EM6T1188681"/>
    <s v="2GD-5950901"/>
    <s v="KCMG072432"/>
    <s v="DENO"/>
    <s v="FERYANTO"/>
    <s v="CST-000812713"/>
    <s v="SODIKIN"/>
    <s v="INDIVIDU"/>
    <s v="SODIKIN"/>
    <s v="JL. CIBATU IX NO. 18"/>
    <s v="KEC. ANTAPANI"/>
    <s v="KOTA BANDUNG"/>
    <s v="KREDIT"/>
    <s v="PT. TOYOTA ASTRA FINANCIAL SERVICES"/>
    <s v="002-26.36649385"/>
    <n v="442100000"/>
    <n v="342622768"/>
    <n v="58362500"/>
    <n v="38864732"/>
    <n v="0"/>
    <n v="0"/>
    <n v="18750000"/>
    <n v="421100000"/>
    <n v="0"/>
    <n v="-21000000"/>
    <s v="12/03/26"/>
    <s v="12/03/26"/>
    <s v="Invoice"/>
    <n v="1"/>
    <s v="0000000000000000"/>
    <s v="10/02/26"/>
    <s v="KC-25-001140"/>
    <s v="10/02/26"/>
    <s v="10/02/26"/>
    <s v="10/02/26 15.07"/>
    <s v="CC00625"/>
    <s v="10/03/26"/>
    <s v="24/03/26"/>
    <s v="2026026923"/>
    <s v="09/03/26"/>
    <s v="11/03/26 14.39"/>
    <n v="0"/>
  </r>
  <r>
    <n v="1381"/>
    <n v="146"/>
    <s v="KC"/>
    <s v="146ARI2603-0582"/>
    <s v="13/03/26"/>
    <x v="0"/>
    <n v="2026"/>
    <x v="2"/>
    <x v="2"/>
    <s v="CALYA G M/T"/>
    <x v="1"/>
    <x v="0"/>
    <x v="0"/>
    <x v="0"/>
    <x v="0"/>
    <x v="0"/>
    <x v="0"/>
    <x v="0"/>
    <x v="10"/>
    <x v="2"/>
    <s v="B401RA-GMZFJ-20"/>
    <s v="1G3"/>
    <s v="GRAY METALLIC"/>
    <s v="MHKA6GJ6JTJ224036"/>
    <s v="3NR-H987233"/>
    <s v="KCMG012503"/>
    <s v="DERI NURSANDI"/>
    <s v="MUHAMMAD CAISARIVA"/>
    <s v="CST-000816839"/>
    <s v="SOFYAN ADI SAPUTRO"/>
    <s v="INDIVIDU"/>
    <s v="SOFYAN ADI SAPUTRO"/>
    <s v="TERUSAN KOPO KM. 9"/>
    <s v="KEC. MARGAHAYU"/>
    <s v="KAB. BANDUNG"/>
    <s v="KREDIT"/>
    <s v="PT. MANDIRI UTAMA FINANCE"/>
    <m/>
    <n v="181900000"/>
    <n v="139341518"/>
    <n v="25837500"/>
    <n v="15542410"/>
    <n v="0"/>
    <n v="0"/>
    <n v="9821429"/>
    <n v="170900000"/>
    <n v="0"/>
    <n v="-11000000"/>
    <s v="13/03/26"/>
    <s v="13/03/26"/>
    <s v="Invoice"/>
    <n v="1"/>
    <s v="0000000000000000"/>
    <s v="09/03/26"/>
    <s v="KC-26-000089"/>
    <s v="09/03/26"/>
    <s v="09/03/26"/>
    <s v="09/03/26 16.34"/>
    <s v="CO01117"/>
    <s v="13/03/26"/>
    <s v="27/03/26"/>
    <s v="2026027380"/>
    <s v="10/03/26"/>
    <s v="14/03/26 13.07"/>
    <n v="0"/>
  </r>
  <r>
    <n v="1877"/>
    <n v="146"/>
    <s v="KC"/>
    <s v="146ARI2602-0403"/>
    <s v="12/02/26"/>
    <x v="1"/>
    <n v="2026"/>
    <x v="0"/>
    <x v="0"/>
    <s v="AVANZA E A/T"/>
    <x v="1"/>
    <x v="0"/>
    <x v="0"/>
    <x v="0"/>
    <x v="0"/>
    <x v="1"/>
    <x v="1"/>
    <x v="3"/>
    <x v="8"/>
    <x v="1"/>
    <s v="W100RE-LBDFJ-00"/>
    <s v="W09"/>
    <s v="WHITE"/>
    <s v="MHKAA1BYXTJ011926"/>
    <s v="1NR-G317201"/>
    <s v="KCMK25002"/>
    <s v="RAHMAWATI"/>
    <s v="ALVIN"/>
    <s v="CST-000810946"/>
    <s v="SRI MULYATI"/>
    <s v="INDIVIDU"/>
    <s v="SRI MULYATI"/>
    <s v="KMP. BABAKAN CEBEK"/>
    <s v="KEC. SOREANG"/>
    <s v="KAB. BANDUNG"/>
    <s v="KREDIT"/>
    <s v="PT. MANDIRI UTAMA FINANCE"/>
    <s v="001-26.64462117"/>
    <n v="261700000"/>
    <n v="201908482"/>
    <n v="35562500"/>
    <n v="22193303"/>
    <n v="0"/>
    <n v="0"/>
    <n v="16964286"/>
    <n v="242700000"/>
    <n v="0"/>
    <n v="-19961538"/>
    <m/>
    <m/>
    <s v="Invoice"/>
    <n v="1"/>
    <m/>
    <s v="31/01/26"/>
    <s v="KC-25-001093"/>
    <s v="30/01/26"/>
    <s v="30/01/26"/>
    <s v="31/01/26 12.48"/>
    <s v="A702600"/>
    <s v="12/02/26"/>
    <s v="14/03/26"/>
    <s v="2026010313"/>
    <s v="29/01/26"/>
    <s v="13/02/26 11.43"/>
    <n v="0"/>
  </r>
  <r>
    <n v="1883"/>
    <n v="146"/>
    <s v="KC"/>
    <s v="146ARI2602-1066"/>
    <s v="23/02/26"/>
    <x v="1"/>
    <n v="2026"/>
    <x v="9"/>
    <x v="7"/>
    <s v="AGYA G A/T"/>
    <x v="0"/>
    <x v="0"/>
    <x v="0"/>
    <x v="0"/>
    <x v="0"/>
    <x v="3"/>
    <x v="0"/>
    <x v="1"/>
    <x v="8"/>
    <x v="1"/>
    <s v="A351RA-GBEFJ-GB"/>
    <s v="R79"/>
    <s v="RED M. M"/>
    <s v="MHKAB1BC5TJ079665"/>
    <s v="WA-A234438"/>
    <s v="KCMK25002"/>
    <s v="RAHMAWATI"/>
    <s v="ALVIN"/>
    <s v="CST-000813961"/>
    <s v="SRI UTARI"/>
    <s v="INDIVIDU"/>
    <s v="SRI UTARI"/>
    <s v="KOMP BOJONG MALAKA INDAH BLOK G 11 NO 35"/>
    <s v="KEC. BALEENDAH"/>
    <s v="KAB. BANDUNG"/>
    <s v="KREDIT"/>
    <s v="PT. TOYOTA ASTRA FINANCIAL SERVICES"/>
    <m/>
    <n v="204537000"/>
    <n v="157249888"/>
    <n v="28417125"/>
    <n v="17703522"/>
    <n v="0"/>
    <n v="0"/>
    <n v="9720536"/>
    <n v="193650000"/>
    <n v="0"/>
    <n v="-10887000"/>
    <m/>
    <m/>
    <s v="Invoice"/>
    <n v="1"/>
    <m/>
    <s v="14/02/26"/>
    <s v="KC-26-000008"/>
    <s v="13/02/26"/>
    <s v="13/02/26"/>
    <s v="18/02/26 16.33"/>
    <s v="BR00855"/>
    <s v="23/02/26"/>
    <s v="09/03/26"/>
    <s v="2026019146"/>
    <s v="20/02/26"/>
    <s v="24/02/26 10.38"/>
    <n v="0"/>
  </r>
  <r>
    <n v="1927"/>
    <n v="146"/>
    <s v="KC"/>
    <s v="146ARI2604-1026"/>
    <s v="22/04/26"/>
    <x v="2"/>
    <n v="2026"/>
    <x v="4"/>
    <x v="3"/>
    <s v="INNOVA ZENIX G A/T HIYBRID"/>
    <x v="3"/>
    <x v="0"/>
    <x v="1"/>
    <x v="4"/>
    <x v="0"/>
    <x v="0"/>
    <x v="1"/>
    <x v="4"/>
    <x v="17"/>
    <x v="2"/>
    <s v="MAGH10R-BRXLBD-10"/>
    <s v="1D6"/>
    <s v="Silver Metallic"/>
    <s v="MHFABAAA5T0051840"/>
    <s v="M20A-NF59687"/>
    <s v="KCMG112540"/>
    <s v="KHARISMA GALIH PUTRA"/>
    <s v="MUHAMMAD CAISARIVA"/>
    <s v="CST-000822435"/>
    <s v="SRI WAHYUNI"/>
    <s v="INDIVIDU"/>
    <s v="GILANG RAMADHAN"/>
    <s v="JL. GUNTURSARI WETAN I NO. 15A"/>
    <s v="KEC. LENGKONG"/>
    <s v="KOTA BANDUNG"/>
    <s v="CASH"/>
    <s v="CASH"/>
    <m/>
    <n v="476600000"/>
    <n v="369575893"/>
    <n v="62675000"/>
    <n v="42099107"/>
    <n v="0"/>
    <n v="0"/>
    <n v="18750000"/>
    <n v="455600000"/>
    <n v="5600000"/>
    <n v="-21000000"/>
    <s v="25/04/26"/>
    <s v="25/04/26"/>
    <s v="Invoice"/>
    <n v="1"/>
    <m/>
    <s v="22/04/26"/>
    <s v="KC-26-000232"/>
    <s v="21/04/26"/>
    <s v="21/04/26"/>
    <s v="22/04/26 09.11"/>
    <s v="DJ00980"/>
    <s v="22/04/26"/>
    <s v="06/05/26"/>
    <s v="2026040231"/>
    <s v="17/04/26"/>
    <s v="28/04/26 11.00"/>
    <n v="0"/>
  </r>
  <r>
    <n v="1930"/>
    <n v="146"/>
    <s v="KC"/>
    <s v="146ARI2604-0798"/>
    <s v="17/04/26"/>
    <x v="2"/>
    <n v="2026"/>
    <x v="5"/>
    <x v="4"/>
    <s v="VELOZ Q AT HYBRID"/>
    <x v="6"/>
    <x v="0"/>
    <x v="0"/>
    <x v="4"/>
    <x v="0"/>
    <x v="3"/>
    <x v="0"/>
    <x v="1"/>
    <x v="18"/>
    <x v="1"/>
    <s v="W102RE-LBVFJ-09"/>
    <s v="089"/>
    <s v="PLATINUM WHITE PEARL MICA"/>
    <s v="MHFA71BY0T0005278"/>
    <s v="2NR-Y683470"/>
    <s v="KCMG052429"/>
    <s v="TOPIK HIDAYAT"/>
    <s v="ALVIN"/>
    <s v="CST-000821790"/>
    <s v="STEPHEN HIMAWAN"/>
    <s v="INDIVIDU"/>
    <s v="FELICIA MANUELA HIMAWAN"/>
    <s v="TAMAN HOLIS INDAH B-8 NO 81"/>
    <s v="KEC. BANDUNG KULON"/>
    <s v="KOTA BANDUNG"/>
    <s v="KREDIT"/>
    <s v="UNIT KKB PT. BANK CENTRAL ASIA"/>
    <m/>
    <n v="326500000"/>
    <n v="252310268"/>
    <n v="43912500"/>
    <n v="30277232"/>
    <n v="0"/>
    <n v="0"/>
    <n v="0"/>
    <n v="326500000"/>
    <n v="0"/>
    <n v="0"/>
    <s v="22/04/26"/>
    <s v="22/04/26"/>
    <s v="Invoice"/>
    <n v="1"/>
    <m/>
    <s v="16/04/26"/>
    <s v="KC-26-000191"/>
    <s v="17/04/26"/>
    <s v="17/04/26"/>
    <s v="17/04/26 10.32"/>
    <s v="D801000"/>
    <s v="17/04/26"/>
    <s v="01/05/26"/>
    <s v="2026039706"/>
    <s v="16/04/26"/>
    <s v="20/04/26 16.13"/>
    <n v="0"/>
  </r>
  <r>
    <n v="1566"/>
    <n v="146"/>
    <s v="KC"/>
    <s v="146ARI2601-1282"/>
    <s v="30/01/26"/>
    <x v="3"/>
    <n v="2026"/>
    <x v="9"/>
    <x v="7"/>
    <s v="AGYA G A/T"/>
    <x v="4"/>
    <x v="0"/>
    <x v="0"/>
    <x v="5"/>
    <x v="0"/>
    <x v="0"/>
    <x v="1"/>
    <x v="0"/>
    <x v="15"/>
    <x v="0"/>
    <s v="A351RA-GBEFJ-10"/>
    <s v="X13"/>
    <s v="BLACK"/>
    <s v="MHKAB1BC0TJ077726"/>
    <s v="WA-A229125"/>
    <s v="CMMG122342"/>
    <s v="REGYAWAN KURNIA"/>
    <s v="FERYANTO"/>
    <s v="CST-000810246"/>
    <s v="SUCIPTO"/>
    <s v="INDIVIDU"/>
    <s v="SUCIPTO"/>
    <s v="KOMPLEK ANEKA BAKTI JL.SETIA BAKTI NO.9"/>
    <s v="KEC. CIMAHI SELATAN"/>
    <s v="KOTA CIMAHI"/>
    <s v="KREDIT"/>
    <s v="PT. ASTRA SEDAYA FINANCE"/>
    <s v="001-26.64460849"/>
    <n v="204000000"/>
    <n v="156830357"/>
    <n v="28350000"/>
    <n v="17641071"/>
    <n v="0"/>
    <n v="0"/>
    <n v="9821429"/>
    <n v="193000000"/>
    <n v="56000000"/>
    <n v="-11000000"/>
    <m/>
    <m/>
    <s v="Invoice"/>
    <n v="1"/>
    <m/>
    <s v="26/01/26"/>
    <s v="KC-25-000992"/>
    <s v="25/01/26"/>
    <s v="25/01/26"/>
    <s v="29/01/26 11.45"/>
    <s v="AR00953"/>
    <m/>
    <s v="01/03/26"/>
    <s v="2026008586"/>
    <s v="26/01/26"/>
    <s v="31/01/26 16.53"/>
    <n v="0"/>
  </r>
  <r>
    <n v="1572"/>
    <n v="146"/>
    <s v="KC"/>
    <s v="146ARI2601-0530"/>
    <s v="13/01/26"/>
    <x v="3"/>
    <n v="2026"/>
    <x v="7"/>
    <x v="5"/>
    <s v="HILUX DC G M/T DIESEL"/>
    <x v="2"/>
    <x v="0"/>
    <x v="0"/>
    <x v="19"/>
    <x v="1"/>
    <x v="0"/>
    <x v="0"/>
    <x v="1"/>
    <x v="4"/>
    <x v="0"/>
    <s v="GUN125R-DTFSXD-30"/>
    <s v="040"/>
    <s v="SUPER WHITE II"/>
    <s v="MR0KB8CD0S1164895"/>
    <s v="2GD-D555264"/>
    <s v="KCMG032507"/>
    <s v="SENOAJI"/>
    <s v="FERYANTO"/>
    <s v="CST-000807585"/>
    <s v="SUGIANTO"/>
    <s v="INDIVIDU"/>
    <s v="IR SUGIANTO"/>
    <s v="GRAND TARUMA SENOPATI NO 20"/>
    <s v="KEC. TELUKJAMBE TIMUR"/>
    <s v="KAB. KARAWANG"/>
    <s v="KREDIT"/>
    <s v="PT. MANDIRI TUNAS FINANCE"/>
    <s v="001-26.64460582"/>
    <n v="490900000"/>
    <n v="378962054"/>
    <n v="66462500"/>
    <n v="41189732"/>
    <n v="0"/>
    <n v="0"/>
    <n v="35714286"/>
    <n v="450900000"/>
    <n v="0"/>
    <n v="-40000000"/>
    <s v="20/01/26"/>
    <s v="20/01/26"/>
    <s v="Invoice"/>
    <n v="1"/>
    <s v="0000000000000000"/>
    <s v="09/01/26"/>
    <s v="KC-25-000950"/>
    <s v="08/01/26"/>
    <s v="08/01/26"/>
    <s v="10/01/26 09.18"/>
    <s v="LB01002"/>
    <s v="13/01/26"/>
    <s v="12/02/26"/>
    <s v="2025109085"/>
    <s v="16/12/25"/>
    <s v="15/01/26 14.59"/>
    <n v="0"/>
  </r>
  <r>
    <n v="1958"/>
    <n v="146"/>
    <s v="KC"/>
    <s v="146ARI2604-0423"/>
    <s v="10/04/26"/>
    <x v="2"/>
    <n v="2026"/>
    <x v="2"/>
    <x v="2"/>
    <s v="CALYA G M/T"/>
    <x v="1"/>
    <x v="0"/>
    <x v="0"/>
    <x v="2"/>
    <x v="0"/>
    <x v="3"/>
    <x v="0"/>
    <x v="5"/>
    <x v="11"/>
    <x v="1"/>
    <s v="B401RA-GMZFJ-20"/>
    <s v="X13"/>
    <s v="BLACK"/>
    <s v="MHKA6GJ6JTJ223984"/>
    <s v="3NR-H986857"/>
    <s v="KCMG052428"/>
    <s v="MUHAMMAD FADIL FAHMI RUSTANDI"/>
    <s v="ALVIN"/>
    <s v="CST-000820739"/>
    <s v="SUPARTI"/>
    <s v="INDIVIDU"/>
    <s v="SUPARTI"/>
    <s v="POS KIDUL"/>
    <s v="KEC. PADALARANG"/>
    <s v="KAB. BANDUNG BARAT"/>
    <s v="KREDIT"/>
    <s v="PT. MANDIRI UTAMA FINANCE"/>
    <m/>
    <n v="181900000"/>
    <n v="139341518"/>
    <n v="25837500"/>
    <n v="15649553"/>
    <n v="0"/>
    <n v="0"/>
    <n v="8928571"/>
    <n v="171900000"/>
    <n v="0"/>
    <n v="-10000000"/>
    <s v="14/04/26"/>
    <s v="14/04/26"/>
    <s v="Invoice"/>
    <n v="1"/>
    <m/>
    <s v="09/04/26"/>
    <s v="KC-26-000133"/>
    <s v="03/04/26"/>
    <s v="03/04/26"/>
    <s v="09/04/26 16.50"/>
    <s v="CO01061"/>
    <s v="10/04/26"/>
    <s v="24/04/26"/>
    <s v="2026029632"/>
    <s v="13/03/26"/>
    <s v="18/04/26 16.27"/>
    <n v="0"/>
  </r>
  <r>
    <n v="1606"/>
    <n v="146"/>
    <s v="KC"/>
    <s v="146ARI2601-0727"/>
    <s v="19/01/26"/>
    <x v="3"/>
    <n v="2026"/>
    <x v="1"/>
    <x v="1"/>
    <s v="HIACE PREMIO"/>
    <x v="0"/>
    <x v="0"/>
    <x v="0"/>
    <x v="0"/>
    <x v="0"/>
    <x v="3"/>
    <x v="0"/>
    <x v="0"/>
    <x v="5"/>
    <x v="2"/>
    <s v="GDH321R-EDFDYD-10"/>
    <s v="058"/>
    <s v="WHITE"/>
    <s v="JTF2A9CP6S6011949"/>
    <s v="1GD-9677847"/>
    <s v="KCMG072528"/>
    <s v="GIYONO"/>
    <s v="MUHAMMAD CAISARIVA"/>
    <s v="CST-000807689"/>
    <s v="SUSANTI"/>
    <s v="INDIVIDU"/>
    <s v="SUSANTI"/>
    <s v="Kp pasarkemis"/>
    <s v="KEC. BALEENDAH"/>
    <s v="KAB. BANDUNG"/>
    <s v="KREDIT"/>
    <s v="PT. TOYOTA ASTRA FINANCIAL SERVICES"/>
    <s v="001-26.64460717"/>
    <n v="678400000"/>
    <n v="525848214"/>
    <n v="89450000"/>
    <n v="59351785"/>
    <n v="0"/>
    <n v="0"/>
    <n v="31250000"/>
    <n v="643400000"/>
    <n v="0"/>
    <n v="-35847637"/>
    <s v="23/01/26"/>
    <s v="23/01/26"/>
    <s v="Invoice"/>
    <n v="1"/>
    <s v="0000000000000000"/>
    <s v="08/01/26"/>
    <s v="KC-25-000971"/>
    <s v="08/01/26"/>
    <s v="08/01/26"/>
    <s v="10/01/26 11.17"/>
    <s v="AP00053"/>
    <s v="19/01/26"/>
    <s v="18/02/26"/>
    <s v="2026000128"/>
    <s v="05/01/26"/>
    <s v="20/01/26 10.38"/>
    <n v="0"/>
  </r>
  <r>
    <n v="1620"/>
    <n v="146"/>
    <s v="KC"/>
    <s v="146ARI2601-1278"/>
    <s v="30/01/26"/>
    <x v="3"/>
    <n v="2026"/>
    <x v="0"/>
    <x v="0"/>
    <s v="AVANZA G M/T"/>
    <x v="4"/>
    <x v="0"/>
    <x v="0"/>
    <x v="4"/>
    <x v="0"/>
    <x v="1"/>
    <x v="1"/>
    <x v="0"/>
    <x v="8"/>
    <x v="1"/>
    <s v="W101RE-LMMFJ-00"/>
    <s v="X12"/>
    <s v="BLACK MICA"/>
    <s v="MHKAB1BY3TJ012753"/>
    <s v="2NR-4F28277"/>
    <s v="KCMK25002"/>
    <s v="RAHMAWATI"/>
    <s v="ALVIN"/>
    <s v="CST-000810567"/>
    <s v="TARWIN"/>
    <s v="INDIVIDU"/>
    <s v="TARWIN"/>
    <s v="GEGERKALONG GIRANG NO. 121"/>
    <s v="KEC. SUKASARI"/>
    <s v="KOTA BANDUNG"/>
    <s v="KREDIT"/>
    <s v="PT. ASTRA SEDAYA FINANCE"/>
    <s v="001-26.64460847"/>
    <n v="269700000"/>
    <n v="208158482"/>
    <n v="36562500"/>
    <n v="23318303"/>
    <n v="0"/>
    <n v="0"/>
    <n v="13839286"/>
    <n v="254200000"/>
    <n v="0"/>
    <n v="-20000000"/>
    <m/>
    <m/>
    <s v="Invoice"/>
    <n v="1"/>
    <m/>
    <s v="30/01/26"/>
    <s v="KC-25-001088"/>
    <s v="29/01/26"/>
    <s v="29/01/26"/>
    <s v="30/01/26 13.18"/>
    <s v="A700313"/>
    <m/>
    <s v="01/03/26"/>
    <s v="2026000687"/>
    <s v="07/01/26"/>
    <s v="02/02/26 10.51"/>
    <n v="0"/>
  </r>
  <r>
    <n v="2021"/>
    <n v="146"/>
    <s v="KC"/>
    <s v="146ARI2604-0889"/>
    <s v="20/04/26"/>
    <x v="2"/>
    <n v="2026"/>
    <x v="9"/>
    <x v="7"/>
    <s v="AGYA G A/T"/>
    <x v="2"/>
    <x v="0"/>
    <x v="0"/>
    <x v="2"/>
    <x v="0"/>
    <x v="5"/>
    <x v="0"/>
    <x v="0"/>
    <x v="32"/>
    <x v="1"/>
    <s v="A351RA-GBEFJ-00"/>
    <s v="R79"/>
    <s v="RED M. M"/>
    <s v="MHKAB1BC4TJ083691"/>
    <s v="WA-A245057"/>
    <s v="KCMG042608"/>
    <s v="ARDIAN PURNAMA"/>
    <s v="ALVIN"/>
    <s v="CST-000821218"/>
    <s v="TITA HERAWATI"/>
    <s v="INDIVIDU"/>
    <s v="TITA HERAWATI"/>
    <s v="CUKANGBATU"/>
    <s v="KEC. SAGULING"/>
    <s v="KAB. BANDUNG BARAT"/>
    <s v="KREDIT"/>
    <s v="PT. MANDIRI TUNAS FINANCE"/>
    <m/>
    <n v="200500000"/>
    <n v="153872768"/>
    <n v="28162500"/>
    <n v="17393303"/>
    <n v="0"/>
    <n v="0"/>
    <n v="8928571"/>
    <n v="190500000"/>
    <n v="0"/>
    <n v="-10000000"/>
    <s v="25/04/26"/>
    <s v="25/04/26"/>
    <s v="Invoice"/>
    <n v="1"/>
    <m/>
    <s v="13/04/26"/>
    <s v="KC-26-000207"/>
    <s v="09/04/26"/>
    <s v="09/04/26"/>
    <s v="13/04/26 15.51"/>
    <s v="DR00765"/>
    <s v="20/04/26"/>
    <s v="04/05/26"/>
    <s v="2026040086"/>
    <s v="17/04/26"/>
    <s v="21/04/26 14.19"/>
    <n v="0"/>
  </r>
  <r>
    <n v="1634"/>
    <n v="146"/>
    <s v="KC"/>
    <s v="146ARI2601-1089"/>
    <s v="28/01/26"/>
    <x v="3"/>
    <n v="2026"/>
    <x v="4"/>
    <x v="3"/>
    <s v="INNOVA ZENIX Q A/T HYBRID"/>
    <x v="0"/>
    <x v="0"/>
    <x v="0"/>
    <x v="16"/>
    <x v="1"/>
    <x v="1"/>
    <x v="1"/>
    <x v="1"/>
    <x v="3"/>
    <x v="0"/>
    <s v="MAGH10R-BPXHBD-00"/>
    <s v="1D6"/>
    <s v="Silver Metallic"/>
    <s v="MHFABBAA9S0450738"/>
    <s v="M20A-NE13167"/>
    <s v="KCMG052513"/>
    <s v="DENI ALFIAN"/>
    <s v="FERYANTO"/>
    <s v="CST-000809776"/>
    <s v="TONDI NIKITA LUBIS"/>
    <s v="INDIVIDU"/>
    <s v="TONDI NIKITA LUBIS"/>
    <s v="THE PAKUBUWONO RESIDENCE C 15 F JL PAKUBUWONO VI NO 68"/>
    <s v="KEC. KEBAYORAN BARU"/>
    <s v="KOTA JAKARTA SELATAN"/>
    <s v="KREDIT"/>
    <s v="PT. TOYOTA ASTRA FINANCIAL SERVICES"/>
    <s v="001-26.64460829"/>
    <n v="625300000"/>
    <n v="486296875"/>
    <n v="80647500"/>
    <n v="52998482"/>
    <n v="0"/>
    <n v="0"/>
    <n v="44642857"/>
    <n v="575300000"/>
    <n v="0"/>
    <n v="-50000000"/>
    <s v="30/01/26"/>
    <s v="30/01/26"/>
    <s v="Invoice"/>
    <n v="1"/>
    <s v="3276092508900001"/>
    <s v="26/01/26"/>
    <s v="KC-25-001047"/>
    <s v="24/01/26"/>
    <s v="24/01/26"/>
    <s v="26/01/26 15.41"/>
    <s v="GJ01431"/>
    <s v="28/01/26"/>
    <s v="27/02/26"/>
    <s v="2025062621"/>
    <s v="14/07/25"/>
    <s v="31/01/26 08.39"/>
    <n v="0"/>
  </r>
  <r>
    <n v="2029"/>
    <n v="146"/>
    <s v="KC"/>
    <s v="146ARI2604-0329"/>
    <s v="06/04/26"/>
    <x v="2"/>
    <n v="2026"/>
    <x v="3"/>
    <x v="3"/>
    <s v="INNOVA G A/T DIESEL"/>
    <x v="0"/>
    <x v="0"/>
    <x v="0"/>
    <x v="4"/>
    <x v="0"/>
    <x v="3"/>
    <x v="0"/>
    <x v="1"/>
    <x v="5"/>
    <x v="2"/>
    <s v="GUN142R-MDTSXD-30"/>
    <s v="218"/>
    <s v="ATTITUDE BLACK MICA"/>
    <s v="MHFJB8EM1T1189737"/>
    <s v="2GD-5956374"/>
    <s v="KCMG072528"/>
    <s v="GIYONO"/>
    <s v="MUHAMMAD CAISARIVA"/>
    <s v="CST-000797304"/>
    <s v="TONI HARTONO"/>
    <s v="INDIVIDU"/>
    <s v="TONI HARTONO"/>
    <s v="GG PESANTREN NO 44 / 197 C"/>
    <s v="KEC. BOJONGLOA KALER"/>
    <s v="KOTA BANDUNG"/>
    <s v="KREDIT"/>
    <s v="PT. TOYOTA ASTRA FINANCIAL SERVICES"/>
    <m/>
    <n v="442100000"/>
    <n v="342622768"/>
    <n v="58362500"/>
    <n v="38864732"/>
    <n v="0"/>
    <n v="0"/>
    <n v="18750000"/>
    <n v="421100000"/>
    <n v="0"/>
    <n v="-21000000"/>
    <s v="10/04/26"/>
    <s v="10/04/26"/>
    <s v="Invoice"/>
    <n v="1"/>
    <s v="0000000000000000"/>
    <s v="30/10/25"/>
    <s v="KC-26-000141"/>
    <s v="25/03/26"/>
    <s v="25/03/26"/>
    <s v="28/03/26 12.01"/>
    <s v="CC01667"/>
    <s v="06/04/26"/>
    <s v="20/04/26"/>
    <s v="2026033295"/>
    <s v="02/04/26"/>
    <s v="07/04/26 10.15"/>
    <n v="0"/>
  </r>
  <r>
    <n v="1976"/>
    <n v="146"/>
    <s v="KC"/>
    <s v="146ARI2602-0457"/>
    <s v="13/02/26"/>
    <x v="1"/>
    <n v="2026"/>
    <x v="3"/>
    <x v="3"/>
    <s v="INNOVA G A/T DIESEL"/>
    <x v="6"/>
    <x v="0"/>
    <x v="0"/>
    <x v="4"/>
    <x v="0"/>
    <x v="4"/>
    <x v="2"/>
    <x v="0"/>
    <x v="5"/>
    <x v="2"/>
    <s v="GUN142R-MDTSXD-30"/>
    <s v="218"/>
    <s v="ATTITUDE BLACK MICA"/>
    <s v="MHFJB8EM1T1184957"/>
    <s v="2GD-5935721"/>
    <s v="KCMG072528"/>
    <s v="GIYONO"/>
    <s v="MUHAMMAD CAISARIVA"/>
    <s v="CST-000812853"/>
    <s v="TONI HARTONO"/>
    <s v="INDIVIDU"/>
    <s v="NATASYA KUSUMA AYU SIWI"/>
    <s v="GG PESANTREN NO.44/19U"/>
    <s v="KEC. BOJONGLOA KALER"/>
    <s v="KOTA BANDUNG"/>
    <s v="KREDIT"/>
    <s v="UNIT KKB PT. BANK CENTRAL ASIA"/>
    <s v="001-26.64462131"/>
    <n v="442100000"/>
    <n v="342845982"/>
    <n v="58112500"/>
    <n v="38891517"/>
    <n v="0"/>
    <n v="0"/>
    <n v="18750000"/>
    <n v="421100000"/>
    <n v="0"/>
    <n v="-21000000"/>
    <m/>
    <m/>
    <s v="Invoice"/>
    <n v="1"/>
    <s v="0000000000000000"/>
    <s v="11/02/26"/>
    <s v="KC-25-001149"/>
    <s v="09/02/26"/>
    <s v="09/02/26"/>
    <s v="11/02/26 10.15"/>
    <s v="BC00350"/>
    <s v="13/02/26"/>
    <s v="15/03/26"/>
    <s v="2026012641"/>
    <s v="04/02/26"/>
    <s v="14/02/26 13.59"/>
    <n v="0"/>
  </r>
  <r>
    <n v="1475"/>
    <n v="146"/>
    <s v="KC"/>
    <s v="146ARI2603-0251"/>
    <s v="06/03/26"/>
    <x v="0"/>
    <n v="2026"/>
    <x v="5"/>
    <x v="4"/>
    <s v="VELOZ V AT HYBRID"/>
    <x v="6"/>
    <x v="0"/>
    <x v="0"/>
    <x v="0"/>
    <x v="0"/>
    <x v="0"/>
    <x v="0"/>
    <x v="8"/>
    <x v="5"/>
    <x v="2"/>
    <s v="W102RE-LBVFJ-10"/>
    <s v="X12"/>
    <s v="BLACK MICA"/>
    <s v="MHFA71BYXT0001870"/>
    <s v="2NR-Y658088"/>
    <s v="KCMG072528"/>
    <s v="GIYONO"/>
    <s v="MUHAMMAD CAISARIVA"/>
    <s v="CST-000808306"/>
    <s v="TONI HARTONO"/>
    <s v="INDIVIDU"/>
    <s v="GALIH HARISTIANTO"/>
    <s v="KP PASAR KEMIS"/>
    <s v="KEC. BALEENDAH"/>
    <s v="KAB. BANDUNG"/>
    <s v="KREDIT"/>
    <s v="UNIT KKB PT. BANK CENTRAL ASIA"/>
    <s v="002-26.36649376"/>
    <n v="303000000"/>
    <n v="233950893"/>
    <n v="40975000"/>
    <n v="28074107"/>
    <n v="0"/>
    <n v="0"/>
    <n v="0"/>
    <n v="303000000"/>
    <n v="0"/>
    <n v="0"/>
    <s v="09/03/26"/>
    <s v="09/03/26"/>
    <s v="Invoice"/>
    <n v="1"/>
    <s v="0000000000000000"/>
    <s v="15/01/26"/>
    <s v="KC-25-001014"/>
    <s v="11/01/26"/>
    <s v="11/01/26"/>
    <s v="15/01/26 10.01"/>
    <s v="C800263"/>
    <s v="06/03/26"/>
    <s v="20/03/26"/>
    <s v="2026024027"/>
    <s v="03/03/26"/>
    <s v="07/03/26 11.00"/>
    <n v="0"/>
  </r>
  <r>
    <n v="2030"/>
    <n v="146"/>
    <s v="KC"/>
    <s v="146ARI2604-0938"/>
    <s v="20/04/26"/>
    <x v="2"/>
    <n v="2026"/>
    <x v="3"/>
    <x v="3"/>
    <s v="INNOVA G A/T DIESEL"/>
    <x v="3"/>
    <x v="0"/>
    <x v="1"/>
    <x v="4"/>
    <x v="0"/>
    <x v="0"/>
    <x v="1"/>
    <x v="1"/>
    <x v="25"/>
    <x v="2"/>
    <s v="GUN142R-MDTSXD-30"/>
    <s v="1D6"/>
    <s v="Silver Metallic"/>
    <s v="MHFJB8EM6T1191161"/>
    <s v="2GD-1954116"/>
    <s v="KCMG112539"/>
    <s v="RIDWAN EFENDI"/>
    <s v="MUHAMMAD CAISARIVA"/>
    <s v="CST-000821354"/>
    <s v="TONY"/>
    <s v="INDIVIDU"/>
    <s v="JAM TJIONG BENG"/>
    <s v="JL. CIGURIANG NO. 51"/>
    <s v="KEC. REGOL"/>
    <s v="KOTA BANDUNG"/>
    <s v="CASH"/>
    <s v="CASH"/>
    <m/>
    <n v="442100000"/>
    <n v="342622768"/>
    <n v="58362500"/>
    <n v="38864732"/>
    <n v="0"/>
    <n v="0"/>
    <n v="18750000"/>
    <n v="421100000"/>
    <n v="0"/>
    <n v="-21000000"/>
    <s v="28/04/26"/>
    <s v="28/04/26"/>
    <s v="Invoice"/>
    <n v="1"/>
    <m/>
    <s v="14/04/26"/>
    <s v="KC-26-000139"/>
    <s v="13/04/26"/>
    <s v="13/04/26"/>
    <s v="14/04/26 12.00"/>
    <s v="DC01233"/>
    <s v="20/04/26"/>
    <s v="29/04/26"/>
    <s v="2026040087"/>
    <s v="17/04/26"/>
    <s v="21/04/26 13.00"/>
    <n v="0"/>
  </r>
  <r>
    <n v="1635"/>
    <n v="146"/>
    <s v="KC"/>
    <s v="146ARI2601-0528"/>
    <s v="13/01/26"/>
    <x v="3"/>
    <n v="2026"/>
    <x v="4"/>
    <x v="3"/>
    <s v="INNOVA ZENIX V A/T HYBRID"/>
    <x v="2"/>
    <x v="0"/>
    <x v="0"/>
    <x v="0"/>
    <x v="0"/>
    <x v="4"/>
    <x v="1"/>
    <x v="1"/>
    <x v="8"/>
    <x v="1"/>
    <s v="MAGH10R-BRXMBD-10"/>
    <s v="218"/>
    <s v="ATTITUDE BLACK MICA"/>
    <s v="MHFABAAA7T0047756"/>
    <s v="M20A-NF07617"/>
    <s v="KCMK25002"/>
    <s v="RAHMAWATI"/>
    <s v="ALVIN"/>
    <s v="CST-000807856"/>
    <s v="TOYIB JAELANI"/>
    <s v="INDIVIDU"/>
    <s v="YOSHIMI SALSABILA"/>
    <s v="JL CIJAGRA"/>
    <s v="KEC. BOJONGSOANG"/>
    <s v="KAB. BANDUNG"/>
    <s v="KREDIT"/>
    <s v="PT. MANDIRI TUNAS FINANCE"/>
    <s v="001-26.64460580"/>
    <n v="551900000"/>
    <n v="428627232"/>
    <n v="71837500"/>
    <n v="48756696"/>
    <n v="0"/>
    <n v="0"/>
    <n v="22321429"/>
    <n v="526900000"/>
    <n v="0"/>
    <n v="-25000000"/>
    <s v="19/01/26"/>
    <s v="19/01/26"/>
    <s v="Invoice"/>
    <n v="1"/>
    <m/>
    <s v="12/01/26"/>
    <s v="KC-25-001002"/>
    <s v="10/01/26"/>
    <s v="10/01/26"/>
    <s v="12/01/26 12.01"/>
    <s v="AJ00581"/>
    <s v="13/01/26"/>
    <s v="12/02/26"/>
    <s v="2026001877"/>
    <s v="09/01/26"/>
    <s v="15/01/26 09.54"/>
    <n v="0"/>
  </r>
  <r>
    <n v="1641"/>
    <n v="146"/>
    <s v="KC"/>
    <s v="146ARI2601-0831"/>
    <s v="22/01/26"/>
    <x v="3"/>
    <n v="2026"/>
    <x v="2"/>
    <x v="2"/>
    <s v="CALYA G A/T"/>
    <x v="4"/>
    <x v="0"/>
    <x v="0"/>
    <x v="17"/>
    <x v="1"/>
    <x v="0"/>
    <x v="1"/>
    <x v="0"/>
    <x v="16"/>
    <x v="1"/>
    <s v="B401RA-GQZFJ-20"/>
    <s v="1G3"/>
    <s v="GRAY METALLIC"/>
    <s v="MHKA6GK6JTJ087784"/>
    <s v="3NR-H976813"/>
    <s v="KCMG052519"/>
    <s v="LUVITA DAMAYANTI"/>
    <s v="ALVIN"/>
    <s v="CST-000809009"/>
    <s v="TRIA ARIANY LESMANAYANTI"/>
    <s v="INDIVIDU"/>
    <s v="TRIA ARIANY LESMANAYANTI"/>
    <s v="DUSUN SUKAMULYA"/>
    <s v="KEC. BLANAKAN"/>
    <s v="KAB. SUBANG"/>
    <s v="KREDIT"/>
    <s v="PT. ASTRA SEDAYA FINANCE"/>
    <s v="001-26.64460821"/>
    <n v="196400000"/>
    <n v="150892857"/>
    <n v="27400000"/>
    <n v="16982142"/>
    <n v="0"/>
    <n v="0"/>
    <n v="9375000"/>
    <n v="185900000"/>
    <n v="0"/>
    <n v="-10500000"/>
    <m/>
    <m/>
    <s v="Invoice"/>
    <n v="1"/>
    <m/>
    <s v="19/01/26"/>
    <s v="KC-25-001026"/>
    <s v="18/01/26"/>
    <s v="18/01/26"/>
    <s v="20/01/26 16.17"/>
    <s v="AO00477"/>
    <s v="22/01/26"/>
    <s v="21/02/26"/>
    <s v="2026001773"/>
    <s v="09/01/26"/>
    <s v="26/01/26 09.24"/>
    <n v="0"/>
  </r>
  <r>
    <n v="1645"/>
    <n v="146"/>
    <s v="KC"/>
    <s v="146ARI2601-0572"/>
    <s v="14/01/26"/>
    <x v="3"/>
    <n v="2026"/>
    <x v="0"/>
    <x v="0"/>
    <s v="AVANZA G A/T"/>
    <x v="3"/>
    <x v="0"/>
    <x v="1"/>
    <x v="2"/>
    <x v="0"/>
    <x v="4"/>
    <x v="1"/>
    <x v="1"/>
    <x v="34"/>
    <x v="1"/>
    <s v="W101RE-LBMFJ-00"/>
    <s v="X12"/>
    <s v="BLACK MICA"/>
    <s v="MHKAB1BY6TJ013122"/>
    <s v="2NR-4F28592"/>
    <s v="KCMG102536"/>
    <s v="INTAN OCTAVIA"/>
    <s v="ALVIN"/>
    <s v="CST-000807853"/>
    <s v="UCU KOMARUDIN"/>
    <s v="INDIVIDU"/>
    <s v="PT EDU MEDIA DIGITAL"/>
    <s v="KOMPLEK DUTA REGENCY CIHANJUANG A.21"/>
    <s v="KEC. PARONGPONG"/>
    <s v="KAB. BANDUNG BARAT"/>
    <s v="CASH"/>
    <s v="CASH"/>
    <s v="001-26.64460589"/>
    <n v="284500000"/>
    <n v="219720982"/>
    <n v="38412500"/>
    <n v="24223660"/>
    <n v="0"/>
    <n v="0"/>
    <n v="17857143"/>
    <n v="264500000"/>
    <n v="0"/>
    <n v="-20000000"/>
    <s v="17/01/26"/>
    <s v="17/01/26"/>
    <s v="Invoice"/>
    <n v="1"/>
    <m/>
    <s v="12/01/26"/>
    <s v="KC-25-000965"/>
    <s v="07/01/26"/>
    <s v="07/01/26"/>
    <s v="12/01/26 12.19"/>
    <s v="A700991"/>
    <s v="14/01/26"/>
    <s v="23/01/26"/>
    <s v="2026002999"/>
    <s v="13/01/26"/>
    <s v="15/01/26 11.14"/>
    <n v="0"/>
  </r>
  <r>
    <n v="2048"/>
    <n v="146"/>
    <s v="KC"/>
    <s v="146ARI2604-1331"/>
    <s v="28/04/26"/>
    <x v="2"/>
    <n v="2026"/>
    <x v="2"/>
    <x v="2"/>
    <s v="CALYA G M/T"/>
    <x v="4"/>
    <x v="0"/>
    <x v="0"/>
    <x v="0"/>
    <x v="0"/>
    <x v="3"/>
    <x v="0"/>
    <x v="1"/>
    <x v="13"/>
    <x v="1"/>
    <s v="B401RA-GMZFJ-20"/>
    <s v="1G3"/>
    <s v="GRAY METALLIC"/>
    <s v="MHKA6GJ6JTJ226292"/>
    <s v="3NR-H993042"/>
    <s v="KCMG072433"/>
    <s v="AHMAD MAULANA"/>
    <s v="ALVIN"/>
    <s v="CST-000822993"/>
    <s v="UDIN"/>
    <s v="INDIVIDU"/>
    <s v="UDIN"/>
    <s v="KP WAAS"/>
    <s v="KEC. PAMEUNGPEUK"/>
    <s v="KAB. BANDUNG"/>
    <s v="KREDIT"/>
    <s v="PT. ASTRA SEDAYA FINANCE"/>
    <m/>
    <n v="181900000"/>
    <n v="139341518"/>
    <n v="25837500"/>
    <n v="15649553"/>
    <n v="0"/>
    <n v="0"/>
    <n v="8928571"/>
    <n v="171900000"/>
    <n v="2000000"/>
    <n v="-10000000"/>
    <m/>
    <m/>
    <s v="Invoice"/>
    <n v="1"/>
    <m/>
    <s v="25/04/26"/>
    <s v="KC-26-000256"/>
    <s v="21/04/26"/>
    <s v="21/04/26"/>
    <s v="25/04/26 15.01"/>
    <s v="DO02657"/>
    <m/>
    <s v="12/05/26"/>
    <s v="2026044173"/>
    <s v="27/04/26"/>
    <s v="29/04/26 14.45"/>
    <n v="0"/>
  </r>
  <r>
    <n v="1509"/>
    <n v="146"/>
    <s v="KC"/>
    <s v="146ARI2603-0432"/>
    <s v="09/03/26"/>
    <x v="0"/>
    <n v="2026"/>
    <x v="4"/>
    <x v="3"/>
    <s v="INNOVA ZENIX V A/T HYBRID"/>
    <x v="1"/>
    <x v="0"/>
    <x v="0"/>
    <x v="4"/>
    <x v="0"/>
    <x v="3"/>
    <x v="1"/>
    <x v="0"/>
    <x v="20"/>
    <x v="1"/>
    <s v="MAGH10R-BRXMBD-10"/>
    <s v="218"/>
    <s v="ATTITUDE BLACK MICA"/>
    <s v="MHFABAAA1T0049826"/>
    <s v="M20A-NF34383"/>
    <s v="KCMG042424"/>
    <s v="INDAH PITALOKA"/>
    <s v="ALVIN"/>
    <s v="CST-000812783"/>
    <s v="WANTI SAEFUDIN"/>
    <s v="INDIVIDU"/>
    <s v="WANTI SAEFUDIN"/>
    <s v="KOMP SARI BUNGA BAKUNG RESIDENCE A-113"/>
    <s v="KEC. BUAHBATU"/>
    <s v="KOTA BANDUNG"/>
    <s v="KREDIT"/>
    <s v="CIMB NIAGA FINANCE"/>
    <s v="001-26.64462996"/>
    <n v="551900000"/>
    <n v="428404018"/>
    <n v="72087500"/>
    <n v="49158482"/>
    <n v="0"/>
    <n v="0"/>
    <n v="18750000"/>
    <n v="530900000"/>
    <n v="0"/>
    <n v="-21000000"/>
    <s v="11/03/26"/>
    <s v="11/03/26"/>
    <s v="Invoice"/>
    <n v="1"/>
    <m/>
    <s v="10/02/26"/>
    <s v="KC-26-000001"/>
    <s v="10/02/26"/>
    <s v="10/02/26"/>
    <s v="10/02/26 16.45"/>
    <s v="BJ01914"/>
    <s v="09/03/26"/>
    <s v="23/03/26"/>
    <s v="2026020754"/>
    <s v="24/02/26"/>
    <s v="10/03/26 16.31"/>
    <n v="0"/>
  </r>
  <r>
    <n v="1519"/>
    <n v="146"/>
    <s v="KC"/>
    <s v="146ARI2603-0295"/>
    <s v="07/03/26"/>
    <x v="0"/>
    <n v="2026"/>
    <x v="4"/>
    <x v="3"/>
    <s v="INNOVA ZENIX G A/T HIYBRID"/>
    <x v="0"/>
    <x v="0"/>
    <x v="0"/>
    <x v="4"/>
    <x v="0"/>
    <x v="0"/>
    <x v="0"/>
    <x v="1"/>
    <x v="5"/>
    <x v="2"/>
    <s v="MAGH10R-BRXLBD-10"/>
    <s v="218"/>
    <s v="ATTITUDE BLACK MICA"/>
    <s v="MHFABAAA2T0050368"/>
    <s v="M20A-NF40805"/>
    <s v="KCMG072528"/>
    <s v="GIYONO"/>
    <s v="MUHAMMAD CAISARIVA"/>
    <s v="CST-000814174"/>
    <s v="WAWAN SETIAWAN"/>
    <s v="INDIVIDU"/>
    <s v="WAWAN SETIAWAN"/>
    <s v="CICADAS GG SIMPANG"/>
    <s v="KEC. KIARACONDONG"/>
    <s v="KOTA BANDUNG"/>
    <s v="KREDIT"/>
    <s v="PT. TOYOTA ASTRA FINANCIAL SERVICES"/>
    <s v="002-26.36649379"/>
    <n v="476600000"/>
    <n v="369575893"/>
    <n v="62675000"/>
    <n v="42099107"/>
    <n v="0"/>
    <n v="0"/>
    <n v="18750000"/>
    <n v="455600000"/>
    <n v="0"/>
    <n v="-21000000"/>
    <m/>
    <m/>
    <s v="Invoice"/>
    <n v="1"/>
    <s v="0000000000000000"/>
    <s v="19/02/26"/>
    <s v="KC-26-000034"/>
    <s v="19/02/26"/>
    <s v="19/02/26"/>
    <s v="20/02/26 09.28"/>
    <s v="CJ00421"/>
    <s v="07/03/26"/>
    <s v="21/03/26"/>
    <s v="2026025209"/>
    <s v="05/03/26"/>
    <s v="08/03/26 14.54"/>
    <n v="0"/>
  </r>
  <r>
    <n v="2007"/>
    <n v="146"/>
    <s v="KC"/>
    <s v="146ARI2602-1089"/>
    <s v="23/02/26"/>
    <x v="1"/>
    <n v="2026"/>
    <x v="0"/>
    <x v="0"/>
    <s v="AVANZA G A/T"/>
    <x v="0"/>
    <x v="0"/>
    <x v="0"/>
    <x v="17"/>
    <x v="1"/>
    <x v="0"/>
    <x v="0"/>
    <x v="0"/>
    <x v="23"/>
    <x v="1"/>
    <s v="W101RE-LBMFJ-00"/>
    <s v="W09"/>
    <s v="WHITE"/>
    <s v="MHKAB1BY4TJ016178"/>
    <s v="2NR-4F52562"/>
    <s v="KCMG052516"/>
    <s v="YENI"/>
    <s v="ALVIN"/>
    <s v="CST-000813362"/>
    <s v="WAWAT"/>
    <s v="INDIVIDU"/>
    <s v="WAWAT"/>
    <s v="DUSUN GALUMPIT"/>
    <s v="KEC. CIKAUM"/>
    <s v="KAB. SUBANG"/>
    <s v="KREDIT"/>
    <s v="PT. TOYOTA ASTRA FINANCIAL SERVICES"/>
    <m/>
    <n v="284500000"/>
    <n v="219720982"/>
    <n v="38412500"/>
    <n v="24759375"/>
    <n v="0"/>
    <n v="0"/>
    <n v="13392857"/>
    <n v="269500000"/>
    <n v="3690000"/>
    <n v="-15000000"/>
    <s v="28/02/26"/>
    <s v="28/02/26"/>
    <s v="Invoice"/>
    <n v="1"/>
    <m/>
    <s v="13/02/26"/>
    <s v="KC-26-000004"/>
    <s v="12/02/26"/>
    <s v="12/02/26"/>
    <s v="13/02/26 15.25"/>
    <s v="B702824"/>
    <s v="23/02/26"/>
    <s v="09/03/26"/>
    <s v="2026019220"/>
    <s v="20/02/26"/>
    <s v="24/02/26 09.15"/>
    <n v="0"/>
  </r>
  <r>
    <n v="1522"/>
    <n v="146"/>
    <s v="KC"/>
    <s v="146ARI2603-0558"/>
    <s v="12/03/26"/>
    <x v="0"/>
    <n v="2026"/>
    <x v="2"/>
    <x v="2"/>
    <s v="CALYA G M/T"/>
    <x v="2"/>
    <x v="0"/>
    <x v="0"/>
    <x v="6"/>
    <x v="1"/>
    <x v="1"/>
    <x v="0"/>
    <x v="4"/>
    <x v="21"/>
    <x v="1"/>
    <s v="B401RA-GMZFJ-20"/>
    <s v="X13"/>
    <s v="BLACK"/>
    <s v="MHKA6GJ6JTJ223805"/>
    <s v="3NR-H986722"/>
    <s v="KCMG012502"/>
    <s v="DADI SOBARI"/>
    <s v="ALVIN"/>
    <s v="CST-000817177"/>
    <s v="WIARSIH"/>
    <s v="INDIVIDU"/>
    <s v="WIARSIH"/>
    <s v="PRM GRIYA HUSADA IBNU SINA A9"/>
    <s v="KEC. SUMEDANG UTARA"/>
    <s v="KAB. SUMEDANG"/>
    <s v="KREDIT"/>
    <s v="PT. MANDIRI TUNAS FINANCE"/>
    <m/>
    <n v="181900000"/>
    <n v="138984375"/>
    <n v="26237500"/>
    <n v="15499553"/>
    <n v="0"/>
    <n v="0"/>
    <n v="9821429"/>
    <n v="170900000"/>
    <n v="0"/>
    <n v="-11000000"/>
    <s v="17/03/26"/>
    <s v="17/03/26"/>
    <s v="Invoice"/>
    <n v="1"/>
    <m/>
    <s v="10/03/26"/>
    <s v="KC-26-000095"/>
    <s v="09/03/26"/>
    <s v="09/03/26"/>
    <s v="11/03/26 14.14"/>
    <s v="CO00838"/>
    <s v="12/03/26"/>
    <s v="26/03/26"/>
    <s v="2026026183"/>
    <s v="06/03/26"/>
    <s v="14/03/26 15.40"/>
    <n v="0"/>
  </r>
  <r>
    <n v="2016"/>
    <n v="146"/>
    <s v="KC"/>
    <s v="146ARI2602-0599"/>
    <s v="16/02/26"/>
    <x v="1"/>
    <n v="2026"/>
    <x v="4"/>
    <x v="3"/>
    <s v="INNOVA ZENIX Q A/T HYBRID"/>
    <x v="6"/>
    <x v="0"/>
    <x v="0"/>
    <x v="4"/>
    <x v="0"/>
    <x v="2"/>
    <x v="1"/>
    <x v="1"/>
    <x v="11"/>
    <x v="1"/>
    <s v="MAGH10R-BPXHBD-10"/>
    <s v="218"/>
    <s v="ATTITUDE BLACK MICA"/>
    <s v="MHFABBAA5T0465738"/>
    <s v="M20A-NF29722"/>
    <s v="KCMG052428"/>
    <s v="MUHAMMAD FADIL FAHMI RUSTANDI"/>
    <s v="ALVIN"/>
    <s v="CST-000812292"/>
    <s v="WINDA SUSANNA"/>
    <s v="INDIVIDU"/>
    <s v="WINDA SUSANNA"/>
    <s v="KOMP SAUYUNAN IV/10"/>
    <s v="KEC. BOJONGLOA KIDUL"/>
    <s v="KOTA BANDUNG"/>
    <s v="KREDIT"/>
    <s v="UNIT KKB PT. BANK CENTRAL ASIA"/>
    <s v="001-26.64462152"/>
    <n v="627100000"/>
    <n v="487377232"/>
    <n v="81237500"/>
    <n v="56342410"/>
    <n v="0"/>
    <n v="0"/>
    <n v="17857143"/>
    <n v="607100000"/>
    <n v="4000000"/>
    <n v="-20000000"/>
    <s v="19/02/26"/>
    <s v="19/02/26"/>
    <s v="Invoice"/>
    <n v="1"/>
    <m/>
    <s v="09/02/26"/>
    <s v="KC-25-001141"/>
    <s v="10/02/26"/>
    <s v="10/02/26"/>
    <s v="12/02/26 16.15"/>
    <s v="BJ00931"/>
    <s v="16/02/26"/>
    <s v="18/03/26"/>
    <s v="2026015568"/>
    <s v="11/02/26"/>
    <s v="25/02/26 09.43"/>
    <n v="0"/>
  </r>
  <r>
    <n v="1688"/>
    <n v="146"/>
    <s v="KC"/>
    <s v="146ARI2601-0729"/>
    <s v="19/01/26"/>
    <x v="3"/>
    <n v="2026"/>
    <x v="0"/>
    <x v="0"/>
    <s v="AVANZA G A/T"/>
    <x v="0"/>
    <x v="0"/>
    <x v="0"/>
    <x v="0"/>
    <x v="0"/>
    <x v="3"/>
    <x v="2"/>
    <x v="0"/>
    <x v="20"/>
    <x v="1"/>
    <s v="W101RE-LBMFJ-00"/>
    <s v="X12"/>
    <s v="BLACK MICA"/>
    <s v="MHKAB1BY3TJ013014"/>
    <s v="2NR-4F31103"/>
    <s v="KCMG042424"/>
    <s v="INDAH PITALOKA"/>
    <s v="ALVIN"/>
    <s v="CST-000808498"/>
    <s v="YANTHY WIDYA SARI"/>
    <s v="INDIVIDU"/>
    <s v="DASURI RACHMAT"/>
    <s v="KOMP. PERMATA BIRUBLOK R-165"/>
    <s v="KEC. CILEUNYI"/>
    <s v="KAB. BANDUNG"/>
    <s v="KREDIT"/>
    <s v="PT. TOYOTA ASTRA FINANCIAL SERVICES"/>
    <s v="001-26.64460718"/>
    <n v="284500000"/>
    <n v="219720982"/>
    <n v="38412500"/>
    <n v="24116517"/>
    <n v="0"/>
    <n v="0"/>
    <n v="18750000"/>
    <n v="263500000"/>
    <n v="0"/>
    <n v="-21000000"/>
    <s v="23/01/26"/>
    <s v="23/01/26"/>
    <s v="Invoice"/>
    <n v="1"/>
    <m/>
    <s v="15/01/26"/>
    <s v="KC-25-001010"/>
    <s v="15/01/26"/>
    <s v="15/01/26"/>
    <s v="17/01/26 12.04"/>
    <s v="A700821"/>
    <s v="19/01/26"/>
    <s v="18/02/26"/>
    <s v="2026002638"/>
    <s v="12/01/26"/>
    <s v="22/01/26 16.20"/>
    <n v="0"/>
  </r>
  <r>
    <n v="2100"/>
    <n v="146"/>
    <s v="KC"/>
    <s v="146ARI2604-1050"/>
    <s v="23/04/26"/>
    <x v="2"/>
    <n v="2026"/>
    <x v="9"/>
    <x v="7"/>
    <s v="AGYA G A/T"/>
    <x v="0"/>
    <x v="0"/>
    <x v="0"/>
    <x v="5"/>
    <x v="0"/>
    <x v="0"/>
    <x v="0"/>
    <x v="0"/>
    <x v="25"/>
    <x v="2"/>
    <s v="A351RA-GBEFJ-FB"/>
    <s v="R79"/>
    <s v="RED M. M"/>
    <s v="MHKAB1BC6TJ083787"/>
    <s v="WA-A245364"/>
    <s v="KCMG112539"/>
    <s v="RIDWAN EFENDI"/>
    <s v="MUHAMMAD CAISARIVA"/>
    <s v="CST-000817689"/>
    <s v="YANTI TRIWAN MARETA"/>
    <s v="INDIVIDU"/>
    <s v="ROBBY HIDAYAT"/>
    <s v="JL. MARGALUYU NO 97B"/>
    <s v="KEC. CIMAHI TENGAH"/>
    <s v="KOTA CIMAHI"/>
    <s v="KREDIT"/>
    <s v="PT. TOYOTA ASTRA FINANCIAL SERVICES"/>
    <m/>
    <n v="205198000"/>
    <n v="157543080"/>
    <n v="28749750"/>
    <n v="17833741"/>
    <n v="0"/>
    <n v="0"/>
    <n v="8928571"/>
    <n v="195198000"/>
    <n v="3000000"/>
    <n v="-10000000"/>
    <s v="29/04/26"/>
    <s v="29/04/26"/>
    <s v="Invoice"/>
    <n v="1"/>
    <m/>
    <s v="14/03/26"/>
    <s v="KC-26-000090"/>
    <s v="12/03/26"/>
    <s v="12/03/26"/>
    <s v="14/03/26 12.24"/>
    <s v="DR00836"/>
    <s v="23/04/26"/>
    <s v="07/05/26"/>
    <s v="2026041405"/>
    <s v="21/04/26"/>
    <s v="25/04/26 11.43"/>
    <n v="0"/>
  </r>
  <r>
    <n v="2104"/>
    <n v="146"/>
    <s v="KC"/>
    <s v="146ARI2604-0404"/>
    <s v="09/04/26"/>
    <x v="2"/>
    <n v="2026"/>
    <x v="0"/>
    <x v="0"/>
    <s v="AVANZA E A/T"/>
    <x v="4"/>
    <x v="0"/>
    <x v="0"/>
    <x v="0"/>
    <x v="0"/>
    <x v="4"/>
    <x v="1"/>
    <x v="1"/>
    <x v="17"/>
    <x v="2"/>
    <s v="W100RE-LBDFJ-10"/>
    <s v="X12"/>
    <s v="BLACK MICA"/>
    <s v="MHKAA1BY2TJ014092"/>
    <s v="1NR-G322449"/>
    <s v="KCMG112540"/>
    <s v="KHARISMA GALIH PUTRA"/>
    <s v="MUHAMMAD CAISARIVA"/>
    <s v="CST-000820249"/>
    <s v="YAYAT DURIAT, AMD"/>
    <s v="INDIVIDU"/>
    <s v="YAYAT DURIAT, AMD"/>
    <s v="KOMP. GBA 3 BLOK C.4 NO. 7"/>
    <s v="KEC. BOJONGSOANG"/>
    <s v="KAB. BANDUNG"/>
    <s v="KREDIT"/>
    <s v="PT. ASTRA SEDAYA FINANCE"/>
    <m/>
    <n v="261700000"/>
    <n v="201685268"/>
    <n v="35812500"/>
    <n v="22595089"/>
    <n v="0"/>
    <n v="0"/>
    <n v="13392857"/>
    <n v="246700000"/>
    <n v="0"/>
    <n v="-15000000"/>
    <s v="16/04/26"/>
    <s v="16/04/26"/>
    <s v="Invoice"/>
    <n v="1"/>
    <m/>
    <s v="07/04/26"/>
    <s v="KC-26-000177"/>
    <s v="06/04/26"/>
    <s v="06/04/26"/>
    <s v="07/04/26 10.33"/>
    <s v="D700773"/>
    <s v="09/04/26"/>
    <s v="23/04/26"/>
    <s v="2026034758"/>
    <s v="07/04/26"/>
    <s v="11/04/26 10.00"/>
    <n v="0"/>
  </r>
  <r>
    <n v="2109"/>
    <n v="146"/>
    <s v="KC"/>
    <s v="146ARI2604-0933"/>
    <s v="20/04/26"/>
    <x v="2"/>
    <n v="2026"/>
    <x v="12"/>
    <x v="10"/>
    <s v="RUSH S M/T"/>
    <x v="3"/>
    <x v="0"/>
    <x v="1"/>
    <x v="18"/>
    <x v="1"/>
    <x v="0"/>
    <x v="0"/>
    <x v="5"/>
    <x v="0"/>
    <x v="0"/>
    <s v="F800RE-GMGFJ-40"/>
    <s v="X12"/>
    <s v="BLACK MICA"/>
    <s v="MHKE8FA3JTK143264"/>
    <s v="2NR-4F75044"/>
    <s v="KCMG072432"/>
    <s v="DENO"/>
    <s v="FERYANTO"/>
    <s v="CST-000822121"/>
    <s v="YENI HARIPAH"/>
    <s v="INDIVIDU"/>
    <s v="YENI HARIPAH"/>
    <s v="KP. LIO JAMBU"/>
    <s v="KEC. LEUWISADENG"/>
    <s v="KAB. BOGOR"/>
    <s v="CASH"/>
    <s v="CASH"/>
    <m/>
    <n v="311400000"/>
    <n v="240022321"/>
    <n v="42575000"/>
    <n v="27195535"/>
    <n v="0"/>
    <n v="0"/>
    <n v="13392857"/>
    <n v="296400000"/>
    <n v="7400000"/>
    <n v="-15000000"/>
    <s v="25/04/26"/>
    <s v="25/04/26"/>
    <s v="Invoice"/>
    <n v="1"/>
    <s v="0000000000000000"/>
    <s v="20/04/26"/>
    <s v="KC-26-000244"/>
    <s v="20/04/26"/>
    <s v="20/04/26"/>
    <s v="20/04/26 11.41"/>
    <s v="DG00817"/>
    <s v="20/04/26"/>
    <s v="04/05/26"/>
    <s v="2026036497"/>
    <s v="10/04/26"/>
    <s v="23/04/26 10.15"/>
    <n v="0"/>
  </r>
  <r>
    <n v="1547"/>
    <n v="146"/>
    <s v="KC"/>
    <s v="146ARI2603-1331"/>
    <s v="31/03/26"/>
    <x v="0"/>
    <n v="2026"/>
    <x v="13"/>
    <x v="11"/>
    <s v="RAIZE G A/T"/>
    <x v="4"/>
    <x v="0"/>
    <x v="0"/>
    <x v="17"/>
    <x v="1"/>
    <x v="0"/>
    <x v="0"/>
    <x v="1"/>
    <x v="3"/>
    <x v="0"/>
    <s v="A250RA-GBXVJ-10"/>
    <s v="X13"/>
    <s v="BLACK"/>
    <s v="MHKAA1BA0TJ184518"/>
    <s v="1KR-B031023"/>
    <s v="KCMG052513"/>
    <s v="DENI ALFIAN"/>
    <s v="FERYANTO"/>
    <s v="CST-000819414"/>
    <s v="YERMIA RETNO ANDREAS"/>
    <s v="INDIVIDU"/>
    <s v="YERMIA RETNO ANDREAS"/>
    <s v="DUSUN MARGAMULYA"/>
    <s v="KEC. CIASEM"/>
    <s v="KAB. SUBANG"/>
    <s v="KREDIT"/>
    <s v="PT. ASTRA SEDAYA FINANCE"/>
    <m/>
    <n v="280700000"/>
    <n v="216529018"/>
    <n v="38187500"/>
    <n v="24269196"/>
    <n v="0"/>
    <n v="0"/>
    <n v="14285714"/>
    <n v="264700000"/>
    <n v="53000000"/>
    <n v="-16000000"/>
    <m/>
    <m/>
    <s v="Invoice"/>
    <n v="1"/>
    <s v="3213095601930003"/>
    <s v="31/03/26"/>
    <s v="KC-26-000106"/>
    <s v="16/03/26"/>
    <s v="16/03/26"/>
    <s v="31/03/26 17.46"/>
    <s v="BZ00338"/>
    <m/>
    <s v="14/04/26"/>
    <s v="2026014561"/>
    <s v="09/02/26"/>
    <s v="01/04/26 17.39"/>
    <n v="0"/>
  </r>
  <r>
    <n v="1698"/>
    <n v="146"/>
    <s v="KC"/>
    <s v="146ARI2601-0396"/>
    <s v="10/01/26"/>
    <x v="3"/>
    <n v="2026"/>
    <x v="13"/>
    <x v="11"/>
    <s v="RAIZE G A/T"/>
    <x v="0"/>
    <x v="0"/>
    <x v="0"/>
    <x v="4"/>
    <x v="0"/>
    <x v="0"/>
    <x v="1"/>
    <x v="4"/>
    <x v="17"/>
    <x v="2"/>
    <s v="A251RA-GBXFJ-10"/>
    <s v="W09"/>
    <s v="WHITE"/>
    <s v="MHKAB1BA4TJ155391"/>
    <s v="WA-A224971"/>
    <s v="KCMG112540"/>
    <s v="KHARISMA GALIH PUTRA"/>
    <s v="MUHAMMAD CAISARIVA"/>
    <s v="CST-000807265"/>
    <s v="YESI KUSARI"/>
    <s v="INDIVIDU"/>
    <s v="PARAMESWARI SANG GALUH KAMULYAN"/>
    <s v="JL. CISITU LAMA NO. 10/160-B"/>
    <s v="KEC. COBLONG"/>
    <s v="KOTA BANDUNG"/>
    <s v="KREDIT"/>
    <s v="PT. TOYOTA ASTRA FINANCIAL SERVICES"/>
    <s v="001-26.64460573"/>
    <n v="261600000"/>
    <n v="201830357"/>
    <n v="35550000"/>
    <n v="22548214"/>
    <n v="0"/>
    <n v="0"/>
    <n v="13928571"/>
    <n v="246000000"/>
    <n v="0"/>
    <n v="-15600000"/>
    <s v="15/01/26"/>
    <s v="15/01/26"/>
    <s v="Invoice"/>
    <n v="1"/>
    <m/>
    <s v="07/01/26"/>
    <s v="KC-25-000975"/>
    <s v="06/01/26"/>
    <s v="06/01/26"/>
    <s v="07/01/26 16.50"/>
    <s v="AZ00061"/>
    <s v="10/01/26"/>
    <s v="09/02/26"/>
    <s v="2026001062"/>
    <s v="08/01/26"/>
    <s v="12/01/26 10.30"/>
    <n v="0"/>
  </r>
  <r>
    <n v="2035"/>
    <n v="146"/>
    <s v="KC"/>
    <s v="146ARI2602-0414"/>
    <s v="12/02/26"/>
    <x v="1"/>
    <n v="2026"/>
    <x v="13"/>
    <x v="11"/>
    <s v="RAIZE G A/T"/>
    <x v="3"/>
    <x v="0"/>
    <x v="1"/>
    <x v="13"/>
    <x v="1"/>
    <x v="0"/>
    <x v="0"/>
    <x v="1"/>
    <x v="35"/>
    <x v="2"/>
    <s v="A251RA-GBXFJ-10"/>
    <s v="S28"/>
    <s v="Silver Metallic"/>
    <s v="MHKAB1BAXTJ158862"/>
    <s v="WA-A232634"/>
    <s v="KCMG052521"/>
    <s v="DIAN SITI NURWENDAH"/>
    <s v="MUHAMMAD CAISARIVA"/>
    <s v="CST-000811029"/>
    <s v="YOGA FEBRIANSYAH SETIAWAN"/>
    <s v="INDIVIDU"/>
    <s v="YOGA FEBRIANSYAH SETIAWAN"/>
    <s v="PERUM GRAND PERMATA BLOK B NO 03"/>
    <s v="KEC. SEPATAN"/>
    <s v="KAB. TANGERANG (PLAT B)"/>
    <s v="CASH"/>
    <s v="CASH"/>
    <s v="001-26.64462132"/>
    <n v="258600000"/>
    <n v="199812500"/>
    <n v="34810000"/>
    <n v="21834642"/>
    <n v="0"/>
    <n v="0"/>
    <n v="17857143"/>
    <n v="238600000"/>
    <n v="0"/>
    <n v="-20000000"/>
    <s v="13/02/26"/>
    <s v="13/02/26"/>
    <s v="Invoice"/>
    <n v="1"/>
    <s v="0000000000000000"/>
    <s v="31/01/26"/>
    <s v="KC-25-001058"/>
    <s v="31/01/26"/>
    <s v="31/01/26"/>
    <s v="31/01/26 14.52"/>
    <s v="BZ00349"/>
    <s v="12/02/26"/>
    <s v="21/02/26"/>
    <s v="2026015675"/>
    <s v="11/02/26"/>
    <s v="13/02/26 14.38"/>
    <n v="0"/>
  </r>
  <r>
    <n v="1552"/>
    <n v="146"/>
    <s v="KC"/>
    <s v="146ARI2603-1102"/>
    <s v="27/03/26"/>
    <x v="0"/>
    <n v="2026"/>
    <x v="9"/>
    <x v="7"/>
    <s v="AGYA G A/T"/>
    <x v="0"/>
    <x v="0"/>
    <x v="0"/>
    <x v="4"/>
    <x v="0"/>
    <x v="4"/>
    <x v="1"/>
    <x v="8"/>
    <x v="11"/>
    <x v="1"/>
    <s v="A351RA-GBEFJ-10"/>
    <s v="R79"/>
    <s v="RED M. M"/>
    <s v="MHKAB1BCXTJ081816"/>
    <s v="WA-A239995"/>
    <s v="KCMG052428"/>
    <s v="MUHAMMAD FADIL FAHMI RUSTANDI"/>
    <s v="ALVIN"/>
    <s v="CST-000817723"/>
    <s v="YOGI SAID ALFANI"/>
    <s v="INDIVIDU"/>
    <s v="YOGI SAID ALFANI"/>
    <s v="JL. CYNTHIA RAYA BLOK CB 59"/>
    <s v="KEC. GEDEBAGE"/>
    <s v="KOTA BANDUNG"/>
    <s v="KREDIT"/>
    <s v="PT. TOYOTA ASTRA FINANCIAL SERVICES"/>
    <m/>
    <n v="204000000"/>
    <n v="156607143"/>
    <n v="28600000"/>
    <n v="17614285"/>
    <n v="0"/>
    <n v="0"/>
    <n v="9821429"/>
    <n v="193000000"/>
    <n v="2000000"/>
    <n v="-11000000"/>
    <s v="30/03/26"/>
    <s v="30/03/26"/>
    <s v="Invoice"/>
    <n v="1"/>
    <m/>
    <s v="13/03/26"/>
    <s v="KC-26-000130"/>
    <s v="13/03/26"/>
    <s v="13/03/26"/>
    <s v="16/03/26 12.35"/>
    <s v="CR00970"/>
    <s v="27/03/26"/>
    <s v="10/04/26"/>
    <s v="2026030253"/>
    <s v="14/03/26"/>
    <s v="28/03/26 09.25"/>
    <n v="0"/>
  </r>
  <r>
    <n v="2039"/>
    <n v="146"/>
    <s v="KC"/>
    <s v="146ARI2602-0306"/>
    <s v="09/02/26"/>
    <x v="1"/>
    <n v="2026"/>
    <x v="2"/>
    <x v="2"/>
    <s v="CALYA G M/T"/>
    <x v="0"/>
    <x v="0"/>
    <x v="0"/>
    <x v="2"/>
    <x v="0"/>
    <x v="0"/>
    <x v="0"/>
    <x v="0"/>
    <x v="15"/>
    <x v="0"/>
    <s v="B401RA-GMZFJ-20"/>
    <s v="W09"/>
    <s v="WHITE"/>
    <s v="MHKA6GJ6JTJ221694"/>
    <s v="3NR-H981533"/>
    <s v="CMMG122342"/>
    <s v="REGYAWAN KURNIA"/>
    <s v="FERYANTO"/>
    <s v="CST-000812282"/>
    <s v="YOHANES"/>
    <s v="INDIVIDU"/>
    <s v="TANTI OKTAPIANTI"/>
    <s v="RANDUKURUNG"/>
    <s v="KEC. NGAMPRAH"/>
    <s v="KAB. BANDUNG BARAT"/>
    <s v="KREDIT"/>
    <s v="PT. TOYOTA ASTRA FINANCIAL SERVICES"/>
    <s v="001-26.64462118"/>
    <n v="181900000"/>
    <n v="139564732"/>
    <n v="25587500"/>
    <n v="15783482"/>
    <n v="0"/>
    <n v="0"/>
    <n v="8035714"/>
    <n v="172900000"/>
    <n v="0"/>
    <n v="-9961538"/>
    <s v="12/02/26"/>
    <s v="12/02/26"/>
    <s v="Invoice"/>
    <n v="1"/>
    <m/>
    <s v="09/02/26"/>
    <s v="KC-25-001135"/>
    <s v="06/02/26"/>
    <s v="06/02/26"/>
    <s v="09/02/26 14.40"/>
    <s v="BO00542"/>
    <s v="09/02/26"/>
    <s v="11/03/26"/>
    <s v="2026014237"/>
    <s v="07/02/26"/>
    <s v="13/02/26 14.12"/>
    <n v="0"/>
  </r>
  <r>
    <n v="1707"/>
    <n v="146"/>
    <s v="KC"/>
    <s v="146ARI2601-0748"/>
    <s v="20/01/26"/>
    <x v="3"/>
    <n v="2026"/>
    <x v="2"/>
    <x v="2"/>
    <s v="CALYA G M/T"/>
    <x v="2"/>
    <x v="0"/>
    <x v="0"/>
    <x v="0"/>
    <x v="0"/>
    <x v="0"/>
    <x v="0"/>
    <x v="1"/>
    <x v="36"/>
    <x v="1"/>
    <s v="B401RA-GMZFJ-20"/>
    <s v="1G3"/>
    <s v="GRAY METALLIC"/>
    <s v="MHKA6GJ6JTJ219431"/>
    <s v="3NR-H976057"/>
    <s v="KCMG012602"/>
    <s v="HINGKI ZULFIKAR"/>
    <s v="ALVIN"/>
    <s v="CST-000807840"/>
    <s v="YOPI ALMA ARIJ"/>
    <s v="INDIVIDU"/>
    <s v="YOPI ALMA ARIJ"/>
    <s v="CIKONENG"/>
    <s v="KEC. BOJONGSOANG"/>
    <s v="KAB. BANDUNG"/>
    <s v="KREDIT"/>
    <s v="PT. MANDIRI TUNAS FINANCE"/>
    <s v="001-26.64460812"/>
    <n v="181900000"/>
    <n v="139564732"/>
    <n v="25587500"/>
    <n v="15676339"/>
    <n v="0"/>
    <n v="0"/>
    <n v="8928571"/>
    <n v="171900000"/>
    <n v="0"/>
    <n v="-10000000"/>
    <s v="26/01/26"/>
    <s v="26/01/26"/>
    <s v="Invoice"/>
    <n v="1"/>
    <m/>
    <s v="12/01/26"/>
    <s v="KC-25-000908"/>
    <s v="05/01/26"/>
    <s v="05/01/26"/>
    <s v="12/01/26 11.05"/>
    <s v="AO00024"/>
    <s v="20/01/26"/>
    <s v="19/02/26"/>
    <s v="2026000290"/>
    <s v="06/01/26"/>
    <s v="21/01/26 10.30"/>
    <n v="0"/>
  </r>
  <r>
    <n v="1564"/>
    <n v="146"/>
    <s v="KC"/>
    <s v="146ARI2603-0472"/>
    <s v="10/03/26"/>
    <x v="0"/>
    <n v="2026"/>
    <x v="13"/>
    <x v="11"/>
    <s v="RAIZE G A/T"/>
    <x v="3"/>
    <x v="0"/>
    <x v="1"/>
    <x v="4"/>
    <x v="0"/>
    <x v="4"/>
    <x v="1"/>
    <x v="1"/>
    <x v="8"/>
    <x v="1"/>
    <s v="A251RA-GBXFJ-10"/>
    <s v="X13"/>
    <s v="BLACK"/>
    <s v="MHKAB1BA4TJ155665"/>
    <s v="WA-A229118"/>
    <s v="KCMK25002"/>
    <s v="RAHMAWATI"/>
    <s v="ALVIN"/>
    <s v="CST-000817058"/>
    <s v="YUGO NUGROHO"/>
    <s v="INDIVIDU"/>
    <s v="YUGO NUGROHO"/>
    <s v="BUMI PANYILEUKAN K6 NO.19"/>
    <s v="KEC. PANYILEUKAN"/>
    <s v="KOTA BANDUNG"/>
    <s v="CASH"/>
    <s v="CASH"/>
    <s v="002-26.36649382"/>
    <n v="261600000"/>
    <n v="201607143"/>
    <n v="35800000"/>
    <n v="22478571"/>
    <n v="0"/>
    <n v="0"/>
    <n v="14285714"/>
    <n v="245600000"/>
    <n v="0"/>
    <n v="-16000000"/>
    <s v="12/03/26"/>
    <s v="12/03/26"/>
    <s v="Invoice"/>
    <n v="1"/>
    <m/>
    <s v="10/03/26"/>
    <s v="KC-26-000118"/>
    <s v="10/03/26"/>
    <s v="10/03/26"/>
    <s v="10/03/26 16.58"/>
    <s v="AZ00787"/>
    <s v="10/03/26"/>
    <s v="19/03/26"/>
    <s v="2026009275"/>
    <s v="27/01/26"/>
    <s v="11/03/26 16.50"/>
    <n v="0"/>
  </r>
  <r>
    <n v="2129"/>
    <n v="146"/>
    <s v="KC"/>
    <s v="146ARI2604-0729"/>
    <s v="16/04/26"/>
    <x v="2"/>
    <n v="2026"/>
    <x v="3"/>
    <x v="3"/>
    <s v="INNOVA G A/T DIESEL"/>
    <x v="0"/>
    <x v="0"/>
    <x v="0"/>
    <x v="20"/>
    <x v="1"/>
    <x v="0"/>
    <x v="2"/>
    <x v="0"/>
    <x v="32"/>
    <x v="1"/>
    <s v="GUN142R-MDTSXD-30"/>
    <s v="218"/>
    <s v="ATTITUDE BLACK MICA"/>
    <s v="MHFJB8EM5T1190759"/>
    <s v="2GD-5965402"/>
    <s v="KCMG042608"/>
    <s v="ARDIAN PURNAMA"/>
    <s v="ALVIN"/>
    <s v="CST-000821571"/>
    <s v="YULIANI"/>
    <s v="INDIVIDU"/>
    <s v="YULIANI"/>
    <s v="KP BARU"/>
    <s v="KEC. CAKUNG"/>
    <s v="KOTA JAKARTA TIMUR"/>
    <s v="KREDIT"/>
    <s v="PT. TOYOTA ASTRA FINANCIAL SERVICES"/>
    <m/>
    <n v="438700000"/>
    <n v="340422768"/>
    <n v="57426500"/>
    <n v="38600732"/>
    <n v="0"/>
    <n v="0"/>
    <n v="18750000"/>
    <n v="417700000"/>
    <n v="0"/>
    <n v="-21000000"/>
    <s v="23/04/26"/>
    <s v="23/04/26"/>
    <s v="Invoice"/>
    <n v="1"/>
    <m/>
    <s v="13/04/26"/>
    <s v="KC-26-000187"/>
    <s v="11/04/26"/>
    <s v="11/04/26"/>
    <s v="15/04/26 15.08"/>
    <s v="DC00845"/>
    <s v="16/04/26"/>
    <s v="30/04/26"/>
    <s v="2026038014"/>
    <s v="14/04/26"/>
    <s v="18/04/26 16.14"/>
    <n v="0"/>
  </r>
  <r>
    <n v="1721"/>
    <n v="146"/>
    <s v="KC"/>
    <s v="146ARI2601-1238"/>
    <s v="30/01/26"/>
    <x v="3"/>
    <n v="2026"/>
    <x v="0"/>
    <x v="0"/>
    <s v="AVANZA G A/T"/>
    <x v="1"/>
    <x v="0"/>
    <x v="0"/>
    <x v="4"/>
    <x v="0"/>
    <x v="0"/>
    <x v="0"/>
    <x v="1"/>
    <x v="9"/>
    <x v="0"/>
    <s v="W101RE-LBMFJ-00"/>
    <s v="X12"/>
    <s v="BLACK MICA"/>
    <s v="MHKAB1BY1TJ014372"/>
    <s v="2NR-4F39737"/>
    <s v="KCMG042511"/>
    <s v="DADAN DARMADI"/>
    <s v="FERYANTO"/>
    <s v="CST-000810261"/>
    <s v="YUNITA ASTUTI"/>
    <s v="INDIVIDU"/>
    <s v="ACWALIANSYAH IQRAMUDDIN"/>
    <s v="JL. LEUWI PANJANG GG. DATA BAKTI 11"/>
    <s v="KEC. BOJONGLOA KIDUL"/>
    <s v="KOTA BANDUNG"/>
    <s v="KREDIT"/>
    <s v="PT. MANDIRI UTAMA FINANCE"/>
    <s v="001-26.64460843"/>
    <n v="284500000"/>
    <n v="219720982"/>
    <n v="38412500"/>
    <n v="24223660"/>
    <n v="0"/>
    <n v="0"/>
    <n v="17857143"/>
    <n v="264500000"/>
    <n v="0"/>
    <n v="-20000000"/>
    <m/>
    <m/>
    <s v="Invoice"/>
    <n v="1"/>
    <s v="0000000000000000"/>
    <s v="29/01/26"/>
    <s v="KC-25-001050"/>
    <s v="24/01/26"/>
    <s v="24/01/26"/>
    <s v="29/01/26 13.01"/>
    <s v="A702383"/>
    <s v="30/01/26"/>
    <s v="01/03/26"/>
    <s v="2026009723"/>
    <s v="28/01/26"/>
    <s v="31/01/26 12.04"/>
    <n v="0"/>
  </r>
  <r>
    <n v="1724"/>
    <n v="146"/>
    <s v="KC"/>
    <s v="146ARI2601-0482"/>
    <s v="12/01/26"/>
    <x v="3"/>
    <n v="2026"/>
    <x v="3"/>
    <x v="3"/>
    <s v="INNOVA G A/T DIESEL"/>
    <x v="1"/>
    <x v="0"/>
    <x v="0"/>
    <x v="2"/>
    <x v="0"/>
    <x v="0"/>
    <x v="0"/>
    <x v="0"/>
    <x v="35"/>
    <x v="2"/>
    <s v="GUN142R-MDTSXD-30"/>
    <s v="218"/>
    <s v="ATTITUDE BLACK MICA"/>
    <s v="MHFJB8EM9T1181949"/>
    <s v="2GD-1902010"/>
    <s v="KCMG052521"/>
    <s v="DIAN SITI NURWENDAH"/>
    <s v="MUHAMMAD CAISARIVA"/>
    <s v="CST-000807638"/>
    <s v="YUSEP BAIHAQI"/>
    <s v="INDIVIDU"/>
    <s v="YUSUP BAIHAQI"/>
    <s v="JL GUNUNG BENTANG"/>
    <s v="KEC. PADALARANG"/>
    <s v="KAB. BANDUNG BARAT"/>
    <s v="KREDIT"/>
    <s v="PT. MANDIRI UTAMA FINANCE"/>
    <s v="001-26.64460586"/>
    <n v="442100000"/>
    <n v="342845982"/>
    <n v="58112500"/>
    <n v="38462946"/>
    <n v="0"/>
    <n v="0"/>
    <n v="22321429"/>
    <n v="417100000"/>
    <n v="0"/>
    <n v="-25000000"/>
    <s v="13/01/26"/>
    <s v="13/01/26"/>
    <s v="Invoice"/>
    <n v="1"/>
    <s v="0000000000000000"/>
    <s v="10/01/26"/>
    <s v="KC-25-000986"/>
    <s v="16/12/25"/>
    <s v="16/12/25"/>
    <s v="10/01/26 08.50"/>
    <s v="AC00180"/>
    <s v="12/01/26"/>
    <s v="11/02/26"/>
    <s v="2026000279"/>
    <s v="06/01/26"/>
    <s v="13/01/26 08.40"/>
    <n v="0"/>
  </r>
  <r>
    <n v="2058"/>
    <n v="146"/>
    <s v="KC"/>
    <s v="146ARI2602-0870"/>
    <s v="20/02/26"/>
    <x v="1"/>
    <n v="2026"/>
    <x v="10"/>
    <x v="8"/>
    <s v="YARIS CROSS S A/T"/>
    <x v="4"/>
    <x v="0"/>
    <x v="0"/>
    <x v="18"/>
    <x v="1"/>
    <x v="0"/>
    <x v="0"/>
    <x v="1"/>
    <x v="6"/>
    <x v="0"/>
    <s v="NYC200R-DHXHBD-07"/>
    <s v="089"/>
    <s v="PLATINUM WHITE PEARL MICA"/>
    <s v="MHFAB8BF9S0034833"/>
    <s v="2NR-Y588981"/>
    <s v="KCMG042509"/>
    <s v="ERICK JANUAR LISAPALY"/>
    <s v="FERYANTO"/>
    <s v="CST-000813180"/>
    <s v="ZACQY ISMAIL AL MAHDALY"/>
    <s v="INDIVIDU"/>
    <s v="ZACQY ISMAIL AL MAHDALY"/>
    <s v="PERUMAHAN CIBUBUR COUNTRY CCAV 36"/>
    <s v="KEC. GUNUNG PUTRI"/>
    <s v="KAB. BOGOR"/>
    <s v="KREDIT"/>
    <s v="PT. ASTRA SEDAYA FINANCE"/>
    <s v="001-26.64462163"/>
    <n v="462800000"/>
    <n v="358660714"/>
    <n v="61100000"/>
    <n v="38057142"/>
    <n v="0"/>
    <n v="0"/>
    <n v="41517857"/>
    <n v="416300000"/>
    <n v="0"/>
    <n v="-47700000"/>
    <s v="25/02/26"/>
    <s v="25/02/26"/>
    <s v="Invoice"/>
    <n v="1"/>
    <s v="0000000000000000"/>
    <s v="12/02/26"/>
    <s v="KC-26-000016"/>
    <s v="12/02/26"/>
    <s v="12/02/26"/>
    <s v="12/02/26 14.46"/>
    <s v="K100297"/>
    <s v="20/02/26"/>
    <s v="06/03/26"/>
    <s v="2025100695"/>
    <s v="20/11/25"/>
    <s v="23/02/26 11.48"/>
    <n v="0"/>
  </r>
  <r>
    <n v="9"/>
    <n v="146"/>
    <s v="KC"/>
    <s v="146ARI2605-1133"/>
    <s v="28/05/26"/>
    <x v="4"/>
    <n v="2026"/>
    <x v="5"/>
    <x v="4"/>
    <s v="VELOZ V AT HYBRID"/>
    <x v="1"/>
    <x v="0"/>
    <x v="0"/>
    <x v="0"/>
    <x v="0"/>
    <x v="0"/>
    <x v="1"/>
    <x v="1"/>
    <x v="17"/>
    <x v="2"/>
    <s v="W102RE-LBVFJ-10"/>
    <s v="X12"/>
    <s v="BLACK MICA"/>
    <s v="MHFA71BY2T0008876"/>
    <s v="2NR-Y705404"/>
    <s v="KCMG112540"/>
    <s v="KHARISMA GALIH PUTRA"/>
    <s v="MUHAMMAD CAISARIVA"/>
    <s v="CST-000824264"/>
    <s v="ABDUL ROHMAN"/>
    <s v="INDIVIDU"/>
    <s v="ABDUL ROHMAN"/>
    <s v="KOMP. NVR BLOK C7"/>
    <s v="KEC. CIMENYAN"/>
    <s v="KAB. BANDUNG"/>
    <s v="KREDIT"/>
    <s v="PT. MANDIRI UTAMA FINANCE"/>
    <m/>
    <n v="303000000"/>
    <n v="233950893"/>
    <n v="40975000"/>
    <n v="28074107"/>
    <n v="0"/>
    <n v="0"/>
    <n v="0"/>
    <n v="303000000"/>
    <n v="5000000"/>
    <n v="0"/>
    <m/>
    <m/>
    <s v="Invoice"/>
    <n v="1"/>
    <m/>
    <s v="05/05/26"/>
    <s v="KC-26-000228"/>
    <s v="02/05/26"/>
    <s v="02/05/26"/>
    <s v="05/05/26 10.48"/>
    <s v="E801690"/>
    <s v="28/05/26"/>
    <s v="11/06/26"/>
    <s v="2026057161"/>
    <s v="22/05/26"/>
    <s v="29/05/26 10.30"/>
    <n v="0"/>
  </r>
  <r>
    <n v="16"/>
    <n v="146"/>
    <s v="KC"/>
    <s v="146ARI2605-0845"/>
    <s v="20/05/26"/>
    <x v="4"/>
    <n v="2026"/>
    <x v="2"/>
    <x v="2"/>
    <s v="CALYA G M/T"/>
    <x v="0"/>
    <x v="0"/>
    <x v="0"/>
    <x v="4"/>
    <x v="0"/>
    <x v="3"/>
    <x v="1"/>
    <x v="0"/>
    <x v="14"/>
    <x v="2"/>
    <s v="B401RA-GMZFJ-20"/>
    <s v="X13"/>
    <s v="BLACK"/>
    <s v="MHKA6GJ6JTJ227554"/>
    <s v="3NR-H996334"/>
    <s v="KCMG022606"/>
    <s v="RIDWAN MUSTOFA"/>
    <s v="MUHAMMAD CAISARIVA"/>
    <s v="CST-000825775"/>
    <s v="ADE HENDRA"/>
    <s v="INDIVIDU"/>
    <s v="ETI"/>
    <s v="Jl MANDALA KB KANGKUNG"/>
    <s v="KEC. KIARACONDONG"/>
    <s v="KOTA BANDUNG"/>
    <s v="KREDIT"/>
    <s v="PT. TOYOTA ASTRA FINANCIAL SERVICES"/>
    <m/>
    <n v="182200000"/>
    <n v="139575893"/>
    <n v="25875000"/>
    <n v="15677678"/>
    <n v="0"/>
    <n v="0"/>
    <n v="8928571"/>
    <n v="172200000"/>
    <n v="2500000"/>
    <n v="-10000000"/>
    <s v="28/05/26"/>
    <s v="28/05/26"/>
    <s v="Invoice"/>
    <n v="1"/>
    <s v="0000000000000000"/>
    <s v="16/05/26"/>
    <s v="KC-26-000290"/>
    <s v="15/05/26"/>
    <s v="15/05/26"/>
    <s v="16/05/26 09.30"/>
    <s v="EO01602"/>
    <s v="20/05/26"/>
    <s v="03/06/26"/>
    <s v="2026054822"/>
    <s v="19/05/26"/>
    <s v="22/05/26 08.53"/>
    <n v="0"/>
  </r>
  <r>
    <n v="28"/>
    <n v="146"/>
    <s v="KC"/>
    <s v="146ARI2605-0887"/>
    <s v="21/05/26"/>
    <x v="4"/>
    <n v="2026"/>
    <x v="0"/>
    <x v="0"/>
    <s v="AVANZA G A/T"/>
    <x v="0"/>
    <x v="0"/>
    <x v="0"/>
    <x v="2"/>
    <x v="0"/>
    <x v="3"/>
    <x v="0"/>
    <x v="0"/>
    <x v="11"/>
    <x v="1"/>
    <s v="W101RE-LBMFJ-10"/>
    <s v="W09"/>
    <s v="WHITE"/>
    <s v="MHKAB1BY6TJ021348"/>
    <s v="2NR-4F98615"/>
    <s v="KCMG052428"/>
    <s v="MUHAMMAD FADIL FAHMI RUSTANDI"/>
    <s v="ALVIN"/>
    <s v="CST-000825307"/>
    <s v="ADRYAN SYAHFRI PUTRA"/>
    <s v="INDIVIDU"/>
    <s v="ADRYAN SYAHFRI PUTRA"/>
    <s v="RANCA ECENG"/>
    <s v="KEC. CIHAMPELAS"/>
    <s v="KAB. BANDUNG BARAT"/>
    <s v="KREDIT"/>
    <s v="PT. TOYOTA ASTRA FINANCIAL SERVICES"/>
    <m/>
    <n v="285000000"/>
    <n v="219888393"/>
    <n v="38725000"/>
    <n v="24779464"/>
    <n v="0"/>
    <n v="0"/>
    <n v="13392857"/>
    <n v="270000000"/>
    <n v="5000000"/>
    <n v="-15000000"/>
    <s v="26/05/26"/>
    <s v="26/05/26"/>
    <s v="Invoice"/>
    <n v="1"/>
    <m/>
    <s v="11/05/26"/>
    <s v="KC-26-000282"/>
    <s v="09/05/26"/>
    <s v="09/05/26"/>
    <s v="12/05/26 13.19"/>
    <s v="E702427"/>
    <s v="21/05/26"/>
    <s v="04/06/26"/>
    <s v="2026055513"/>
    <s v="20/05/26"/>
    <s v="22/05/26 09.34"/>
    <n v="0"/>
  </r>
  <r>
    <n v="40"/>
    <n v="146"/>
    <s v="KC"/>
    <s v="146ARI2605-1211"/>
    <s v="29/05/26"/>
    <x v="4"/>
    <n v="2026"/>
    <x v="0"/>
    <x v="0"/>
    <s v="AVANZA G A/T"/>
    <x v="0"/>
    <x v="0"/>
    <x v="0"/>
    <x v="4"/>
    <x v="0"/>
    <x v="3"/>
    <x v="0"/>
    <x v="1"/>
    <x v="37"/>
    <x v="1"/>
    <s v="W101RE-LBMFJ-10"/>
    <s v="W09"/>
    <s v="WHITE"/>
    <s v="MHKAB1BY0TJ021698"/>
    <s v="2NR-4G00400"/>
    <s v="KCMG042611"/>
    <s v="NOVA KHAIRUNNISA SUMARNA"/>
    <s v="ALVIN"/>
    <s v="CST-000827386"/>
    <s v="AGUS PUADI ZAMZAM, SE"/>
    <s v="INDIVIDU"/>
    <s v="LINA MARLINA, SE"/>
    <s v="JL IBRAHIM ADJIE GG H KURDI NO 1"/>
    <s v="KEC. BATUNUNGGAL"/>
    <s v="KOTA BANDUNG"/>
    <s v="KREDIT"/>
    <s v="PT. TOYOTA ASTRA FINANCIAL SERVICES"/>
    <m/>
    <n v="285000000"/>
    <n v="219888393"/>
    <n v="38725000"/>
    <n v="24779464"/>
    <n v="0"/>
    <n v="0"/>
    <n v="13392857"/>
    <n v="270000000"/>
    <n v="103000000"/>
    <n v="-15000000"/>
    <m/>
    <m/>
    <s v="Invoice"/>
    <n v="1"/>
    <m/>
    <s v="29/05/26"/>
    <s v="KC-26-000337"/>
    <s v="26/05/26"/>
    <s v="26/05/26"/>
    <s v="29/05/26 13.41"/>
    <s v="E702988"/>
    <m/>
    <s v="12/06/26"/>
    <s v="2026057620"/>
    <s v="24/05/26"/>
    <s v="05/06/26 11.14"/>
    <n v="0"/>
  </r>
  <r>
    <n v="42"/>
    <n v="146"/>
    <s v="KC"/>
    <s v="146ARI2605-1171"/>
    <s v="29/05/26"/>
    <x v="4"/>
    <n v="2026"/>
    <x v="2"/>
    <x v="2"/>
    <s v="CALYA G M/T"/>
    <x v="0"/>
    <x v="0"/>
    <x v="0"/>
    <x v="2"/>
    <x v="0"/>
    <x v="3"/>
    <x v="2"/>
    <x v="1"/>
    <x v="15"/>
    <x v="0"/>
    <s v="B401RA-GMZFJ-20"/>
    <s v="W09"/>
    <s v="WHITE"/>
    <s v="MHKA6GJ6JTJ228084"/>
    <s v="3NR-H997663"/>
    <s v="CMMG122342"/>
    <s v="REGYAWAN KURNIA"/>
    <s v="FERYANTO"/>
    <s v="CST-000827280"/>
    <s v="AGUS SAEPUDIN"/>
    <s v="INDIVIDU"/>
    <s v="GUSTI RANIHATUTI"/>
    <s v="KP.LEBAK SARI"/>
    <s v="KEC. NGAMPRAH"/>
    <s v="KAB. BANDUNG BARAT"/>
    <s v="KREDIT"/>
    <s v="PT. TOYOTA ASTRA FINANCIAL SERVICES"/>
    <m/>
    <n v="182200000"/>
    <n v="139575893"/>
    <n v="25875000"/>
    <n v="15677678"/>
    <n v="0"/>
    <n v="0"/>
    <n v="8928571"/>
    <n v="172200000"/>
    <n v="2350000"/>
    <n v="-10000000"/>
    <m/>
    <m/>
    <s v="Invoice"/>
    <n v="1"/>
    <m/>
    <s v="28/05/26"/>
    <s v="KC-26-000309"/>
    <s v="26/05/26"/>
    <s v="26/05/26"/>
    <s v="28/05/26 14.37"/>
    <s v="EO02464"/>
    <m/>
    <s v="12/06/26"/>
    <s v="2026059143"/>
    <s v="28/05/26"/>
    <s v="01/06/26 13.19"/>
    <n v="0"/>
  </r>
  <r>
    <n v="58"/>
    <n v="146"/>
    <s v="KC"/>
    <s v="146ARI2605-1209"/>
    <s v="29/05/26"/>
    <x v="4"/>
    <n v="2026"/>
    <x v="3"/>
    <x v="3"/>
    <s v="INNOVA G A/T DIESEL"/>
    <x v="0"/>
    <x v="0"/>
    <x v="0"/>
    <x v="0"/>
    <x v="0"/>
    <x v="0"/>
    <x v="0"/>
    <x v="0"/>
    <x v="38"/>
    <x v="1"/>
    <s v="GUN142R-MDTSXD-30"/>
    <s v="040"/>
    <s v="SUPER WHITE II"/>
    <s v="MHFJB8EM5T1195511"/>
    <s v="2GD-1980269"/>
    <s v="KCMG052613"/>
    <s v="ARIEF PRABOWO"/>
    <s v="ALVIN"/>
    <s v="CST-000827413"/>
    <s v="AHMAD GHOZALI"/>
    <s v="INDIVIDU"/>
    <s v="ERNA MARYANTI"/>
    <s v="KP. PASIR HUNI"/>
    <s v="KEC. PACET"/>
    <s v="KAB. BANDUNG"/>
    <s v="KREDIT"/>
    <s v="PT. TOYOTA ASTRA FINANCIAL SERVICES"/>
    <m/>
    <n v="442700000"/>
    <n v="343091518"/>
    <n v="58437500"/>
    <n v="38920982"/>
    <n v="0"/>
    <n v="0"/>
    <n v="18750000"/>
    <n v="421700000"/>
    <n v="4000000"/>
    <n v="-21000000"/>
    <m/>
    <m/>
    <s v="Invoice"/>
    <n v="1"/>
    <m/>
    <s v="29/05/26"/>
    <s v="KC-26-000351"/>
    <s v="29/05/26"/>
    <s v="29/05/26"/>
    <s v="29/05/26 14.26"/>
    <s v="EC02731"/>
    <m/>
    <s v="12/06/26"/>
    <s v="2026057512"/>
    <s v="23/05/26"/>
    <s v="07/06/26 14.05"/>
    <n v="0"/>
  </r>
  <r>
    <n v="88"/>
    <n v="146"/>
    <s v="KC"/>
    <s v="146ARI2605-0513"/>
    <s v="11/05/26"/>
    <x v="4"/>
    <n v="2026"/>
    <x v="10"/>
    <x v="8"/>
    <s v="YARIS CROSS G A/T"/>
    <x v="2"/>
    <x v="0"/>
    <x v="0"/>
    <x v="0"/>
    <x v="0"/>
    <x v="0"/>
    <x v="1"/>
    <x v="5"/>
    <x v="15"/>
    <x v="0"/>
    <s v="NYC200R-DHXMBD-00"/>
    <s v="218"/>
    <s v="ATTITUDE BLACK MICA"/>
    <s v="MHFAB8BF4T0040248"/>
    <s v="2NR-Y675300"/>
    <s v="CMMG122342"/>
    <s v="REGYAWAN KURNIA"/>
    <s v="FERYANTO"/>
    <s v="CST-000825148"/>
    <s v="ALVIONITA TRIWIBAWA"/>
    <s v="INDIVIDU"/>
    <s v="ALVIONITA TRIWIBAWA"/>
    <s v="JL.BOJONG SOANG"/>
    <s v="KEC. BOJONGSOANG"/>
    <s v="KAB. BANDUNG"/>
    <s v="KREDIT"/>
    <s v="PT. MANDIRI TUNAS FINANCE"/>
    <m/>
    <n v="399000000"/>
    <n v="308950893"/>
    <n v="52975000"/>
    <n v="34931250"/>
    <n v="0"/>
    <n v="0"/>
    <n v="17857143"/>
    <n v="379000000"/>
    <n v="0"/>
    <n v="-20000000"/>
    <s v="15/05/26"/>
    <s v="15/05/26"/>
    <s v="Invoice"/>
    <n v="1"/>
    <m/>
    <s v="11/05/26"/>
    <s v="KC-26-000306"/>
    <s v="11/05/26"/>
    <s v="11/05/26"/>
    <s v="11/05/26 13.52"/>
    <s v="C100210"/>
    <s v="11/05/26"/>
    <s v="25/05/26"/>
    <s v="2026048893"/>
    <s v="07/05/26"/>
    <s v="16/05/26 13.11"/>
    <n v="0"/>
  </r>
  <r>
    <n v="100"/>
    <n v="146"/>
    <s v="KC"/>
    <s v="146ARI2605-1271"/>
    <s v="30/05/26"/>
    <x v="4"/>
    <n v="2026"/>
    <x v="0"/>
    <x v="0"/>
    <s v="AVANZA E A/T"/>
    <x v="0"/>
    <x v="0"/>
    <x v="0"/>
    <x v="4"/>
    <x v="0"/>
    <x v="0"/>
    <x v="0"/>
    <x v="1"/>
    <x v="6"/>
    <x v="0"/>
    <s v="W100RE-LBDFJ-10"/>
    <s v="W09"/>
    <s v="WHITE"/>
    <s v="MHKAA1BY1TJ017016"/>
    <s v="1NR-G329043"/>
    <s v="KCMG042509"/>
    <s v="ERICK JANUAR LISAPALY"/>
    <s v="FERYANTO"/>
    <s v="CST-000827134"/>
    <s v="ANDI AMELIA"/>
    <s v="INDIVIDU"/>
    <s v="ANDI AMELIA"/>
    <s v="JL BATU INDAH V NO 1"/>
    <s v="KEC. BANDUNG KIDUL"/>
    <s v="KOTA BANDUNG"/>
    <s v="KREDIT"/>
    <s v="PT. TOYOTA ASTRA FINANCIAL SERVICES"/>
    <m/>
    <n v="262200000"/>
    <n v="202075893"/>
    <n v="35875000"/>
    <n v="22641964"/>
    <n v="0"/>
    <n v="0"/>
    <n v="13392857"/>
    <n v="247200000"/>
    <n v="10990000"/>
    <n v="-15000000"/>
    <m/>
    <m/>
    <s v="Invoice"/>
    <n v="1"/>
    <s v="0000000000000000"/>
    <s v="26/05/26"/>
    <s v="KC-26-000348"/>
    <s v="26/05/26"/>
    <s v="26/05/26"/>
    <s v="26/05/26 14.05"/>
    <s v="E703097"/>
    <m/>
    <s v="13/06/26"/>
    <s v="2026059836"/>
    <s v="29/05/26"/>
    <s v="01/06/26 11.49"/>
    <n v="0"/>
  </r>
  <r>
    <n v="168"/>
    <n v="146"/>
    <s v="KC"/>
    <s v="146ARI2605-0832"/>
    <s v="19/05/26"/>
    <x v="4"/>
    <n v="2026"/>
    <x v="2"/>
    <x v="2"/>
    <s v="CALYA G A/T"/>
    <x v="2"/>
    <x v="0"/>
    <x v="0"/>
    <x v="4"/>
    <x v="0"/>
    <x v="7"/>
    <x v="1"/>
    <x v="1"/>
    <x v="13"/>
    <x v="1"/>
    <s v="B401RA-GQZFJ-20"/>
    <s v="X13"/>
    <s v="BLACK"/>
    <s v="MHKA6GK6JTJ091094"/>
    <s v="3NR-H995311"/>
    <s v="KCMG072433"/>
    <s v="AHMAD MAULANA"/>
    <s v="ALVIN"/>
    <s v="CST-000826105"/>
    <s v="ASEP SOLIHIN"/>
    <s v="INDIVIDU"/>
    <s v="ASEP SOLIHIN"/>
    <s v="JL.PASIRLUYU SELT NO 422/205A"/>
    <s v="KEC. REGOL"/>
    <s v="KOTA BANDUNG"/>
    <s v="KREDIT"/>
    <s v="PT. MANDIRI TUNAS FINANCE"/>
    <m/>
    <n v="196800000"/>
    <n v="150982143"/>
    <n v="27700000"/>
    <n v="17046428"/>
    <n v="0"/>
    <n v="0"/>
    <n v="8928571"/>
    <n v="186800000"/>
    <n v="2500000"/>
    <n v="-10000000"/>
    <s v="23/05/26"/>
    <s v="23/05/26"/>
    <s v="Invoice"/>
    <n v="1"/>
    <m/>
    <s v="18/05/26"/>
    <s v="KC-26-000326"/>
    <s v="16/05/26"/>
    <s v="16/05/26"/>
    <s v="18/05/26 16.38"/>
    <s v="EO00866"/>
    <s v="19/05/26"/>
    <s v="02/06/26"/>
    <s v="2026050722"/>
    <s v="11/05/26"/>
    <s v="24/05/26 09.39"/>
    <n v="0"/>
  </r>
  <r>
    <n v="178"/>
    <n v="146"/>
    <s v="KC"/>
    <s v="146ARI2605-0762"/>
    <s v="18/05/26"/>
    <x v="4"/>
    <n v="2026"/>
    <x v="2"/>
    <x v="2"/>
    <s v="CALYA G M/T"/>
    <x v="0"/>
    <x v="0"/>
    <x v="0"/>
    <x v="0"/>
    <x v="0"/>
    <x v="0"/>
    <x v="0"/>
    <x v="0"/>
    <x v="3"/>
    <x v="0"/>
    <s v="B401RA-GMZFJ-20"/>
    <s v="X13"/>
    <s v="BLACK"/>
    <s v="MHKA6GJ6JTJ227320"/>
    <s v="3NR-H995839"/>
    <s v="KCMG052513"/>
    <s v="DENI ALFIAN"/>
    <s v="FERYANTO"/>
    <s v="CST-000824763"/>
    <s v="ATANG PERMANA"/>
    <s v="INDIVIDU"/>
    <s v="RISMA YANTI"/>
    <s v="KP CILAKI"/>
    <s v="KEC. PANGALENGAN"/>
    <s v="KAB. BANDUNG"/>
    <s v="KREDIT"/>
    <s v="PT. TOYOTA ASTRA FINANCIAL SERVICES"/>
    <m/>
    <n v="182200000"/>
    <n v="139575893"/>
    <n v="25875000"/>
    <n v="15677678"/>
    <n v="0"/>
    <n v="0"/>
    <n v="8928571"/>
    <n v="172200000"/>
    <n v="2000000"/>
    <n v="-10000000"/>
    <s v="21/05/26"/>
    <s v="21/05/26"/>
    <s v="Invoice"/>
    <n v="1"/>
    <s v="3204155805900003"/>
    <s v="07/05/26"/>
    <s v="KC-26-000270"/>
    <s v="05/05/26"/>
    <s v="05/05/26"/>
    <s v="08/05/26 09.43"/>
    <s v="EO01237"/>
    <s v="18/05/26"/>
    <s v="01/06/26"/>
    <s v="2026053159"/>
    <s v="15/05/26"/>
    <s v="22/05/26 16.01"/>
    <n v="0"/>
  </r>
  <r>
    <n v="233"/>
    <n v="146"/>
    <s v="KC"/>
    <s v="146ARI2605-1054"/>
    <s v="26/05/26"/>
    <x v="4"/>
    <n v="2026"/>
    <x v="2"/>
    <x v="2"/>
    <s v="CALYA G M/T"/>
    <x v="2"/>
    <x v="0"/>
    <x v="0"/>
    <x v="21"/>
    <x v="1"/>
    <x v="0"/>
    <x v="0"/>
    <x v="1"/>
    <x v="8"/>
    <x v="0"/>
    <s v="B401RA-GMZFJ-20"/>
    <s v="1G3"/>
    <s v="GRAY METALLIC"/>
    <s v="MHKA6GJ6JTJ227745"/>
    <s v="3NR-H996850"/>
    <s v="KCMK25002"/>
    <s v="RAHMAWATI"/>
    <s v="FERYANTO"/>
    <s v="CST-000826537"/>
    <s v="CASRIPAH"/>
    <s v="INDIVIDU"/>
    <s v="CASRIPAH"/>
    <s v="PERUMAHAN MUTIARA CITRA RESIDENCE 2 JL GUNUNG CIREMAY BLOK A8 NO 2 KP.BLOKANG"/>
    <s v="KEC. SUKATANI"/>
    <s v="KAB. BEKASI"/>
    <s v="KREDIT"/>
    <s v="PT. MANDIRI TUNAS FINANCE"/>
    <m/>
    <n v="178800000"/>
    <n v="137375893"/>
    <n v="24939000"/>
    <n v="15413678"/>
    <n v="0"/>
    <n v="0"/>
    <n v="8928571"/>
    <n v="168800000"/>
    <n v="2000000"/>
    <n v="-10000000"/>
    <m/>
    <m/>
    <s v="Invoice"/>
    <n v="1"/>
    <m/>
    <s v="21/05/26"/>
    <s v="KC-26-000300"/>
    <s v="18/05/26"/>
    <s v="18/05/26"/>
    <s v="21/05/26 14.58"/>
    <s v="EO01894"/>
    <m/>
    <s v="09/06/26"/>
    <s v="2026056225"/>
    <s v="21/05/26"/>
    <s v="27/05/26 14.42"/>
    <n v="0"/>
  </r>
  <r>
    <n v="238"/>
    <n v="146"/>
    <s v="KC"/>
    <s v="146ARI2605-1075"/>
    <s v="26/05/26"/>
    <x v="4"/>
    <n v="2026"/>
    <x v="12"/>
    <x v="10"/>
    <s v="RUSH S M/T"/>
    <x v="3"/>
    <x v="0"/>
    <x v="1"/>
    <x v="5"/>
    <x v="0"/>
    <x v="4"/>
    <x v="1"/>
    <x v="5"/>
    <x v="23"/>
    <x v="1"/>
    <s v="F800RE-GMGFJ-40"/>
    <s v="X12"/>
    <s v="BLACK MICA"/>
    <s v="MHKE8FA3JTK144706"/>
    <s v="2NR-4F93646"/>
    <s v="KCMG052516"/>
    <s v="YENI"/>
    <s v="ALVIN"/>
    <s v="CST-000827100"/>
    <s v="CENDRAWATI"/>
    <s v="INDIVIDU"/>
    <s v="SUTRISNO"/>
    <s v="JL.MUKODAR SELATAN"/>
    <s v="KEC. CIMAHI SELATAN"/>
    <s v="KOTA CIMAHI"/>
    <s v="CASH"/>
    <s v="CASH"/>
    <m/>
    <n v="311800000"/>
    <n v="240825893"/>
    <n v="42075000"/>
    <n v="27291964"/>
    <n v="0"/>
    <n v="0"/>
    <n v="13392857"/>
    <n v="296800000"/>
    <n v="9000000"/>
    <n v="-15000000"/>
    <m/>
    <m/>
    <s v="Invoice"/>
    <n v="1"/>
    <m/>
    <s v="26/05/26"/>
    <s v="KC-26-000338"/>
    <s v="25/05/26"/>
    <s v="25/05/26"/>
    <s v="26/05/26 12.19"/>
    <s v="EG00863"/>
    <s v="26/05/26"/>
    <s v="04/06/26"/>
    <s v="2026051766"/>
    <s v="12/05/26"/>
    <s v="28/05/26 12.02"/>
    <n v="0"/>
  </r>
  <r>
    <n v="239"/>
    <n v="146"/>
    <s v="KC"/>
    <s v="146ARI2605-0764"/>
    <s v="18/05/26"/>
    <x v="4"/>
    <n v="2026"/>
    <x v="4"/>
    <x v="3"/>
    <s v="INNOVA ZENIX G A/T HIYBRID"/>
    <x v="0"/>
    <x v="0"/>
    <x v="0"/>
    <x v="4"/>
    <x v="0"/>
    <x v="3"/>
    <x v="0"/>
    <x v="0"/>
    <x v="23"/>
    <x v="1"/>
    <s v="MAGH10R-BRXLBD-10"/>
    <s v="218"/>
    <s v="ATTITUDE BLACK MICA"/>
    <s v="MHFABAAA3T0051111"/>
    <s v="M20A-NF52767"/>
    <s v="KCMG052516"/>
    <s v="YENI"/>
    <s v="ALVIN"/>
    <s v="CST-000825664"/>
    <s v="CHANDRA"/>
    <s v="INDIVIDU"/>
    <s v="SISILIA"/>
    <s v="JEND SUDIRMAN NO 641"/>
    <s v="KEC. BANDUNG KULON"/>
    <s v="KOTA BANDUNG"/>
    <s v="KREDIT"/>
    <s v="PT. TOYOTA ASTRA FINANCIAL SERVICES"/>
    <m/>
    <n v="477500000"/>
    <n v="370279018"/>
    <n v="62787500"/>
    <n v="42183482"/>
    <n v="0"/>
    <n v="0"/>
    <n v="18750000"/>
    <n v="456500000"/>
    <n v="6230000"/>
    <n v="-21000000"/>
    <s v="20/05/26"/>
    <s v="20/05/26"/>
    <s v="Invoice"/>
    <n v="1"/>
    <m/>
    <s v="13/05/26"/>
    <s v="KC-26-000253"/>
    <s v="13/05/26"/>
    <s v="13/05/26"/>
    <s v="15/05/26 13.26"/>
    <s v="CJ01894"/>
    <s v="18/05/26"/>
    <s v="01/06/26"/>
    <s v="2026031724"/>
    <s v="18/03/26"/>
    <s v="20/05/26 16.15"/>
    <n v="0"/>
  </r>
  <r>
    <n v="247"/>
    <n v="146"/>
    <s v="KC"/>
    <s v="146ARI2605-1138"/>
    <s v="28/05/26"/>
    <x v="4"/>
    <n v="2026"/>
    <x v="2"/>
    <x v="2"/>
    <s v="CALYA G M/T"/>
    <x v="0"/>
    <x v="0"/>
    <x v="0"/>
    <x v="5"/>
    <x v="0"/>
    <x v="0"/>
    <x v="0"/>
    <x v="1"/>
    <x v="6"/>
    <x v="0"/>
    <s v="B401RA-GMZFJ-20"/>
    <s v="X13"/>
    <s v="BLACK"/>
    <s v="MHKA6GJ6JTJ227993"/>
    <s v="3NR-H997343"/>
    <s v="KCMG042509"/>
    <s v="ERICK JANUAR LISAPALY"/>
    <s v="FERYANTO"/>
    <s v="CST-000826970"/>
    <s v="CITA KURNIA KURNIA"/>
    <s v="INDIVIDU"/>
    <s v="CITA KURNIA"/>
    <s v="JLN KEBON KOPI 1 NO 132B LPK PASUNDAN"/>
    <s v="KEC. CIMAHI SELATAN"/>
    <s v="KOTA CIMAHI"/>
    <s v="KREDIT"/>
    <s v="PT. TOYOTA ASTRA FINANCIAL SERVICES"/>
    <m/>
    <n v="182200000"/>
    <n v="139575893"/>
    <n v="25875000"/>
    <n v="15677678"/>
    <n v="0"/>
    <n v="0"/>
    <n v="8928571"/>
    <n v="172200000"/>
    <n v="4990000"/>
    <n v="-10000000"/>
    <m/>
    <m/>
    <s v="Invoice"/>
    <n v="1"/>
    <s v="0000000000000000"/>
    <s v="23/05/26"/>
    <s v="KC-26-000264"/>
    <s v="23/05/26"/>
    <s v="23/05/26"/>
    <s v="25/05/26 14.45"/>
    <s v="EO02291"/>
    <m/>
    <s v="11/06/26"/>
    <s v="2026058380"/>
    <s v="26/05/26"/>
    <s v="30/05/26 11.56"/>
    <n v="0"/>
  </r>
  <r>
    <n v="284"/>
    <n v="146"/>
    <s v="KC"/>
    <s v="146ARI2605-0863"/>
    <s v="21/05/26"/>
    <x v="4"/>
    <n v="2026"/>
    <x v="0"/>
    <x v="0"/>
    <s v="AVANZA E M/T"/>
    <x v="0"/>
    <x v="0"/>
    <x v="0"/>
    <x v="17"/>
    <x v="1"/>
    <x v="3"/>
    <x v="0"/>
    <x v="0"/>
    <x v="37"/>
    <x v="1"/>
    <s v="W100RE-LMDFJ-10"/>
    <s v="W09"/>
    <s v="WHITE"/>
    <s v="MHKAA1BY3TJ016692"/>
    <s v="1NR-G328426"/>
    <s v="KCMG042611"/>
    <s v="NOVA KHAIRUNNISA SUMARNA"/>
    <s v="ALVIN"/>
    <s v="CST-000825728"/>
    <s v="D SETIAWAN"/>
    <s v="INDIVIDU"/>
    <s v="DELLA NURAZIZA PUTRI"/>
    <s v="KP. DAWUAN ONCOM"/>
    <s v="KEC. DAWUAN"/>
    <s v="KAB. SUBANG"/>
    <s v="KREDIT"/>
    <s v="PT. TOYOTA ASTRA FINANCIAL SERVICES"/>
    <m/>
    <n v="247000000"/>
    <n v="190200893"/>
    <n v="33975000"/>
    <n v="21216964"/>
    <n v="0"/>
    <n v="0"/>
    <n v="13392857"/>
    <n v="232000000"/>
    <n v="6000000"/>
    <n v="-15000000"/>
    <s v="23/05/26"/>
    <s v="23/05/26"/>
    <s v="Invoice"/>
    <n v="1"/>
    <m/>
    <s v="15/05/26"/>
    <s v="KC-26-000324"/>
    <s v="14/05/26"/>
    <s v="14/05/26"/>
    <s v="15/05/26 16.36"/>
    <s v="E702200"/>
    <s v="21/05/26"/>
    <s v="04/06/26"/>
    <s v="2026054946"/>
    <s v="19/05/26"/>
    <s v="22/05/26 13.46"/>
    <n v="0"/>
  </r>
  <r>
    <n v="286"/>
    <n v="146"/>
    <s v="KC"/>
    <s v="146ARI2605-1135"/>
    <s v="28/05/26"/>
    <x v="4"/>
    <n v="2026"/>
    <x v="2"/>
    <x v="2"/>
    <s v="CALYA G M/T"/>
    <x v="0"/>
    <x v="0"/>
    <x v="0"/>
    <x v="0"/>
    <x v="0"/>
    <x v="3"/>
    <x v="0"/>
    <x v="1"/>
    <x v="29"/>
    <x v="1"/>
    <s v="B401RA-GMZFJ-20"/>
    <s v="1G3"/>
    <s v="GRAY METALLIC"/>
    <s v="MHKA6GJ6JTJ227830"/>
    <s v="3NR-H996920"/>
    <s v="KCMG042609"/>
    <s v="ANDRI JAYA LAKSANA"/>
    <s v="ALVIN"/>
    <s v="CST-000827293"/>
    <s v="DADANG SETIAWAN"/>
    <s v="INDIVIDU"/>
    <s v="ENUR SAIDAH"/>
    <s v="KP. PAMUCATAN"/>
    <s v="KEC. NAGREG"/>
    <s v="KAB. BANDUNG"/>
    <s v="KREDIT"/>
    <s v="PT. TOYOTA ASTRA FINANCIAL SERVICES"/>
    <m/>
    <n v="182200000"/>
    <n v="139575893"/>
    <n v="25875000"/>
    <n v="15677678"/>
    <n v="0"/>
    <n v="0"/>
    <n v="8928571"/>
    <n v="172200000"/>
    <n v="2400000"/>
    <n v="-10000000"/>
    <m/>
    <m/>
    <s v="Invoice"/>
    <n v="1"/>
    <m/>
    <s v="28/05/26"/>
    <s v="KC-26-000333"/>
    <s v="25/05/26"/>
    <s v="25/05/26"/>
    <s v="28/05/26 15.45"/>
    <s v="EO02099"/>
    <m/>
    <s v="11/06/26"/>
    <s v="2026057026"/>
    <s v="22/05/26"/>
    <s v="03/06/26 15.32"/>
    <n v="0"/>
  </r>
  <r>
    <n v="287"/>
    <n v="146"/>
    <s v="KC"/>
    <s v="146ARI2605-0774"/>
    <s v="18/05/26"/>
    <x v="4"/>
    <n v="2026"/>
    <x v="13"/>
    <x v="11"/>
    <s v="RAIZE G A/T"/>
    <x v="2"/>
    <x v="0"/>
    <x v="0"/>
    <x v="4"/>
    <x v="0"/>
    <x v="0"/>
    <x v="0"/>
    <x v="0"/>
    <x v="8"/>
    <x v="0"/>
    <s v="A251RA-GBXFJ-10"/>
    <s v="X13"/>
    <s v="BLACK"/>
    <s v="MHKAB1BAXTJ167965"/>
    <s v="WA-A249066"/>
    <s v="KCMK25002"/>
    <s v="RAHMAWATI"/>
    <s v="FERYANTO"/>
    <s v="CST-000825903"/>
    <s v="DADANG SURYANA"/>
    <s v="INDIVIDU"/>
    <s v="DHELISTA RAYKA PUTRI"/>
    <s v="JL.CIPEDES TENGAH"/>
    <s v="KEC. SUKAJADI"/>
    <s v="KOTA BANDUNG"/>
    <s v="KREDIT"/>
    <s v="PT. MANDIRI TUNAS FINANCE"/>
    <m/>
    <n v="262100000"/>
    <n v="201997768"/>
    <n v="35862500"/>
    <n v="22632589"/>
    <n v="0"/>
    <n v="0"/>
    <n v="13392857"/>
    <n v="247100000"/>
    <n v="5000000"/>
    <n v="-15000000"/>
    <s v="22/05/26"/>
    <s v="22/05/26"/>
    <s v="Invoice"/>
    <n v="1"/>
    <m/>
    <s v="16/05/26"/>
    <s v="KC-26-000299"/>
    <s v="13/05/26"/>
    <s v="13/05/26"/>
    <s v="18/05/26 08.45"/>
    <s v="EZ00258"/>
    <s v="18/05/26"/>
    <s v="01/06/26"/>
    <s v="2026051760"/>
    <s v="12/05/26"/>
    <s v="19/05/26 19.15"/>
    <n v="0"/>
  </r>
  <r>
    <n v="298"/>
    <n v="146"/>
    <s v="KC"/>
    <s v="146ARI2605-0557"/>
    <s v="12/05/26"/>
    <x v="4"/>
    <n v="2026"/>
    <x v="12"/>
    <x v="10"/>
    <s v="RUSH S M/T"/>
    <x v="0"/>
    <x v="0"/>
    <x v="0"/>
    <x v="7"/>
    <x v="1"/>
    <x v="3"/>
    <x v="0"/>
    <x v="0"/>
    <x v="14"/>
    <x v="2"/>
    <s v="F800RE-GMGFJ-40"/>
    <s v="W09"/>
    <s v="WHITE"/>
    <s v="MHKE8FA3JTK144568"/>
    <s v="2NR-4F92339"/>
    <s v="KCMG022606"/>
    <s v="RIDWAN MUSTOFA"/>
    <s v="MUHAMMAD CAISARIVA"/>
    <s v="CST-000825270"/>
    <s v="DARMAWAN"/>
    <s v="INDIVIDU"/>
    <s v="DARMAWAN"/>
    <s v="KP HAREMPOY"/>
    <s v="KEC. CURUGKEMBAR"/>
    <s v="KAB. SUKABUMI"/>
    <s v="KREDIT"/>
    <s v="PT. TOYOTA ASTRA FINANCIAL SERVICES"/>
    <m/>
    <n v="311800000"/>
    <n v="240066964"/>
    <n v="42925000"/>
    <n v="27200892"/>
    <n v="0"/>
    <n v="0"/>
    <n v="13392857"/>
    <n v="296800000"/>
    <n v="8000000"/>
    <n v="-15000000"/>
    <s v="18/05/26"/>
    <s v="18/05/26"/>
    <s v="Invoice"/>
    <n v="1"/>
    <s v="0000000000000000"/>
    <s v="12/05/26"/>
    <s v="KC-26-000286"/>
    <s v="11/05/26"/>
    <s v="11/05/26"/>
    <s v="12/05/26 10.26"/>
    <s v="EG00690"/>
    <s v="12/05/26"/>
    <s v="26/05/26"/>
    <s v="2026050709"/>
    <s v="11/05/26"/>
    <s v="19/05/26 09.42"/>
    <n v="0"/>
  </r>
  <r>
    <n v="329"/>
    <n v="146"/>
    <s v="KC"/>
    <s v="146ARI2605-0511"/>
    <s v="11/05/26"/>
    <x v="4"/>
    <n v="2026"/>
    <x v="5"/>
    <x v="4"/>
    <s v="VELOZ V AT HYBRID"/>
    <x v="0"/>
    <x v="0"/>
    <x v="0"/>
    <x v="4"/>
    <x v="0"/>
    <x v="3"/>
    <x v="1"/>
    <x v="0"/>
    <x v="2"/>
    <x v="1"/>
    <s v="W102RE-LBVFJ-11"/>
    <s v="089"/>
    <s v="PLATINUM WHITE PEARL MICA"/>
    <s v="MHFA71BY7T0005875"/>
    <s v="2NR-Y686946"/>
    <s v="KCMG042414"/>
    <s v="RIZKI RISMAWAN"/>
    <s v="ALVIN"/>
    <s v="CST-000825177"/>
    <s v="DEWI NURUL AMANAH"/>
    <s v="INDIVIDU"/>
    <s v="RICO UTAMA"/>
    <s v="JL. PAGARSIH GG ONONG NO.193/89"/>
    <s v="KEC. ASTANA ANYAR"/>
    <s v="KOTA BANDUNG"/>
    <s v="KREDIT"/>
    <s v="PT. TOYOTA ASTRA FINANCIAL SERVICES"/>
    <m/>
    <n v="304500000"/>
    <n v="235122768"/>
    <n v="41162500"/>
    <n v="28214732"/>
    <n v="0"/>
    <n v="0"/>
    <n v="0"/>
    <n v="304500000"/>
    <n v="0"/>
    <n v="0"/>
    <s v="13/05/26"/>
    <s v="13/05/26"/>
    <s v="Invoice"/>
    <n v="1"/>
    <m/>
    <s v="11/05/26"/>
    <s v="KC-26-000310"/>
    <s v="10/05/26"/>
    <s v="10/05/26"/>
    <s v="11/05/26 14.55"/>
    <s v="D801657"/>
    <s v="11/05/26"/>
    <s v="25/05/26"/>
    <s v="2026043580"/>
    <s v="24/04/26"/>
    <s v="14/05/26 08.44"/>
    <n v="0"/>
  </r>
  <r>
    <n v="340"/>
    <n v="146"/>
    <s v="KC"/>
    <s v="146ARI2605-0913"/>
    <s v="22/05/26"/>
    <x v="4"/>
    <n v="2026"/>
    <x v="12"/>
    <x v="10"/>
    <s v="RUSH S M/T"/>
    <x v="0"/>
    <x v="0"/>
    <x v="0"/>
    <x v="7"/>
    <x v="1"/>
    <x v="3"/>
    <x v="0"/>
    <x v="0"/>
    <x v="11"/>
    <x v="1"/>
    <s v="F800RE-GMGFJ-40"/>
    <s v="X12"/>
    <s v="BLACK MICA"/>
    <s v="MHKE8FA3JTK145074"/>
    <s v="2NR-4F97537"/>
    <s v="KCMG052428"/>
    <s v="MUHAMMAD FADIL FAHMI RUSTANDI"/>
    <s v="ALVIN"/>
    <s v="CST-000825467"/>
    <s v="DIDI SUTENDI"/>
    <s v="INDIVIDU"/>
    <s v="DIDI SUTENDI"/>
    <s v="KP. LEBAK SAAT"/>
    <s v="KEC. CIRACAP"/>
    <s v="KAB. SUKABUMI"/>
    <s v="KREDIT"/>
    <s v="PT. TOYOTA ASTRA FINANCIAL SERVICES"/>
    <m/>
    <n v="311800000"/>
    <n v="240066964"/>
    <n v="42925000"/>
    <n v="27200892"/>
    <n v="0"/>
    <n v="0"/>
    <n v="13392857"/>
    <n v="296800000"/>
    <n v="8000000"/>
    <n v="-15000000"/>
    <s v="26/05/26"/>
    <s v="26/05/26"/>
    <s v="Invoice"/>
    <n v="1"/>
    <m/>
    <s v="13/05/26"/>
    <s v="KC-26-000311"/>
    <s v="12/05/26"/>
    <s v="12/05/26"/>
    <s v="13/05/26 12.11"/>
    <s v="EG01533"/>
    <s v="22/05/26"/>
    <s v="05/06/26"/>
    <s v="2026055587"/>
    <s v="20/05/26"/>
    <s v="23/05/26 10.34"/>
    <n v="0"/>
  </r>
  <r>
    <n v="351"/>
    <n v="146"/>
    <s v="KC"/>
    <s v="146ARI2605-1265"/>
    <s v="30/05/26"/>
    <x v="4"/>
    <n v="2026"/>
    <x v="2"/>
    <x v="2"/>
    <s v="CALYA G M/T"/>
    <x v="0"/>
    <x v="0"/>
    <x v="0"/>
    <x v="2"/>
    <x v="0"/>
    <x v="3"/>
    <x v="0"/>
    <x v="1"/>
    <x v="32"/>
    <x v="1"/>
    <s v="B401RA-GMZFJ-20"/>
    <s v="3Q3"/>
    <s v="DARK RED MICA MET."/>
    <s v="MHKA6GJ6JTJ228146"/>
    <s v="3NR-H997995"/>
    <s v="KCMG042608"/>
    <s v="ARDIAN PURNAMA"/>
    <s v="ALVIN"/>
    <s v="CST-000825469"/>
    <s v="DINI TARDINI"/>
    <s v="INDIVIDU"/>
    <s v="DINI TARDINI"/>
    <s v="KP WARUNG JAMBE"/>
    <s v="KEC. CIPATAT"/>
    <s v="KAB. BANDUNG BARAT"/>
    <s v="KREDIT"/>
    <s v="PT. TOYOTA ASTRA FINANCIAL SERVICES"/>
    <m/>
    <n v="182200000"/>
    <n v="139575893"/>
    <n v="25875000"/>
    <n v="15677678"/>
    <n v="0"/>
    <n v="0"/>
    <n v="8928571"/>
    <n v="172200000"/>
    <n v="23360000"/>
    <n v="-10000000"/>
    <m/>
    <m/>
    <s v="Invoice"/>
    <n v="1"/>
    <m/>
    <s v="13/05/26"/>
    <s v="KC-26-000254"/>
    <s v="11/05/26"/>
    <s v="11/05/26"/>
    <s v="13/05/26 16.11"/>
    <s v="EO02587"/>
    <m/>
    <s v="13/06/26"/>
    <s v="2026060219"/>
    <s v="30/05/26"/>
    <s v="01/06/26 12.16"/>
    <n v="0"/>
  </r>
  <r>
    <n v="391"/>
    <n v="146"/>
    <s v="KC"/>
    <s v="146ARI2605-0798"/>
    <s v="19/05/26"/>
    <x v="4"/>
    <n v="2026"/>
    <x v="5"/>
    <x v="4"/>
    <s v="VELOZ Q AT HYBRID"/>
    <x v="3"/>
    <x v="0"/>
    <x v="1"/>
    <x v="0"/>
    <x v="0"/>
    <x v="4"/>
    <x v="1"/>
    <x v="1"/>
    <x v="25"/>
    <x v="2"/>
    <s v="W102RE-LBVFJ-08"/>
    <s v="S28"/>
    <s v="Silver Metallic"/>
    <s v="MHFA71BY1T0008402"/>
    <s v="2NR-Y701446"/>
    <s v="KCMG112539"/>
    <s v="RIDWAN EFENDI"/>
    <s v="MUHAMMAD CAISARIVA"/>
    <s v="CST-000825611"/>
    <s v="EDWAR HAPUDIANSYAH"/>
    <s v="INDIVIDU"/>
    <s v="PT GRAHA MITRA KONSULTAN"/>
    <s v="KOMPLEK GRAND IMPERIAL A7-13 JL. CIKONENG"/>
    <s v="KEC. BOJONGSOANG"/>
    <s v="KAB. BANDUNG"/>
    <s v="CASH"/>
    <s v="CASH"/>
    <m/>
    <n v="325000000"/>
    <n v="251138393"/>
    <n v="43725000"/>
    <n v="30136607"/>
    <n v="0"/>
    <n v="0"/>
    <n v="0"/>
    <n v="325000000"/>
    <n v="5000000"/>
    <n v="0"/>
    <s v="23/05/26"/>
    <s v="23/05/26"/>
    <s v="Invoice"/>
    <n v="1"/>
    <s v="0000000000000000"/>
    <s v="15/05/26"/>
    <s v="KC-26-000320"/>
    <s v="13/05/26"/>
    <s v="13/05/26"/>
    <s v="15/05/26 09.49"/>
    <s v="E801204"/>
    <s v="19/05/26"/>
    <s v="02/06/26"/>
    <s v="2026054486"/>
    <s v="19/05/26"/>
    <s v="20/05/26 09.25"/>
    <n v="0"/>
  </r>
  <r>
    <n v="418"/>
    <n v="146"/>
    <s v="KC"/>
    <s v="146ARI2605-0890"/>
    <s v="21/05/26"/>
    <x v="4"/>
    <n v="2026"/>
    <x v="5"/>
    <x v="4"/>
    <s v="VELOZ Q AT HYBRID"/>
    <x v="3"/>
    <x v="0"/>
    <x v="1"/>
    <x v="17"/>
    <x v="1"/>
    <x v="0"/>
    <x v="0"/>
    <x v="0"/>
    <x v="8"/>
    <x v="0"/>
    <s v="W102RE-LBVFJ-07"/>
    <s v="089"/>
    <s v="PLATINUM WHITE PEARL MICA"/>
    <s v="MHFA71BY9T0006915"/>
    <s v="2NR-Y692624"/>
    <s v="KCMK25002"/>
    <s v="RAHMAWATI"/>
    <s v="FERYANTO"/>
    <s v="CST-000826514"/>
    <s v="ENUR LATIFATUNUR"/>
    <s v="INDIVIDU"/>
    <s v="RISNA ANGGRAENI"/>
    <s v="KP. BARANANGSIANG"/>
    <s v="KEC. TANJUNGSIANG"/>
    <s v="KAB. SUBANG"/>
    <s v="CASH"/>
    <s v="CASH"/>
    <m/>
    <n v="351500000"/>
    <n v="271841518"/>
    <n v="47037500"/>
    <n v="32620982"/>
    <n v="0"/>
    <n v="0"/>
    <n v="0"/>
    <n v="351500000"/>
    <n v="3000000"/>
    <n v="0"/>
    <s v="28/05/26"/>
    <s v="28/05/26"/>
    <s v="Invoice"/>
    <n v="1"/>
    <s v="0000000000000000"/>
    <s v="21/05/26"/>
    <s v="KC-26-000339"/>
    <s v="20/05/26"/>
    <s v="20/05/26"/>
    <s v="21/05/26 13.46"/>
    <s v="D802596"/>
    <s v="21/05/26"/>
    <s v="04/06/26"/>
    <s v="2026045427"/>
    <s v="29/04/26"/>
    <s v="28/05/26 12.26"/>
    <n v="0"/>
  </r>
  <r>
    <n v="425"/>
    <n v="146"/>
    <s v="KC"/>
    <s v="146ARI2605-0882"/>
    <s v="21/05/26"/>
    <x v="4"/>
    <n v="2026"/>
    <x v="5"/>
    <x v="4"/>
    <s v="VELOZ Q AT HYBRID"/>
    <x v="2"/>
    <x v="0"/>
    <x v="0"/>
    <x v="4"/>
    <x v="0"/>
    <x v="2"/>
    <x v="0"/>
    <x v="1"/>
    <x v="24"/>
    <x v="0"/>
    <s v="W102RE-LBVFJ-08"/>
    <s v="X12"/>
    <s v="BLACK MICA"/>
    <s v="MHFA71BY4T0008328"/>
    <s v="2NR-Y700465"/>
    <s v="KCMG012605"/>
    <s v="JUARNA KARMAN PUTRA"/>
    <s v="FERYANTO"/>
    <s v="CST-000826310"/>
    <s v="ERIK PITUAH HAPEDRIK PARDOSI"/>
    <s v="INDIVIDU"/>
    <s v="ERIK PITUAH HALPEDRIK PARDOSI"/>
    <s v="GG WINATA KP SEKEKONDANG"/>
    <s v="KEC. MANDALAJATI"/>
    <s v="KOTA BANDUNG"/>
    <s v="KREDIT"/>
    <s v="PT. MANDIRI TUNAS FINANCE"/>
    <m/>
    <n v="325000000"/>
    <n v="251138393"/>
    <n v="43725000"/>
    <n v="30136607"/>
    <n v="0"/>
    <n v="0"/>
    <n v="0"/>
    <n v="325000000"/>
    <n v="5000000"/>
    <n v="0"/>
    <s v="28/05/26"/>
    <s v="28/05/26"/>
    <s v="Invoice"/>
    <n v="1"/>
    <m/>
    <s v="19/05/26"/>
    <s v="KC-26-000303"/>
    <s v="19/05/26"/>
    <s v="19/05/26"/>
    <s v="19/05/26 17.23"/>
    <s v="E801197"/>
    <s v="21/05/26"/>
    <s v="04/06/26"/>
    <s v="2026053543"/>
    <s v="15/05/26"/>
    <s v="22/05/26 15.56"/>
    <n v="0"/>
  </r>
  <r>
    <n v="431"/>
    <n v="146"/>
    <s v="KC"/>
    <s v="146ARI2605-0555"/>
    <s v="12/05/26"/>
    <x v="4"/>
    <n v="2026"/>
    <x v="0"/>
    <x v="0"/>
    <s v="AVANZA G A/T"/>
    <x v="2"/>
    <x v="0"/>
    <x v="0"/>
    <x v="4"/>
    <x v="0"/>
    <x v="0"/>
    <x v="1"/>
    <x v="0"/>
    <x v="2"/>
    <x v="1"/>
    <s v="W101RE-LBMFJ-10"/>
    <s v="W09"/>
    <s v="WHITE"/>
    <s v="MHKAB1BY4TJ020487"/>
    <s v="2NR-4F92616"/>
    <s v="KCMG042414"/>
    <s v="RIZKI RISMAWAN"/>
    <s v="ALVIN"/>
    <s v="CST-000824788"/>
    <s v="ERWAN RAMDHANI"/>
    <s v="INDIVIDU"/>
    <s v="PUPU PURWANTI"/>
    <s v="JL MAYAPADA DALAM"/>
    <s v="KEC. BABAKAN CIPARAY"/>
    <s v="KOTA BANDUNG"/>
    <s v="KREDIT"/>
    <s v="PT. MANDIRI TUNAS FINANCE"/>
    <m/>
    <n v="285000000"/>
    <n v="219888393"/>
    <n v="38725000"/>
    <n v="24779464"/>
    <n v="0"/>
    <n v="0"/>
    <n v="13392857"/>
    <n v="270000000"/>
    <n v="5500000"/>
    <n v="-15000000"/>
    <s v="18/05/26"/>
    <s v="18/05/26"/>
    <s v="Invoice"/>
    <n v="1"/>
    <m/>
    <s v="06/05/26"/>
    <s v="KC-26-000279"/>
    <s v="06/05/26"/>
    <s v="06/05/26"/>
    <s v="08/05/26 11.11"/>
    <s v="E700996"/>
    <s v="12/05/26"/>
    <s v="26/05/26"/>
    <s v="2026050896"/>
    <s v="11/05/26"/>
    <s v="14/05/26 10.44"/>
    <n v="0"/>
  </r>
  <r>
    <n v="433"/>
    <n v="146"/>
    <s v="KC"/>
    <s v="146ARI2605-1019"/>
    <s v="25/05/26"/>
    <x v="4"/>
    <n v="2026"/>
    <x v="0"/>
    <x v="0"/>
    <s v="AVANZA G M/T"/>
    <x v="0"/>
    <x v="0"/>
    <x v="0"/>
    <x v="1"/>
    <x v="1"/>
    <x v="0"/>
    <x v="0"/>
    <x v="1"/>
    <x v="2"/>
    <x v="1"/>
    <s v="W101RE-LMMFJ-10"/>
    <s v="X12"/>
    <s v="BLACK MICA"/>
    <s v="MHKAB1BY8TJ021576"/>
    <s v="2NR-4G00272"/>
    <s v="KCMG042414"/>
    <s v="RIZKI RISMAWAN"/>
    <s v="ALVIN"/>
    <s v="CST-000824310"/>
    <s v="ERWIN DWI PUTRA"/>
    <s v="INDIVIDU"/>
    <s v="ERWIN DWI PUTRA"/>
    <s v="KP RANCAMAYA"/>
    <s v="KEC. TAROGONG KIDUL"/>
    <s v="KAB. GARUT"/>
    <s v="KREDIT"/>
    <s v="PT. TOYOTA ASTRA FINANCIAL SERVICES"/>
    <m/>
    <n v="270200000"/>
    <n v="208022321"/>
    <n v="37215000"/>
    <n v="23355535"/>
    <n v="0"/>
    <n v="0"/>
    <n v="13392857"/>
    <n v="255200000"/>
    <n v="6000000"/>
    <n v="-15000000"/>
    <s v="29/05/26"/>
    <s v="29/05/26"/>
    <s v="Invoice"/>
    <n v="1"/>
    <m/>
    <s v="04/05/26"/>
    <s v="KC-26-000216"/>
    <s v="03/05/26"/>
    <s v="03/05/26"/>
    <s v="05/05/26 12.17"/>
    <s v="E702717"/>
    <s v="25/05/26"/>
    <s v="08/06/26"/>
    <s v="2026057250"/>
    <s v="22/05/26"/>
    <s v="26/05/26 09.05"/>
    <n v="0"/>
  </r>
  <r>
    <n v="437"/>
    <n v="146"/>
    <s v="KC"/>
    <s v="146ARI2605-0829"/>
    <s v="19/05/26"/>
    <x v="4"/>
    <n v="2026"/>
    <x v="4"/>
    <x v="3"/>
    <s v="INNOVA ZENIX Q A/T HYBRID"/>
    <x v="1"/>
    <x v="0"/>
    <x v="0"/>
    <x v="4"/>
    <x v="0"/>
    <x v="0"/>
    <x v="1"/>
    <x v="5"/>
    <x v="17"/>
    <x v="2"/>
    <s v="MAGH10R-BPXHBD-11"/>
    <s v="089"/>
    <s v="PLATINUM WHITE PEARL"/>
    <s v="MHFABBAA9T0472353"/>
    <s v="M20A-NF84848"/>
    <s v="KCMG112540"/>
    <s v="KHARISMA GALIH PUTRA"/>
    <s v="MUHAMMAD CAISARIVA"/>
    <s v="CST-000825337"/>
    <s v="EUIS KARYATI"/>
    <s v="INDIVIDU"/>
    <s v="PT PRATAMA MAJU MANDIRI"/>
    <s v="JL. PERMATA ELOK II"/>
    <s v="KEC. ARCAMANIK"/>
    <s v="KOTA BANDUNG"/>
    <s v="KREDIT"/>
    <s v="CIMB NIAGA FINANCE"/>
    <m/>
    <n v="631100000"/>
    <n v="490279018"/>
    <n v="81987500"/>
    <n v="56583482"/>
    <n v="0"/>
    <n v="0"/>
    <n v="18750000"/>
    <n v="610100000"/>
    <n v="7000000"/>
    <n v="-21000000"/>
    <s v="22/05/26"/>
    <s v="22/05/26"/>
    <s v="Invoice"/>
    <n v="1"/>
    <m/>
    <s v="12/05/26"/>
    <s v="KC-26-000285"/>
    <s v="11/05/26"/>
    <s v="11/05/26"/>
    <s v="12/05/26 14.36"/>
    <s v="EJ01471"/>
    <s v="19/05/26"/>
    <s v="02/06/26"/>
    <s v="2026054585"/>
    <s v="19/05/26"/>
    <s v="20/05/26 13.00"/>
    <n v="0"/>
  </r>
  <r>
    <n v="438"/>
    <n v="146"/>
    <s v="KC"/>
    <s v="146ARI2605-1192"/>
    <s v="29/05/26"/>
    <x v="4"/>
    <n v="2026"/>
    <x v="12"/>
    <x v="10"/>
    <s v="RUSH S A/T"/>
    <x v="2"/>
    <x v="0"/>
    <x v="0"/>
    <x v="0"/>
    <x v="0"/>
    <x v="3"/>
    <x v="0"/>
    <x v="0"/>
    <x v="27"/>
    <x v="0"/>
    <s v="F800RE-GQGFJ-40"/>
    <s v="X12"/>
    <s v="BLACK MICA"/>
    <s v="MHKE8FB3JTK121116"/>
    <s v="2NR-4F97090"/>
    <s v="KCMG052518"/>
    <s v="YANI ANDRIYANI"/>
    <s v="FERYANTO"/>
    <s v="CST-000827394"/>
    <s v="EUIS KOMARIAH"/>
    <s v="INDIVIDU"/>
    <s v="EUIS KOMARIAH"/>
    <s v="KP. JATI"/>
    <s v="KEC. MARGAASIH"/>
    <s v="KAB. BANDUNG"/>
    <s v="KREDIT"/>
    <s v="PT. MANDIRI TUNAS FINANCE"/>
    <m/>
    <n v="322500000"/>
    <n v="249185268"/>
    <n v="43412500"/>
    <n v="28295089"/>
    <n v="0"/>
    <n v="0"/>
    <n v="13392857"/>
    <n v="307500000"/>
    <n v="9000000"/>
    <n v="-15000000"/>
    <m/>
    <m/>
    <s v="Invoice"/>
    <n v="1"/>
    <m/>
    <s v="29/05/26"/>
    <s v="KC-26-000349"/>
    <s v="28/05/26"/>
    <s v="28/05/26"/>
    <s v="29/05/26 13.34"/>
    <s v="EG01536"/>
    <m/>
    <s v="12/06/26"/>
    <s v="2026055561"/>
    <s v="20/05/26"/>
    <s v="05/06/26 12.55"/>
    <n v="0"/>
  </r>
  <r>
    <n v="439"/>
    <n v="146"/>
    <s v="KC"/>
    <s v="146ARI2605-0307"/>
    <s v="06/05/26"/>
    <x v="4"/>
    <n v="2026"/>
    <x v="13"/>
    <x v="11"/>
    <s v="RAIZE G A/T"/>
    <x v="2"/>
    <x v="0"/>
    <x v="0"/>
    <x v="0"/>
    <x v="0"/>
    <x v="0"/>
    <x v="0"/>
    <x v="1"/>
    <x v="8"/>
    <x v="0"/>
    <s v="A251RA-GBXFJ-10"/>
    <s v="W09"/>
    <s v="WHITE"/>
    <s v="MHKAB1BA5TJ167873"/>
    <s v="WA-A247333"/>
    <s v="KCMK25002"/>
    <s v="RAHMAWATI"/>
    <s v="FERYANTO"/>
    <s v="CST-000824506"/>
    <s v="EUIS KUSMIRAN"/>
    <s v="INDIVIDU"/>
    <s v="EUIS KUSMIRAN"/>
    <s v="KP CIKUPA DESA BOJONG MANGGU KEC PAMEUNGPEK"/>
    <s v="KEC. PAMEUNGPEUK"/>
    <s v="KAB. BANDUNG"/>
    <s v="KREDIT"/>
    <s v="PT. MANDIRI TUNAS FINANCE"/>
    <s v="002-26.36651759"/>
    <n v="262100000"/>
    <n v="201997768"/>
    <n v="35862500"/>
    <n v="22632589"/>
    <n v="0"/>
    <n v="0"/>
    <n v="13392857"/>
    <n v="247100000"/>
    <n v="0"/>
    <n v="-15000000"/>
    <s v="13/05/26"/>
    <s v="13/05/26"/>
    <s v="Invoice"/>
    <n v="1"/>
    <m/>
    <s v="06/05/26"/>
    <s v="KC-26-000294"/>
    <s v="06/04/26"/>
    <s v="06/04/26"/>
    <s v="06/05/26 14.06"/>
    <s v="EZ00039"/>
    <s v="06/05/26"/>
    <s v="20/05/26"/>
    <s v="2026047276"/>
    <s v="05/05/26"/>
    <s v="09/05/26 11.20"/>
    <n v="0"/>
  </r>
  <r>
    <n v="480"/>
    <n v="146"/>
    <s v="KC"/>
    <s v="146ARI2605-1263"/>
    <s v="30/05/26"/>
    <x v="4"/>
    <n v="2026"/>
    <x v="2"/>
    <x v="2"/>
    <s v="CALYA G M/T"/>
    <x v="2"/>
    <x v="0"/>
    <x v="0"/>
    <x v="4"/>
    <x v="0"/>
    <x v="1"/>
    <x v="0"/>
    <x v="5"/>
    <x v="8"/>
    <x v="0"/>
    <s v="B401RA-GMZFJ-20"/>
    <s v="X13"/>
    <s v="BLACK"/>
    <s v="MHKA6GJ6JTJ228036"/>
    <s v="3NR-H997495"/>
    <s v="KCMK25002"/>
    <s v="RAHMAWATI"/>
    <s v="FERYANTO"/>
    <s v="CST-000827538"/>
    <s v="FRIEZA PATRIANI"/>
    <s v="INDIVIDU"/>
    <s v="FRIEZA PATRIANI"/>
    <s v="JL. VENUS TIMUR VIII NO. 11"/>
    <s v="KEC. RANCASARI"/>
    <s v="KOTA BANDUNG"/>
    <s v="KREDIT"/>
    <s v="PT. MANDIRI TUNAS FINANCE"/>
    <m/>
    <n v="182200000"/>
    <n v="139575893"/>
    <n v="25875000"/>
    <n v="15677678"/>
    <n v="0"/>
    <n v="0"/>
    <n v="8928571"/>
    <n v="172200000"/>
    <n v="290000"/>
    <n v="-10000000"/>
    <m/>
    <m/>
    <s v="Invoice"/>
    <n v="1"/>
    <m/>
    <s v="30/05/26"/>
    <s v="KC-26-000342"/>
    <s v="28/05/26"/>
    <s v="28/05/26"/>
    <s v="30/05/26 14.31"/>
    <s v="EO02412"/>
    <m/>
    <s v="13/06/26"/>
    <s v="2026058646"/>
    <s v="26/05/26"/>
    <s v="08/06/26 13.05"/>
    <n v="0"/>
  </r>
  <r>
    <n v="541"/>
    <n v="146"/>
    <s v="KC"/>
    <s v="146ARI2605-1267"/>
    <s v="30/05/26"/>
    <x v="4"/>
    <n v="2026"/>
    <x v="3"/>
    <x v="3"/>
    <s v="INNOVA G A/T DIESEL"/>
    <x v="4"/>
    <x v="0"/>
    <x v="0"/>
    <x v="0"/>
    <x v="0"/>
    <x v="1"/>
    <x v="1"/>
    <x v="0"/>
    <x v="19"/>
    <x v="0"/>
    <s v="GUN142R-MDTSXD-30"/>
    <s v="040"/>
    <s v="SUPER WHITE II"/>
    <s v="MHFJB8EM0T1195805"/>
    <s v="2GD-1981663"/>
    <s v="KCMG122541"/>
    <s v="GALIH HARISTIANTO"/>
    <s v="FERYANTO"/>
    <s v="CST-000827566"/>
    <s v="HERI HERYANTO"/>
    <s v="INDIVIDU"/>
    <s v="HERI HERYANTO"/>
    <s v="SUKAMANAH"/>
    <s v="KEC. PASEH"/>
    <s v="KAB. BANDUNG"/>
    <s v="KREDIT"/>
    <s v="PT. ASTRA SEDAYA FINANCE"/>
    <m/>
    <n v="442700000"/>
    <n v="343091518"/>
    <n v="58437500"/>
    <n v="38920982"/>
    <n v="0"/>
    <n v="0"/>
    <n v="18750000"/>
    <n v="421700000"/>
    <n v="38635000"/>
    <n v="-21000000"/>
    <m/>
    <m/>
    <s v="Invoice"/>
    <n v="1"/>
    <s v="3204350606840011"/>
    <s v="30/05/26"/>
    <s v="KC-26-000359"/>
    <s v="08/05/26"/>
    <s v="08/05/26"/>
    <s v="30/05/26 17.58"/>
    <s v="EC03022"/>
    <m/>
    <s v="13/06/26"/>
    <s v="2026058639"/>
    <s v="26/05/26"/>
    <s v="05/06/26 17.21"/>
    <n v="0"/>
  </r>
  <r>
    <n v="561"/>
    <n v="146"/>
    <s v="KC"/>
    <s v="146ARI2605-0554"/>
    <s v="12/05/26"/>
    <x v="4"/>
    <n v="2026"/>
    <x v="4"/>
    <x v="3"/>
    <s v="INNOVA ZENIX Q A/T HYBRID"/>
    <x v="3"/>
    <x v="0"/>
    <x v="1"/>
    <x v="4"/>
    <x v="0"/>
    <x v="4"/>
    <x v="1"/>
    <x v="0"/>
    <x v="1"/>
    <x v="0"/>
    <s v="MAGH10R-BPXHBD-10"/>
    <s v="218"/>
    <s v="ATTITUDE BLACK MICA"/>
    <s v="MHFABBAA1T0469107"/>
    <s v="M20A-NF51929"/>
    <s v="KCMK24005"/>
    <s v="JAJANG NURJAMAN"/>
    <s v="FERYANTO"/>
    <s v="CST-000825317"/>
    <s v="HJ. WIWIN SUSTIWARA"/>
    <s v="INDIVIDU"/>
    <s v="LULU DWIARTI NINGTIAS"/>
    <s v="JL. SUKAATI KOMP.AMAYA RESIDENT NO. A8"/>
    <s v="KEC. REGOL"/>
    <s v="KOTA BANDUNG"/>
    <s v="CASH"/>
    <s v="CASH"/>
    <m/>
    <n v="628200000"/>
    <n v="488013393"/>
    <n v="81625000"/>
    <n v="56418750"/>
    <n v="0"/>
    <n v="0"/>
    <n v="17857143"/>
    <n v="608200000"/>
    <n v="8200000"/>
    <n v="-20000000"/>
    <s v="16/05/26"/>
    <s v="16/05/26"/>
    <s v="Invoice"/>
    <n v="1"/>
    <m/>
    <s v="11/05/26"/>
    <s v="KC-26-000238"/>
    <s v="11/05/26"/>
    <s v="11/05/26"/>
    <s v="12/05/26 13.37"/>
    <s v="CJ02661"/>
    <s v="12/05/26"/>
    <s v="26/05/26"/>
    <s v="2026033856"/>
    <s v="06/04/26"/>
    <s v="16/05/26 10.39"/>
    <n v="0"/>
  </r>
  <r>
    <n v="588"/>
    <n v="146"/>
    <s v="KC"/>
    <s v="146ARI2605-0412"/>
    <s v="08/05/26"/>
    <x v="4"/>
    <n v="2026"/>
    <x v="9"/>
    <x v="7"/>
    <s v="AGYA G A/T"/>
    <x v="2"/>
    <x v="0"/>
    <x v="0"/>
    <x v="0"/>
    <x v="0"/>
    <x v="0"/>
    <x v="0"/>
    <x v="1"/>
    <x v="0"/>
    <x v="0"/>
    <s v="A351RA-GBEFJ-00"/>
    <s v="W09"/>
    <s v="WHITE"/>
    <s v="MHKAB1BC8TJ085508"/>
    <s v="WA-A247473"/>
    <s v="KCMG072432"/>
    <s v="DENO"/>
    <s v="FERYANTO"/>
    <s v="CST-000823573"/>
    <s v="IKA DAIKAH"/>
    <s v="INDIVIDU"/>
    <s v="IKA DAIKAH"/>
    <s v="KP. SINDANG RERET"/>
    <s v="KEC. BALEENDAH"/>
    <s v="KAB. BANDUNG"/>
    <s v="KREDIT"/>
    <s v="PT. MANDIRI TUNAS FINANCE"/>
    <m/>
    <n v="200800000"/>
    <n v="154107143"/>
    <n v="28200000"/>
    <n v="17421428"/>
    <n v="0"/>
    <n v="0"/>
    <n v="8928571"/>
    <n v="190800000"/>
    <n v="0"/>
    <n v="-10000000"/>
    <s v="13/05/26"/>
    <s v="13/05/26"/>
    <s v="Invoice"/>
    <n v="1"/>
    <s v="0000000000000000"/>
    <s v="29/04/26"/>
    <s v="KC-26-000245"/>
    <s v="22/04/26"/>
    <s v="22/04/26"/>
    <s v="30/04/26 09.50"/>
    <s v="ER00163"/>
    <s v="08/05/26"/>
    <s v="22/05/26"/>
    <s v="2026048902"/>
    <s v="07/05/26"/>
    <s v="11/05/26 19.37"/>
    <n v="0"/>
  </r>
  <r>
    <n v="594"/>
    <n v="146"/>
    <s v="KC"/>
    <s v="146ARI2605-0778"/>
    <s v="18/05/26"/>
    <x v="4"/>
    <n v="2026"/>
    <x v="3"/>
    <x v="3"/>
    <s v="INNOVA G A/T DIESEL"/>
    <x v="2"/>
    <x v="0"/>
    <x v="0"/>
    <x v="0"/>
    <x v="0"/>
    <x v="3"/>
    <x v="0"/>
    <x v="1"/>
    <x v="8"/>
    <x v="0"/>
    <s v="GUN142R-MDTSXD-30"/>
    <s v="1D6"/>
    <s v="Silver Metallic"/>
    <s v="MHFJB8EMXT1193222"/>
    <s v="2GD-1968991"/>
    <s v="KCMK25002"/>
    <s v="RAHMAWATI"/>
    <s v="FERYANTO"/>
    <s v="CST-000826133"/>
    <s v="IMAM BUDIMAN"/>
    <s v="INDIVIDU"/>
    <s v="ASTRI NURNIANI"/>
    <s v="KP CISONDARI"/>
    <s v="KEC. PASIRJAMBU"/>
    <s v="KAB. BANDUNG"/>
    <s v="KREDIT"/>
    <s v="PT. MANDIRI TUNAS FINANCE"/>
    <m/>
    <n v="442700000"/>
    <n v="343091518"/>
    <n v="58437500"/>
    <n v="39028125"/>
    <n v="0"/>
    <n v="0"/>
    <n v="17857143"/>
    <n v="422700000"/>
    <n v="3000000"/>
    <n v="-20000000"/>
    <s v="23/05/26"/>
    <s v="23/05/26"/>
    <s v="Invoice"/>
    <n v="1"/>
    <m/>
    <s v="18/05/26"/>
    <s v="KC-26-000297"/>
    <s v="17/05/26"/>
    <s v="17/05/26"/>
    <s v="18/05/26 17.04"/>
    <s v="EC00624"/>
    <s v="18/05/26"/>
    <s v="01/06/26"/>
    <s v="2026049438"/>
    <s v="08/05/26"/>
    <s v="21/05/26 14.57"/>
    <n v="0"/>
  </r>
  <r>
    <n v="626"/>
    <n v="146"/>
    <s v="KC"/>
    <s v="146ARI2605-0889"/>
    <s v="21/05/26"/>
    <x v="4"/>
    <n v="2026"/>
    <x v="13"/>
    <x v="11"/>
    <s v="RAIZE G M/T"/>
    <x v="3"/>
    <x v="0"/>
    <x v="1"/>
    <x v="4"/>
    <x v="0"/>
    <x v="0"/>
    <x v="1"/>
    <x v="0"/>
    <x v="27"/>
    <x v="0"/>
    <s v="A251RA-GMXFJ-10"/>
    <s v="R40"/>
    <s v="RED"/>
    <s v="MHKAB1BA8TJ168063"/>
    <s v="WA-A250940"/>
    <s v="KCMG052518"/>
    <s v="YANI ANDRIYANI"/>
    <s v="FERYANTO"/>
    <s v="CST-000815093"/>
    <s v="IVAN HOTMA ZAKARIA"/>
    <s v="INDIVIDU"/>
    <s v="HJ. ATI RISYANTI"/>
    <s v="JL. PAK GATOTVVI NO. 211-A KPAD"/>
    <s v="KEC. SUKASARI"/>
    <s v="KOTA BANDUNG"/>
    <s v="CASH"/>
    <s v="CASH"/>
    <m/>
    <n v="246900000"/>
    <n v="190122768"/>
    <n v="33962500"/>
    <n v="21207589"/>
    <n v="0"/>
    <n v="0"/>
    <n v="13392857"/>
    <n v="231900000"/>
    <n v="3300000"/>
    <n v="-15000000"/>
    <s v="25/05/26"/>
    <s v="25/05/26"/>
    <s v="Invoice"/>
    <n v="1"/>
    <m/>
    <s v="26/02/26"/>
    <s v="KC-26-000049"/>
    <s v="23/02/26"/>
    <s v="23/02/26"/>
    <s v="26/02/26 16.46"/>
    <s v="EZ00516"/>
    <s v="21/05/26"/>
    <s v="04/06/26"/>
    <s v="2026055898"/>
    <s v="20/05/26"/>
    <s v="25/05/26 12.36"/>
    <n v="0"/>
  </r>
  <r>
    <n v="632"/>
    <n v="146"/>
    <s v="KC"/>
    <s v="146ARI2605-0414"/>
    <s v="08/05/26"/>
    <x v="4"/>
    <n v="2026"/>
    <x v="2"/>
    <x v="2"/>
    <s v="CALYA G M/T"/>
    <x v="2"/>
    <x v="0"/>
    <x v="0"/>
    <x v="2"/>
    <x v="0"/>
    <x v="3"/>
    <x v="0"/>
    <x v="1"/>
    <x v="29"/>
    <x v="1"/>
    <s v="B401RA-GMZFJ-20"/>
    <s v="4T3"/>
    <s v="BRONZE M.M."/>
    <s v="MHKA6GJ6JTJ226797"/>
    <s v="3NR-H994587"/>
    <s v="KCMG042609"/>
    <s v="ANDRI JAYA LAKSANA"/>
    <s v="ALVIN"/>
    <s v="CST-000823902"/>
    <s v="JAJANG NURDIN"/>
    <s v="INDIVIDU"/>
    <s v="TEDI SUTRIYADI"/>
    <s v="KP BABAKAN"/>
    <s v="KEC. CIKALONGWETAN"/>
    <s v="KAB. BANDUNG BARAT"/>
    <s v="KREDIT"/>
    <s v="PT. MANDIRI TUNAS FINANCE"/>
    <m/>
    <n v="182200000"/>
    <n v="139575893"/>
    <n v="25875000"/>
    <n v="15677678"/>
    <n v="0"/>
    <n v="0"/>
    <n v="8928571"/>
    <n v="172200000"/>
    <n v="0"/>
    <n v="-10000000"/>
    <s v="13/05/26"/>
    <s v="13/05/26"/>
    <s v="Invoice"/>
    <n v="1"/>
    <m/>
    <s v="30/04/26"/>
    <s v="KC-26-000259"/>
    <s v="28/04/26"/>
    <s v="28/04/26"/>
    <s v="02/05/26 12.44"/>
    <s v="EO00301"/>
    <s v="08/05/26"/>
    <s v="22/05/26"/>
    <s v="2026048801"/>
    <s v="07/05/26"/>
    <s v="11/05/26 08.55"/>
    <n v="0"/>
  </r>
  <r>
    <n v="711"/>
    <n v="146"/>
    <s v="KC"/>
    <s v="146ARI2605-0636"/>
    <s v="15/05/26"/>
    <x v="4"/>
    <n v="2026"/>
    <x v="12"/>
    <x v="10"/>
    <s v="RUSH S M/T"/>
    <x v="2"/>
    <x v="0"/>
    <x v="0"/>
    <x v="0"/>
    <x v="0"/>
    <x v="0"/>
    <x v="0"/>
    <x v="1"/>
    <x v="8"/>
    <x v="0"/>
    <s v="F800RE-GMGFJ-40"/>
    <s v="X12"/>
    <s v="BLACK MICA"/>
    <s v="MHKE8FA3JTK144715"/>
    <s v="2NR-4F94186"/>
    <s v="KCMK25002"/>
    <s v="RAHMAWATI"/>
    <s v="FERYANTO"/>
    <s v="CST-000825678"/>
    <s v="LANNI HALOHO"/>
    <s v="INDIVIDU"/>
    <s v="FIRNANDO SINAGA"/>
    <s v="KP. CIKAMBUY HILIR"/>
    <s v="KEC. KATAPANG"/>
    <s v="KAB. BANDUNG"/>
    <s v="KREDIT"/>
    <s v="PT. MANDIRI TUNAS FINANCE"/>
    <m/>
    <n v="311800000"/>
    <n v="240825893"/>
    <n v="42075000"/>
    <n v="27291964"/>
    <n v="0"/>
    <n v="0"/>
    <n v="13392857"/>
    <n v="296800000"/>
    <n v="5000000"/>
    <n v="-15000000"/>
    <s v="21/05/26"/>
    <s v="21/05/26"/>
    <s v="Invoice"/>
    <n v="1"/>
    <m/>
    <s v="15/05/26"/>
    <s v="KC-26-000298"/>
    <s v="13/05/26"/>
    <s v="13/05/26"/>
    <s v="15/05/26 13.57"/>
    <s v="EG00844"/>
    <s v="15/05/26"/>
    <s v="29/05/26"/>
    <s v="2026052653"/>
    <s v="13/05/26"/>
    <s v="18/05/26 10.54"/>
    <n v="0"/>
  </r>
  <r>
    <n v="753"/>
    <n v="146"/>
    <s v="KC"/>
    <s v="146ARI2605-0319"/>
    <s v="07/05/26"/>
    <x v="4"/>
    <n v="2026"/>
    <x v="0"/>
    <x v="0"/>
    <s v="AVANZA E M/T"/>
    <x v="4"/>
    <x v="0"/>
    <x v="0"/>
    <x v="2"/>
    <x v="0"/>
    <x v="3"/>
    <x v="0"/>
    <x v="1"/>
    <x v="15"/>
    <x v="0"/>
    <s v="W100RE-LMDFJ-10"/>
    <s v="W09"/>
    <s v="WHITE"/>
    <s v="MHKAA1BY7TJ015674"/>
    <s v="1NR-G326458"/>
    <s v="CMMG122342"/>
    <s v="REGYAWAN KURNIA"/>
    <s v="FERYANTO"/>
    <s v="CST-000823413"/>
    <s v="M. REZHA FAHLEPI M"/>
    <s v="INDIVIDU"/>
    <s v="M.REZHA FAHLEPI M"/>
    <s v="KP.BBK BANDUNG"/>
    <s v="KEC. CIPATAT"/>
    <s v="KAB. BANDUNG BARAT"/>
    <s v="KREDIT"/>
    <s v="PT. ASTRA SEDAYA FINANCE"/>
    <m/>
    <n v="247000000"/>
    <n v="190200893"/>
    <n v="33975000"/>
    <n v="21216964"/>
    <n v="0"/>
    <n v="0"/>
    <n v="13392857"/>
    <n v="232000000"/>
    <n v="6000000"/>
    <n v="-15000000"/>
    <s v="12/05/26"/>
    <s v="12/05/26"/>
    <s v="Invoice"/>
    <n v="1"/>
    <m/>
    <s v="24/04/26"/>
    <s v="KC-26-000199"/>
    <s v="17/04/26"/>
    <s v="17/04/26"/>
    <s v="29/04/26 11.15"/>
    <s v="D703556"/>
    <s v="07/05/26"/>
    <s v="21/05/26"/>
    <s v="2026046661"/>
    <s v="01/05/26"/>
    <s v="08/05/26 16.13"/>
    <n v="0"/>
  </r>
  <r>
    <n v="810"/>
    <n v="146"/>
    <s v="KC"/>
    <s v="146ARI2605-0780"/>
    <s v="19/05/26"/>
    <x v="4"/>
    <n v="2026"/>
    <x v="2"/>
    <x v="2"/>
    <s v="CALYA G M/T"/>
    <x v="1"/>
    <x v="0"/>
    <x v="0"/>
    <x v="4"/>
    <x v="0"/>
    <x v="1"/>
    <x v="1"/>
    <x v="0"/>
    <x v="3"/>
    <x v="0"/>
    <s v="B401RA-GMZFJ-20"/>
    <s v="1G3"/>
    <s v="GRAY METALLIC"/>
    <s v="MHKA6GJ6JTJ227351"/>
    <s v="3NR-H993110"/>
    <s v="KCMG052513"/>
    <s v="DENI ALFIAN"/>
    <s v="FERYANTO"/>
    <s v="CST-000825706"/>
    <s v="MOCHAMAD RAFI ALY MAHDI"/>
    <s v="INDIVIDU"/>
    <s v="MOCHAMAD RAFI ALY MAHDI"/>
    <s v="JL MUARASARIIV NO 40"/>
    <s v="KEC. BOJONGLOA KIDUL"/>
    <s v="KOTA BANDUNG"/>
    <s v="KREDIT"/>
    <s v="PT. MANDIRI UTAMA FINANCE"/>
    <m/>
    <n v="182200000"/>
    <n v="139575893"/>
    <n v="25875000"/>
    <n v="15677678"/>
    <n v="0"/>
    <n v="0"/>
    <n v="8928571"/>
    <n v="172200000"/>
    <n v="2000000"/>
    <n v="-10000000"/>
    <s v="20/05/26"/>
    <s v="20/05/26"/>
    <s v="Invoice"/>
    <n v="1"/>
    <s v="3273170607010004."/>
    <s v="15/05/26"/>
    <s v="KC-26-000304"/>
    <s v="13/05/26"/>
    <s v="13/05/26"/>
    <s v="15/05/26 15.05"/>
    <s v="EO01284"/>
    <s v="19/05/26"/>
    <s v="02/06/26"/>
    <s v="2026053159"/>
    <s v="15/05/26"/>
    <s v="25/05/26 14.06"/>
    <n v="0"/>
  </r>
  <r>
    <n v="811"/>
    <n v="146"/>
    <s v="KC"/>
    <s v="146ARI2605-0848"/>
    <s v="20/05/26"/>
    <x v="4"/>
    <n v="2026"/>
    <x v="0"/>
    <x v="0"/>
    <s v="AVANZA G A/T"/>
    <x v="2"/>
    <x v="0"/>
    <x v="0"/>
    <x v="0"/>
    <x v="0"/>
    <x v="0"/>
    <x v="0"/>
    <x v="0"/>
    <x v="10"/>
    <x v="2"/>
    <s v="W101RE-LBMFJ-10"/>
    <s v="X12"/>
    <s v="BLACK MICA"/>
    <s v="MHKAB1BY6TJ021124"/>
    <s v="2NR-4F97199"/>
    <s v="KCMG012503"/>
    <s v="DERI NURSANDI"/>
    <s v="MUHAMMAD CAISARIVA"/>
    <s v="CST-000802491"/>
    <s v="MOCHAMMAD FAUZI RACHMAT"/>
    <s v="INDIVIDU"/>
    <s v="PT ANAK TUNGGAL SEJAHTERA"/>
    <s v="KAMPUNG CIHARALANG NOMOR 62"/>
    <s v="KEC. CIMENYAN"/>
    <s v="KAB. BANDUNG"/>
    <s v="KREDIT"/>
    <s v="PT. MANDIRI TUNAS FINANCE"/>
    <m/>
    <n v="285000000"/>
    <n v="219888393"/>
    <n v="38725000"/>
    <n v="24779464"/>
    <n v="0"/>
    <n v="0"/>
    <n v="13392857"/>
    <n v="270000000"/>
    <n v="5000000"/>
    <n v="-15000000"/>
    <s v="25/05/26"/>
    <s v="25/05/26"/>
    <s v="Invoice"/>
    <n v="1"/>
    <s v="0000000000000000"/>
    <s v="04/12/25"/>
    <s v="KC-25-000859"/>
    <s v="02/12/25"/>
    <s v="02/12/25"/>
    <s v="04/12/25 17.35"/>
    <s v="E701930"/>
    <s v="20/05/26"/>
    <s v="03/06/26"/>
    <s v="2026054544"/>
    <s v="19/05/26"/>
    <s v="21/05/26 16.48"/>
    <n v="0"/>
  </r>
  <r>
    <n v="822"/>
    <n v="146"/>
    <s v="KC"/>
    <s v="146ARI2605-0515"/>
    <s v="11/05/26"/>
    <x v="4"/>
    <n v="2026"/>
    <x v="7"/>
    <x v="5"/>
    <s v="HILUX DC G M/T DIESEL"/>
    <x v="1"/>
    <x v="0"/>
    <x v="0"/>
    <x v="16"/>
    <x v="1"/>
    <x v="4"/>
    <x v="2"/>
    <x v="1"/>
    <x v="39"/>
    <x v="2"/>
    <s v="GUN125R-DTFSXD-30"/>
    <s v="218"/>
    <s v="ATTITUDE BLACK MICA"/>
    <s v="MR0KB8CD3T1168067"/>
    <s v="2GD-D581005"/>
    <s v="KCMG042610"/>
    <s v="RIZAL SAEPUL ROHMAN"/>
    <s v="MUHAMMAD CAISARIVA"/>
    <s v="CST-000825095"/>
    <s v="MORITS C. PADJA"/>
    <s v="INDIVIDU"/>
    <s v="MORITS C. PADJA"/>
    <s v="JL. MAMPANG PRAPATAN XI NO. 83-85 RT 7/RW 1 KEL. TEGAL PARANG KEC. MAMPANG PRAPAPATAN KOTA JAKARTA SELATAN"/>
    <s v="KEC. MAMPANG PRAPATAN"/>
    <s v="KOTA JAKARTA SELATAN"/>
    <s v="KREDIT"/>
    <s v="PT. MANDIRI UTAMA FINANCE"/>
    <m/>
    <n v="490100000"/>
    <n v="380171875"/>
    <n v="64307500"/>
    <n v="42942053"/>
    <n v="0"/>
    <n v="0"/>
    <n v="22321429"/>
    <n v="465100000"/>
    <n v="0"/>
    <n v="-25000000"/>
    <s v="13/05/26"/>
    <s v="13/05/26"/>
    <s v="Invoice"/>
    <n v="1"/>
    <s v="0000000000000000"/>
    <s v="11/05/26"/>
    <s v="KC-26-000275"/>
    <s v="11/05/26"/>
    <s v="11/05/26"/>
    <s v="11/05/26 11.13"/>
    <s v="DB02038"/>
    <s v="11/05/26"/>
    <s v="25/05/26"/>
    <s v="2026045624"/>
    <s v="29/04/26"/>
    <s v="20/05/26 09.17"/>
    <n v="0"/>
  </r>
  <r>
    <n v="831"/>
    <n v="146"/>
    <s v="KC"/>
    <s v="146ARI2605-1013"/>
    <s v="25/05/26"/>
    <x v="4"/>
    <n v="2026"/>
    <x v="8"/>
    <x v="6"/>
    <s v="FORTUNER 4X2 VRZ A/T DIESEL"/>
    <x v="2"/>
    <x v="0"/>
    <x v="0"/>
    <x v="4"/>
    <x v="0"/>
    <x v="2"/>
    <x v="1"/>
    <x v="0"/>
    <x v="11"/>
    <x v="1"/>
    <s v="GUN166R-SDTHXD-33"/>
    <s v="089"/>
    <s v="PLATINUM WHITE PEARL"/>
    <s v="MHFAA8GS7T0938027"/>
    <s v="1GD-5992499"/>
    <s v="KCMG052428"/>
    <s v="MUHAMMAD FADIL FAHMI RUSTANDI"/>
    <s v="ALVIN"/>
    <s v="CST-000825667"/>
    <s v="MUHAMAD EDY"/>
    <s v="INDIVIDU"/>
    <s v="MUHAMAD EDY"/>
    <s v="JL. CYNTHIA RAYA BLOX XA"/>
    <s v="KEC. GEDEBAGE"/>
    <s v="KOTA BANDUNG"/>
    <s v="KREDIT"/>
    <s v="PT. MANDIRI TUNAS FINANCE"/>
    <m/>
    <n v="683700000"/>
    <n v="531372768"/>
    <n v="88562500"/>
    <n v="60443303"/>
    <n v="0"/>
    <n v="0"/>
    <n v="27678571"/>
    <n v="652700000"/>
    <n v="9000000"/>
    <n v="-31000000"/>
    <m/>
    <m/>
    <s v="Invoice"/>
    <n v="1"/>
    <m/>
    <s v="14/05/26"/>
    <s v="KC-26-000323"/>
    <s v="14/05/26"/>
    <s v="14/05/26"/>
    <s v="15/05/26 15.20"/>
    <s v="EF00922"/>
    <s v="25/05/26"/>
    <s v="08/06/26"/>
    <s v="2026056292"/>
    <s v="21/05/26"/>
    <s v="27/05/26 19.29"/>
    <n v="0"/>
  </r>
  <r>
    <n v="894"/>
    <n v="146"/>
    <s v="KC"/>
    <s v="146ARI2605-0356"/>
    <s v="07/05/26"/>
    <x v="4"/>
    <n v="2026"/>
    <x v="5"/>
    <x v="4"/>
    <s v="VELOZ V AT HYBRID"/>
    <x v="2"/>
    <x v="0"/>
    <x v="0"/>
    <x v="0"/>
    <x v="0"/>
    <x v="0"/>
    <x v="1"/>
    <x v="5"/>
    <x v="2"/>
    <x v="1"/>
    <s v="W102RE-LBVFJ-10"/>
    <s v="X12"/>
    <s v="BLACK MICA"/>
    <s v="MHFA71BY0T0005992"/>
    <s v="2NR-Y687611"/>
    <s v="KCMG042414"/>
    <s v="RIZKI RISMAWAN"/>
    <s v="ALVIN"/>
    <s v="CST-000824656"/>
    <s v="NENG DIDAH A.MD"/>
    <s v="INDIVIDU"/>
    <s v="NENG DIDAH A.MD"/>
    <s v="NATA ENDAH BLOK A 47"/>
    <s v="KEC. MARGAHAYU"/>
    <s v="KAB. BANDUNG"/>
    <s v="KREDIT"/>
    <s v="PT. MANDIRI TUNAS FINANCE"/>
    <m/>
    <n v="303000000"/>
    <n v="233950893"/>
    <n v="40975000"/>
    <n v="28074107"/>
    <n v="0"/>
    <n v="0"/>
    <n v="0"/>
    <n v="303000000"/>
    <n v="0"/>
    <n v="0"/>
    <s v="09/05/26"/>
    <s v="09/05/26"/>
    <s v="Invoice"/>
    <n v="1"/>
    <m/>
    <s v="06/05/26"/>
    <s v="KC-26-000280"/>
    <s v="06/05/26"/>
    <s v="06/05/26"/>
    <s v="07/05/26 12.47"/>
    <s v="D801587"/>
    <s v="07/05/26"/>
    <s v="21/05/26"/>
    <s v="2026041436"/>
    <s v="21/04/26"/>
    <s v="10/05/26 14.59"/>
    <n v="0"/>
  </r>
  <r>
    <n v="1106"/>
    <n v="146"/>
    <s v="KC"/>
    <s v="146ARI2605-1036"/>
    <s v="25/05/26"/>
    <x v="4"/>
    <n v="2026"/>
    <x v="5"/>
    <x v="4"/>
    <s v="VELOZ V AT HYBRID"/>
    <x v="2"/>
    <x v="1"/>
    <x v="0"/>
    <x v="2"/>
    <x v="0"/>
    <x v="4"/>
    <x v="2"/>
    <x v="6"/>
    <x v="40"/>
    <x v="2"/>
    <s v="W102RE-LBVFJ-10"/>
    <s v="X12"/>
    <s v="BLACK MICA"/>
    <s v="MHFA71BY8T0006324"/>
    <s v="2NR-Y689362"/>
    <s v="KCMG052612"/>
    <s v="WULAN FITRI ANDRIYANI"/>
    <s v="MUHAMMAD CAISARIVA"/>
    <s v="CST-000824660"/>
    <s v="PT. LUMBUNG ENERGI INDONESIA"/>
    <s v="PT"/>
    <s v="PT LUMBUNG ENERGI INDONESIA"/>
    <s v="RUKAN PARIWARNA NIAGA KULON"/>
    <s v="KEC. PADALARANG"/>
    <s v="KAB. BANDUNG BARAT"/>
    <s v="KREDIT"/>
    <s v="PT. MANDIRI TUNAS FINANCE"/>
    <m/>
    <n v="303000000"/>
    <n v="233950893"/>
    <n v="40975000"/>
    <n v="27859821"/>
    <n v="0"/>
    <n v="0"/>
    <n v="1785714"/>
    <n v="301000000"/>
    <n v="3000000"/>
    <n v="-2000000"/>
    <s v="26/05/26"/>
    <s v="26/05/26"/>
    <s v="Invoice"/>
    <n v="1"/>
    <s v="1000000005147011"/>
    <s v="07/05/26"/>
    <s v="KC-26-000293"/>
    <s v="06/05/26"/>
    <s v="06/05/26"/>
    <s v="07/05/26 13.56"/>
    <s v="D802034"/>
    <s v="25/05/26"/>
    <s v="08/06/26"/>
    <s v="2026042983"/>
    <s v="23/04/26"/>
    <s v="27/05/26 13.45"/>
    <n v="0"/>
  </r>
  <r>
    <n v="1140"/>
    <n v="146"/>
    <s v="KC"/>
    <s v="146ARI2605-0580"/>
    <s v="13/05/26"/>
    <x v="4"/>
    <n v="2026"/>
    <x v="8"/>
    <x v="6"/>
    <s v="FORTUNER 4X2 VRZ A/T DIESEL"/>
    <x v="6"/>
    <x v="1"/>
    <x v="0"/>
    <x v="22"/>
    <x v="1"/>
    <x v="0"/>
    <x v="1"/>
    <x v="6"/>
    <x v="15"/>
    <x v="0"/>
    <s v="GUN166R-SDTHXD-31"/>
    <s v="1G3"/>
    <s v="GRAY METALLIC"/>
    <s v="MHFAA8GS3T0937280"/>
    <s v="1GD-5979366"/>
    <s v="CMMG122342"/>
    <s v="REGYAWAN KURNIA"/>
    <s v="FERYANTO"/>
    <s v="CST-000823903"/>
    <s v="PT. PAN PUTRA SAMUDRA"/>
    <s v="PT"/>
    <s v="PT PAN PUTRA SAMUDRA"/>
    <s v="JALAN BOULEVARD BARAT, PLAZA PASIFIK BLOK A3 NO.49"/>
    <s v="KEC. KELAPA GADING"/>
    <s v="KOTA JAKARTA UTARA"/>
    <s v="KREDIT"/>
    <s v="UNIT KKB PT. BANK CENTRAL ASIA"/>
    <m/>
    <n v="679300000"/>
    <n v="528391518"/>
    <n v="87501500"/>
    <n v="59871267"/>
    <n v="0"/>
    <n v="0"/>
    <n v="29464286"/>
    <n v="646300000"/>
    <n v="5000000"/>
    <n v="-33000000"/>
    <s v="16/05/26"/>
    <s v="16/05/26"/>
    <s v="Invoice"/>
    <n v="1"/>
    <s v="0018712976043000"/>
    <s v="02/05/26"/>
    <s v="KC-26-000243"/>
    <s v="17/04/26"/>
    <s v="17/04/26"/>
    <s v="24/04/26 14.35"/>
    <s v="DF01098"/>
    <s v="13/05/26"/>
    <s v="27/05/26"/>
    <s v="2026046820"/>
    <s v="04/05/26"/>
    <s v="14/05/26 08.48"/>
    <n v="0"/>
  </r>
  <r>
    <n v="1155"/>
    <n v="146"/>
    <s v="KC"/>
    <s v="146ARI2605-0304"/>
    <s v="06/05/26"/>
    <x v="4"/>
    <n v="2026"/>
    <x v="4"/>
    <x v="3"/>
    <s v="INNOVA ZENIX G A/T HIYBRID"/>
    <x v="6"/>
    <x v="1"/>
    <x v="0"/>
    <x v="4"/>
    <x v="0"/>
    <x v="3"/>
    <x v="1"/>
    <x v="6"/>
    <x v="20"/>
    <x v="1"/>
    <s v="MAGH10R-BRXLBD-10"/>
    <s v="218"/>
    <s v="ATTITUDE BLACK MICA"/>
    <s v="MHFABAAA5T0051580"/>
    <s v="M20A-NF55475"/>
    <s v="KCMG042424"/>
    <s v="INDAH PITALOKA"/>
    <s v="ALVIN"/>
    <s v="CST-000824162"/>
    <s v="PT. PINUS MERAH ABADI"/>
    <s v="PT"/>
    <s v="PT PINUS MERAH ABADI"/>
    <s v="JL SOEKARNO HATTA 112"/>
    <s v="KEC. BABAKAN CIPARAY"/>
    <s v="KOTA BANDUNG"/>
    <s v="KREDIT"/>
    <s v="UNIT KKB PT. BANK CENTRAL ASIA"/>
    <s v="002-26.36651757"/>
    <n v="477500000"/>
    <n v="370279018"/>
    <n v="62787500"/>
    <n v="42076339"/>
    <n v="0"/>
    <n v="0"/>
    <n v="19642857"/>
    <n v="455500000"/>
    <n v="0"/>
    <n v="-22000000"/>
    <s v="08/05/26"/>
    <s v="08/05/26"/>
    <s v="Invoice"/>
    <n v="1"/>
    <m/>
    <s v="04/05/26"/>
    <s v="KC-26-000222"/>
    <s v="04/05/26"/>
    <s v="04/05/26"/>
    <s v="04/05/26 15.47"/>
    <s v="DJ00445"/>
    <s v="06/05/26"/>
    <s v="20/05/26"/>
    <s v="2026036746"/>
    <s v="10/04/26"/>
    <s v="12/05/26 15.33"/>
    <n v="0"/>
  </r>
  <r>
    <n v="1166"/>
    <n v="146"/>
    <s v="KC"/>
    <s v="146ARI2605-0831"/>
    <s v="19/05/26"/>
    <x v="4"/>
    <n v="2026"/>
    <x v="1"/>
    <x v="1"/>
    <s v="HIACE COMM"/>
    <x v="3"/>
    <x v="1"/>
    <x v="1"/>
    <x v="23"/>
    <x v="1"/>
    <x v="4"/>
    <x v="2"/>
    <x v="6"/>
    <x v="21"/>
    <x v="1"/>
    <s v="KDH223R-LEMDY-10"/>
    <s v="058"/>
    <s v="WHITE"/>
    <s v="JTFST22P2T0055289"/>
    <s v="1KD-B234735"/>
    <s v="KCMG012502"/>
    <s v="DADI SOBARI"/>
    <s v="ALVIN"/>
    <s v="CST-000826085"/>
    <s v="PT. SETIAJAYA TRANS"/>
    <s v="PT"/>
    <s v="PT SETIAJAYA TRANS"/>
    <s v="DUSUN CISALAM"/>
    <s v="KEC. MANONJAYA"/>
    <s v="KAB. TASIKMALAYA"/>
    <s v="CASH"/>
    <s v="CASH"/>
    <m/>
    <n v="578900000"/>
    <n v="450984234"/>
    <n v="78307500"/>
    <n v="47130788"/>
    <n v="0"/>
    <n v="0"/>
    <n v="22522523"/>
    <n v="553900000"/>
    <n v="5000000"/>
    <n v="-25000000"/>
    <s v="20/05/26"/>
    <s v="20/05/26"/>
    <s v="Invoice"/>
    <n v="1"/>
    <m/>
    <s v="18/05/26"/>
    <s v="KC-26-000316"/>
    <s v="18/05/26"/>
    <s v="18/05/26"/>
    <s v="18/05/26 15.30"/>
    <s v="DP00532"/>
    <s v="19/05/26"/>
    <s v="28/05/26"/>
    <s v="2026048874"/>
    <s v="07/05/26"/>
    <s v="19/05/26 15.17"/>
    <n v="0"/>
  </r>
  <r>
    <n v="1187"/>
    <n v="146"/>
    <s v="KC"/>
    <s v="146ARI2605-0303"/>
    <s v="06/05/26"/>
    <x v="4"/>
    <n v="2026"/>
    <x v="0"/>
    <x v="0"/>
    <s v="AVANZA E A/T"/>
    <x v="3"/>
    <x v="1"/>
    <x v="1"/>
    <x v="4"/>
    <x v="0"/>
    <x v="4"/>
    <x v="1"/>
    <x v="6"/>
    <x v="15"/>
    <x v="0"/>
    <s v="W100RE-LBDFJ-10"/>
    <s v="1G3"/>
    <s v="GRAY METALLIC"/>
    <s v="MHKAA1BY8TJ015747"/>
    <s v="1NR-G326574"/>
    <s v="CMMG122342"/>
    <s v="REGYAWAN KURNIA"/>
    <s v="FERYANTO"/>
    <s v="CST-000783953"/>
    <s v="PT. SURYA SUDECO"/>
    <s v="PT"/>
    <s v="PT. SURYA SUDECO"/>
    <s v="JL. GEMPOL NO. 52"/>
    <s v="KEC. PANYILEUKAN"/>
    <s v="KOTA BANDUNG"/>
    <s v="CASH"/>
    <s v="CASH"/>
    <s v="002-26.36651756"/>
    <n v="262200000"/>
    <n v="202075893"/>
    <n v="35875000"/>
    <n v="22052678"/>
    <n v="0"/>
    <n v="0"/>
    <n v="18303571"/>
    <n v="241700000"/>
    <n v="241700000"/>
    <n v="-20764886"/>
    <s v="23/05/26"/>
    <s v="23/05/26"/>
    <s v="Invoice"/>
    <n v="1"/>
    <s v="0013318217062000"/>
    <s v="05/05/26"/>
    <s v="KC-26-000283"/>
    <s v="05/05/26"/>
    <s v="05/05/26"/>
    <s v="05/05/26 16.09"/>
    <s v="E700063"/>
    <s v="06/05/26"/>
    <s v="05/06/26"/>
    <s v="2026047207"/>
    <s v="05/05/26"/>
    <s v="10/05/26 15.38"/>
    <n v="0"/>
  </r>
  <r>
    <n v="1285"/>
    <n v="146"/>
    <s v="KC"/>
    <s v="146ARI2605-1217"/>
    <s v="29/05/26"/>
    <x v="4"/>
    <n v="2026"/>
    <x v="1"/>
    <x v="1"/>
    <s v="HIACE COMM"/>
    <x v="3"/>
    <x v="1"/>
    <x v="1"/>
    <x v="4"/>
    <x v="0"/>
    <x v="0"/>
    <x v="1"/>
    <x v="6"/>
    <x v="17"/>
    <x v="2"/>
    <s v="KDH223R-LEMDY-10"/>
    <s v="058"/>
    <s v="WHITE"/>
    <s v="JTFST22P6T0055439"/>
    <s v="1KD-B236436"/>
    <s v="KCMG112540"/>
    <s v="KHARISMA GALIH PUTRA"/>
    <s v="MUHAMMAD CAISARIVA"/>
    <s v="CST-000827391"/>
    <s v="PT. FOCUS RIZKY SUGIHARTO BERKAH"/>
    <s v="PT"/>
    <s v="PT. FOCUS RIZKY SUGIHARTO BERKAH"/>
    <s v="JALAN RD. H. KANTI NO. 34"/>
    <s v="KEC. REGOL"/>
    <s v="KOTA BANDUNG"/>
    <s v="CASH"/>
    <s v="CASH"/>
    <m/>
    <n v="578900000"/>
    <n v="447399554"/>
    <n v="77812500"/>
    <n v="50795089"/>
    <n v="0"/>
    <n v="0"/>
    <n v="24107143"/>
    <n v="551900000"/>
    <n v="501900000"/>
    <n v="-27000000"/>
    <m/>
    <m/>
    <s v="Invoice"/>
    <n v="1"/>
    <m/>
    <s v="29/05/26"/>
    <s v="KC-26-000344"/>
    <s v="28/05/26"/>
    <s v="28/05/26"/>
    <s v="29/05/26 13.21"/>
    <s v="EP00068"/>
    <m/>
    <s v="12/06/26"/>
    <s v="2026048164"/>
    <s v="06/05/26"/>
    <s v="08/06/26 13.00"/>
    <n v="0"/>
  </r>
  <r>
    <n v="1595"/>
    <n v="146"/>
    <s v="KC"/>
    <s v="146ARI2605-1030"/>
    <s v="25/05/26"/>
    <x v="4"/>
    <n v="2026"/>
    <x v="4"/>
    <x v="3"/>
    <s v="INNOVA ZENIX Q A/T HYBRID"/>
    <x v="3"/>
    <x v="0"/>
    <x v="1"/>
    <x v="5"/>
    <x v="0"/>
    <x v="4"/>
    <x v="1"/>
    <x v="5"/>
    <x v="23"/>
    <x v="1"/>
    <s v="MAGH10R-BPXHBD-10"/>
    <s v="218"/>
    <s v="ATTITUDE BLACK MICA"/>
    <s v="MHFABBAA8T0472652"/>
    <s v="M20A-NF79481"/>
    <s v="KCMG052516"/>
    <s v="YENI"/>
    <s v="ALVIN"/>
    <s v="CST-000826896"/>
    <s v="RENI ANGGRAENI"/>
    <s v="INDIVIDU"/>
    <s v="YANI DIAN EFRIANY"/>
    <s v="JL.RANCA BENTANG UTARA"/>
    <s v="KEC. CIMAHI SELATAN"/>
    <s v="KOTA CIMAHI"/>
    <s v="CASH"/>
    <s v="CASH"/>
    <m/>
    <n v="628200000"/>
    <n v="488013393"/>
    <n v="81625000"/>
    <n v="56311607"/>
    <n v="0"/>
    <n v="0"/>
    <n v="18750000"/>
    <n v="607200000"/>
    <n v="9000000"/>
    <n v="-21000000"/>
    <s v="28/05/26"/>
    <s v="28/05/26"/>
    <s v="Invoice"/>
    <n v="1"/>
    <m/>
    <s v="23/05/26"/>
    <s v="KC-26-000334"/>
    <s v="23/05/26"/>
    <s v="23/05/26"/>
    <s v="25/05/26 11.33"/>
    <s v="EJ01873"/>
    <s v="25/05/26"/>
    <s v="03/06/26"/>
    <s v="2026057159"/>
    <s v="22/05/26"/>
    <s v="28/05/26 15.44"/>
    <n v="0"/>
  </r>
  <r>
    <n v="1640"/>
    <n v="146"/>
    <s v="KC"/>
    <s v="146ARI2605-1269"/>
    <s v="30/05/26"/>
    <x v="4"/>
    <n v="2026"/>
    <x v="12"/>
    <x v="10"/>
    <s v="RUSH S M/T"/>
    <x v="2"/>
    <x v="0"/>
    <x v="0"/>
    <x v="2"/>
    <x v="0"/>
    <x v="3"/>
    <x v="0"/>
    <x v="5"/>
    <x v="39"/>
    <x v="2"/>
    <s v="F800RE-GMGFJ-40"/>
    <s v="W09"/>
    <s v="WHITE"/>
    <s v="MHKE8FA3JTK145644"/>
    <s v="2NR-4G03673"/>
    <s v="KCMG042610"/>
    <s v="RIZAL SAEPUL ROHMAN"/>
    <s v="MUHAMMAD CAISARIVA"/>
    <s v="CST-000827111"/>
    <s v="RITA APRIYANTI"/>
    <s v="INDIVIDU"/>
    <s v="RITA APRIYANTI"/>
    <s v="KP CIASEUPAN"/>
    <s v="KEC. CIKALONGWETAN"/>
    <s v="KAB. BANDUNG BARAT"/>
    <s v="KREDIT"/>
    <s v="PT. MANDIRI TUNAS FINANCE"/>
    <m/>
    <n v="311800000"/>
    <n v="240825893"/>
    <n v="42075000"/>
    <n v="27291964"/>
    <n v="0"/>
    <n v="0"/>
    <n v="13392857"/>
    <n v="296800000"/>
    <n v="28000000"/>
    <n v="-15000000"/>
    <m/>
    <m/>
    <s v="Invoice"/>
    <n v="1"/>
    <s v="0000000000000000"/>
    <s v="22/05/26"/>
    <s v="KC-26-000317"/>
    <s v="22/05/26"/>
    <s v="22/05/26"/>
    <s v="26/05/26 13.14"/>
    <s v="EG02614"/>
    <m/>
    <s v="13/06/26"/>
    <s v="2026060584"/>
    <s v="30/05/26"/>
    <s v="30/05/26 22.23"/>
    <n v="0"/>
  </r>
  <r>
    <n v="1652"/>
    <n v="146"/>
    <s v="KC"/>
    <s v="146ARI2605-1219"/>
    <s v="29/05/26"/>
    <x v="4"/>
    <n v="2026"/>
    <x v="0"/>
    <x v="0"/>
    <s v="AVANZA E M/T"/>
    <x v="5"/>
    <x v="0"/>
    <x v="0"/>
    <x v="4"/>
    <x v="0"/>
    <x v="0"/>
    <x v="0"/>
    <x v="5"/>
    <x v="8"/>
    <x v="0"/>
    <s v="W100RE-LMDFJ-10"/>
    <s v="S28"/>
    <s v="Silver Metallic"/>
    <s v="MHKAA1BY2TJ016974"/>
    <s v="1NR-G329137"/>
    <s v="KCMK25002"/>
    <s v="RAHMAWATI"/>
    <s v="FERYANTO"/>
    <s v="CST-000827429"/>
    <s v="ROHAENI"/>
    <s v="INDIVIDU"/>
    <s v="ROHAENI"/>
    <s v="JL.MALEBER UTARA NO 72"/>
    <s v="KEC. ANDIR"/>
    <s v="KOTA BANDUNG"/>
    <s v="KREDIT"/>
    <s v="PT. BCA FINANCE"/>
    <m/>
    <n v="247000000"/>
    <n v="190200893"/>
    <n v="33975000"/>
    <n v="21216964"/>
    <n v="0"/>
    <n v="0"/>
    <n v="13392857"/>
    <n v="232000000"/>
    <n v="5000000"/>
    <n v="-15000000"/>
    <m/>
    <m/>
    <s v="Invoice"/>
    <n v="1"/>
    <m/>
    <s v="29/05/26"/>
    <s v="KC-26-000343"/>
    <s v="29/05/26"/>
    <s v="29/05/26"/>
    <s v="29/05/26 16.06"/>
    <s v="E703053"/>
    <m/>
    <s v="12/06/26"/>
    <s v="2026058595"/>
    <s v="26/05/26"/>
    <s v="31/05/26 15.11"/>
    <n v="0"/>
  </r>
  <r>
    <n v="1659"/>
    <n v="146"/>
    <s v="KC"/>
    <s v="146ARI2605-1261"/>
    <s v="30/05/26"/>
    <x v="4"/>
    <n v="2026"/>
    <x v="0"/>
    <x v="0"/>
    <s v="AVANZA G M/T"/>
    <x v="2"/>
    <x v="0"/>
    <x v="0"/>
    <x v="6"/>
    <x v="1"/>
    <x v="3"/>
    <x v="0"/>
    <x v="0"/>
    <x v="32"/>
    <x v="1"/>
    <s v="W101RE-LMMFJ-10"/>
    <s v="X12"/>
    <s v="BLACK MICA"/>
    <s v="MHKAB1BY5TJ022040"/>
    <s v="2NR-4G03185"/>
    <s v="KCMG042608"/>
    <s v="ARDIAN PURNAMA"/>
    <s v="ALVIN"/>
    <s v="CST-000827385"/>
    <s v="RONI PURNAMA"/>
    <s v="INDIVIDU"/>
    <s v="RONI PURNAMA"/>
    <s v="DUSUN HONJE"/>
    <s v="KEC. PAMULIHAN"/>
    <s v="KAB. SUMEDANG"/>
    <s v="KREDIT"/>
    <s v="PT. MANDIRI TUNAS FINANCE"/>
    <m/>
    <n v="270200000"/>
    <n v="208013393"/>
    <n v="37225000"/>
    <n v="23354464"/>
    <n v="0"/>
    <n v="0"/>
    <n v="13392857"/>
    <n v="255200000"/>
    <n v="5000000"/>
    <n v="-15000000"/>
    <m/>
    <m/>
    <s v="Invoice"/>
    <n v="1"/>
    <m/>
    <s v="28/05/26"/>
    <s v="KC-26-000332"/>
    <s v="28/05/26"/>
    <s v="28/05/26"/>
    <s v="29/05/26 12.38"/>
    <s v="E703425"/>
    <m/>
    <s v="13/06/26"/>
    <s v="2026060196"/>
    <s v="30/05/26"/>
    <s v="01/06/26 18.01"/>
    <n v="0"/>
  </r>
  <r>
    <n v="1665"/>
    <n v="146"/>
    <s v="KC"/>
    <s v="146ARI2605-0915"/>
    <s v="22/05/26"/>
    <x v="4"/>
    <n v="2026"/>
    <x v="9"/>
    <x v="7"/>
    <s v="AGYA G A/T"/>
    <x v="2"/>
    <x v="0"/>
    <x v="0"/>
    <x v="4"/>
    <x v="0"/>
    <x v="3"/>
    <x v="0"/>
    <x v="0"/>
    <x v="29"/>
    <x v="1"/>
    <s v="A351RA-GBEFJ-00"/>
    <s v="W09"/>
    <s v="WHITE"/>
    <s v="MHKAB1BC2TJ086153"/>
    <s v="WA-A250883"/>
    <s v="KCMG042609"/>
    <s v="ANDRI JAYA LAKSANA"/>
    <s v="ALVIN"/>
    <s v="CST-000825723"/>
    <s v="ROSSA LITA SE"/>
    <s v="INDIVIDU"/>
    <s v="ROSSA LITA SE"/>
    <s v="KOMP UJUNGBERUNG INDAH BLOK B26 NO 13"/>
    <s v="KEC. UJUNGBERUNG"/>
    <s v="KOTA BANDUNG"/>
    <s v="KREDIT"/>
    <s v="PT. MANDIRI TUNAS FINANCE"/>
    <m/>
    <n v="200800000"/>
    <n v="154107143"/>
    <n v="28200000"/>
    <n v="17421428"/>
    <n v="0"/>
    <n v="0"/>
    <n v="8928571"/>
    <n v="190800000"/>
    <n v="3000000"/>
    <n v="-10000000"/>
    <s v="26/05/26"/>
    <s v="26/05/26"/>
    <s v="Invoice"/>
    <n v="1"/>
    <m/>
    <s v="13/05/26"/>
    <s v="KC-26-000276"/>
    <s v="12/05/26"/>
    <s v="12/05/26"/>
    <s v="15/05/26 16.31"/>
    <s v="ER00820"/>
    <s v="22/05/26"/>
    <s v="05/06/26"/>
    <s v="2026056386"/>
    <s v="21/05/26"/>
    <s v="23/05/26 21.08"/>
    <n v="0"/>
  </r>
  <r>
    <n v="1697"/>
    <n v="146"/>
    <s v="KC"/>
    <s v="146ARI2605-0384"/>
    <s v="08/05/26"/>
    <x v="4"/>
    <n v="2026"/>
    <x v="8"/>
    <x v="6"/>
    <s v="FORTUNER 4X4 VRZ A/T DIESEL"/>
    <x v="2"/>
    <x v="0"/>
    <x v="0"/>
    <x v="2"/>
    <x v="0"/>
    <x v="1"/>
    <x v="1"/>
    <x v="0"/>
    <x v="20"/>
    <x v="1"/>
    <s v="GUN156R-SDTHXD-33"/>
    <s v="218"/>
    <s v="ATTITUDE BLACK MICA"/>
    <s v="MHFBA3FS2T1175806"/>
    <s v="1GD-5982498"/>
    <s v="KCMG042424"/>
    <s v="INDAH PITALOKA"/>
    <s v="ALVIN"/>
    <s v="CST-000824496"/>
    <s v="SAMSUL AGUNG ST"/>
    <s v="INDIVIDU"/>
    <s v="IIS SETIAWATI"/>
    <s v="CLUSTER GRAND MILLENIA BLOK A1 NO.1"/>
    <s v="KEC. NGAMPRAH"/>
    <s v="KAB. BANDUNG BARAT"/>
    <s v="KREDIT"/>
    <s v="PT. MANDIRI TUNAS FINANCE"/>
    <m/>
    <n v="790500000"/>
    <n v="614810268"/>
    <n v="101912500"/>
    <n v="70455803"/>
    <n v="0"/>
    <n v="0"/>
    <n v="27678571"/>
    <n v="759500000"/>
    <n v="0"/>
    <n v="-31000000"/>
    <s v="08/05/26"/>
    <s v="08/05/26"/>
    <s v="Invoice"/>
    <n v="1"/>
    <m/>
    <s v="06/05/26"/>
    <s v="KC-26-000281"/>
    <s v="18/04/26"/>
    <s v="18/04/26"/>
    <s v="06/05/26 13.45"/>
    <s v="EF00216"/>
    <s v="08/05/26"/>
    <s v="22/05/26"/>
    <s v="2026048551"/>
    <s v="06/05/26"/>
    <s v="11/05/26 13.25"/>
    <n v="0"/>
  </r>
  <r>
    <n v="1749"/>
    <n v="146"/>
    <s v="KC"/>
    <s v="146ARI2605-1213"/>
    <s v="29/05/26"/>
    <x v="4"/>
    <n v="2026"/>
    <x v="2"/>
    <x v="2"/>
    <s v="CALYA G M/T"/>
    <x v="2"/>
    <x v="0"/>
    <x v="0"/>
    <x v="4"/>
    <x v="0"/>
    <x v="3"/>
    <x v="0"/>
    <x v="1"/>
    <x v="30"/>
    <x v="2"/>
    <s v="B401RA-GMZFJ-20"/>
    <s v="X13"/>
    <s v="BLACK"/>
    <s v="MHKA6GJ6JTJ227932"/>
    <s v="3NR-H997268"/>
    <s v="KCMG012604"/>
    <s v="SYAFRIL AGUNG SEFILA"/>
    <s v="MUHAMMAD CAISARIVA"/>
    <s v="CST-000827256"/>
    <s v="SITI HAERIYAH"/>
    <s v="INDIVIDU"/>
    <s v="SITI HAERIYAH"/>
    <s v="Jl.budhi"/>
    <s v="KEC. CICENDO"/>
    <s v="KOTA BANDUNG"/>
    <s v="KREDIT"/>
    <s v="PT. MANDIRI TUNAS FINANCE"/>
    <m/>
    <n v="182200000"/>
    <n v="139575893"/>
    <n v="25875000"/>
    <n v="15677678"/>
    <n v="0"/>
    <n v="0"/>
    <n v="8928571"/>
    <n v="172200000"/>
    <n v="7380000"/>
    <n v="-10000000"/>
    <m/>
    <m/>
    <s v="Invoice"/>
    <n v="1"/>
    <s v="0000000000000000"/>
    <s v="28/05/26"/>
    <s v="KC-26-000322"/>
    <s v="26/05/26"/>
    <s v="26/05/26"/>
    <s v="28/05/26 13.24"/>
    <s v="EO02204"/>
    <m/>
    <s v="12/06/26"/>
    <s v="2026057998"/>
    <s v="25/05/26"/>
    <s v="02/06/26 13.11"/>
    <n v="0"/>
  </r>
  <r>
    <n v="1793"/>
    <n v="146"/>
    <s v="KC"/>
    <s v="146ARI2605-0306"/>
    <s v="06/05/26"/>
    <x v="4"/>
    <n v="2026"/>
    <x v="3"/>
    <x v="3"/>
    <s v="INNOVA G A/T DIESEL"/>
    <x v="3"/>
    <x v="0"/>
    <x v="1"/>
    <x v="0"/>
    <x v="0"/>
    <x v="0"/>
    <x v="0"/>
    <x v="0"/>
    <x v="8"/>
    <x v="0"/>
    <s v="GUN142R-MDTSXD-30"/>
    <s v="218"/>
    <s v="ATTITUDE BLACK MICA"/>
    <s v="MHFJB8EM8T1192585"/>
    <s v="2GD-1964038"/>
    <s v="KCMK25002"/>
    <s v="RAHMAWATI"/>
    <s v="FERYANTO"/>
    <s v="CST-000824509"/>
    <s v="SUKLANI"/>
    <s v="INDIVIDU"/>
    <s v="SUKLANI"/>
    <s v="KP.CICENDO"/>
    <s v="KEC. BALEENDAH"/>
    <s v="KAB. BANDUNG"/>
    <s v="CASH"/>
    <s v="CASH"/>
    <s v="002-26.36651758"/>
    <n v="442700000"/>
    <n v="343091518"/>
    <n v="58437500"/>
    <n v="38920982"/>
    <n v="0"/>
    <n v="0"/>
    <n v="18750000"/>
    <n v="421700000"/>
    <n v="0"/>
    <n v="-21000000"/>
    <s v="13/05/26"/>
    <s v="13/05/26"/>
    <s v="Invoice"/>
    <n v="1"/>
    <m/>
    <s v="06/05/26"/>
    <s v="KC-26-000237"/>
    <s v="01/05/26"/>
    <s v="01/05/26"/>
    <s v="06/05/26 14.15"/>
    <s v="DC02662"/>
    <s v="06/05/26"/>
    <s v="20/05/26"/>
    <s v="2026046591"/>
    <s v="01/05/26"/>
    <s v="09/05/26 11.14"/>
    <n v="0"/>
  </r>
  <r>
    <n v="1811"/>
    <n v="146"/>
    <s v="KC"/>
    <s v="146ARI2605-0405"/>
    <s v="08/05/26"/>
    <x v="4"/>
    <n v="2026"/>
    <x v="4"/>
    <x v="3"/>
    <s v="INNOVA ZENIX Q A/T HYBRID"/>
    <x v="0"/>
    <x v="0"/>
    <x v="0"/>
    <x v="4"/>
    <x v="0"/>
    <x v="0"/>
    <x v="0"/>
    <x v="0"/>
    <x v="10"/>
    <x v="2"/>
    <s v="MAGH10R-BPXHBD-11"/>
    <s v="089"/>
    <s v="PLATINUM WHITE PEARL"/>
    <s v="MHFABBAAXT0471566"/>
    <s v="M20A-NF71648"/>
    <s v="KCMG012503"/>
    <s v="DERI NURSANDI"/>
    <s v="MUHAMMAD CAISARIVA"/>
    <s v="CST-000824488"/>
    <s v="SURIANA WIJAYA"/>
    <s v="INDIVIDU"/>
    <s v="AMRI FATMA DEWI"/>
    <s v="JL.SARIMANAH II NO.94"/>
    <s v="KEC. SUKASARI"/>
    <s v="KOTA BANDUNG"/>
    <s v="KREDIT"/>
    <s v="PT. TOYOTA ASTRA FINANCIAL SERVICES"/>
    <m/>
    <n v="631100000"/>
    <n v="490279018"/>
    <n v="81987500"/>
    <n v="56583482"/>
    <n v="0"/>
    <n v="0"/>
    <n v="18750000"/>
    <n v="610100000"/>
    <n v="0"/>
    <n v="-21000000"/>
    <s v="13/05/26"/>
    <s v="13/05/26"/>
    <s v="Invoice"/>
    <n v="1"/>
    <s v="0000000000000000"/>
    <s v="06/05/26"/>
    <s v="KC-26-000226"/>
    <s v="05/05/26"/>
    <s v="05/05/26"/>
    <s v="06/05/26 13.29"/>
    <s v="EJ00352"/>
    <s v="08/05/26"/>
    <s v="22/05/26"/>
    <s v="2026049102"/>
    <s v="07/05/26"/>
    <s v="13/05/26 09.47"/>
    <n v="0"/>
  </r>
  <r>
    <n v="1834"/>
    <n v="146"/>
    <s v="KC"/>
    <s v="146ARI2605-1076"/>
    <s v="26/05/26"/>
    <x v="4"/>
    <n v="2026"/>
    <x v="0"/>
    <x v="0"/>
    <s v="AVANZA G M/T"/>
    <x v="0"/>
    <x v="0"/>
    <x v="0"/>
    <x v="4"/>
    <x v="0"/>
    <x v="0"/>
    <x v="0"/>
    <x v="1"/>
    <x v="10"/>
    <x v="2"/>
    <s v="W101RE-LMMFJ-10"/>
    <s v="X12"/>
    <s v="BLACK MICA"/>
    <s v="MHKAB1BY3TJ021730"/>
    <s v="2NR-4G00760"/>
    <s v="KCMG012503"/>
    <s v="DERI NURSANDI"/>
    <s v="MUHAMMAD CAISARIVA"/>
    <s v="CST-000826941"/>
    <s v="TASYA AULIA"/>
    <s v="INDIVIDU"/>
    <s v="TASYA AULIA"/>
    <s v="ASRAMA YONZIPUR 9/1 KOSTRAD"/>
    <s v="KEC. CINAMBO"/>
    <s v="KOTA BANDUNG"/>
    <s v="KREDIT"/>
    <s v="PT. TOYOTA ASTRA FINANCIAL SERVICES"/>
    <m/>
    <n v="270200000"/>
    <n v="208325893"/>
    <n v="36875000"/>
    <n v="23391964"/>
    <n v="0"/>
    <n v="0"/>
    <n v="13392857"/>
    <n v="255200000"/>
    <n v="34000000"/>
    <n v="-15000000"/>
    <m/>
    <m/>
    <s v="Invoice"/>
    <n v="1"/>
    <s v="0000000000000000"/>
    <s v="25/05/26"/>
    <s v="KC-26-000291"/>
    <s v="25/05/26"/>
    <s v="25/05/26"/>
    <s v="25/05/26 13.31"/>
    <s v="E702993"/>
    <m/>
    <s v="09/06/26"/>
    <s v="2026058155"/>
    <s v="25/05/26"/>
    <s v="03/06/26 13.05"/>
    <n v="0"/>
  </r>
  <r>
    <n v="1838"/>
    <n v="146"/>
    <s v="KC"/>
    <s v="146ARI2605-0904"/>
    <s v="22/05/26"/>
    <x v="4"/>
    <n v="2026"/>
    <x v="0"/>
    <x v="0"/>
    <s v="AVANZA E A/T"/>
    <x v="2"/>
    <x v="0"/>
    <x v="0"/>
    <x v="4"/>
    <x v="0"/>
    <x v="1"/>
    <x v="1"/>
    <x v="1"/>
    <x v="21"/>
    <x v="1"/>
    <s v="W100RE-LBDFJ-10"/>
    <s v="X12"/>
    <s v="BLACK MICA"/>
    <s v="MHKAA1BY5TJ016774"/>
    <s v="1NR-G328599"/>
    <s v="KCMG012502"/>
    <s v="DADI SOBARI"/>
    <s v="ALVIN"/>
    <s v="CST-000826560"/>
    <s v="TEDI CAHYADI"/>
    <s v="INDIVIDU"/>
    <s v="NENAH"/>
    <s v="JL KADIPATEN V NO 17"/>
    <s v="KEC. ANTAPANI"/>
    <s v="KOTA BANDUNG"/>
    <s v="KREDIT"/>
    <s v="PT. MANDIRI TUNAS FINANCE"/>
    <m/>
    <n v="262200000"/>
    <n v="202075893"/>
    <n v="35875000"/>
    <n v="22641964"/>
    <n v="0"/>
    <n v="0"/>
    <n v="13392857"/>
    <n v="247200000"/>
    <n v="5534000"/>
    <n v="-15000000"/>
    <s v="28/05/26"/>
    <s v="28/05/26"/>
    <s v="Invoice"/>
    <n v="1"/>
    <m/>
    <s v="21/05/26"/>
    <s v="KC-26-000330"/>
    <s v="18/05/26"/>
    <s v="18/05/26"/>
    <s v="21/05/26 16.29"/>
    <s v="E702415"/>
    <s v="22/05/26"/>
    <s v="05/06/26"/>
    <s v="2026055986"/>
    <s v="21/05/26"/>
    <s v="22/05/26 15.47"/>
    <n v="0"/>
  </r>
  <r>
    <n v="1871"/>
    <n v="146"/>
    <s v="KC"/>
    <s v="146ARI2605-0776"/>
    <s v="18/05/26"/>
    <x v="4"/>
    <n v="2026"/>
    <x v="4"/>
    <x v="3"/>
    <s v="INNOVA ZENIX Q A/T HYBRID"/>
    <x v="4"/>
    <x v="0"/>
    <x v="0"/>
    <x v="2"/>
    <x v="0"/>
    <x v="4"/>
    <x v="1"/>
    <x v="0"/>
    <x v="20"/>
    <x v="1"/>
    <s v="MAGH10R-BPXHBD-10"/>
    <s v="218"/>
    <s v="ATTITUDE BLACK MICA"/>
    <s v="MHFABBAA1T0472010"/>
    <s v="M20A-NF75417"/>
    <s v="KCMG042424"/>
    <s v="INDAH PITALOKA"/>
    <s v="ALVIN"/>
    <s v="CST-000825957"/>
    <s v="TUTI TURIMAYANTI"/>
    <s v="INDIVIDU"/>
    <s v="TUTI TURIMAYANTI"/>
    <s v="JL CIJEUNGJING SELATAN"/>
    <s v="KEC. PADALARANG"/>
    <s v="KAB. BANDUNG BARAT"/>
    <s v="KREDIT"/>
    <s v="PT. ASTRA SEDAYA FINANCE"/>
    <m/>
    <n v="628200000"/>
    <n v="488013393"/>
    <n v="81625000"/>
    <n v="56311607"/>
    <n v="0"/>
    <n v="0"/>
    <n v="18750000"/>
    <n v="607200000"/>
    <n v="5751600"/>
    <n v="-21000000"/>
    <s v="22/05/26"/>
    <s v="22/05/26"/>
    <s v="Invoice"/>
    <n v="1"/>
    <m/>
    <s v="18/05/26"/>
    <s v="KC-26-000258"/>
    <s v="06/05/26"/>
    <s v="06/05/26"/>
    <s v="18/05/26 11.02"/>
    <s v="EJ00956"/>
    <s v="18/05/26"/>
    <s v="01/06/26"/>
    <s v="2026051810"/>
    <s v="12/05/26"/>
    <s v="27/05/26 08.48"/>
    <n v="0"/>
  </r>
  <r>
    <n v="1884"/>
    <n v="146"/>
    <s v="KC"/>
    <s v="146ARI2605-0974"/>
    <s v="23/05/26"/>
    <x v="4"/>
    <n v="2026"/>
    <x v="0"/>
    <x v="0"/>
    <s v="AVANZA G A/T"/>
    <x v="2"/>
    <x v="0"/>
    <x v="0"/>
    <x v="2"/>
    <x v="0"/>
    <x v="5"/>
    <x v="1"/>
    <x v="1"/>
    <x v="27"/>
    <x v="0"/>
    <s v="W101RE-LBMFJ-10"/>
    <s v="X12"/>
    <s v="BLACK MICA"/>
    <s v="MHKAB1BYXTJ020820"/>
    <s v="2NR-4F95641"/>
    <s v="KCMG052518"/>
    <s v="YANI ANDRIYANI"/>
    <s v="FERYANTO"/>
    <s v="CST-000826764"/>
    <s v="VEKKY TAMBALEAN"/>
    <s v="INDIVIDU"/>
    <s v="VEKKY TAMBALEAN"/>
    <s v="KP. SUKAMAJU"/>
    <s v="KEC. PADALARANG"/>
    <s v="KAB. BANDUNG BARAT"/>
    <s v="KREDIT"/>
    <s v="PT. MANDIRI TUNAS FINANCE"/>
    <m/>
    <n v="285000000"/>
    <n v="219888393"/>
    <n v="38725000"/>
    <n v="24779464"/>
    <n v="0"/>
    <n v="0"/>
    <n v="13392857"/>
    <n v="270000000"/>
    <n v="5000000"/>
    <n v="-15000000"/>
    <s v="29/05/26"/>
    <s v="29/05/26"/>
    <s v="Invoice"/>
    <n v="1"/>
    <m/>
    <s v="23/05/26"/>
    <s v="KC-26-000307"/>
    <s v="16/05/26"/>
    <s v="16/05/26"/>
    <s v="23/05/26 11.09"/>
    <s v="E701657"/>
    <s v="23/05/26"/>
    <s v="07/07/26"/>
    <s v="2026054917"/>
    <s v="19/05/26"/>
    <s v="29/05/26 10.27"/>
    <n v="0"/>
  </r>
  <r>
    <n v="1914"/>
    <n v="146"/>
    <s v="KC"/>
    <s v="146ARI2605-0972"/>
    <s v="23/05/26"/>
    <x v="4"/>
    <n v="2026"/>
    <x v="2"/>
    <x v="2"/>
    <s v="CALYA G M/T"/>
    <x v="2"/>
    <x v="0"/>
    <x v="0"/>
    <x v="4"/>
    <x v="0"/>
    <x v="3"/>
    <x v="0"/>
    <x v="8"/>
    <x v="29"/>
    <x v="1"/>
    <s v="B401RA-GMZFJ-20"/>
    <s v="X13"/>
    <s v="BLACK"/>
    <s v="MHKA6GJ6JTJ227683"/>
    <s v="3NR-H996714"/>
    <s v="KCMG042609"/>
    <s v="ANDRI JAYA LAKSANA"/>
    <s v="ALVIN"/>
    <s v="CST-000825724"/>
    <s v="WILY WILDAN SURYA KUSUMAH"/>
    <s v="INDIVIDU"/>
    <s v="WILY WILDAN SURYA KUSUMAH"/>
    <s v="JL GEGERKALONG TENGAH NO. 34"/>
    <s v="KEC. SUKASARI"/>
    <s v="KOTA BANDUNG"/>
    <s v="KREDIT"/>
    <s v="PT. MANDIRI TUNAS FINANCE"/>
    <m/>
    <n v="182200000"/>
    <n v="139575893"/>
    <n v="25875000"/>
    <n v="15677678"/>
    <n v="0"/>
    <n v="0"/>
    <n v="8928571"/>
    <n v="172200000"/>
    <n v="2500000"/>
    <n v="-10000000"/>
    <s v="29/05/26"/>
    <s v="29/05/26"/>
    <s v="Invoice"/>
    <n v="1"/>
    <m/>
    <s v="15/05/26"/>
    <s v="KC-26-000314"/>
    <s v="13/05/26"/>
    <s v="13/05/26"/>
    <s v="15/05/26 16.28"/>
    <s v="EO01827"/>
    <s v="23/05/26"/>
    <s v="06/06/26"/>
    <s v="2026055501"/>
    <s v="20/05/26"/>
    <s v="25/05/26 16.18"/>
    <n v="0"/>
  </r>
  <r>
    <n v="1966"/>
    <n v="146"/>
    <s v="KC"/>
    <s v="146ARI2605-1141"/>
    <s v="28/05/26"/>
    <x v="4"/>
    <n v="2026"/>
    <x v="0"/>
    <x v="0"/>
    <s v="AVANZA G A/T"/>
    <x v="4"/>
    <x v="0"/>
    <x v="0"/>
    <x v="0"/>
    <x v="0"/>
    <x v="0"/>
    <x v="0"/>
    <x v="3"/>
    <x v="9"/>
    <x v="0"/>
    <s v="W101RE-LBMFJ-10"/>
    <s v="W09"/>
    <s v="WHITE"/>
    <s v="MHKAB1BY6TJ021155"/>
    <s v="2NR-4F97800"/>
    <s v="KCMG042511"/>
    <s v="DADAN DARMADI"/>
    <s v="FERYANTO"/>
    <s v="CST-000827284"/>
    <s v="YUYUN. S. PD.I"/>
    <s v="INDIVIDU"/>
    <s v="YUYUN,S.PD.I"/>
    <s v="GANDASARI INDAH BLOK D23"/>
    <s v="KEC. KATAPANG"/>
    <s v="KAB. BANDUNG"/>
    <s v="KREDIT"/>
    <s v="PT. ASTRA SEDAYA FINANCE"/>
    <m/>
    <n v="285000000"/>
    <n v="219888393"/>
    <n v="38725000"/>
    <n v="24779464"/>
    <n v="0"/>
    <n v="0"/>
    <n v="13392857"/>
    <n v="270000000"/>
    <n v="5000000"/>
    <n v="-15000000"/>
    <m/>
    <m/>
    <s v="Invoice"/>
    <n v="1"/>
    <s v="0000000000000000"/>
    <s v="28/05/26"/>
    <s v="KC-26-000272"/>
    <s v="26/05/26"/>
    <s v="26/05/26"/>
    <s v="28/05/26 14.45"/>
    <s v="E702150"/>
    <m/>
    <s v="11/06/26"/>
    <s v="2026056901"/>
    <s v="22/05/26"/>
    <s v="29/05/26 11.37"/>
    <n v="0"/>
  </r>
  <r>
    <n v="1972"/>
    <n v="146"/>
    <s v="KC"/>
    <s v="146ARI2605-0828"/>
    <s v="19/05/26"/>
    <x v="4"/>
    <n v="2026"/>
    <x v="5"/>
    <x v="4"/>
    <s v="VELOZ V AT HYBRID"/>
    <x v="3"/>
    <x v="0"/>
    <x v="1"/>
    <x v="4"/>
    <x v="0"/>
    <x v="3"/>
    <x v="1"/>
    <x v="0"/>
    <x v="37"/>
    <x v="1"/>
    <s v="W102RE-LBVFJ-11"/>
    <s v="089"/>
    <s v="PLATINUM WHITE PEARL MICA"/>
    <s v="MHFA71BY8T0007652"/>
    <s v="2NR-Y696904"/>
    <s v="KCMG042611"/>
    <s v="NOVA KHAIRUNNISA SUMARNA"/>
    <s v="ALVIN"/>
    <s v="CST-000826221"/>
    <s v="ZARMEIDI SABAROEDIN"/>
    <s v="INDIVIDU"/>
    <s v="ZARMEIDI SABAROEDIN"/>
    <s v="JL SALENDRO TIMUR X NO 28"/>
    <s v="KEC. BATUNUNGGAL"/>
    <s v="KOTA BANDUNG"/>
    <s v="CASH"/>
    <s v="CASH"/>
    <m/>
    <n v="304500000"/>
    <n v="235122768"/>
    <n v="41162500"/>
    <n v="28214732"/>
    <n v="0"/>
    <n v="0"/>
    <n v="0"/>
    <n v="304500000"/>
    <n v="5000000"/>
    <n v="0"/>
    <s v="21/05/26"/>
    <s v="21/05/26"/>
    <s v="Invoice"/>
    <n v="1"/>
    <m/>
    <s v="18/05/26"/>
    <s v="KC-26-000312"/>
    <s v="17/05/26"/>
    <s v="17/05/26"/>
    <s v="19/05/26 12.48"/>
    <s v="E800468"/>
    <s v="19/05/26"/>
    <s v="28/05/26"/>
    <s v="2026049653"/>
    <s v="08/05/26"/>
    <s v="24/05/26 15.21"/>
    <n v="0"/>
  </r>
  <r>
    <n v="27"/>
    <n v="146"/>
    <s v="KC"/>
    <s v="146ARI2606-1386"/>
    <s v="30/06/26"/>
    <x v="5"/>
    <n v="2026"/>
    <x v="2"/>
    <x v="2"/>
    <s v="CALYA G M/T"/>
    <x v="1"/>
    <x v="0"/>
    <x v="0"/>
    <x v="1"/>
    <x v="1"/>
    <x v="0"/>
    <x v="0"/>
    <x v="1"/>
    <x v="8"/>
    <x v="0"/>
    <s v="B401RA-GMZFJ-20"/>
    <s v="W09"/>
    <s v="WHITE"/>
    <s v="MHKA6GJ6JTJ230422"/>
    <s v="3NR-5A03333"/>
    <s v="KCMK25002"/>
    <s v="RAHMAWATI"/>
    <s v="FERYANTO"/>
    <s v="CST-000831580"/>
    <s v="ADE FATHU MUKTI"/>
    <s v="INDIVIDU"/>
    <s v="ADE FATHU MUKTI"/>
    <s v="KP DARUSALAM"/>
    <s v="KEC. BUNGBULANG"/>
    <s v="KAB. GARUT"/>
    <s v="KREDIT"/>
    <s v="PT. MANDIRI UTAMA FINANCE"/>
    <m/>
    <n v="182200000"/>
    <n v="139272321"/>
    <n v="26215000"/>
    <n v="15641250"/>
    <n v="0"/>
    <n v="0"/>
    <n v="8928571"/>
    <n v="172200000"/>
    <n v="3000000"/>
    <n v="-10000000"/>
    <m/>
    <m/>
    <s v="Invoice"/>
    <n v="1"/>
    <m/>
    <s v="29/06/26"/>
    <s v="KC-26-000463"/>
    <s v="29/06/26"/>
    <s v="29/06/26"/>
    <s v="30/06/26 08.50"/>
    <s v="FO03240"/>
    <s v="30/06/26"/>
    <s v="14/07/26"/>
    <s v="2026073053"/>
    <s v="27/06/26"/>
    <s v="03/07/26 20.28"/>
    <n v="0"/>
  </r>
  <r>
    <n v="28"/>
    <n v="146"/>
    <s v="KC"/>
    <s v="146ARI2606-1438"/>
    <s v="30/06/26"/>
    <x v="5"/>
    <n v="2026"/>
    <x v="11"/>
    <x v="9"/>
    <s v="LANDCRUISER"/>
    <x v="0"/>
    <x v="0"/>
    <x v="0"/>
    <x v="0"/>
    <x v="0"/>
    <x v="4"/>
    <x v="1"/>
    <x v="0"/>
    <x v="20"/>
    <x v="1"/>
    <s v="FJA300R-GNUSY-18"/>
    <s v="218"/>
    <s v="ATTITUDE BLACK MICA"/>
    <s v="JTMAA7BJ8T4144277"/>
    <s v="F33A-0154083"/>
    <s v="KCMG042424"/>
    <s v="INDAH PITALOKA"/>
    <s v="ALVIN"/>
    <s v="CST-000831717"/>
    <s v="ADE HERYANA SH"/>
    <s v="INDIVIDU"/>
    <s v="ADE HERYANA SH"/>
    <s v="KP BABAKAN CIBOLANG"/>
    <s v="KEC. SOREANG"/>
    <s v="KAB. BANDUNG"/>
    <s v="KREDIT"/>
    <s v="PT. TOYOTA ASTRA FINANCIAL SERVICES"/>
    <m/>
    <n v="2716300000"/>
    <n v="2117243304"/>
    <n v="344987500"/>
    <n v="248712053"/>
    <n v="0"/>
    <n v="0"/>
    <n v="44642857"/>
    <n v="2666300000"/>
    <n v="750000000"/>
    <n v="-50000000"/>
    <m/>
    <m/>
    <s v="Invoice"/>
    <n v="1"/>
    <m/>
    <s v="29/06/26"/>
    <s v="KC-26-000467"/>
    <s v="29/06/26"/>
    <s v="29/06/26"/>
    <s v="30/06/26 16.28"/>
    <s v="EM00021"/>
    <m/>
    <s v="14/07/26"/>
    <s v="2026056285"/>
    <s v="21/05/26"/>
    <s v="03/07/26 17.10"/>
    <n v="0"/>
  </r>
  <r>
    <n v="43"/>
    <n v="146"/>
    <s v="KC"/>
    <s v="146ARI2606-0745"/>
    <s v="17/06/26"/>
    <x v="5"/>
    <n v="2026"/>
    <x v="2"/>
    <x v="2"/>
    <s v="CALYA G M/T"/>
    <x v="2"/>
    <x v="0"/>
    <x v="0"/>
    <x v="4"/>
    <x v="0"/>
    <x v="3"/>
    <x v="2"/>
    <x v="5"/>
    <x v="39"/>
    <x v="2"/>
    <s v="B401RA-GMZFJ-20"/>
    <s v="X13"/>
    <s v="BLACK"/>
    <s v="MHKA6GJ6JTJ229155"/>
    <s v="3NR-5A00364"/>
    <s v="KCMG042610"/>
    <s v="RIZAL SAEPUL ROHMAN"/>
    <s v="MUHAMMAD CAISARIVA"/>
    <s v="CST-000828267"/>
    <s v="AGNI ANGGRAENI"/>
    <s v="INDIVIDU"/>
    <s v="ILHAM FADIL PRATAMA"/>
    <s v="JL. LEMAHNENDEUT II"/>
    <s v="KEC. CIBEUNYING KIDUL"/>
    <s v="KOTA BANDUNG"/>
    <s v="KREDIT"/>
    <s v="PT. MANDIRI TUNAS FINANCE"/>
    <m/>
    <n v="182200000"/>
    <n v="139575893"/>
    <n v="25875000"/>
    <n v="15677678"/>
    <n v="0"/>
    <n v="0"/>
    <n v="8928571"/>
    <n v="172200000"/>
    <n v="0"/>
    <n v="-10000000"/>
    <s v="20/06/26"/>
    <s v="20/06/26"/>
    <s v="Invoice"/>
    <n v="1"/>
    <s v="0000000000000000"/>
    <s v="05/06/26"/>
    <s v="KC-26-000379"/>
    <s v="04/06/26"/>
    <s v="04/06/26"/>
    <s v="05/06/26 11.08"/>
    <s v="FO01368"/>
    <s v="17/06/26"/>
    <s v="01/07/26"/>
    <s v="2026065637"/>
    <s v="11/06/26"/>
    <s v="18/06/26 09.34"/>
    <n v="0"/>
  </r>
  <r>
    <n v="48"/>
    <n v="146"/>
    <s v="KC"/>
    <s v="146ARI2606-1383"/>
    <s v="29/06/26"/>
    <x v="5"/>
    <n v="2026"/>
    <x v="2"/>
    <x v="2"/>
    <s v="CALYA G M/T"/>
    <x v="2"/>
    <x v="0"/>
    <x v="0"/>
    <x v="5"/>
    <x v="0"/>
    <x v="2"/>
    <x v="0"/>
    <x v="0"/>
    <x v="8"/>
    <x v="0"/>
    <s v="B401RA-GMZFJ-20"/>
    <s v="S28"/>
    <s v="Silver Metallic"/>
    <s v="MHKA6GJ6JTJ230089"/>
    <s v="3NR-5A02572"/>
    <s v="KCMK25002"/>
    <s v="RAHMAWATI"/>
    <s v="FERYANTO"/>
    <s v="CST-000831526"/>
    <s v="AGUNG SIDIK ROMANSYAH"/>
    <s v="INDIVIDU"/>
    <s v="AGUNG SIDIK ROMANSYAH"/>
    <s v="KP. MELONG TENGAH CIMAHI SELATAN"/>
    <s v="KEC. CIMAHI SELATAN"/>
    <s v="KOTA CIMAHI"/>
    <s v="KREDIT"/>
    <s v="PT. MANDIRI TUNAS FINANCE"/>
    <m/>
    <n v="182200000"/>
    <n v="139575893"/>
    <n v="25875000"/>
    <n v="15677678"/>
    <n v="0"/>
    <n v="0"/>
    <n v="8928571"/>
    <n v="172200000"/>
    <n v="2000000"/>
    <n v="-10000000"/>
    <m/>
    <m/>
    <s v="Invoice"/>
    <n v="1"/>
    <m/>
    <s v="24/06/26"/>
    <s v="KC-26-000357"/>
    <s v="23/06/26"/>
    <s v="23/06/26"/>
    <s v="29/06/26 15.29"/>
    <s v="FO02813"/>
    <s v="29/06/26"/>
    <s v="13/07/26"/>
    <s v="2026070871"/>
    <s v="23/06/26"/>
    <s v="30/06/26 09.40"/>
    <n v="0"/>
  </r>
  <r>
    <n v="51"/>
    <n v="146"/>
    <s v="KC"/>
    <s v="146ARI2606-1082"/>
    <s v="24/06/26"/>
    <x v="5"/>
    <n v="2026"/>
    <x v="1"/>
    <x v="1"/>
    <s v="HIACE COMM"/>
    <x v="0"/>
    <x v="0"/>
    <x v="0"/>
    <x v="0"/>
    <x v="0"/>
    <x v="0"/>
    <x v="1"/>
    <x v="0"/>
    <x v="17"/>
    <x v="2"/>
    <s v="KDH223R-LEMDY-11"/>
    <s v="1E7"/>
    <s v="Silver Metallic"/>
    <s v="JTFST22P0T0055260"/>
    <s v="1KD-B234348"/>
    <s v="KCMG112540"/>
    <s v="KHARISMA GALIH PUTRA"/>
    <s v="MUHAMMAD CAISARIVA"/>
    <s v="CST-000830685"/>
    <s v="AGUS HERMAWAN"/>
    <s v="INDIVIDU"/>
    <s v="AGUS HERMAWAN"/>
    <s v="KP. PASAR KEMIS"/>
    <s v="KEC. BALEENDAH"/>
    <s v="KAB. BANDUNG"/>
    <s v="KREDIT"/>
    <s v="PT. TOYOTA ASTRA FINANCIAL SERVICES"/>
    <m/>
    <n v="578900000"/>
    <n v="451430180"/>
    <n v="77812500"/>
    <n v="45693355"/>
    <n v="0"/>
    <n v="0"/>
    <n v="36036036"/>
    <n v="538900000"/>
    <n v="0"/>
    <n v="-40000000"/>
    <m/>
    <m/>
    <s v="Invoice"/>
    <n v="1"/>
    <m/>
    <s v="22/06/26"/>
    <s v="KC-26-000415"/>
    <s v="18/06/26"/>
    <s v="18/06/26"/>
    <s v="23/06/26 09.40"/>
    <s v="DP00281"/>
    <s v="24/06/26"/>
    <s v="08/07/26"/>
    <s v="2026039627"/>
    <s v="16/04/26"/>
    <s v="30/06/26 11.00"/>
    <n v="0"/>
  </r>
  <r>
    <n v="55"/>
    <n v="146"/>
    <s v="KC"/>
    <s v="146ARI2606-1416"/>
    <s v="30/06/26"/>
    <x v="5"/>
    <n v="2026"/>
    <x v="2"/>
    <x v="2"/>
    <s v="CALYA G M/T"/>
    <x v="4"/>
    <x v="0"/>
    <x v="0"/>
    <x v="6"/>
    <x v="1"/>
    <x v="3"/>
    <x v="0"/>
    <x v="0"/>
    <x v="11"/>
    <x v="1"/>
    <s v="B401RA-GMZFJ-20"/>
    <s v="X13"/>
    <s v="BLACK"/>
    <s v="MHKA6GJ6JTJ230517"/>
    <s v="3NR-5A03306"/>
    <s v="KCMG052428"/>
    <s v="MUHAMMAD FADIL FAHMI RUSTANDI"/>
    <s v="ALVIN"/>
    <s v="CST-000830384"/>
    <s v="AGUS MURSADA"/>
    <s v="INDIVIDU"/>
    <s v="CHRISTINA WATI EFENDI"/>
    <s v="DUSUN CUKANG LEMAH"/>
    <s v="KEC. TANJUNGSARI"/>
    <s v="KAB. SUMEDANG"/>
    <s v="KREDIT"/>
    <s v="PT. ASTRA SEDAYA FINANCE"/>
    <m/>
    <n v="182200000"/>
    <n v="139263393"/>
    <n v="26225000"/>
    <n v="15640178"/>
    <n v="0"/>
    <n v="0"/>
    <n v="8928571"/>
    <n v="172200000"/>
    <n v="3000000"/>
    <n v="-10000000"/>
    <m/>
    <m/>
    <s v="Invoice"/>
    <n v="1"/>
    <m/>
    <s v="17/06/26"/>
    <s v="KC-26-000418"/>
    <s v="15/06/26"/>
    <s v="15/06/26"/>
    <s v="20/06/26 12.20"/>
    <s v="FO03265"/>
    <m/>
    <s v="14/07/26"/>
    <s v="2026073147"/>
    <s v="29/06/26"/>
    <s v="01/07/26 12.11"/>
    <n v="0"/>
  </r>
  <r>
    <n v="104"/>
    <n v="146"/>
    <s v="KC"/>
    <s v="146ARI2606-0740"/>
    <s v="17/06/26"/>
    <x v="5"/>
    <n v="2026"/>
    <x v="2"/>
    <x v="2"/>
    <s v="CALYA G A/T"/>
    <x v="2"/>
    <x v="0"/>
    <x v="0"/>
    <x v="0"/>
    <x v="0"/>
    <x v="1"/>
    <x v="0"/>
    <x v="7"/>
    <x v="20"/>
    <x v="1"/>
    <s v="B401RA-GQZFJ-20"/>
    <s v="1G3"/>
    <s v="GRAY METALLIC"/>
    <s v="MHKA6GK6JTJ091408"/>
    <s v="3NR-H996676"/>
    <s v="KCMG042424"/>
    <s v="INDAH PITALOKA"/>
    <s v="ALVIN"/>
    <s v="CST-000829345"/>
    <s v="ANANG DEDI"/>
    <s v="INDIVIDU"/>
    <s v="TIARA DHIYA ULHAQ"/>
    <s v="KP GURUDUG"/>
    <s v="KEC. PASEH"/>
    <s v="KAB. BANDUNG"/>
    <s v="KREDIT"/>
    <s v="PT. MANDIRI TUNAS FINANCE"/>
    <m/>
    <n v="196800000"/>
    <n v="150982143"/>
    <n v="27700000"/>
    <n v="17046428"/>
    <n v="0"/>
    <n v="0"/>
    <n v="8928571"/>
    <n v="186800000"/>
    <n v="2000000"/>
    <n v="-10000000"/>
    <s v="22/06/26"/>
    <s v="22/06/26"/>
    <s v="Invoice"/>
    <n v="1"/>
    <m/>
    <s v="12/06/26"/>
    <s v="KC-26-000416"/>
    <s v="11/06/26"/>
    <s v="11/06/26"/>
    <s v="12/06/26 15.50"/>
    <s v="EO01804"/>
    <s v="17/06/26"/>
    <s v="01/07/26"/>
    <s v="2026056053"/>
    <s v="21/05/26"/>
    <s v="18/06/26 13.01"/>
    <n v="0"/>
  </r>
  <r>
    <n v="121"/>
    <n v="146"/>
    <s v="KC"/>
    <s v="146ARI2606-1042"/>
    <s v="23/06/26"/>
    <x v="5"/>
    <n v="2026"/>
    <x v="3"/>
    <x v="3"/>
    <s v="INNOVA G A/T DIESEL"/>
    <x v="2"/>
    <x v="0"/>
    <x v="0"/>
    <x v="0"/>
    <x v="0"/>
    <x v="4"/>
    <x v="1"/>
    <x v="0"/>
    <x v="31"/>
    <x v="0"/>
    <s v="GUN142R-MDTSXD-30"/>
    <s v="218"/>
    <s v="ATTITUDE BLACK MICA"/>
    <s v="MHFJB8EM4T1196018"/>
    <s v="2GD-1982547"/>
    <s v="KCMG032607"/>
    <s v="FANI PERMANI"/>
    <s v="FERYANTO"/>
    <s v="CST-000830756"/>
    <s v="ANDRI NURMAN"/>
    <s v="INDIVIDU"/>
    <s v="ALFINA ZULFA SHALIHA"/>
    <s v="KOMP GRIYA MITRA BLOK B-13 NO 10"/>
    <s v="KEC. CILEUNYI"/>
    <s v="KAB. BANDUNG"/>
    <s v="KREDIT"/>
    <s v="PT. MANDIRI TUNAS FINANCE"/>
    <m/>
    <n v="442700000"/>
    <n v="343091518"/>
    <n v="58437500"/>
    <n v="39028125"/>
    <n v="0"/>
    <n v="0"/>
    <n v="17857143"/>
    <n v="422700000"/>
    <n v="10000000"/>
    <n v="-20000000"/>
    <s v="25/06/26"/>
    <s v="25/06/26"/>
    <s v="Invoice"/>
    <n v="1"/>
    <m/>
    <s v="22/06/26"/>
    <s v="KC-26-000398"/>
    <s v="20/06/26"/>
    <s v="20/06/26"/>
    <s v="23/06/26 14.19"/>
    <s v="EC03449"/>
    <s v="23/06/26"/>
    <s v="07/07/26"/>
    <s v="2026059014"/>
    <s v="28/05/26"/>
    <s v="29/06/26 09.02"/>
    <n v="0"/>
  </r>
  <r>
    <n v="122"/>
    <n v="146"/>
    <s v="KC"/>
    <s v="146ARI2606-1442"/>
    <s v="30/06/26"/>
    <x v="5"/>
    <n v="2026"/>
    <x v="0"/>
    <x v="0"/>
    <s v="AVANZA E M/T"/>
    <x v="4"/>
    <x v="0"/>
    <x v="0"/>
    <x v="0"/>
    <x v="0"/>
    <x v="0"/>
    <x v="0"/>
    <x v="1"/>
    <x v="14"/>
    <x v="2"/>
    <s v="W100RE-LMDFJ-00"/>
    <s v="X12"/>
    <s v="BLACK MICA"/>
    <s v="MHKAA1BY5TJ012790"/>
    <s v="1NR-G318618"/>
    <s v="KCMG022606"/>
    <s v="RIDWAN MUSTOFA"/>
    <s v="MUHAMMAD CAISARIVA"/>
    <s v="CST-000816104"/>
    <s v="ANDRI SULAEMAN"/>
    <s v="INDIVIDU"/>
    <s v="WIDIAWATI"/>
    <s v="JL CIJERUK"/>
    <s v="KEC. BOJONGSOANG"/>
    <s v="KAB. BANDUNG"/>
    <s v="KREDIT"/>
    <s v="PT. ASTRA SEDAYA FINANCE"/>
    <m/>
    <n v="247000000"/>
    <n v="190200893"/>
    <n v="33975000"/>
    <n v="21109821"/>
    <n v="0"/>
    <n v="0"/>
    <n v="14285714"/>
    <n v="231000000"/>
    <n v="4500000"/>
    <n v="-16000000"/>
    <m/>
    <m/>
    <s v="Invoice"/>
    <n v="1"/>
    <s v="3204080808870009"/>
    <s v="05/03/26"/>
    <s v="KC-26-000087"/>
    <s v="04/03/26"/>
    <s v="04/03/26"/>
    <s v="05/03/26 10.42"/>
    <s v="B701610"/>
    <s v="30/06/26"/>
    <s v="14/07/26"/>
    <s v="2026019641"/>
    <s v="21/02/26"/>
    <s v="01/07/26 09.14"/>
    <n v="0"/>
  </r>
  <r>
    <n v="123"/>
    <n v="146"/>
    <s v="KC"/>
    <s v="146ARI2606-1431"/>
    <s v="30/06/26"/>
    <x v="5"/>
    <n v="2026"/>
    <x v="0"/>
    <x v="0"/>
    <s v="AVANZA E M/T"/>
    <x v="4"/>
    <x v="0"/>
    <x v="0"/>
    <x v="0"/>
    <x v="0"/>
    <x v="0"/>
    <x v="0"/>
    <x v="1"/>
    <x v="14"/>
    <x v="2"/>
    <s v="W100RE-LMDFJ-00"/>
    <s v="X12"/>
    <s v="BLACK MICA"/>
    <s v="MHKAA1BY5TJ012790"/>
    <s v="1NR-G318618"/>
    <s v="KCMG022606"/>
    <s v="RIDWAN MUSTOFA"/>
    <s v="MUHAMMAD CAISARIVA"/>
    <s v="CST-000816104"/>
    <s v="ANDRI SULAEMAN"/>
    <s v="INDIVIDU"/>
    <s v="WIDIAWATI"/>
    <s v="JL CIJERUK"/>
    <s v="KEC. BOJONGSOANG"/>
    <s v="KAB. BANDUNG"/>
    <s v="KREDIT"/>
    <s v="PT. ASTRA SEDAYA FINANCE"/>
    <m/>
    <n v="246700000"/>
    <n v="-189966518"/>
    <n v="-33937500"/>
    <n v="-21081696"/>
    <n v="0"/>
    <n v="0"/>
    <n v="-14285714"/>
    <n v="-230700000"/>
    <n v="0"/>
    <n v="-16000000"/>
    <m/>
    <m/>
    <s v="Credit Memo"/>
    <n v="-1"/>
    <s v="3204080808870009"/>
    <s v="05/03/26"/>
    <s v="KC-26-000087"/>
    <s v="04/03/26"/>
    <s v="04/03/26"/>
    <s v="05/03/26 10.42"/>
    <s v="B701610"/>
    <s v="30/06/26"/>
    <s v="14/07/26"/>
    <s v="2026019641"/>
    <s v="21/02/26"/>
    <s v="01/07/26 09.14"/>
    <n v="0"/>
  </r>
  <r>
    <n v="131"/>
    <n v="146"/>
    <s v="KC"/>
    <s v="146ARI2606-1039"/>
    <s v="23/06/26"/>
    <x v="5"/>
    <n v="2026"/>
    <x v="5"/>
    <x v="4"/>
    <s v="VELOZ V AT HYBRID"/>
    <x v="3"/>
    <x v="0"/>
    <x v="1"/>
    <x v="2"/>
    <x v="0"/>
    <x v="0"/>
    <x v="1"/>
    <x v="4"/>
    <x v="2"/>
    <x v="1"/>
    <s v="W102RE-LBVFJ-11"/>
    <s v="089"/>
    <s v="PLATINUM WHITE PEARL MICA"/>
    <s v="MHFA71BY7T0009781"/>
    <s v="2NR-Y711511"/>
    <s v="KCMG042414"/>
    <s v="RIZKI RISMAWAN"/>
    <s v="ALVIN"/>
    <s v="CST-000828084"/>
    <s v="ANGGA MAULANA NURHUDA"/>
    <s v="INDIVIDU"/>
    <s v="ANGGA MAULANA NURHUDA"/>
    <s v="KP NYAMPAY"/>
    <s v="KEC. LEMBANG"/>
    <s v="KAB. BANDUNG BARAT"/>
    <s v="CASH"/>
    <s v="CASH"/>
    <m/>
    <n v="304500000"/>
    <n v="235122768"/>
    <n v="41162500"/>
    <n v="28214732"/>
    <n v="0"/>
    <n v="0"/>
    <n v="0"/>
    <n v="304500000"/>
    <n v="6000000"/>
    <n v="0"/>
    <s v="27/06/26"/>
    <s v="27/06/26"/>
    <s v="Invoice"/>
    <n v="1"/>
    <m/>
    <s v="03/06/26"/>
    <s v="KC-26-000355"/>
    <s v="03/06/26"/>
    <s v="03/06/26"/>
    <s v="04/06/26 13.27"/>
    <s v="F800269"/>
    <s v="23/06/26"/>
    <s v="02/07/26"/>
    <s v="2026061825"/>
    <s v="04/06/26"/>
    <s v="24/06/26 06.52"/>
    <n v="0"/>
  </r>
  <r>
    <n v="135"/>
    <n v="146"/>
    <s v="KC"/>
    <s v="146ARI2606-0455"/>
    <s v="12/06/26"/>
    <x v="5"/>
    <n v="2026"/>
    <x v="0"/>
    <x v="0"/>
    <s v="AVANZA G A/T"/>
    <x v="2"/>
    <x v="0"/>
    <x v="0"/>
    <x v="2"/>
    <x v="0"/>
    <x v="0"/>
    <x v="0"/>
    <x v="1"/>
    <x v="41"/>
    <x v="0"/>
    <s v="W101RE-LBMFJ-10"/>
    <s v="X12"/>
    <s v="BLACK MICA"/>
    <s v="MHKAB1BY9TJ022509"/>
    <s v="2NR-4G07872"/>
    <s v="KCMG062615"/>
    <s v="REZA PAHLEVI PUTRA PRIBADI"/>
    <s v="FERYANTO"/>
    <s v="CST-000829230"/>
    <s v="ANGGIE CHRISNA DEWI,ST"/>
    <s v="INDIVIDU"/>
    <s v="RONALDI RAFUS, A.Md"/>
    <s v="G-LAND PADALARANG RESIDENCE BLOK I 16"/>
    <s v="KEC. PADALARANG"/>
    <s v="KAB. BANDUNG BARAT"/>
    <s v="KREDIT"/>
    <s v="PT. MANDIRI TUNAS FINANCE"/>
    <m/>
    <n v="285000000"/>
    <n v="219888393"/>
    <n v="38725000"/>
    <n v="24779464"/>
    <n v="0"/>
    <n v="0"/>
    <n v="13392857"/>
    <n v="270000000"/>
    <n v="6000000"/>
    <n v="-15000000"/>
    <s v="22/06/26"/>
    <s v="22/06/26"/>
    <s v="Invoice"/>
    <n v="1"/>
    <m/>
    <s v="11/06/26"/>
    <s v="KC-26-000394"/>
    <s v="11/06/26"/>
    <s v="11/06/26"/>
    <s v="11/06/26 18.00"/>
    <s v="F701059"/>
    <s v="12/06/26"/>
    <s v="26/06/26"/>
    <s v="2026065026"/>
    <s v="10/06/26"/>
    <s v="16/06/26 17.37"/>
    <n v="0"/>
  </r>
  <r>
    <n v="145"/>
    <n v="146"/>
    <s v="KC"/>
    <s v="146ARI2606-0677"/>
    <s v="15/06/26"/>
    <x v="5"/>
    <n v="2026"/>
    <x v="5"/>
    <x v="4"/>
    <s v="VELOZ V AT HYBRID"/>
    <x v="0"/>
    <x v="0"/>
    <x v="0"/>
    <x v="4"/>
    <x v="0"/>
    <x v="3"/>
    <x v="0"/>
    <x v="1"/>
    <x v="29"/>
    <x v="1"/>
    <s v="W102RE-LBVFJ-10"/>
    <s v="X12"/>
    <s v="BLACK MICA"/>
    <s v="MHFA71BY6T0008184"/>
    <s v="2NR-Y700122"/>
    <s v="KCMG042609"/>
    <s v="ANDRI JAYA LAKSANA"/>
    <s v="ALVIN"/>
    <s v="CST-000829593"/>
    <s v="ANNO ADE HASOLOAN"/>
    <s v="INDIVIDU"/>
    <s v="ANNO ADE HASOLOAN"/>
    <s v="JL BABAKAN CIPARAY GG MISBAH"/>
    <s v="KEC. BABAKAN CIPARAY"/>
    <s v="KOTA BANDUNG"/>
    <s v="KREDIT"/>
    <s v="PT. TOYOTA ASTRA FINANCIAL SERVICES"/>
    <m/>
    <n v="303000000"/>
    <n v="233950893"/>
    <n v="40975000"/>
    <n v="28074107"/>
    <n v="0"/>
    <n v="0"/>
    <n v="0"/>
    <n v="303000000"/>
    <n v="0"/>
    <n v="0"/>
    <s v="18/06/26"/>
    <s v="18/06/26"/>
    <s v="Invoice"/>
    <n v="1"/>
    <m/>
    <s v="14/06/26"/>
    <s v="KC-26-000419"/>
    <s v="15/06/26"/>
    <s v="15/06/26"/>
    <s v="15/06/26 09.51"/>
    <s v="E800996"/>
    <s v="15/06/26"/>
    <s v="29/06/26"/>
    <s v="2026052561"/>
    <s v="13/05/26"/>
    <s v="19/06/26 07.32"/>
    <n v="0"/>
  </r>
  <r>
    <n v="147"/>
    <n v="146"/>
    <s v="KC"/>
    <s v="146ARI2606-0260"/>
    <s v="08/06/26"/>
    <x v="5"/>
    <n v="2026"/>
    <x v="4"/>
    <x v="3"/>
    <s v="INNOVA ZENIX Q A/T HYBRID"/>
    <x v="0"/>
    <x v="0"/>
    <x v="0"/>
    <x v="4"/>
    <x v="0"/>
    <x v="0"/>
    <x v="0"/>
    <x v="1"/>
    <x v="1"/>
    <x v="0"/>
    <s v="MAGH10R-BPXHBD-11"/>
    <s v="089"/>
    <s v="PLATINUM WHITE PEARL"/>
    <s v="MHFABBAA8T0473235"/>
    <s v="M20A-NF90068"/>
    <s v="KCMK24005"/>
    <s v="JAJANG NURJAMAN"/>
    <s v="FERYANTO"/>
    <s v="CST-000827954"/>
    <s v="ANTON RAHMAT KARTA ATMAJA"/>
    <s v="INDIVIDU"/>
    <s v="ANTON RAHMAT KARTA ATMAJA"/>
    <s v="JLN. CIBIRU TONGGOH"/>
    <s v="KEC. CIBIRU"/>
    <s v="KOTA BANDUNG"/>
    <s v="KREDIT"/>
    <s v="PT. TOYOTA ASTRA FINANCIAL SERVICES"/>
    <m/>
    <n v="631100000"/>
    <n v="490279018"/>
    <n v="81987500"/>
    <n v="56583482"/>
    <n v="0"/>
    <n v="0"/>
    <n v="18750000"/>
    <n v="610100000"/>
    <n v="0"/>
    <n v="-21000000"/>
    <s v="11/06/26"/>
    <s v="11/06/26"/>
    <s v="Invoice"/>
    <n v="1"/>
    <s v="000.000.000.0-000.000"/>
    <s v="03/06/26"/>
    <s v="KC-26-000262"/>
    <s v="29/05/26"/>
    <s v="29/05/26"/>
    <s v="03/06/26 15.17"/>
    <s v="FJ00090"/>
    <s v="08/06/26"/>
    <s v="22/06/26"/>
    <s v="2026061112"/>
    <s v="03/06/26"/>
    <s v="10/06/26 14.37"/>
    <n v="0"/>
  </r>
  <r>
    <n v="186"/>
    <n v="146"/>
    <s v="KC"/>
    <s v="146ARI2606-0794"/>
    <s v="19/06/26"/>
    <x v="5"/>
    <n v="2026"/>
    <x v="2"/>
    <x v="2"/>
    <s v="CALYA G M/T"/>
    <x v="0"/>
    <x v="0"/>
    <x v="0"/>
    <x v="0"/>
    <x v="0"/>
    <x v="3"/>
    <x v="0"/>
    <x v="0"/>
    <x v="30"/>
    <x v="2"/>
    <s v="B401RA-GMZFJ-20"/>
    <s v="X13"/>
    <s v="BLACK"/>
    <s v="MHKA6GJ6JTJ229490"/>
    <s v="3NR-5A01396"/>
    <s v="KCMG012604"/>
    <s v="SYAFRIL AGUNG SEFILA"/>
    <s v="MUHAMMAD CAISARIVA"/>
    <s v="CST-000829262"/>
    <s v="ATEN PRIATNA"/>
    <s v="INDIVIDU"/>
    <s v="ATEN PRIATNA"/>
    <s v="JL. CEMPAKA VIII NO.2"/>
    <s v="KEC. RANCAEKEK"/>
    <s v="KAB. BANDUNG"/>
    <s v="KREDIT"/>
    <s v="PT. TOYOTA ASTRA FINANCIAL SERVICES"/>
    <m/>
    <n v="182200000"/>
    <n v="139575893"/>
    <n v="25875000"/>
    <n v="15570535"/>
    <n v="0"/>
    <n v="0"/>
    <n v="9821429"/>
    <n v="171200000"/>
    <n v="1500000"/>
    <n v="-11000000"/>
    <s v="25/06/26"/>
    <s v="25/06/26"/>
    <s v="Invoice"/>
    <n v="1"/>
    <s v="0000000000000000"/>
    <s v="11/06/26"/>
    <s v="KC-26-000407"/>
    <s v="11/06/26"/>
    <s v="11/06/26"/>
    <s v="12/06/26 10.44"/>
    <s v="FO01764"/>
    <s v="19/06/26"/>
    <s v="03/07/26"/>
    <s v="2026067712"/>
    <s v="16/06/26"/>
    <s v="20/06/26 13.44"/>
    <n v="0"/>
  </r>
  <r>
    <n v="229"/>
    <n v="146"/>
    <s v="KC"/>
    <s v="146ARI2606-0737"/>
    <s v="17/06/26"/>
    <x v="5"/>
    <n v="2026"/>
    <x v="2"/>
    <x v="2"/>
    <s v="CALYA G A/T"/>
    <x v="2"/>
    <x v="0"/>
    <x v="0"/>
    <x v="2"/>
    <x v="0"/>
    <x v="3"/>
    <x v="0"/>
    <x v="1"/>
    <x v="20"/>
    <x v="1"/>
    <s v="B401RA-GQZFJ-20"/>
    <s v="W09"/>
    <s v="WHITE"/>
    <s v="MHKA6GK6JTJ092094"/>
    <s v="3NR-5A00736"/>
    <s v="KCMG042424"/>
    <s v="INDAH PITALOKA"/>
    <s v="ALVIN"/>
    <s v="CST-000828305"/>
    <s v="CANDRA RIZKI HERMAWAN"/>
    <s v="INDIVIDU"/>
    <s v="CANDRA RIZKI HERMAWAN"/>
    <s v="KP CIKURUTUG"/>
    <s v="KEC. PADALARANG"/>
    <s v="KAB. BANDUNG BARAT"/>
    <s v="KREDIT"/>
    <s v="PT. MANDIRI TUNAS FINANCE"/>
    <m/>
    <n v="196800000"/>
    <n v="150982143"/>
    <n v="27700000"/>
    <n v="17046428"/>
    <n v="0"/>
    <n v="0"/>
    <n v="8928571"/>
    <n v="186800000"/>
    <n v="1710000"/>
    <n v="-10000000"/>
    <s v="20/06/26"/>
    <s v="20/06/26"/>
    <s v="Invoice"/>
    <n v="1"/>
    <m/>
    <s v="05/06/26"/>
    <s v="KC-26-000371"/>
    <s v="04/06/26"/>
    <s v="04/06/26"/>
    <s v="05/06/26 14.17"/>
    <s v="FO01417"/>
    <s v="17/06/26"/>
    <s v="01/07/26"/>
    <s v="2026066138"/>
    <s v="12/06/26"/>
    <s v="18/06/26 10.16"/>
    <n v="0"/>
  </r>
  <r>
    <n v="233"/>
    <n v="146"/>
    <s v="KC"/>
    <s v="146ARI2606-1408"/>
    <s v="30/06/26"/>
    <x v="5"/>
    <n v="2026"/>
    <x v="4"/>
    <x v="3"/>
    <s v="INNOVA ZENIX Q A/T HYBRID"/>
    <x v="0"/>
    <x v="0"/>
    <x v="0"/>
    <x v="0"/>
    <x v="0"/>
    <x v="0"/>
    <x v="1"/>
    <x v="0"/>
    <x v="14"/>
    <x v="2"/>
    <s v="MAGH10R-BPXHBD-10"/>
    <s v="1D6"/>
    <s v="Silver Metallic"/>
    <s v="MHFABBAA4T0472888"/>
    <s v="M20A-NF81762"/>
    <s v="KCMG022606"/>
    <s v="RIDWAN MUSTOFA"/>
    <s v="MUHAMMAD CAISARIVA"/>
    <s v="CST-000831607"/>
    <s v="CECEP ABDULAH"/>
    <s v="INDIVIDU"/>
    <s v="SHINTIA NURHABIBAH"/>
    <s v="KP RANCAMANYAR"/>
    <s v="KEC. PANGALENGAN"/>
    <s v="KAB. BANDUNG"/>
    <s v="KREDIT"/>
    <s v="PT. TOYOTA ASTRA FINANCIAL SERVICES"/>
    <m/>
    <n v="628200000"/>
    <n v="488013393"/>
    <n v="81625000"/>
    <n v="56418750"/>
    <n v="0"/>
    <n v="0"/>
    <n v="17857143"/>
    <n v="608200000"/>
    <n v="11000000"/>
    <n v="-20000000"/>
    <m/>
    <m/>
    <s v="Invoice"/>
    <n v="1"/>
    <s v="0000000000000000"/>
    <s v="30/06/26"/>
    <s v="KC-26-000409"/>
    <s v="30/06/26"/>
    <s v="30/06/26"/>
    <s v="30/06/26 10.02"/>
    <s v="EJ02310"/>
    <m/>
    <s v="14/07/26"/>
    <s v="2026058869"/>
    <s v="26/05/26"/>
    <s v="02/07/26 09.33"/>
    <n v="0"/>
  </r>
  <r>
    <n v="293"/>
    <n v="146"/>
    <s v="KC"/>
    <s v="146ARI2606-0286"/>
    <s v="08/06/26"/>
    <x v="5"/>
    <n v="2026"/>
    <x v="0"/>
    <x v="0"/>
    <s v="AVANZA G M/T"/>
    <x v="3"/>
    <x v="1"/>
    <x v="1"/>
    <x v="0"/>
    <x v="0"/>
    <x v="0"/>
    <x v="1"/>
    <x v="6"/>
    <x v="23"/>
    <x v="1"/>
    <s v="W101RE-LMMFJ-10"/>
    <s v="X12"/>
    <s v="BLACK MICA"/>
    <s v="MHKAB1BYXTJ022048"/>
    <s v="2NR-4G03101"/>
    <s v="KCMG052516"/>
    <s v="YENI"/>
    <s v="ALVIN"/>
    <s v="CST-000828448"/>
    <s v="CV. SINAR MULIA SEJATI"/>
    <s v="PT"/>
    <s v="CV SINAR MULIA SEJATI"/>
    <s v="KP BOBODOLAN"/>
    <s v="KEC. RANCAEKEK"/>
    <s v="KAB. BANDUNG"/>
    <s v="CASH"/>
    <s v="CASH"/>
    <m/>
    <n v="270200000"/>
    <n v="208325893"/>
    <n v="36875000"/>
    <n v="23177678"/>
    <n v="0"/>
    <n v="0"/>
    <n v="15178571"/>
    <n v="253200000"/>
    <n v="0"/>
    <n v="-17000000"/>
    <s v="11/06/26"/>
    <s v="11/06/26"/>
    <s v="Invoice"/>
    <n v="1"/>
    <m/>
    <s v="06/06/26"/>
    <s v="KC-26-000372"/>
    <s v="05/06/26"/>
    <s v="05/06/26"/>
    <s v="06/06/26 13.17"/>
    <s v="E703466"/>
    <s v="08/06/26"/>
    <s v="17/06/26"/>
    <s v="2026062693"/>
    <s v="05/06/26"/>
    <s v="12/06/26 14.00"/>
    <n v="0"/>
  </r>
  <r>
    <n v="316"/>
    <n v="146"/>
    <s v="KC"/>
    <s v="146ARI2606-0149"/>
    <s v="05/06/26"/>
    <x v="5"/>
    <n v="2026"/>
    <x v="0"/>
    <x v="0"/>
    <s v="AVANZA G M/T"/>
    <x v="2"/>
    <x v="0"/>
    <x v="0"/>
    <x v="3"/>
    <x v="1"/>
    <x v="3"/>
    <x v="0"/>
    <x v="0"/>
    <x v="15"/>
    <x v="0"/>
    <s v="W101RE-LMMFJ-00"/>
    <s v="X12"/>
    <s v="BLACK MICA"/>
    <s v="MHKAB1BY0TJ016663"/>
    <s v="2NR-4F55310"/>
    <s v="CMMG122342"/>
    <s v="REGYAWAN KURNIA"/>
    <s v="FERYANTO"/>
    <s v="CST-000815401"/>
    <s v="DANI MAULUDI"/>
    <s v="INDIVIDU"/>
    <s v="DANI MAULUDI"/>
    <s v="KP.CISEUPAN"/>
    <s v="KEC. CUGENANG"/>
    <s v="KAB. CIANJUR"/>
    <s v="KREDIT"/>
    <s v="PT. MANDIRI TUNAS FINANCE"/>
    <m/>
    <n v="269700000"/>
    <n v="-203013393"/>
    <n v="-42325000"/>
    <n v="-22647321"/>
    <n v="0"/>
    <n v="0"/>
    <n v="-14285714"/>
    <n v="-253700000"/>
    <n v="0"/>
    <n v="-16000000"/>
    <m/>
    <m/>
    <s v="Credit Memo"/>
    <n v="-1"/>
    <s v="3203111711910002"/>
    <s v="28/02/26"/>
    <s v="KC-25-001139"/>
    <s v="28/02/26"/>
    <s v="28/02/26"/>
    <s v="28/02/26 19.32"/>
    <m/>
    <m/>
    <s v="19/06/26"/>
    <m/>
    <m/>
    <s v="04/03/26 19.22"/>
    <n v="0"/>
  </r>
  <r>
    <n v="319"/>
    <n v="146"/>
    <s v="KC"/>
    <s v="146ARI2606-1401"/>
    <s v="30/06/26"/>
    <x v="5"/>
    <n v="2026"/>
    <x v="2"/>
    <x v="2"/>
    <s v="CALYA G M/T"/>
    <x v="7"/>
    <x v="0"/>
    <x v="0"/>
    <x v="17"/>
    <x v="1"/>
    <x v="3"/>
    <x v="0"/>
    <x v="0"/>
    <x v="37"/>
    <x v="1"/>
    <s v="B401RA-GMZFJ-20"/>
    <s v="1G3"/>
    <s v="GRAY METALLIC"/>
    <s v="MHKA6GJ6JTJ230526"/>
    <s v="3NR-5A03500"/>
    <s v="KCMG042611"/>
    <s v="NOVA KHAIRUNNISA SUMARNA"/>
    <s v="ALVIN"/>
    <s v="CST-000830930"/>
    <s v="DARSO"/>
    <s v="INDIVIDU"/>
    <s v="DARSO"/>
    <m/>
    <s v="KEC. CIPUNAGARA"/>
    <s v="KAB. SUBANG"/>
    <s v="KREDIT"/>
    <s v="PT. ADIRA DINAMIKA MULTI FINANCE TBK"/>
    <m/>
    <n v="182200000"/>
    <n v="139575893"/>
    <n v="25875000"/>
    <n v="15677678"/>
    <n v="0"/>
    <n v="0"/>
    <n v="8928571"/>
    <n v="172200000"/>
    <n v="2800000"/>
    <n v="-10000000"/>
    <m/>
    <m/>
    <s v="Invoice"/>
    <n v="1"/>
    <m/>
    <s v="22/06/26"/>
    <s v="KC-26-000437"/>
    <s v="20/06/26"/>
    <s v="20/06/26"/>
    <s v="24/06/26 19.08"/>
    <s v="FO03424"/>
    <m/>
    <s v="14/07/26"/>
    <s v="2026073147"/>
    <s v="29/06/26"/>
    <s v="01/07/26 16.16"/>
    <n v="0"/>
  </r>
  <r>
    <n v="350"/>
    <n v="146"/>
    <s v="KC"/>
    <s v="146ARI2606-0763"/>
    <s v="18/06/26"/>
    <x v="5"/>
    <n v="2026"/>
    <x v="2"/>
    <x v="2"/>
    <s v="CALYA G A/T"/>
    <x v="2"/>
    <x v="0"/>
    <x v="0"/>
    <x v="4"/>
    <x v="0"/>
    <x v="0"/>
    <x v="0"/>
    <x v="0"/>
    <x v="42"/>
    <x v="1"/>
    <s v="B401RA-GQZFJ-20"/>
    <s v="1G3"/>
    <s v="GRAY METALLIC"/>
    <s v="MHKA6GK6JTJ092175"/>
    <s v="3NR-5A01091"/>
    <s v="KCMG062617"/>
    <s v="FADHIL MUHAMMAD"/>
    <s v="ALVIN"/>
    <s v="CST-000829976"/>
    <s v="DEVIAN"/>
    <s v="INDIVIDU"/>
    <s v="WULAN PUSPITA SARI"/>
    <s v="KP ANDIR KULON"/>
    <s v="KEC. UJUNGBERUNG"/>
    <s v="KOTA BANDUNG"/>
    <s v="KREDIT"/>
    <s v="PT. MANDIRI TUNAS FINANCE"/>
    <m/>
    <n v="196800000"/>
    <n v="150982143"/>
    <n v="27700000"/>
    <n v="17046428"/>
    <n v="0"/>
    <n v="0"/>
    <n v="8928571"/>
    <n v="186800000"/>
    <n v="2500000"/>
    <n v="-10000000"/>
    <s v="23/06/26"/>
    <s v="23/06/26"/>
    <s v="Invoice"/>
    <n v="1"/>
    <m/>
    <s v="17/06/26"/>
    <s v="KC-26-000369"/>
    <s v="13/06/26"/>
    <s v="13/06/26"/>
    <s v="17/06/26 19.08"/>
    <s v="FO01810"/>
    <s v="18/06/26"/>
    <s v="02/07/26"/>
    <s v="2026067110"/>
    <s v="15/06/26"/>
    <s v="22/06/26 19.04"/>
    <n v="0"/>
  </r>
  <r>
    <n v="375"/>
    <n v="146"/>
    <s v="KC"/>
    <s v="146ARI2606-0765"/>
    <s v="18/06/26"/>
    <x v="5"/>
    <n v="2026"/>
    <x v="3"/>
    <x v="3"/>
    <s v="INNOVA G A/T DIESEL"/>
    <x v="2"/>
    <x v="0"/>
    <x v="0"/>
    <x v="0"/>
    <x v="0"/>
    <x v="3"/>
    <x v="0"/>
    <x v="4"/>
    <x v="24"/>
    <x v="0"/>
    <s v="GUN142R-MDTSXD-30"/>
    <s v="1D6"/>
    <s v="Silver Metallic"/>
    <s v="MHFJB8EM4T1192003"/>
    <s v="2GD-1959709"/>
    <s v="KCMG012605"/>
    <s v="JUARNA KARMAN PUTRA"/>
    <s v="FERYANTO"/>
    <s v="CST-000829840"/>
    <s v="DIDI IRWANTO"/>
    <s v="INDIVIDU"/>
    <s v="DIDI IRWANTO"/>
    <s v="TAMAN KOPO INDAH V SOMMERVILLE 3 NO 42"/>
    <s v="KEC. MARGAASIH"/>
    <s v="KAB. BANDUNG"/>
    <s v="KREDIT"/>
    <s v="PT. MANDIRI TUNAS FINANCE"/>
    <m/>
    <n v="442700000"/>
    <n v="343091518"/>
    <n v="58437500"/>
    <n v="38920982"/>
    <n v="0"/>
    <n v="0"/>
    <n v="18750000"/>
    <n v="421700000"/>
    <n v="8000000"/>
    <n v="-21000000"/>
    <s v="20/06/26"/>
    <s v="20/06/26"/>
    <s v="Invoice"/>
    <n v="1"/>
    <m/>
    <s v="17/06/26"/>
    <s v="KC-26-000423"/>
    <s v="16/06/26"/>
    <s v="16/06/26"/>
    <s v="17/06/26 11.28"/>
    <s v="DC02059"/>
    <s v="18/06/26"/>
    <s v="02/07/26"/>
    <s v="2026043507"/>
    <s v="24/04/26"/>
    <s v="18/06/26 08.47"/>
    <n v="0"/>
  </r>
  <r>
    <n v="383"/>
    <n v="146"/>
    <s v="KC"/>
    <s v="146ARI2606-1444"/>
    <s v="30/06/26"/>
    <x v="5"/>
    <n v="2026"/>
    <x v="2"/>
    <x v="2"/>
    <s v="CALYA G M/T"/>
    <x v="2"/>
    <x v="0"/>
    <x v="0"/>
    <x v="0"/>
    <x v="0"/>
    <x v="3"/>
    <x v="0"/>
    <x v="1"/>
    <x v="32"/>
    <x v="1"/>
    <s v="B401RA-GMZFJ-20"/>
    <s v="1G3"/>
    <s v="GRAY METALLIC"/>
    <s v="MHKA6GJ6JTJ230533"/>
    <s v="3NR-5A03602"/>
    <s v="KCMG042608"/>
    <s v="ARDIAN PURNAMA"/>
    <s v="ALVIN"/>
    <s v="CST-000831701"/>
    <s v="DIKKI YUSMARYANDI"/>
    <s v="INDIVIDU"/>
    <s v="RINTIH KURNIATI"/>
    <s v="KP SEKECARIU"/>
    <s v="KEC. CILEUNYI"/>
    <s v="KAB. BANDUNG"/>
    <s v="KREDIT"/>
    <s v="PT. MANDIRI TUNAS FINANCE"/>
    <m/>
    <n v="182200000"/>
    <n v="139575893"/>
    <n v="25875000"/>
    <n v="15677678"/>
    <n v="0"/>
    <n v="0"/>
    <n v="8928571"/>
    <n v="172200000"/>
    <n v="3000000"/>
    <n v="-10000000"/>
    <m/>
    <m/>
    <s v="Invoice"/>
    <n v="1"/>
    <m/>
    <s v="29/06/26"/>
    <s v="KC-26-000470"/>
    <s v="27/06/26"/>
    <s v="27/06/26"/>
    <s v="30/06/26 16.38"/>
    <s v="FO03394"/>
    <m/>
    <s v="14/07/26"/>
    <s v="2026073147"/>
    <s v="29/06/26"/>
    <s v="30/06/26 11.25"/>
    <n v="0"/>
  </r>
  <r>
    <n v="424"/>
    <n v="146"/>
    <s v="KC"/>
    <s v="146ARI2606-0428"/>
    <s v="11/06/26"/>
    <x v="5"/>
    <n v="2026"/>
    <x v="0"/>
    <x v="0"/>
    <s v="AVANZA G A/T"/>
    <x v="2"/>
    <x v="0"/>
    <x v="0"/>
    <x v="0"/>
    <x v="0"/>
    <x v="0"/>
    <x v="0"/>
    <x v="0"/>
    <x v="8"/>
    <x v="0"/>
    <s v="W101RE-LBMFJ-10"/>
    <s v="1G3"/>
    <s v="GRAY METALLIC"/>
    <s v="MHKAB1BY8TJ021917"/>
    <s v="2NR-4G02766"/>
    <s v="KCMK25002"/>
    <s v="RAHMAWATI"/>
    <s v="FERYANTO"/>
    <s v="CST-000829221"/>
    <s v="EDWIN ERIK EKSTRADA SITORUS S.H"/>
    <s v="INDIVIDU"/>
    <s v="NOVA MAULINHA NASUTION"/>
    <s v="PADASUKA IDEAL RESIDENCE BLOK E4 NO 2"/>
    <s v="KEC. CIMENYAN"/>
    <s v="KAB. BANDUNG"/>
    <s v="KREDIT"/>
    <s v="PT. MANDIRI TUNAS FINANCE"/>
    <m/>
    <n v="285000000"/>
    <n v="219888393"/>
    <n v="38725000"/>
    <n v="24779464"/>
    <n v="0"/>
    <n v="0"/>
    <n v="13392857"/>
    <n v="270000000"/>
    <n v="5000000"/>
    <n v="-15000000"/>
    <s v="19/06/26"/>
    <s v="19/06/26"/>
    <s v="Invoice"/>
    <n v="1"/>
    <s v="0000000000000000"/>
    <s v="11/06/26"/>
    <s v="KC-26-000375"/>
    <s v="09/06/26"/>
    <s v="09/06/26"/>
    <s v="11/06/26 17.32"/>
    <s v="E703308"/>
    <s v="11/06/26"/>
    <s v="25/06/26"/>
    <s v="2026059650"/>
    <s v="29/05/26"/>
    <s v="16/06/26 17.21"/>
    <n v="0"/>
  </r>
  <r>
    <n v="429"/>
    <n v="146"/>
    <s v="KC"/>
    <s v="146ARI2606-1210"/>
    <s v="26/06/26"/>
    <x v="5"/>
    <n v="2026"/>
    <x v="3"/>
    <x v="3"/>
    <s v="INNOVA G A/T DIESEL"/>
    <x v="4"/>
    <x v="0"/>
    <x v="0"/>
    <x v="21"/>
    <x v="1"/>
    <x v="0"/>
    <x v="0"/>
    <x v="1"/>
    <x v="14"/>
    <x v="2"/>
    <s v="GUN142R-MDTSXD-30"/>
    <s v="218"/>
    <s v="ATTITUDE BLACK MICA"/>
    <s v="MHFJB8EM7T1193629"/>
    <s v="2GD-1971266"/>
    <s v="KCMG022606"/>
    <s v="RIDWAN MUSTOFA"/>
    <s v="MUHAMMAD CAISARIVA"/>
    <s v="CST-000831122"/>
    <s v="EKA MAULANA"/>
    <s v="INDIVIDU"/>
    <s v="EKA MAULANA"/>
    <s v="KP PASIRANDU"/>
    <s v="KEC. SERANG BARU"/>
    <s v="KAB. BEKASI"/>
    <s v="KREDIT"/>
    <s v="PT. ASTRA SEDAYA FINANCE"/>
    <m/>
    <n v="438700000"/>
    <n v="340422768"/>
    <n v="57426500"/>
    <n v="38707875"/>
    <n v="0"/>
    <n v="0"/>
    <n v="17857143"/>
    <n v="418700000"/>
    <n v="11000000"/>
    <n v="-20000000"/>
    <m/>
    <m/>
    <s v="Invoice"/>
    <n v="1"/>
    <s v="0000000000000000"/>
    <s v="25/06/26"/>
    <s v="KC-26-000414"/>
    <s v="25/06/26"/>
    <s v="25/06/26"/>
    <s v="25/06/26 18.16"/>
    <s v="EC01003"/>
    <m/>
    <s v="10/07/26"/>
    <s v="2026050765"/>
    <s v="11/05/26"/>
    <s v="30/06/26 17.59"/>
    <n v="0"/>
  </r>
  <r>
    <n v="437"/>
    <n v="146"/>
    <s v="KC"/>
    <s v="146ARI2606-0978"/>
    <s v="23/06/26"/>
    <x v="5"/>
    <n v="2026"/>
    <x v="12"/>
    <x v="10"/>
    <s v="RUSH S A/T"/>
    <x v="4"/>
    <x v="0"/>
    <x v="0"/>
    <x v="0"/>
    <x v="0"/>
    <x v="3"/>
    <x v="0"/>
    <x v="0"/>
    <x v="11"/>
    <x v="1"/>
    <s v="F800RE-GQGFJ-40"/>
    <s v="X12"/>
    <s v="BLACK MICA"/>
    <s v="MHKE8FB3JTK119945"/>
    <s v="2NR-4F77161"/>
    <s v="KCMG052428"/>
    <s v="MUHAMMAD FADIL FAHMI RUSTANDI"/>
    <s v="ALVIN"/>
    <s v="CST-000830650"/>
    <s v="ELIS KARTINI"/>
    <s v="INDIVIDU"/>
    <s v="ELIS KARTINI"/>
    <s v="KP. PASIR KUKUN"/>
    <s v="KEC. MAJALAYA"/>
    <s v="KAB. BANDUNG"/>
    <s v="KREDIT"/>
    <s v="PT. ASTRA SEDAYA FINANCE"/>
    <m/>
    <n v="322500000"/>
    <n v="249185268"/>
    <n v="43412500"/>
    <n v="28295089"/>
    <n v="0"/>
    <n v="0"/>
    <n v="13392857"/>
    <n v="307500000"/>
    <n v="9000000"/>
    <n v="-15000000"/>
    <s v="25/06/26"/>
    <s v="25/06/26"/>
    <s v="Invoice"/>
    <n v="1"/>
    <m/>
    <s v="18/06/26"/>
    <s v="KC-26-000440"/>
    <s v="17/06/26"/>
    <s v="17/06/26"/>
    <s v="22/06/26 17.02"/>
    <s v="DG01179"/>
    <s v="23/06/26"/>
    <s v="07/07/26"/>
    <s v="2026038717"/>
    <s v="15/04/26"/>
    <s v="25/06/26 09.16"/>
    <n v="0"/>
  </r>
  <r>
    <n v="438"/>
    <n v="146"/>
    <s v="KC"/>
    <s v="146ARI2606-0512"/>
    <s v="13/06/26"/>
    <x v="5"/>
    <n v="2026"/>
    <x v="5"/>
    <x v="4"/>
    <s v="VELOZ V AT HYBRID"/>
    <x v="2"/>
    <x v="0"/>
    <x v="0"/>
    <x v="4"/>
    <x v="0"/>
    <x v="0"/>
    <x v="0"/>
    <x v="4"/>
    <x v="8"/>
    <x v="0"/>
    <s v="W102RE-LBVFJ-11"/>
    <s v="089"/>
    <s v="PLATINUM WHITE PEARL MICA"/>
    <s v="MHFA71BY4T0007762"/>
    <s v="2NR-Y697575"/>
    <s v="KCMK25002"/>
    <s v="RAHMAWATI"/>
    <s v="FERYANTO"/>
    <s v="CST-000829227"/>
    <s v="ELIS SARTIKA S.SOS"/>
    <s v="INDIVIDU"/>
    <s v="ELIS SARTIKA S SOS"/>
    <s v="CISARANTEN ENDAH"/>
    <s v="KEC. ARCAMANIK"/>
    <s v="KOTA BANDUNG"/>
    <s v="KREDIT"/>
    <s v="PT. MANDIRI TUNAS FINANCE"/>
    <m/>
    <n v="304500000"/>
    <n v="235122768"/>
    <n v="41162500"/>
    <n v="28214732"/>
    <n v="0"/>
    <n v="0"/>
    <n v="0"/>
    <n v="304500000"/>
    <n v="0"/>
    <n v="0"/>
    <s v="19/06/26"/>
    <s v="19/06/26"/>
    <s v="Invoice"/>
    <n v="1"/>
    <s v="0000000000000000"/>
    <s v="11/06/26"/>
    <s v="KC-26-000376"/>
    <s v="10/06/26"/>
    <s v="10/06/26"/>
    <s v="11/06/26 17.55"/>
    <s v="E800591"/>
    <s v="13/06/26"/>
    <s v="27/06/26"/>
    <s v="2026050240"/>
    <s v="09/05/26"/>
    <s v="16/06/26 17.39"/>
    <n v="0"/>
  </r>
  <r>
    <n v="441"/>
    <n v="146"/>
    <s v="KC"/>
    <s v="146ARI2606-0904"/>
    <s v="22/06/26"/>
    <x v="5"/>
    <n v="2026"/>
    <x v="10"/>
    <x v="8"/>
    <s v="YARIS CROSS S A/T"/>
    <x v="2"/>
    <x v="0"/>
    <x v="0"/>
    <x v="16"/>
    <x v="1"/>
    <x v="0"/>
    <x v="0"/>
    <x v="1"/>
    <x v="18"/>
    <x v="1"/>
    <s v="NYC200R-DHXHBD-01"/>
    <s v="218"/>
    <s v="ATTITUDE BLACK MICA"/>
    <s v="MHFAB8BF5T0042090"/>
    <s v="2NR-Y699658"/>
    <s v="KCMG052429"/>
    <s v="TOPIK HIDAYAT"/>
    <s v="ALVIN"/>
    <s v="CST-000827931"/>
    <s v="ELISABETH DWI WULANDARI"/>
    <s v="INDIVIDU"/>
    <s v="ELISABETH DWI WULANDARI"/>
    <s v="KP KALIBATA NO 48"/>
    <s v="KEC. JAGAKARSA"/>
    <s v="KOTA JAKARTA SELATAN"/>
    <s v="KREDIT"/>
    <s v="PT. MANDIRI TUNAS FINANCE"/>
    <m/>
    <n v="458200000"/>
    <n v="355657143"/>
    <n v="59864000"/>
    <n v="40428857"/>
    <n v="0"/>
    <n v="0"/>
    <n v="18750000"/>
    <n v="437200000"/>
    <n v="4000000"/>
    <n v="-21000000"/>
    <m/>
    <m/>
    <s v="Invoice"/>
    <n v="1"/>
    <m/>
    <s v="03/06/26"/>
    <s v="KC-26-000352"/>
    <s v="29/05/26"/>
    <s v="29/05/26"/>
    <s v="03/06/26 14.06"/>
    <s v="E100128"/>
    <s v="22/06/26"/>
    <s v="06/07/26"/>
    <s v="2026051943"/>
    <s v="12/05/26"/>
    <s v="24/06/26 08.00"/>
    <n v="0"/>
  </r>
  <r>
    <n v="475"/>
    <n v="146"/>
    <s v="KC"/>
    <s v="146ARI2606-0309"/>
    <s v="09/06/26"/>
    <x v="5"/>
    <n v="2026"/>
    <x v="9"/>
    <x v="7"/>
    <s v="AGYA G A/T"/>
    <x v="0"/>
    <x v="0"/>
    <x v="0"/>
    <x v="0"/>
    <x v="0"/>
    <x v="4"/>
    <x v="1"/>
    <x v="0"/>
    <x v="3"/>
    <x v="0"/>
    <s v="A351RA-GBEFJ-00"/>
    <s v="W09"/>
    <s v="WHITE"/>
    <s v="MHKAB1BC9TJ087512"/>
    <s v="WA-A253714"/>
    <s v="KCMG052513"/>
    <s v="DENI ALFIAN"/>
    <s v="FERYANTO"/>
    <s v="CST-000828292"/>
    <s v="FADIA NANDA HIDAYAT"/>
    <s v="INDIVIDU"/>
    <s v="FADIA NANDA HIDAYAT"/>
    <s v="KP LEBAK WANGI"/>
    <s v="KEC. SOREANG"/>
    <s v="KAB. BANDUNG"/>
    <s v="KREDIT"/>
    <s v="PT. TOYOTA ASTRA FINANCIAL SERVICES"/>
    <m/>
    <n v="200800000"/>
    <n v="154107143"/>
    <n v="28200000"/>
    <n v="17421428"/>
    <n v="0"/>
    <n v="0"/>
    <n v="8928571"/>
    <n v="190800000"/>
    <n v="0"/>
    <n v="-10000000"/>
    <s v="13/06/26"/>
    <s v="13/06/26"/>
    <s v="Invoice"/>
    <n v="1"/>
    <s v="3204114810010002"/>
    <s v="04/06/26"/>
    <s v="KC-26-000363"/>
    <s v="03/06/26"/>
    <s v="03/06/26"/>
    <s v="05/06/26 13.36"/>
    <s v="FR00239"/>
    <s v="09/06/26"/>
    <s v="23/06/26"/>
    <s v="2026064002"/>
    <s v="09/06/26"/>
    <s v="10/06/26 17.59"/>
    <n v="0"/>
  </r>
  <r>
    <n v="491"/>
    <n v="146"/>
    <s v="KC"/>
    <s v="146ARI2606-0510"/>
    <s v="12/06/26"/>
    <x v="5"/>
    <n v="2026"/>
    <x v="7"/>
    <x v="5"/>
    <s v="RANGGA-HILUX PU M/T"/>
    <x v="3"/>
    <x v="0"/>
    <x v="1"/>
    <x v="4"/>
    <x v="0"/>
    <x v="0"/>
    <x v="0"/>
    <x v="7"/>
    <x v="6"/>
    <x v="0"/>
    <s v="TGN110R-ATMHKD-10"/>
    <s v="058"/>
    <s v="WHITE"/>
    <s v="MR0AW9AA3T0344247"/>
    <s v="1TR-B427108"/>
    <s v="KCMG042509"/>
    <s v="ERICK JANUAR LISAPALY"/>
    <s v="FERYANTO"/>
    <s v="CST-000829363"/>
    <s v="FARID MUZAYANI"/>
    <s v="INDIVIDU"/>
    <s v="FARID MUZAYANI"/>
    <s v="JALAN H MOCH SYAHRIL NO 43"/>
    <s v="KEC. MANDALAJATI"/>
    <s v="KOTA BANDUNG"/>
    <s v="CASH"/>
    <s v="CASH"/>
    <m/>
    <n v="226500000"/>
    <n v="173637387"/>
    <n v="33762500"/>
    <n v="18010022"/>
    <n v="0"/>
    <n v="0"/>
    <n v="9909910"/>
    <n v="215500000"/>
    <n v="0"/>
    <n v="-11000000"/>
    <s v="15/06/26"/>
    <s v="15/06/26"/>
    <s v="Invoice"/>
    <n v="1"/>
    <s v="0000000000000000"/>
    <s v="12/06/26"/>
    <s v="KC-26-000397"/>
    <s v="12/06/26"/>
    <s v="12/06/26"/>
    <s v="12/06/26 16.26"/>
    <s v="EB00961"/>
    <s v="12/06/26"/>
    <s v="21/06/26"/>
    <s v="2026053347"/>
    <s v="15/05/26"/>
    <s v="20/06/26 16.14"/>
    <n v="0"/>
  </r>
  <r>
    <n v="495"/>
    <n v="146"/>
    <s v="KC"/>
    <s v="146ARI2606-1081"/>
    <s v="24/06/26"/>
    <x v="5"/>
    <n v="2026"/>
    <x v="12"/>
    <x v="10"/>
    <s v="RUSH G A/T"/>
    <x v="3"/>
    <x v="0"/>
    <x v="1"/>
    <x v="2"/>
    <x v="0"/>
    <x v="0"/>
    <x v="0"/>
    <x v="0"/>
    <x v="0"/>
    <x v="0"/>
    <s v="F800RE-GQMFJ-30"/>
    <s v="X12"/>
    <s v="BLACK MICA"/>
    <s v="MHKE8FB2JTK023765"/>
    <s v="2NR-4G06559"/>
    <s v="KCMG072432"/>
    <s v="DENO"/>
    <s v="FERYANTO"/>
    <s v="CST-000830932"/>
    <s v="FATHARANI KHAIRUNISA"/>
    <s v="INDIVIDU"/>
    <s v="FATHARANI KHAIRUNISA"/>
    <s v="THE AWANI RESIDENCE JL. AWANI RAYA UTARA"/>
    <s v="KEC. NGAMPRAH"/>
    <s v="KAB. BANDUNG BARAT"/>
    <s v="CASH"/>
    <s v="CASH"/>
    <m/>
    <n v="307300000"/>
    <n v="237310268"/>
    <n v="41512500"/>
    <n v="26870089"/>
    <n v="0"/>
    <n v="0"/>
    <n v="13392857"/>
    <n v="292300000"/>
    <n v="9000000"/>
    <n v="-15000000"/>
    <s v="27/06/26"/>
    <s v="27/06/26"/>
    <s v="Invoice"/>
    <n v="1"/>
    <s v="0000000000000000"/>
    <s v="24/06/26"/>
    <s v="KC-26-000449"/>
    <s v="24/06/26"/>
    <s v="24/06/26"/>
    <s v="24/06/26 15.18"/>
    <s v="FG00535"/>
    <s v="24/06/26"/>
    <s v="08/07/26"/>
    <s v="2026063551"/>
    <s v="08/06/26"/>
    <s v="26/06/26 13.31"/>
    <n v="0"/>
  </r>
  <r>
    <n v="502"/>
    <n v="146"/>
    <s v="KC"/>
    <s v="146ARI2606-1405"/>
    <s v="30/06/26"/>
    <x v="5"/>
    <n v="2026"/>
    <x v="5"/>
    <x v="4"/>
    <s v="VELOZ V AT HYBRID"/>
    <x v="3"/>
    <x v="0"/>
    <x v="1"/>
    <x v="4"/>
    <x v="0"/>
    <x v="0"/>
    <x v="0"/>
    <x v="1"/>
    <x v="21"/>
    <x v="1"/>
    <s v="W102RE-LBVFJ-11"/>
    <s v="089"/>
    <s v="PLATINUM WHITE PEARL MICA"/>
    <s v="MHFA71BY2T0011521"/>
    <s v="2NR-Y721141"/>
    <s v="KCMG012502"/>
    <s v="DADI SOBARI"/>
    <s v="ALVIN"/>
    <s v="CST-000831608"/>
    <s v="FEBRIAN LUFHIANDA"/>
    <s v="INDIVIDU"/>
    <s v="DIAH FEBRYANTI"/>
    <s v="JL BATU RENGAT NO 129"/>
    <s v="KEC. BANDUNG KULON"/>
    <s v="KOTA BANDUNG"/>
    <s v="CASH"/>
    <s v="CASH"/>
    <m/>
    <n v="304500000"/>
    <n v="235122768"/>
    <n v="41162500"/>
    <n v="28214732"/>
    <n v="0"/>
    <n v="0"/>
    <n v="0"/>
    <n v="304500000"/>
    <n v="204500000"/>
    <n v="0"/>
    <m/>
    <m/>
    <s v="Invoice"/>
    <n v="1"/>
    <m/>
    <s v="29/06/26"/>
    <s v="KC-26-000480"/>
    <s v="29/06/26"/>
    <s v="29/06/26"/>
    <s v="30/06/26 10.05"/>
    <s v="F801950"/>
    <m/>
    <s v="09/07/26"/>
    <s v="2026071387"/>
    <s v="24/06/26"/>
    <s v="01/07/26 00.02"/>
    <n v="0"/>
  </r>
  <r>
    <n v="516"/>
    <n v="146"/>
    <s v="KC"/>
    <s v="146ARI2606-0111"/>
    <s v="04/06/26"/>
    <x v="5"/>
    <n v="2026"/>
    <x v="0"/>
    <x v="0"/>
    <s v="AVANZA E A/T"/>
    <x v="0"/>
    <x v="0"/>
    <x v="0"/>
    <x v="4"/>
    <x v="0"/>
    <x v="0"/>
    <x v="1"/>
    <x v="1"/>
    <x v="17"/>
    <x v="2"/>
    <s v="W100RE-LBDFJ-10"/>
    <s v="W09"/>
    <s v="WHITE"/>
    <s v="MHKAA1BYXTJ017192"/>
    <s v="1NR-G329662"/>
    <s v="KCMG112540"/>
    <s v="KHARISMA GALIH PUTRA"/>
    <s v="MUHAMMAD CAISARIVA"/>
    <s v="CST-000828133"/>
    <s v="FERRY RIONALDY FERDINANDUS"/>
    <s v="INDIVIDU"/>
    <s v="FERRY RIONALDY"/>
    <s v="JL. SETRASARI INDAH KAV.1/2"/>
    <s v="KEC. SUKASARI"/>
    <s v="KOTA BANDUNG"/>
    <s v="KREDIT"/>
    <s v="PT. TOYOTA ASTRA FINANCIAL SERVICES"/>
    <s v="003-26.21309996"/>
    <n v="262200000"/>
    <n v="202075893"/>
    <n v="35875000"/>
    <n v="22641964"/>
    <n v="0"/>
    <n v="0"/>
    <n v="13392857"/>
    <n v="247200000"/>
    <n v="0"/>
    <n v="-15000000"/>
    <s v="11/06/26"/>
    <s v="11/06/26"/>
    <s v="Invoice"/>
    <n v="1"/>
    <s v="0719761249032000"/>
    <s v="04/06/26"/>
    <s v="KC-26-000288"/>
    <s v="31/05/26"/>
    <s v="31/05/26"/>
    <s v="04/06/26 15.19"/>
    <s v="F700005"/>
    <s v="04/06/26"/>
    <s v="18/06/26"/>
    <s v="2026061097"/>
    <s v="03/06/26"/>
    <s v="10/06/26 15.00"/>
    <n v="0"/>
  </r>
  <r>
    <n v="523"/>
    <n v="146"/>
    <s v="KC"/>
    <s v="146ARI2606-0932"/>
    <s v="22/06/26"/>
    <x v="5"/>
    <n v="2026"/>
    <x v="5"/>
    <x v="4"/>
    <s v="VELOZ Q AT HYBRID"/>
    <x v="3"/>
    <x v="0"/>
    <x v="1"/>
    <x v="4"/>
    <x v="0"/>
    <x v="4"/>
    <x v="1"/>
    <x v="4"/>
    <x v="27"/>
    <x v="0"/>
    <s v="W102RE-LBVFJ-06"/>
    <s v="X12"/>
    <s v="BLACK MICA"/>
    <s v="MHFA71BY9T0010592"/>
    <s v="2NR-Y715942"/>
    <s v="KCMG052518"/>
    <s v="YANI ANDRIYANI"/>
    <s v="FERYANTO"/>
    <s v="CST-000830586"/>
    <s v="FINA SILFIANI"/>
    <s v="INDIVIDU"/>
    <s v="FINA SILFIANI"/>
    <s v="KOMP. PATRAMAYA NO. 32"/>
    <s v="KEC. RANCASARI"/>
    <s v="KOTA BANDUNG"/>
    <s v="CASH"/>
    <s v="CASH"/>
    <m/>
    <n v="350000000"/>
    <n v="270669643"/>
    <n v="46850000"/>
    <n v="32480357"/>
    <n v="0"/>
    <n v="0"/>
    <n v="0"/>
    <n v="350000000"/>
    <n v="240000000"/>
    <n v="0"/>
    <m/>
    <m/>
    <s v="Invoice"/>
    <n v="1"/>
    <m/>
    <s v="22/06/26"/>
    <s v="KC-26-000427"/>
    <s v="20/06/26"/>
    <s v="20/06/26"/>
    <s v="22/06/26 14.50"/>
    <s v="F800968"/>
    <s v="22/06/26"/>
    <s v="06/07/26"/>
    <s v="2026066040"/>
    <s v="12/06/26"/>
    <s v="30/06/26 14.33"/>
    <n v="0"/>
  </r>
  <r>
    <n v="539"/>
    <n v="146"/>
    <s v="KC"/>
    <s v="146ARI2606-0660"/>
    <s v="15/06/26"/>
    <x v="5"/>
    <n v="2026"/>
    <x v="2"/>
    <x v="2"/>
    <s v="CALYA G M/T"/>
    <x v="0"/>
    <x v="0"/>
    <x v="0"/>
    <x v="1"/>
    <x v="1"/>
    <x v="0"/>
    <x v="1"/>
    <x v="0"/>
    <x v="14"/>
    <x v="2"/>
    <s v="B401RA-GMZFJ-20"/>
    <s v="W09"/>
    <s v="WHITE"/>
    <s v="MHKA6GJ6JTJ229123"/>
    <s v="3NR-5A00543"/>
    <s v="KCMG022606"/>
    <s v="RIDWAN MUSTOFA"/>
    <s v="MUHAMMAD CAISARIVA"/>
    <s v="CST-000829401"/>
    <s v="GEDE SAEPUDIN"/>
    <s v="INDIVIDU"/>
    <s v="GEDE SAEPUDIN"/>
    <s v="KP AWILIGAR"/>
    <s v="KEC. SAMARANG"/>
    <s v="KAB. GARUT"/>
    <s v="KREDIT"/>
    <s v="PT. TOYOTA ASTRA FINANCIAL SERVICES"/>
    <m/>
    <n v="182200000"/>
    <n v="139272321"/>
    <n v="26215000"/>
    <n v="15641250"/>
    <n v="0"/>
    <n v="0"/>
    <n v="8928571"/>
    <n v="172200000"/>
    <n v="0"/>
    <n v="-10000000"/>
    <s v="27/06/26"/>
    <s v="27/06/26"/>
    <s v="Invoice"/>
    <n v="1"/>
    <s v="0000000000000000"/>
    <s v="12/06/26"/>
    <s v="KC-26-000410"/>
    <s v="12/06/26"/>
    <s v="12/06/26"/>
    <s v="13/06/26 07.59"/>
    <s v="FO01336"/>
    <s v="15/06/26"/>
    <s v="29/06/26"/>
    <s v="2026065637"/>
    <s v="11/06/26"/>
    <s v="19/06/26 22.30"/>
    <n v="0"/>
  </r>
  <r>
    <n v="543"/>
    <n v="146"/>
    <s v="KC"/>
    <s v="146ARI2606-1343"/>
    <s v="29/06/26"/>
    <x v="5"/>
    <n v="2026"/>
    <x v="12"/>
    <x v="10"/>
    <s v="RUSH S A/T"/>
    <x v="4"/>
    <x v="0"/>
    <x v="0"/>
    <x v="0"/>
    <x v="0"/>
    <x v="0"/>
    <x v="2"/>
    <x v="3"/>
    <x v="39"/>
    <x v="2"/>
    <s v="F800RE-GQGFJ-40"/>
    <s v="X12"/>
    <s v="BLACK MICA"/>
    <s v="MHKE8FB3JTK121325"/>
    <s v="2NR-4G01569"/>
    <s v="KCMG042610"/>
    <s v="RIZAL SAEPUL ROHMAN"/>
    <s v="MUHAMMAD CAISARIVA"/>
    <s v="CST-000830019"/>
    <s v="GINA SYARIFATUNNISA"/>
    <s v="INDIVIDU"/>
    <s v="GINA SYARIFATUNNISA"/>
    <s v="KOM. MARGAHURIP ASIH"/>
    <s v="KEC. BANJARAN"/>
    <s v="KAB. BANDUNG"/>
    <s v="KREDIT"/>
    <s v="PT. ASTRA SEDAYA FINANCE"/>
    <m/>
    <n v="322500000"/>
    <n v="249185268"/>
    <n v="43412500"/>
    <n v="28295089"/>
    <n v="0"/>
    <n v="0"/>
    <n v="13392857"/>
    <n v="307500000"/>
    <n v="7000000"/>
    <n v="-15000000"/>
    <m/>
    <m/>
    <s v="Invoice"/>
    <n v="1"/>
    <s v="0000000000000000"/>
    <s v="17/06/26"/>
    <s v="KC-26-000411"/>
    <s v="13/06/26"/>
    <s v="13/06/26"/>
    <s v="18/06/26 09.54"/>
    <s v="EG02311"/>
    <s v="29/06/26"/>
    <s v="13/07/26"/>
    <s v="2026058651"/>
    <s v="26/05/26"/>
    <s v="30/06/26 19.12"/>
    <n v="0"/>
  </r>
  <r>
    <n v="546"/>
    <n v="146"/>
    <s v="KC"/>
    <s v="146ARI2606-0851"/>
    <s v="20/06/26"/>
    <x v="5"/>
    <n v="2026"/>
    <x v="4"/>
    <x v="3"/>
    <s v="INNOVA ZENIX G A/T HIYBRID"/>
    <x v="3"/>
    <x v="0"/>
    <x v="1"/>
    <x v="0"/>
    <x v="0"/>
    <x v="3"/>
    <x v="0"/>
    <x v="5"/>
    <x v="11"/>
    <x v="1"/>
    <s v="MAGH10R-BRXLBD-10"/>
    <s v="1G3"/>
    <s v="GRAY METALLIC"/>
    <s v="MHFABAAA0T0053477"/>
    <s v="M20A-NF81765"/>
    <s v="KCMG052428"/>
    <s v="MUHAMMAD FADIL FAHMI RUSTANDI"/>
    <s v="ALVIN"/>
    <s v="CST-000830280"/>
    <s v="GOUW TJIN HOA"/>
    <s v="INDIVIDU"/>
    <s v="GOUW TJIN HOA"/>
    <s v="JL.RAYA DAYEUHKOLOT NO.360 B"/>
    <s v="KEC. DAYEUHKOLOT"/>
    <s v="KAB. BANDUNG"/>
    <s v="CASH"/>
    <s v="CASH"/>
    <m/>
    <n v="477500000"/>
    <n v="370279018"/>
    <n v="62787500"/>
    <n v="42183482"/>
    <n v="0"/>
    <n v="0"/>
    <n v="18750000"/>
    <n v="456500000"/>
    <n v="6500000"/>
    <n v="-21000000"/>
    <s v="20/06/26"/>
    <s v="20/06/26"/>
    <s v="Invoice"/>
    <n v="1"/>
    <m/>
    <s v="19/06/26"/>
    <s v="KC-26-000441"/>
    <s v="19/06/26"/>
    <s v="19/06/26"/>
    <s v="19/06/26 16.22"/>
    <s v="EJ02239"/>
    <s v="20/06/26"/>
    <s v="04/07/26"/>
    <s v="2026059815"/>
    <s v="29/05/26"/>
    <s v="21/06/26 14.55"/>
    <n v="0"/>
  </r>
  <r>
    <n v="548"/>
    <n v="146"/>
    <s v="KC"/>
    <s v="146ARI2606-1440"/>
    <s v="30/06/26"/>
    <x v="5"/>
    <n v="2026"/>
    <x v="0"/>
    <x v="0"/>
    <s v="AVANZA E M/T"/>
    <x v="4"/>
    <x v="0"/>
    <x v="0"/>
    <x v="0"/>
    <x v="0"/>
    <x v="3"/>
    <x v="0"/>
    <x v="4"/>
    <x v="19"/>
    <x v="0"/>
    <s v="W100RE-LMDFJ-10"/>
    <s v="W09"/>
    <s v="WHITE"/>
    <s v="MHKAA1BY3TJ018572"/>
    <s v="1NR-G331850"/>
    <s v="KCMG122541"/>
    <s v="GALIH HARISTIANTO"/>
    <s v="FERYANTO"/>
    <s v="CST-000831522"/>
    <s v="GUGUM GUMILAR ANGGA DJAJA"/>
    <s v="INDIVIDU"/>
    <s v="GUGUM GUMILAR ANGGA DJAJA"/>
    <s v="JL MANGGAHANG I"/>
    <s v="KEC. BALEENDAH"/>
    <s v="KAB. BANDUNG"/>
    <s v="KREDIT"/>
    <s v="PT. ASTRA SEDAYA FINANCE"/>
    <m/>
    <n v="247000000"/>
    <n v="190200893"/>
    <n v="33975000"/>
    <n v="21216964"/>
    <n v="0"/>
    <n v="0"/>
    <n v="13392857"/>
    <n v="232000000"/>
    <n v="7000000"/>
    <n v="-15000000"/>
    <m/>
    <m/>
    <s v="Invoice"/>
    <n v="1"/>
    <m/>
    <s v="29/06/26"/>
    <s v="KC-26-000455"/>
    <s v="27/06/26"/>
    <s v="27/06/26"/>
    <s v="29/06/26 15.19"/>
    <s v="F702807"/>
    <s v="30/06/26"/>
    <s v="14/07/26"/>
    <s v="2026072159"/>
    <s v="25/06/26"/>
    <s v="02/07/26 10.13"/>
    <n v="0"/>
  </r>
  <r>
    <n v="585"/>
    <n v="146"/>
    <s v="KC"/>
    <s v="146ARI2606-0418"/>
    <s v="11/06/26"/>
    <x v="5"/>
    <n v="2026"/>
    <x v="0"/>
    <x v="0"/>
    <s v="AVANZA E M/T"/>
    <x v="2"/>
    <x v="0"/>
    <x v="0"/>
    <x v="0"/>
    <x v="0"/>
    <x v="0"/>
    <x v="1"/>
    <x v="1"/>
    <x v="17"/>
    <x v="2"/>
    <s v="W100RE-LMDFJ-00"/>
    <s v="X12"/>
    <s v="BLACK MICA"/>
    <s v="MHKAA1BY4TJ012912"/>
    <s v="1NR-G318761"/>
    <s v="KCMG112540"/>
    <s v="KHARISMA GALIH PUTRA"/>
    <s v="MUHAMMAD CAISARIVA"/>
    <s v="CST-000828939"/>
    <s v="HASAN SADIKIN, A.MD"/>
    <s v="INDIVIDU"/>
    <s v="TARMAN HADITSAH"/>
    <s v="KOMP. PRIMA SWARGA RESIDENCE BLOK G-3 NO. 18"/>
    <s v="KEC. ARJASARI"/>
    <s v="KAB. BANDUNG"/>
    <s v="KREDIT"/>
    <s v="PT. MANDIRI TUNAS FINANCE"/>
    <m/>
    <n v="247000000"/>
    <n v="190200893"/>
    <n v="33975000"/>
    <n v="21216964"/>
    <n v="0"/>
    <n v="0"/>
    <n v="13392857"/>
    <n v="232000000"/>
    <n v="6400000"/>
    <n v="-15000000"/>
    <s v="13/06/26"/>
    <s v="13/06/26"/>
    <s v="Invoice"/>
    <n v="1"/>
    <m/>
    <s v="09/06/26"/>
    <s v="KC-26-000383"/>
    <s v="10/06/26"/>
    <s v="10/06/26"/>
    <s v="10/06/26 10.27"/>
    <s v="B701832"/>
    <s v="11/06/26"/>
    <s v="25/06/26"/>
    <s v="2026020018"/>
    <s v="23/02/26"/>
    <s v="15/06/26 10.30"/>
    <n v="0"/>
  </r>
  <r>
    <n v="586"/>
    <n v="146"/>
    <s v="KC"/>
    <s v="146ARI2606-1422"/>
    <s v="30/06/26"/>
    <x v="5"/>
    <n v="2026"/>
    <x v="4"/>
    <x v="3"/>
    <s v="INNOVA ZENIX Q A/T HYBRID"/>
    <x v="0"/>
    <x v="0"/>
    <x v="0"/>
    <x v="9"/>
    <x v="1"/>
    <x v="0"/>
    <x v="0"/>
    <x v="4"/>
    <x v="15"/>
    <x v="0"/>
    <s v="MAGH10R-BPXHBD-11"/>
    <s v="089"/>
    <s v="PLATINUM WHITE PEARL"/>
    <s v="MHFABBAA3T0472980"/>
    <s v="M20A-NF86147"/>
    <s v="CMMG122342"/>
    <s v="REGYAWAN KURNIA"/>
    <s v="FERYANTO"/>
    <s v="CST-000831692"/>
    <s v="HASANUDIN"/>
    <s v="INDIVIDU"/>
    <s v="HASANUDIN"/>
    <s v="GRIYA PERMATA ASRI E9/34"/>
    <s v="KEC. CIPOCOK JAYA"/>
    <s v="KOTA SERANG"/>
    <s v="KREDIT"/>
    <s v="PT. TOYOTA ASTRA FINANCIAL SERVICES"/>
    <m/>
    <n v="629800000"/>
    <n v="490187500"/>
    <n v="80790000"/>
    <n v="56679642"/>
    <n v="0"/>
    <n v="0"/>
    <n v="17857143"/>
    <n v="609800000"/>
    <n v="269087600"/>
    <n v="-20000000"/>
    <m/>
    <m/>
    <s v="Invoice"/>
    <n v="1"/>
    <m/>
    <s v="30/06/26"/>
    <s v="KC-26-000481"/>
    <s v="29/06/26"/>
    <s v="29/06/26"/>
    <s v="30/06/26 15.04"/>
    <s v="EJ02438"/>
    <m/>
    <s v="14/07/26"/>
    <s v="2026059528"/>
    <s v="29/05/26"/>
    <s v="02/07/26 11.20"/>
    <n v="0"/>
  </r>
  <r>
    <n v="605"/>
    <n v="146"/>
    <s v="KC"/>
    <s v="146ARI2606-1135"/>
    <s v="25/06/26"/>
    <x v="5"/>
    <n v="2026"/>
    <x v="14"/>
    <x v="12"/>
    <s v="ALPHARD A/T HYBRID"/>
    <x v="2"/>
    <x v="0"/>
    <x v="0"/>
    <x v="0"/>
    <x v="0"/>
    <x v="0"/>
    <x v="1"/>
    <x v="0"/>
    <x v="1"/>
    <x v="0"/>
    <s v="AAHH40R-PFXLB-02"/>
    <s v="202"/>
    <s v="BLACK"/>
    <s v="JTNACAAH3T8016863"/>
    <s v="A25A-6511922"/>
    <s v="KCMK24005"/>
    <s v="JAJANG NURJAMAN"/>
    <s v="FERYANTO"/>
    <s v="CST-000831043"/>
    <s v="HERDIA"/>
    <s v="INDIVIDU"/>
    <s v="NOVITA MELANI SUTRISNA"/>
    <s v="JL. VILA BANDUNG INDAH NO.56"/>
    <s v="KEC. CILEUNYI"/>
    <s v="KAB. BANDUNG"/>
    <s v="KREDIT"/>
    <s v="PT. MANDIRI TUNAS FINANCE"/>
    <m/>
    <n v="1388000000"/>
    <n v="1079508929"/>
    <n v="178950000"/>
    <n v="124719642"/>
    <n v="0"/>
    <n v="0"/>
    <n v="40178571"/>
    <n v="1343000000"/>
    <n v="0"/>
    <n v="-45000000"/>
    <s v="26/06/26"/>
    <s v="26/06/26"/>
    <s v="Invoice"/>
    <n v="1"/>
    <m/>
    <s v="23/06/26"/>
    <s v="KC-26-000426"/>
    <s v="23/06/26"/>
    <s v="23/06/26"/>
    <s v="25/06/26 13.06"/>
    <s v="EN00138"/>
    <s v="25/06/26"/>
    <s v="09/07/26"/>
    <s v="2026051972"/>
    <s v="12/05/26"/>
    <s v="27/06/26 18.34"/>
    <n v="0"/>
  </r>
  <r>
    <n v="652"/>
    <n v="146"/>
    <s v="KC"/>
    <s v="146ARI2606-1446"/>
    <s v="30/06/26"/>
    <x v="5"/>
    <n v="2026"/>
    <x v="9"/>
    <x v="7"/>
    <s v="AGYA G M/T"/>
    <x v="0"/>
    <x v="0"/>
    <x v="0"/>
    <x v="4"/>
    <x v="0"/>
    <x v="3"/>
    <x v="0"/>
    <x v="5"/>
    <x v="37"/>
    <x v="1"/>
    <s v="A351RA-GMEFJ-00"/>
    <s v="S28"/>
    <s v="Silver Metallic"/>
    <s v="MHKAB1BC5TJ088382"/>
    <s v="WA-A256906"/>
    <s v="KCMG042611"/>
    <s v="NOVA KHAIRUNNISA SUMARNA"/>
    <s v="ALVIN"/>
    <s v="CST-000831337"/>
    <s v="IIN IRNAWATI"/>
    <s v="INDIVIDU"/>
    <s v="IIN IRNAWATI"/>
    <s v="JL. CIBOLERANG NO. 35"/>
    <s v="KEC. BABAKAN CIPARAY"/>
    <s v="KOTA BANDUNG"/>
    <s v="KREDIT"/>
    <s v="PT. TOYOTA ASTRA FINANCIAL SERVICES"/>
    <m/>
    <n v="184600000"/>
    <n v="141450893"/>
    <n v="26175000"/>
    <n v="15581250"/>
    <n v="0"/>
    <n v="0"/>
    <n v="11607143"/>
    <n v="171600000"/>
    <n v="17230000"/>
    <n v="-13000000"/>
    <m/>
    <m/>
    <s v="Invoice"/>
    <n v="1"/>
    <m/>
    <s v="27/06/26"/>
    <s v="KC-26-000466"/>
    <s v="27/06/26"/>
    <s v="27/06/26"/>
    <s v="27/06/26 14.22"/>
    <s v="FR01086"/>
    <m/>
    <s v="14/07/26"/>
    <s v="2026073301"/>
    <s v="29/06/26"/>
    <s v="01/07/26 10.11"/>
    <n v="0"/>
  </r>
  <r>
    <n v="656"/>
    <n v="146"/>
    <s v="KC"/>
    <s v="146ARI2606-0293"/>
    <s v="09/06/26"/>
    <x v="5"/>
    <n v="2026"/>
    <x v="4"/>
    <x v="3"/>
    <s v="INNOVA ZENIX Q A/T HYBRID"/>
    <x v="2"/>
    <x v="0"/>
    <x v="0"/>
    <x v="4"/>
    <x v="0"/>
    <x v="0"/>
    <x v="0"/>
    <x v="1"/>
    <x v="24"/>
    <x v="0"/>
    <s v="MAGH10R-BPXHBD-11"/>
    <s v="089"/>
    <s v="PLATINUM WHITE PEARL"/>
    <s v="MHFABBAA9T0473079"/>
    <s v="M20A-NF86454"/>
    <s v="KCMG012605"/>
    <s v="JUARNA KARMAN PUTRA"/>
    <s v="FERYANTO"/>
    <s v="CST-000828622"/>
    <s v="IKHSAN WAHYUDI"/>
    <s v="INDIVIDU"/>
    <s v="IKHSAN WAHYUDI"/>
    <s v="JL TANJUNG SARI RAYA NO 50"/>
    <s v="KEC. ANTAPANI"/>
    <s v="KOTA BANDUNG"/>
    <s v="KREDIT"/>
    <s v="PT. MANDIRI TUNAS FINANCE"/>
    <m/>
    <n v="631100000"/>
    <n v="490279018"/>
    <n v="81987500"/>
    <n v="56583482"/>
    <n v="0"/>
    <n v="0"/>
    <n v="18750000"/>
    <n v="610100000"/>
    <n v="0"/>
    <n v="-21000000"/>
    <s v="12/06/26"/>
    <s v="12/06/26"/>
    <s v="Invoice"/>
    <n v="1"/>
    <m/>
    <s v="06/06/26"/>
    <s v="KC-26-000265"/>
    <s v="04/06/26"/>
    <s v="04/06/26"/>
    <s v="08/06/26 12.24"/>
    <s v="EJ02567"/>
    <s v="09/06/26"/>
    <s v="23/06/26"/>
    <s v="2026060236"/>
    <s v="30/05/26"/>
    <s v="10/06/26 13.37"/>
    <n v="0"/>
  </r>
  <r>
    <n v="675"/>
    <n v="146"/>
    <s v="KC"/>
    <s v="146ARI2606-1044"/>
    <s v="23/06/26"/>
    <x v="5"/>
    <n v="2026"/>
    <x v="2"/>
    <x v="2"/>
    <s v="CALYA G M/T"/>
    <x v="4"/>
    <x v="0"/>
    <x v="0"/>
    <x v="0"/>
    <x v="0"/>
    <x v="1"/>
    <x v="0"/>
    <x v="1"/>
    <x v="8"/>
    <x v="0"/>
    <s v="B401RA-GMZFJ-20"/>
    <s v="1G3"/>
    <s v="GRAY METALLIC"/>
    <s v="MHKA6GJ6JTJ229852"/>
    <s v="3NR-5A01866"/>
    <s v="KCMK25002"/>
    <s v="RAHMAWATI"/>
    <s v="FERYANTO"/>
    <s v="CST-000828888"/>
    <s v="INDRA GUNAWAN"/>
    <s v="INDIVIDU"/>
    <s v="INDRA GUNAWAN"/>
    <s v="PERUMAHAN BUKIT BUNGA KOPO JLN DAHLIA C NO 9"/>
    <s v="KEC. KATAPANG"/>
    <s v="KAB. BANDUNG"/>
    <s v="KREDIT"/>
    <s v="PT. ASTRA SEDAYA FINANCE"/>
    <m/>
    <n v="182200000"/>
    <n v="139575893"/>
    <n v="25875000"/>
    <n v="15677678"/>
    <n v="0"/>
    <n v="0"/>
    <n v="8928571"/>
    <n v="172200000"/>
    <n v="3000000"/>
    <n v="-10000000"/>
    <s v="27/06/26"/>
    <s v="27/06/26"/>
    <s v="Invoice"/>
    <n v="1"/>
    <m/>
    <s v="09/06/26"/>
    <s v="KC-26-000374"/>
    <s v="06/06/26"/>
    <s v="06/06/26"/>
    <s v="09/06/26 16.43"/>
    <s v="FO02346"/>
    <s v="23/06/26"/>
    <s v="07/07/26"/>
    <s v="2026069544"/>
    <s v="20/06/26"/>
    <s v="24/06/26 16.58"/>
    <n v="0"/>
  </r>
  <r>
    <n v="680"/>
    <n v="146"/>
    <s v="KC"/>
    <s v="146ARI2606-1403"/>
    <s v="30/06/26"/>
    <x v="5"/>
    <n v="2026"/>
    <x v="1"/>
    <x v="1"/>
    <s v="HIACE COMM"/>
    <x v="0"/>
    <x v="0"/>
    <x v="0"/>
    <x v="5"/>
    <x v="0"/>
    <x v="0"/>
    <x v="0"/>
    <x v="0"/>
    <x v="23"/>
    <x v="1"/>
    <s v="KDH223R-LEMDY-11"/>
    <s v="1E7"/>
    <s v="Silver Metallic"/>
    <s v="JTFST22P4T0055357"/>
    <s v="1KD-B235490"/>
    <s v="KCMG052516"/>
    <s v="YENI"/>
    <s v="ALVIN"/>
    <s v="CST-000831548"/>
    <s v="INGRINA DIANA PANDIANGAN"/>
    <s v="INDIVIDU"/>
    <s v="INGRINA DIANA PANDIANGAN"/>
    <s v="JL. KEBON KOPI GG.PAMAJO NO.130"/>
    <s v="KEC. CIMAHI SELATAN"/>
    <s v="KOTA CIMAHI"/>
    <s v="KREDIT"/>
    <s v="PT. TOYOTA ASTRA FINANCIAL SERVICES"/>
    <m/>
    <n v="578900000"/>
    <n v="451430180"/>
    <n v="77812500"/>
    <n v="46188851"/>
    <n v="0"/>
    <n v="0"/>
    <n v="31531532"/>
    <n v="543900000"/>
    <n v="0"/>
    <n v="-35000000"/>
    <m/>
    <m/>
    <s v="Invoice"/>
    <n v="1"/>
    <m/>
    <s v="27/06/26"/>
    <s v="KC-26-000438"/>
    <s v="27/06/26"/>
    <s v="27/06/26"/>
    <s v="29/06/26 17.00"/>
    <s v="DP00461"/>
    <m/>
    <s v="14/07/26"/>
    <s v="2026044175"/>
    <s v="27/04/26"/>
    <s v="07/07/26 10.00"/>
    <n v="0"/>
  </r>
  <r>
    <n v="691"/>
    <n v="146"/>
    <s v="KC"/>
    <s v="146ARI2606-1137"/>
    <s v="25/06/26"/>
    <x v="5"/>
    <n v="2026"/>
    <x v="2"/>
    <x v="2"/>
    <s v="CALYA G M/T"/>
    <x v="2"/>
    <x v="0"/>
    <x v="0"/>
    <x v="2"/>
    <x v="0"/>
    <x v="3"/>
    <x v="0"/>
    <x v="0"/>
    <x v="38"/>
    <x v="1"/>
    <s v="B401RA-GMZFJ-20"/>
    <s v="X13"/>
    <s v="BLACK"/>
    <s v="MHKA6GJ6JTJ229183"/>
    <s v="3NR-5A00661"/>
    <s v="KCMG052613"/>
    <s v="ARIEF PRABOWO"/>
    <s v="ALVIN"/>
    <s v="CST-000830096"/>
    <s v="IRHAM AWALUDIN"/>
    <s v="INDIVIDU"/>
    <s v="ERNI SUMARNI"/>
    <s v="KP. CILANGKOB"/>
    <s v="KEC. CIKALONG WETAN"/>
    <s v="KAB. BANDUNG BARAT"/>
    <s v="KREDIT"/>
    <s v="PT. MANDIRI TUNAS FINANCE"/>
    <m/>
    <n v="182200000"/>
    <n v="139575893"/>
    <n v="25875000"/>
    <n v="15677678"/>
    <n v="0"/>
    <n v="0"/>
    <n v="8928571"/>
    <n v="172200000"/>
    <n v="2000000"/>
    <n v="-10000000"/>
    <m/>
    <m/>
    <s v="Invoice"/>
    <n v="1"/>
    <m/>
    <s v="17/06/26"/>
    <s v="KC-26-000353"/>
    <s v="17/06/26"/>
    <s v="17/06/26"/>
    <s v="18/06/26 13.34"/>
    <s v="FO01414"/>
    <m/>
    <s v="09/07/26"/>
    <s v="2026066127"/>
    <s v="12/06/26"/>
    <s v="27/06/26 12.16"/>
    <n v="0"/>
  </r>
  <r>
    <n v="693"/>
    <n v="146"/>
    <s v="KC"/>
    <s v="146ARI2606-1111"/>
    <s v="25/06/26"/>
    <x v="5"/>
    <n v="2026"/>
    <x v="0"/>
    <x v="0"/>
    <s v="AVANZA E M/T"/>
    <x v="0"/>
    <x v="0"/>
    <x v="0"/>
    <x v="4"/>
    <x v="0"/>
    <x v="3"/>
    <x v="1"/>
    <x v="0"/>
    <x v="2"/>
    <x v="1"/>
    <s v="W100RE-LMDFJ-10"/>
    <s v="X12"/>
    <s v="BLACK MICA"/>
    <s v="MHKAA1BY3TJ018586"/>
    <s v="1NR-G331727"/>
    <s v="KCMG042414"/>
    <s v="RIZKI RISMAWAN"/>
    <s v="ALVIN"/>
    <s v="CST-000830496"/>
    <s v="IRMA ROSMAYANTI"/>
    <s v="INDIVIDU"/>
    <s v="IRMA ROSMAYANTI"/>
    <s v="JL. BABAKAN PRIANGAN RAYA NO. 47"/>
    <s v="KEC. REGOL"/>
    <s v="KOTA BANDUNG"/>
    <s v="KREDIT"/>
    <s v="PT. TOYOTA ASTRA FINANCIAL SERVICES"/>
    <m/>
    <n v="247000000"/>
    <n v="190200893"/>
    <n v="33975000"/>
    <n v="21216964"/>
    <n v="0"/>
    <n v="0"/>
    <n v="13392857"/>
    <n v="232000000"/>
    <n v="7000000"/>
    <n v="-15000000"/>
    <m/>
    <m/>
    <s v="Invoice"/>
    <n v="1"/>
    <m/>
    <s v="20/06/26"/>
    <s v="KC-26-000442"/>
    <s v="20/06/26"/>
    <s v="20/06/26"/>
    <s v="22/06/26 10.45"/>
    <s v="F702827"/>
    <s v="25/06/26"/>
    <s v="09/07/26"/>
    <s v="2026071000"/>
    <s v="23/06/26"/>
    <s v="26/06/26 10.00"/>
    <n v="0"/>
  </r>
  <r>
    <n v="758"/>
    <n v="146"/>
    <s v="KC"/>
    <s v="146ARI2606-0933"/>
    <s v="22/06/26"/>
    <x v="5"/>
    <n v="2026"/>
    <x v="8"/>
    <x v="6"/>
    <s v="FORTUNER 4X2 VRZ A/T DIESEL"/>
    <x v="0"/>
    <x v="0"/>
    <x v="0"/>
    <x v="0"/>
    <x v="0"/>
    <x v="3"/>
    <x v="0"/>
    <x v="0"/>
    <x v="8"/>
    <x v="0"/>
    <s v="GUN166R-SDTHXD-31"/>
    <s v="218"/>
    <s v="ATTITUDE BLACK MICA"/>
    <s v="MHFAA8GS3T0937697"/>
    <s v="1GD-5987576"/>
    <s v="KCMK25002"/>
    <s v="RAHMAWATI"/>
    <s v="FERYANTO"/>
    <s v="CST-000830499"/>
    <s v="KERIS SAPUTRA"/>
    <s v="INDIVIDU"/>
    <s v="KERIS SAPUTRA"/>
    <s v="KOMPLEK CHERRY FIELD CLUSTER CRESIDA, JALAN CIGANITRI 168K"/>
    <s v="KEC. BOJONGSOANG"/>
    <s v="KAB. BANDUNG"/>
    <s v="KREDIT"/>
    <s v="PT. TOYOTA ASTRA FINANCIAL SERVICES"/>
    <m/>
    <n v="680700000"/>
    <n v="529029018"/>
    <n v="88187500"/>
    <n v="59733482"/>
    <n v="0"/>
    <n v="0"/>
    <n v="31250000"/>
    <n v="645700000"/>
    <n v="5000000"/>
    <n v="-35000000"/>
    <s v="25/06/26"/>
    <s v="25/06/26"/>
    <s v="Invoice"/>
    <n v="1"/>
    <m/>
    <s v="19/06/26"/>
    <s v="KC-26-000378"/>
    <s v="17/06/26"/>
    <s v="17/06/26"/>
    <s v="22/06/26 10.52"/>
    <s v="EF00489"/>
    <s v="22/06/26"/>
    <s v="06/07/26"/>
    <s v="2026051590"/>
    <s v="12/05/26"/>
    <s v="23/06/26 10.47"/>
    <n v="0"/>
  </r>
  <r>
    <n v="774"/>
    <n v="146"/>
    <s v="KC"/>
    <s v="146ARI2606-1379"/>
    <s v="29/06/26"/>
    <x v="5"/>
    <n v="2026"/>
    <x v="8"/>
    <x v="6"/>
    <s v="FORTUNER 4X2 VRZ A/T DIESEL"/>
    <x v="0"/>
    <x v="0"/>
    <x v="0"/>
    <x v="0"/>
    <x v="0"/>
    <x v="3"/>
    <x v="0"/>
    <x v="0"/>
    <x v="32"/>
    <x v="1"/>
    <s v="GUN166R-SDTHXD-31"/>
    <s v="218"/>
    <s v="ATTITUDE BLACK MICA"/>
    <s v="MHFAA8GS2T0937528"/>
    <s v="1GD-5984267"/>
    <s v="KCMG042608"/>
    <s v="ARDIAN PURNAMA"/>
    <s v="ALVIN"/>
    <s v="CST-000831478"/>
    <s v="KURNIAWAN"/>
    <s v="INDIVIDU"/>
    <s v="KURNIAWAN"/>
    <s v="KP RANCAMALANG"/>
    <s v="KEC. MARGAASIH"/>
    <s v="KAB. BANDUNG"/>
    <s v="KREDIT"/>
    <s v="PT. TOYOTA ASTRA FINANCIAL SERVICES"/>
    <m/>
    <n v="680700000"/>
    <n v="529029018"/>
    <n v="88187500"/>
    <n v="58662053"/>
    <n v="0"/>
    <n v="0"/>
    <n v="40178571"/>
    <n v="635700000"/>
    <n v="0"/>
    <n v="-45000000"/>
    <m/>
    <m/>
    <s v="Invoice"/>
    <n v="1"/>
    <m/>
    <s v="29/06/26"/>
    <s v="KC-26-000479"/>
    <s v="28/06/26"/>
    <s v="28/06/26"/>
    <s v="29/06/26 13.39"/>
    <s v="EF00338"/>
    <m/>
    <s v="13/07/26"/>
    <s v="2026050353"/>
    <s v="10/05/26"/>
    <s v="30/06/26 12.25"/>
    <n v="0"/>
  </r>
  <r>
    <n v="800"/>
    <n v="146"/>
    <s v="KC"/>
    <s v="146ARI2606-0430"/>
    <s v="11/06/26"/>
    <x v="5"/>
    <n v="2026"/>
    <x v="2"/>
    <x v="2"/>
    <s v="CALYA G M/T"/>
    <x v="5"/>
    <x v="0"/>
    <x v="0"/>
    <x v="2"/>
    <x v="0"/>
    <x v="3"/>
    <x v="1"/>
    <x v="5"/>
    <x v="15"/>
    <x v="0"/>
    <s v="B401RA-GMZFJ-20"/>
    <s v="S28"/>
    <s v="Silver Metallic"/>
    <s v="MHKA6GJ6JTJ228678"/>
    <s v="3NR-H998989"/>
    <s v="CMMG122342"/>
    <s v="REGYAWAN KURNIA"/>
    <s v="FERYANTO"/>
    <s v="CST-000828889"/>
    <s v="LISNAWATI"/>
    <s v="INDIVIDU"/>
    <s v="LISNAWATI"/>
    <s v="KP.CIBEDUG"/>
    <s v="KEC. LEMBANG"/>
    <s v="KAB. BANDUNG BARAT"/>
    <s v="KREDIT"/>
    <s v="PT. BCA FINANCE"/>
    <m/>
    <n v="182200000"/>
    <n v="139575893"/>
    <n v="25875000"/>
    <n v="15677678"/>
    <n v="0"/>
    <n v="0"/>
    <n v="8928571"/>
    <n v="172200000"/>
    <n v="0"/>
    <n v="-10000000"/>
    <s v="13/06/26"/>
    <s v="13/06/26"/>
    <s v="Invoice"/>
    <n v="1"/>
    <m/>
    <s v="09/06/26"/>
    <s v="KC-26-000364"/>
    <s v="08/06/26"/>
    <s v="08/06/26"/>
    <s v="09/06/26 16.51"/>
    <s v="FO00650"/>
    <s v="11/06/26"/>
    <s v="25/06/26"/>
    <s v="2026063558"/>
    <s v="08/06/26"/>
    <s v="12/06/26 14.43"/>
    <n v="0"/>
  </r>
  <r>
    <n v="822"/>
    <n v="146"/>
    <s v="KC"/>
    <s v="146ARI2606-0116"/>
    <s v="04/06/26"/>
    <x v="5"/>
    <n v="2026"/>
    <x v="7"/>
    <x v="5"/>
    <s v="HILUX DC V A/T DIESEL"/>
    <x v="2"/>
    <x v="0"/>
    <x v="0"/>
    <x v="0"/>
    <x v="0"/>
    <x v="1"/>
    <x v="0"/>
    <x v="0"/>
    <x v="8"/>
    <x v="0"/>
    <s v="GUN125R-DTTHXD-40"/>
    <s v="040"/>
    <s v="SUPER WHITE II"/>
    <s v="MR0BB3CD1T5819384"/>
    <s v="2GD-J172623"/>
    <s v="KCMK25002"/>
    <s v="RAHMAWATI"/>
    <s v="FERYANTO"/>
    <s v="CST-000824875"/>
    <s v="M. HIBBATUL WAFI"/>
    <s v="INDIVIDU"/>
    <s v="LULUK FITRIYAH"/>
    <s v="KOMPLEK CHERRY FIELD CLUSTER GRAND CALISTA 168S"/>
    <s v="KEC. BOJONGSOANG"/>
    <s v="KAB. BANDUNG"/>
    <s v="KREDIT"/>
    <s v="PT. MANDIRI TUNAS FINANCE"/>
    <s v="003-26.21309998"/>
    <n v="546800000"/>
    <n v="422321429"/>
    <n v="73800000"/>
    <n v="48000000"/>
    <n v="0"/>
    <n v="0"/>
    <n v="22321429"/>
    <n v="521800000"/>
    <n v="0"/>
    <n v="-25000000"/>
    <s v="05/06/26"/>
    <s v="05/06/26"/>
    <s v="Invoice"/>
    <n v="1"/>
    <m/>
    <s v="07/05/26"/>
    <s v="KC-26-000234"/>
    <s v="06/05/26"/>
    <s v="06/05/26"/>
    <s v="08/05/26 18.20"/>
    <s v="FB00201"/>
    <s v="04/06/26"/>
    <s v="18/06/26"/>
    <s v="2026061419"/>
    <s v="03/06/26"/>
    <s v="05/06/26 17.17"/>
    <n v="0"/>
  </r>
  <r>
    <n v="942"/>
    <n v="146"/>
    <s v="KC"/>
    <s v="146ARI2606-0769"/>
    <s v="18/06/26"/>
    <x v="5"/>
    <n v="2026"/>
    <x v="0"/>
    <x v="0"/>
    <s v="AVANZA E M/T"/>
    <x v="2"/>
    <x v="0"/>
    <x v="0"/>
    <x v="2"/>
    <x v="0"/>
    <x v="3"/>
    <x v="0"/>
    <x v="0"/>
    <x v="32"/>
    <x v="1"/>
    <s v="W100RE-LMDFJ-00"/>
    <s v="X12"/>
    <s v="BLACK MICA"/>
    <s v="MHKAA1BY8TJ013092"/>
    <s v="1NR-G319144"/>
    <s v="KCMG042608"/>
    <s v="ARDIAN PURNAMA"/>
    <s v="ALVIN"/>
    <s v="CST-000828596"/>
    <s v="MUSROIL"/>
    <s v="INDIVIDU"/>
    <s v="MUSROIL"/>
    <s v="KP GANDRUNG"/>
    <s v="KEC. CISARUA"/>
    <s v="KAB. BANDUNG BARAT"/>
    <s v="KREDIT"/>
    <s v="PT. MANDIRI TUNAS FINANCE"/>
    <m/>
    <n v="247000000"/>
    <n v="190200893"/>
    <n v="33975000"/>
    <n v="21109821"/>
    <n v="0"/>
    <n v="0"/>
    <n v="14285714"/>
    <n v="231000000"/>
    <n v="5000000"/>
    <n v="-16000000"/>
    <s v="22/06/26"/>
    <s v="22/06/26"/>
    <s v="Invoice"/>
    <n v="1"/>
    <m/>
    <s v="06/06/26"/>
    <s v="KC-26-000354"/>
    <s v="06/06/26"/>
    <s v="06/06/26"/>
    <s v="08/06/26 15.13"/>
    <s v="B702380"/>
    <s v="18/06/26"/>
    <s v="02/07/26"/>
    <s v="2026024312"/>
    <s v="03/03/26"/>
    <s v="19/06/26 12.57"/>
    <n v="0"/>
  </r>
  <r>
    <n v="953"/>
    <n v="146"/>
    <s v="KC"/>
    <s v="146ARI2606-1340"/>
    <s v="29/06/26"/>
    <x v="5"/>
    <n v="2026"/>
    <x v="3"/>
    <x v="3"/>
    <s v="INNOVA G A/T DIESEL"/>
    <x v="4"/>
    <x v="0"/>
    <x v="0"/>
    <x v="4"/>
    <x v="0"/>
    <x v="3"/>
    <x v="0"/>
    <x v="0"/>
    <x v="18"/>
    <x v="1"/>
    <s v="GUN142R-MDTSXD-30"/>
    <s v="218"/>
    <s v="ATTITUDE BLACK MICA"/>
    <s v="MHFJB8EM5T1194388"/>
    <s v="2GD-1975160"/>
    <s v="KCMG052429"/>
    <s v="TOPIK HIDAYAT"/>
    <s v="ALVIN"/>
    <s v="CST-000830797"/>
    <s v="NANDO WIJAYA"/>
    <s v="INDIVIDU"/>
    <s v="NANDO WIJAYA"/>
    <s v="JL.CIBOLERANG BARAT"/>
    <s v="KEC. BANDUNG KULON"/>
    <s v="KOTA BANDUNG"/>
    <s v="KREDIT"/>
    <s v="PT. ASTRA SEDAYA FINANCE"/>
    <m/>
    <n v="442700000"/>
    <n v="343091518"/>
    <n v="58437500"/>
    <n v="39028125"/>
    <n v="0"/>
    <n v="0"/>
    <n v="17857143"/>
    <n v="422700000"/>
    <n v="10000000"/>
    <n v="-20000000"/>
    <s v="30/06/26"/>
    <s v="30/06/26"/>
    <s v="Invoice"/>
    <n v="1"/>
    <m/>
    <s v="23/06/26"/>
    <s v="KC-26-000435"/>
    <s v="22/06/26"/>
    <s v="22/06/26"/>
    <s v="23/06/26 16.39"/>
    <s v="EC01788"/>
    <s v="29/06/26"/>
    <s v="13/07/26"/>
    <s v="2026053147"/>
    <s v="15/05/26"/>
    <s v="05/07/26 16.03"/>
    <n v="0"/>
  </r>
  <r>
    <n v="959"/>
    <n v="146"/>
    <s v="KC"/>
    <s v="146ARI2606-0675"/>
    <s v="15/06/26"/>
    <x v="5"/>
    <n v="2026"/>
    <x v="0"/>
    <x v="0"/>
    <s v="AVANZA G A/T"/>
    <x v="0"/>
    <x v="0"/>
    <x v="0"/>
    <x v="4"/>
    <x v="0"/>
    <x v="3"/>
    <x v="0"/>
    <x v="0"/>
    <x v="29"/>
    <x v="1"/>
    <s v="W101RE-LBMFJ-10"/>
    <s v="W09"/>
    <s v="WHITE"/>
    <s v="MHKAB1BY4TJ022787"/>
    <s v="2NR-4G10705"/>
    <s v="KCMG042609"/>
    <s v="ANDRI JAYA LAKSANA"/>
    <s v="ALVIN"/>
    <s v="CST-000829594"/>
    <s v="NATANAEL MUHAMAD FIKRI AL GIFARI"/>
    <s v="INDIVIDU"/>
    <s v="NATANAEL MUHAMAD FIKRI AL GIFARI"/>
    <s v="JL BABAKAN CIPARAY GG H ZAKARIA"/>
    <s v="KEC. BABAKAN CIPARAY"/>
    <s v="KOTA BANDUNG"/>
    <s v="KREDIT"/>
    <s v="PT. TOYOTA ASTRA FINANCIAL SERVICES"/>
    <m/>
    <n v="285000000"/>
    <n v="219888393"/>
    <n v="38725000"/>
    <n v="24672321"/>
    <n v="0"/>
    <n v="0"/>
    <n v="14285714"/>
    <n v="269000000"/>
    <n v="0"/>
    <n v="-16000000"/>
    <s v="18/06/26"/>
    <s v="18/06/26"/>
    <s v="Invoice"/>
    <n v="1"/>
    <m/>
    <s v="14/06/26"/>
    <s v="KC-26-000434"/>
    <s v="15/06/26"/>
    <s v="15/06/26"/>
    <s v="15/06/26 09.48"/>
    <s v="F701581"/>
    <s v="15/06/26"/>
    <s v="29/06/26"/>
    <s v="2026066215"/>
    <s v="12/06/26"/>
    <s v="19/06/26 07.46"/>
    <n v="0"/>
  </r>
  <r>
    <n v="960"/>
    <n v="146"/>
    <s v="KC"/>
    <s v="146ARI2606-0771"/>
    <s v="18/06/26"/>
    <x v="5"/>
    <n v="2026"/>
    <x v="1"/>
    <x v="1"/>
    <s v="HIACE PREMIO"/>
    <x v="3"/>
    <x v="0"/>
    <x v="1"/>
    <x v="4"/>
    <x v="0"/>
    <x v="3"/>
    <x v="0"/>
    <x v="0"/>
    <x v="29"/>
    <x v="1"/>
    <s v="GDH321R-EDFDYD-10"/>
    <s v="058"/>
    <s v="WHITE"/>
    <s v="JTF2A9CP4T6013443"/>
    <s v="1GD-9756926"/>
    <s v="KCMG042609"/>
    <s v="ANDRI JAYA LAKSANA"/>
    <s v="ALVIN"/>
    <s v="CST-000830149"/>
    <s v="NATANAEL MUHAMAD FIKRI AL GIFARI"/>
    <s v="INDIVIDU"/>
    <s v="JIHAN KHOIRUL ALLIA"/>
    <s v="JL BABAKAN CIPARAY GG H ZAKARIA"/>
    <s v="KEC. BABAKAN CIPARAY"/>
    <s v="KOTA BANDUNG"/>
    <s v="CASH"/>
    <s v="CASH"/>
    <m/>
    <n v="679100000"/>
    <n v="525680804"/>
    <n v="90337500"/>
    <n v="60295982"/>
    <n v="0"/>
    <n v="0"/>
    <n v="23214286"/>
    <n v="653100000"/>
    <n v="8000000"/>
    <n v="-26000000"/>
    <m/>
    <m/>
    <s v="Invoice"/>
    <n v="1"/>
    <m/>
    <s v="18/06/26"/>
    <s v="KC-26-000436"/>
    <s v="18/06/26"/>
    <s v="18/06/26"/>
    <s v="18/06/26 17.11"/>
    <s v="EP00071"/>
    <s v="18/06/26"/>
    <s v="27/06/26"/>
    <s v="2026068025"/>
    <s v="17/06/26"/>
    <s v="23/06/26 17.02"/>
    <n v="0"/>
  </r>
  <r>
    <n v="967"/>
    <n v="146"/>
    <s v="KC"/>
    <s v="146ARI2606-0767"/>
    <s v="18/06/26"/>
    <x v="5"/>
    <n v="2026"/>
    <x v="0"/>
    <x v="0"/>
    <s v="AVANZA G A/T"/>
    <x v="4"/>
    <x v="0"/>
    <x v="0"/>
    <x v="5"/>
    <x v="0"/>
    <x v="3"/>
    <x v="0"/>
    <x v="1"/>
    <x v="29"/>
    <x v="1"/>
    <s v="W101RE-LBMFJ-10"/>
    <s v="W09"/>
    <s v="WHITE"/>
    <s v="MHKAB1BY2TJ022982"/>
    <s v="2NR-4G12631"/>
    <s v="KCMG042609"/>
    <s v="ANDRI JAYA LAKSANA"/>
    <s v="ALVIN"/>
    <s v="CST-000828807"/>
    <s v="NENAH RODIAH"/>
    <s v="INDIVIDU"/>
    <s v="NANA PRIATNA"/>
    <s v="JL RH ABDUL HALIM NO 1"/>
    <s v="KEC. CIMAHI TENGAH"/>
    <s v="KOTA CIMAHI"/>
    <s v="KREDIT"/>
    <s v="PT. ASTRA SEDAYA FINANCE"/>
    <m/>
    <n v="285000000"/>
    <n v="219888393"/>
    <n v="38725000"/>
    <n v="24672321"/>
    <n v="0"/>
    <n v="0"/>
    <n v="14285714"/>
    <n v="269000000"/>
    <n v="4000000"/>
    <n v="-16000000"/>
    <s v="22/06/26"/>
    <s v="22/06/26"/>
    <s v="Invoice"/>
    <n v="1"/>
    <m/>
    <s v="08/06/26"/>
    <s v="KC-26-000393"/>
    <s v="08/06/26"/>
    <s v="08/06/26"/>
    <s v="09/06/26 11.07"/>
    <s v="F702035"/>
    <s v="18/06/26"/>
    <s v="02/07/26"/>
    <s v="2026067947"/>
    <s v="17/06/26"/>
    <s v="19/06/26 17.54"/>
    <n v="0"/>
  </r>
  <r>
    <n v="968"/>
    <n v="146"/>
    <s v="KC"/>
    <s v="146ARI2606-1092"/>
    <s v="25/06/26"/>
    <x v="5"/>
    <n v="2026"/>
    <x v="2"/>
    <x v="2"/>
    <s v="CALYA G A/T"/>
    <x v="0"/>
    <x v="0"/>
    <x v="0"/>
    <x v="4"/>
    <x v="0"/>
    <x v="0"/>
    <x v="0"/>
    <x v="3"/>
    <x v="2"/>
    <x v="1"/>
    <s v="B401RA-GQZFJ-20"/>
    <s v="1G3"/>
    <s v="GRAY METALLIC"/>
    <s v="MHKA6GK6JTJ092435"/>
    <s v="3NR-5A02022"/>
    <s v="KCMG042414"/>
    <s v="RIZKI RISMAWAN"/>
    <s v="ALVIN"/>
    <s v="CST-000828442"/>
    <s v="NENDEN IRMAYANTI"/>
    <s v="INDIVIDU"/>
    <s v="NENDEN IRMAYANTI"/>
    <s v="JL. BABAKAN SARI III NO. 260"/>
    <s v="KEC. KIARACONDONG"/>
    <s v="KOTA BANDUNG"/>
    <s v="KREDIT"/>
    <s v="PT. TOYOTA ASTRA FINANCIAL SERVICES"/>
    <m/>
    <n v="196800000"/>
    <n v="150982143"/>
    <n v="27700000"/>
    <n v="17046428"/>
    <n v="0"/>
    <n v="0"/>
    <n v="8928571"/>
    <n v="186800000"/>
    <n v="2500000"/>
    <n v="-10000000"/>
    <m/>
    <m/>
    <s v="Invoice"/>
    <n v="1"/>
    <m/>
    <s v="05/06/26"/>
    <s v="KC-26-000389"/>
    <s v="05/06/26"/>
    <s v="05/06/26"/>
    <s v="06/06/26 12.34"/>
    <s v="FO02752"/>
    <s v="25/06/26"/>
    <s v="09/07/26"/>
    <s v="2026070753"/>
    <s v="23/06/26"/>
    <s v="26/06/26 14.40"/>
    <n v="0"/>
  </r>
  <r>
    <n v="976"/>
    <n v="146"/>
    <s v="KC"/>
    <s v="146ARI2606-0681"/>
    <s v="15/06/26"/>
    <x v="5"/>
    <n v="2026"/>
    <x v="0"/>
    <x v="0"/>
    <s v="AVANZA E A/T"/>
    <x v="1"/>
    <x v="0"/>
    <x v="0"/>
    <x v="4"/>
    <x v="0"/>
    <x v="0"/>
    <x v="1"/>
    <x v="5"/>
    <x v="3"/>
    <x v="0"/>
    <s v="W100RE-LBDFJ-10"/>
    <s v="X12"/>
    <s v="BLACK MICA"/>
    <s v="MHKAA1BY1TJ017985"/>
    <s v="1NR-G330649"/>
    <s v="KCMG052513"/>
    <s v="DENI ALFIAN"/>
    <s v="FERYANTO"/>
    <s v="CST-000829450"/>
    <s v="NIA FITRIA"/>
    <s v="INDIVIDU"/>
    <s v="TIO ILHAMI"/>
    <s v="JL MEKARSARI 2"/>
    <s v="KEC. ARCAMANIK"/>
    <s v="KOTA BANDUNG"/>
    <s v="KREDIT"/>
    <s v="PT. MANDIRI UTAMA FINANCE"/>
    <m/>
    <n v="262200000"/>
    <n v="202075893"/>
    <n v="35875000"/>
    <n v="22534821"/>
    <n v="0"/>
    <n v="0"/>
    <n v="14285714"/>
    <n v="246200000"/>
    <n v="5000000"/>
    <n v="-16000000"/>
    <s v="17/06/26"/>
    <s v="17/06/26"/>
    <s v="Invoice"/>
    <n v="1"/>
    <s v="3273245601960002"/>
    <s v="12/06/26"/>
    <s v="KC-26-000396"/>
    <s v="11/06/26"/>
    <s v="11/06/26"/>
    <s v="13/06/26 12.42"/>
    <s v="F701514"/>
    <s v="15/06/26"/>
    <s v="29/06/26"/>
    <s v="2026065483"/>
    <s v="11/06/26"/>
    <s v="21/06/26 08.36"/>
    <n v="0"/>
  </r>
  <r>
    <n v="981"/>
    <n v="146"/>
    <s v="KC"/>
    <s v="146ARI2606-0407"/>
    <s v="11/06/26"/>
    <x v="5"/>
    <n v="2026"/>
    <x v="9"/>
    <x v="7"/>
    <s v="AGYA G A/T"/>
    <x v="2"/>
    <x v="0"/>
    <x v="0"/>
    <x v="0"/>
    <x v="0"/>
    <x v="0"/>
    <x v="0"/>
    <x v="5"/>
    <x v="6"/>
    <x v="0"/>
    <s v="A351RA-GBEFJ-00"/>
    <s v="W09"/>
    <s v="WHITE"/>
    <s v="MHKAB1BC9TJ087574"/>
    <s v="WA-A253875"/>
    <s v="KCMG042509"/>
    <s v="ERICK JANUAR LISAPALY"/>
    <s v="FERYANTO"/>
    <s v="CST-000828471"/>
    <s v="NINA FITRIYANA"/>
    <s v="INDIVIDU"/>
    <s v="NINA FITRIYANA"/>
    <s v="PERUM BUMI BALE ENDAH ASRI BLOK D2 NO 2"/>
    <s v="KEC. BALEENDAH"/>
    <s v="KAB. BANDUNG"/>
    <s v="KREDIT"/>
    <s v="PT. MANDIRI TUNAS FINANCE"/>
    <m/>
    <n v="200800000"/>
    <n v="154107143"/>
    <n v="28200000"/>
    <n v="17421428"/>
    <n v="0"/>
    <n v="0"/>
    <n v="8928571"/>
    <n v="190800000"/>
    <n v="3000000"/>
    <n v="-10000000"/>
    <s v="20/06/26"/>
    <s v="20/06/26"/>
    <s v="Invoice"/>
    <n v="1"/>
    <s v="0000000000000000"/>
    <s v="06/06/26"/>
    <s v="KC-26-000362"/>
    <s v="06/06/26"/>
    <s v="06/06/26"/>
    <s v="06/06/26 14.32"/>
    <s v="FR00289"/>
    <s v="11/06/26"/>
    <s v="25/06/26"/>
    <s v="2026064772"/>
    <s v="10/06/26"/>
    <s v="13/06/26 14.22"/>
    <n v="0"/>
  </r>
  <r>
    <n v="1076"/>
    <n v="146"/>
    <s v="KC"/>
    <s v="146ARI2606-0118"/>
    <s v="04/06/26"/>
    <x v="5"/>
    <n v="2026"/>
    <x v="9"/>
    <x v="7"/>
    <s v="AGYA G A/T"/>
    <x v="2"/>
    <x v="1"/>
    <x v="0"/>
    <x v="0"/>
    <x v="0"/>
    <x v="3"/>
    <x v="0"/>
    <x v="6"/>
    <x v="37"/>
    <x v="1"/>
    <s v="A351RA-GBEFJ-10"/>
    <s v="W09"/>
    <s v="WHITE"/>
    <s v="MHKAB1BC2TJ087349"/>
    <s v="WA-A252720"/>
    <s v="KCMG042611"/>
    <s v="NOVA KHAIRUNNISA SUMARNA"/>
    <s v="ALVIN"/>
    <s v="CST-000827549"/>
    <s v="PT. ALHASHMI INTERNATIONAL TRADERS"/>
    <s v="PT"/>
    <s v="DAWOOD"/>
    <s v="KP. JAGABAYA KALER"/>
    <s v="KEC. CIMAUNG"/>
    <s v="KAB. BANDUNG"/>
    <s v="KREDIT"/>
    <s v="PT. MANDIRI TUNAS FINANCE"/>
    <s v="003-26.21309999"/>
    <n v="204300000"/>
    <n v="156841518"/>
    <n v="28637500"/>
    <n v="17749553"/>
    <n v="0"/>
    <n v="0"/>
    <n v="8928571"/>
    <n v="194300000"/>
    <n v="0"/>
    <n v="-10000000"/>
    <s v="06/06/26"/>
    <s v="06/06/26"/>
    <s v="Invoice"/>
    <n v="1"/>
    <s v="0990102386601000"/>
    <s v="30/05/26"/>
    <s v="KC-26-000335"/>
    <s v="28/05/26"/>
    <s v="28/05/26"/>
    <s v="30/05/26 15.37"/>
    <s v="FR00094"/>
    <s v="04/06/26"/>
    <s v="18/06/26"/>
    <s v="2026061700"/>
    <s v="03/06/26"/>
    <s v="06/06/26 15.08"/>
    <n v="0"/>
  </r>
  <r>
    <n v="1107"/>
    <n v="146"/>
    <s v="KC"/>
    <s v="146ARI2606-0893"/>
    <s v="22/06/26"/>
    <x v="5"/>
    <n v="2026"/>
    <x v="1"/>
    <x v="1"/>
    <s v="HIACE COMM"/>
    <x v="3"/>
    <x v="1"/>
    <x v="1"/>
    <x v="4"/>
    <x v="0"/>
    <x v="0"/>
    <x v="0"/>
    <x v="6"/>
    <x v="10"/>
    <x v="2"/>
    <s v="KDH223R-LEMDY-10"/>
    <s v="058"/>
    <s v="WHITE"/>
    <s v="JTFST22P2T0055650"/>
    <s v="1KD-B238944"/>
    <s v="KCMG012503"/>
    <s v="DERI NURSANDI"/>
    <s v="MUHAMMAD CAISARIVA"/>
    <s v="CST-000830224"/>
    <s v="PT. FOCUS RIZKY SUGIHARTO BERKAH"/>
    <s v="PT"/>
    <s v="PT FOCUS SUGIHARTO BERKAH"/>
    <s v="JALAN RD. H KANTI NO 34"/>
    <s v="KEC. REGOL"/>
    <s v="KOTA BANDUNG"/>
    <s v="CASH"/>
    <s v="CASH"/>
    <m/>
    <n v="578900000"/>
    <n v="451430180"/>
    <n v="77812500"/>
    <n v="46981644"/>
    <n v="0"/>
    <n v="0"/>
    <n v="24324324"/>
    <n v="551900000"/>
    <n v="13000000"/>
    <n v="-27000000"/>
    <s v="25/06/26"/>
    <s v="25/06/26"/>
    <s v="Invoice"/>
    <n v="1"/>
    <s v="0198240319422000"/>
    <s v="19/06/26"/>
    <s v="KC-26-000413"/>
    <s v="19/06/26"/>
    <s v="19/06/26"/>
    <s v="19/06/26 12.57"/>
    <s v="FP00053"/>
    <s v="22/06/26"/>
    <s v="06/07/26"/>
    <s v="2026064937"/>
    <s v="10/06/26"/>
    <s v="26/06/26 11.42"/>
    <n v="0"/>
  </r>
  <r>
    <n v="1108"/>
    <n v="146"/>
    <s v="KC"/>
    <s v="146ARI2606-0790"/>
    <s v="19/06/26"/>
    <x v="5"/>
    <n v="2026"/>
    <x v="1"/>
    <x v="1"/>
    <s v="HIACE COMM"/>
    <x v="3"/>
    <x v="1"/>
    <x v="1"/>
    <x v="4"/>
    <x v="0"/>
    <x v="0"/>
    <x v="1"/>
    <x v="6"/>
    <x v="17"/>
    <x v="2"/>
    <s v="KDH223R-LEMDY-10"/>
    <s v="058"/>
    <s v="WHITE"/>
    <s v="JTFST22P6T0055439"/>
    <s v="1KD-B236436"/>
    <s v="KCMG112540"/>
    <s v="KHARISMA GALIH PUTRA"/>
    <s v="MUHAMMAD CAISARIVA"/>
    <s v="CST-000827391"/>
    <s v="PT. FOCUS RIZKY SUGIHARTO BERKAH"/>
    <s v="PT"/>
    <s v="PT. FOCUS RIZKY SUGIHARTO BERKAH"/>
    <s v="JALAN RD. H. KANTI NO. 34"/>
    <s v="KEC. REGOL"/>
    <s v="KOTA BANDUNG"/>
    <s v="CASH"/>
    <s v="CASH"/>
    <m/>
    <n v="578900000"/>
    <n v="-447399554"/>
    <n v="-77812500"/>
    <n v="-50795089"/>
    <n v="0"/>
    <n v="0"/>
    <n v="-24107143"/>
    <n v="-551900000"/>
    <n v="0"/>
    <n v="-27000000"/>
    <s v="19/06/26"/>
    <s v="19/06/26"/>
    <s v="Credit Memo"/>
    <n v="-1"/>
    <s v="0198240319422000"/>
    <s v="29/05/26"/>
    <s v="KC-26-000344"/>
    <s v="28/05/26"/>
    <s v="28/05/26"/>
    <s v="29/05/26 13.21"/>
    <s v="EP00068"/>
    <s v="19/06/26"/>
    <s v="03/07/26"/>
    <s v="2026048164"/>
    <s v="06/05/26"/>
    <s v="20/06/26 13.00"/>
    <n v="0"/>
  </r>
  <r>
    <n v="1109"/>
    <n v="146"/>
    <s v="KC"/>
    <s v="146ARI2606-0791"/>
    <s v="19/06/26"/>
    <x v="5"/>
    <n v="2026"/>
    <x v="1"/>
    <x v="1"/>
    <s v="HIACE COMM"/>
    <x v="3"/>
    <x v="1"/>
    <x v="1"/>
    <x v="4"/>
    <x v="0"/>
    <x v="0"/>
    <x v="1"/>
    <x v="6"/>
    <x v="17"/>
    <x v="2"/>
    <s v="KDH223R-LEMDY-10"/>
    <s v="058"/>
    <s v="WHITE"/>
    <s v="JTFST22P6T0055439"/>
    <s v="1KD-B236436"/>
    <s v="KCMG112540"/>
    <s v="KHARISMA GALIH PUTRA"/>
    <s v="MUHAMMAD CAISARIVA"/>
    <s v="CST-000827391"/>
    <s v="PT. FOCUS RIZKY SUGIHARTO BERKAH"/>
    <s v="PT"/>
    <s v="PT. FOCUS RIZKY SUGIHARTO BERKAH"/>
    <s v="JALAN RD. H. KANTI NO. 34"/>
    <s v="KEC. REGOL"/>
    <s v="KOTA BANDUNG"/>
    <s v="CASH"/>
    <s v="CASH"/>
    <m/>
    <n v="578900000"/>
    <n v="451430180"/>
    <n v="77812500"/>
    <n v="46981644"/>
    <n v="0"/>
    <n v="0"/>
    <n v="24324324"/>
    <n v="551900000"/>
    <n v="13000000"/>
    <n v="-27000000"/>
    <s v="19/06/26"/>
    <s v="19/06/26"/>
    <s v="Invoice"/>
    <n v="1"/>
    <s v="0198240319422000"/>
    <s v="29/05/26"/>
    <s v="KC-26-000344"/>
    <s v="28/05/26"/>
    <s v="28/05/26"/>
    <s v="29/05/26 13.21"/>
    <s v="EP00068"/>
    <s v="19/06/26"/>
    <s v="03/07/26"/>
    <s v="2026048164"/>
    <s v="06/05/26"/>
    <s v="20/06/26 13.00"/>
    <n v="0"/>
  </r>
  <r>
    <n v="1113"/>
    <n v="146"/>
    <s v="KC"/>
    <s v="146ARI2606-1221"/>
    <s v="26/06/26"/>
    <x v="5"/>
    <n v="2026"/>
    <x v="4"/>
    <x v="3"/>
    <s v="INNOVA ZENIX Q A/T HYBRID"/>
    <x v="0"/>
    <x v="1"/>
    <x v="0"/>
    <x v="4"/>
    <x v="0"/>
    <x v="4"/>
    <x v="2"/>
    <x v="6"/>
    <x v="23"/>
    <x v="1"/>
    <s v="MAGH10R-BPXHBD-10"/>
    <s v="218"/>
    <s v="ATTITUDE BLACK MICA"/>
    <s v="MHFABBAA3T0474681"/>
    <s v="M20A-NG00593"/>
    <s v="KCMG052516"/>
    <s v="YENI"/>
    <s v="ALVIN"/>
    <s v="CST-000831251"/>
    <s v="PT. GENBODY INDONESIA SEJAHTERA"/>
    <s v="PT"/>
    <s v="GENBODY INDONESIA SEJAHTERA"/>
    <s v="JALAN RAYA KOPO NO.455 BIZPARK COMMERCIA ESTATE BLOK A6 NO.06"/>
    <s v="KEC. BABAKAN CIPARAY"/>
    <s v="KOTA BANDUNG"/>
    <s v="KREDIT"/>
    <s v="PT. TOYOTA ASTRA FINANCIAL SERVICES"/>
    <m/>
    <n v="628200000"/>
    <n v="488013393"/>
    <n v="81625000"/>
    <n v="56204464"/>
    <n v="0"/>
    <n v="0"/>
    <n v="19642857"/>
    <n v="606200000"/>
    <n v="198000000"/>
    <n v="-32000000"/>
    <m/>
    <m/>
    <s v="Invoice"/>
    <n v="1"/>
    <m/>
    <s v="26/06/26"/>
    <s v="KC-26-000443"/>
    <s v="24/06/26"/>
    <s v="24/06/26"/>
    <s v="26/06/26 17.12"/>
    <s v="FJ02384"/>
    <m/>
    <s v="10/07/26"/>
    <s v="2026070170"/>
    <s v="22/06/26"/>
    <s v="06/07/26 09.00"/>
    <n v="10000000"/>
  </r>
  <r>
    <n v="1184"/>
    <n v="146"/>
    <s v="KC"/>
    <s v="146ARI2606-0679"/>
    <s v="15/06/26"/>
    <x v="5"/>
    <n v="2026"/>
    <x v="1"/>
    <x v="1"/>
    <s v="HIACE PREMIO"/>
    <x v="2"/>
    <x v="1"/>
    <x v="0"/>
    <x v="0"/>
    <x v="0"/>
    <x v="0"/>
    <x v="1"/>
    <x v="6"/>
    <x v="43"/>
    <x v="2"/>
    <s v="GDH321R-EDFDYD-11"/>
    <s v="1E7"/>
    <s v="Silver Metallic"/>
    <s v="JTF2A9CP9T6012966"/>
    <s v="1GD-9726556"/>
    <s v="KCMG062614"/>
    <s v="SINTA MUSTIKA"/>
    <s v="MUHAMMAD CAISARIVA"/>
    <s v="CST-000829445"/>
    <s v="PT. SINAR PELITA JAYAABADI"/>
    <s v="PT"/>
    <s v="PT SINAR PELITA JAYAABADI"/>
    <s v="JL RAYA CILEUNYI KM 19 NO 8 KAMPUNG PASIR TUKUL"/>
    <s v="KEC. CILEUNYI"/>
    <s v="KAB. BANDUNG"/>
    <s v="KREDIT"/>
    <s v="PT. MANDIRI TUNAS FINANCE"/>
    <m/>
    <n v="679100000"/>
    <n v="525680804"/>
    <n v="90337500"/>
    <n v="60188839"/>
    <n v="0"/>
    <n v="0"/>
    <n v="24107143"/>
    <n v="652100000"/>
    <n v="0"/>
    <n v="-27000000"/>
    <s v="19/06/26"/>
    <s v="19/06/26"/>
    <s v="Invoice"/>
    <n v="1"/>
    <m/>
    <s v="13/06/26"/>
    <s v="KC-26-000406"/>
    <s v="11/06/26"/>
    <s v="11/06/26"/>
    <s v="13/06/26 11.52"/>
    <s v="DP00090"/>
    <s v="15/06/26"/>
    <s v="29/06/26"/>
    <s v="2026034684"/>
    <s v="07/04/26"/>
    <s v="20/06/26 11.30"/>
    <n v="0"/>
  </r>
  <r>
    <n v="1192"/>
    <n v="146"/>
    <s v="KC"/>
    <s v="146ARI2606-1381"/>
    <s v="29/06/26"/>
    <x v="5"/>
    <n v="2026"/>
    <x v="0"/>
    <x v="0"/>
    <s v="AVANZA G A/T"/>
    <x v="3"/>
    <x v="1"/>
    <x v="1"/>
    <x v="4"/>
    <x v="0"/>
    <x v="4"/>
    <x v="0"/>
    <x v="6"/>
    <x v="27"/>
    <x v="0"/>
    <s v="W101RE-LBMFJ-10"/>
    <s v="W09"/>
    <s v="WHITE"/>
    <s v="MHKAB1BYXTJ022924"/>
    <s v="2NR-4G11488"/>
    <s v="KCMG052518"/>
    <s v="YANI ANDRIYANI"/>
    <s v="FERYANTO"/>
    <s v="CST-000794405"/>
    <s v="PT. SURYA SUDECO"/>
    <s v="PT"/>
    <s v="PT SURYA SUDECO"/>
    <s v="JL. GEMPOL NO. 52"/>
    <s v="KEC. PANYILEUKAN"/>
    <s v="KOTA BANDUNG"/>
    <s v="CASH"/>
    <s v="CASH"/>
    <m/>
    <n v="285000000"/>
    <n v="219888393"/>
    <n v="38725000"/>
    <n v="24243750"/>
    <n v="0"/>
    <n v="0"/>
    <n v="17857143"/>
    <n v="265000000"/>
    <n v="265000000"/>
    <n v="-20264886"/>
    <m/>
    <m/>
    <s v="Invoice"/>
    <n v="1"/>
    <s v="0013318217062000"/>
    <s v="29/06/26"/>
    <s v="KC-26-000458"/>
    <s v="29/06/26"/>
    <s v="29/06/26"/>
    <s v="29/06/26 15.48"/>
    <s v="F702001"/>
    <m/>
    <s v="13/08/26"/>
    <s v="2026068282"/>
    <s v="18/06/26"/>
    <s v="31/07/26 08.00"/>
    <n v="0"/>
  </r>
  <r>
    <n v="1202"/>
    <n v="146"/>
    <s v="KC"/>
    <s v="146ARI2606-0127"/>
    <s v="05/06/26"/>
    <x v="5"/>
    <n v="2026"/>
    <x v="5"/>
    <x v="4"/>
    <s v="VELOZ V AT HYBRID"/>
    <x v="3"/>
    <x v="1"/>
    <x v="1"/>
    <x v="4"/>
    <x v="0"/>
    <x v="4"/>
    <x v="2"/>
    <x v="6"/>
    <x v="21"/>
    <x v="1"/>
    <s v="W102RE-LBVFJ-11"/>
    <s v="089"/>
    <s v="PLATINUM WHITE PEARL MICA"/>
    <s v="MHFA71BY6T0007083"/>
    <s v="2NR-Y693568"/>
    <s v="KCMG012502"/>
    <s v="DADI SOBARI"/>
    <s v="ALVIN"/>
    <s v="CST-000797038"/>
    <s v="PT. TETRA OETAMA PUTRA"/>
    <s v="PT"/>
    <s v="PT TETRA OETAMA PUTRA"/>
    <s v="JL CIBOLERANG NO 25"/>
    <s v="KEC. BABAKAN CIPARAY"/>
    <s v="KOTA BANDUNG"/>
    <s v="CASH"/>
    <s v="CASH"/>
    <s v="003-26.21309993"/>
    <n v="304500000"/>
    <n v="235122768"/>
    <n v="41162500"/>
    <n v="28000446"/>
    <n v="0"/>
    <n v="0"/>
    <n v="1785714"/>
    <n v="302500000"/>
    <n v="0"/>
    <n v="-2000000"/>
    <s v="08/06/26"/>
    <s v="08/06/26"/>
    <s v="Invoice"/>
    <n v="1"/>
    <s v="0856966189422000"/>
    <s v="04/06/26"/>
    <s v="KC-26-000370"/>
    <s v="04/06/26"/>
    <s v="04/06/26"/>
    <s v="04/06/26 13.25"/>
    <s v="D802825"/>
    <s v="05/06/26"/>
    <s v="05/07/26"/>
    <s v="2026046215"/>
    <s v="30/04/26"/>
    <s v="08/06/26 10.53"/>
    <n v="0"/>
  </r>
  <r>
    <n v="1452"/>
    <n v="146"/>
    <s v="KC"/>
    <s v="146ARI2606-1370"/>
    <s v="29/06/26"/>
    <x v="5"/>
    <n v="2026"/>
    <x v="12"/>
    <x v="10"/>
    <s v="RUSH G M/T"/>
    <x v="6"/>
    <x v="1"/>
    <x v="0"/>
    <x v="4"/>
    <x v="0"/>
    <x v="0"/>
    <x v="1"/>
    <x v="6"/>
    <x v="1"/>
    <x v="0"/>
    <s v="F800RE-GMMFJ-30"/>
    <s v="X12"/>
    <s v="BLACK MICA"/>
    <s v="MHKE8FA2JTK026366"/>
    <s v="2NR-4F99360"/>
    <s v="KCMK24005"/>
    <s v="JAJANG NURJAMAN"/>
    <s v="FERYANTO"/>
    <s v="CST-000829071"/>
    <s v="PT. TANI MURNI INDONESIA"/>
    <s v="PT"/>
    <s v="PT. TANI MURNI INDONESIA"/>
    <s v="JL. PASIRKALIKI NO. 112-114"/>
    <s v="KEC. CICENDO"/>
    <s v="KOTA BANDUNG"/>
    <s v="KREDIT"/>
    <s v="UNIT KKB PT. BANK CENTRAL ASIA"/>
    <m/>
    <n v="296400000"/>
    <n v="228794643"/>
    <n v="40150000"/>
    <n v="25848214"/>
    <n v="0"/>
    <n v="0"/>
    <n v="13392857"/>
    <n v="281400000"/>
    <n v="6150000"/>
    <n v="-17850000"/>
    <m/>
    <m/>
    <s v="Invoice"/>
    <n v="1"/>
    <s v="0736367657428000"/>
    <s v="10/06/26"/>
    <s v="KC-26-000400"/>
    <s v="08/06/26"/>
    <s v="08/06/26"/>
    <s v="10/06/26 18.48"/>
    <s v="EG01725"/>
    <m/>
    <s v="13/07/26"/>
    <s v="2026056334"/>
    <s v="21/05/26"/>
    <s v="30/06/26 18.37"/>
    <n v="2850000"/>
  </r>
  <r>
    <n v="1453"/>
    <n v="146"/>
    <s v="KC"/>
    <s v="146ARI2606-1373"/>
    <s v="29/06/26"/>
    <x v="5"/>
    <n v="2026"/>
    <x v="12"/>
    <x v="10"/>
    <s v="RUSH G M/T"/>
    <x v="6"/>
    <x v="1"/>
    <x v="0"/>
    <x v="4"/>
    <x v="0"/>
    <x v="0"/>
    <x v="1"/>
    <x v="6"/>
    <x v="1"/>
    <x v="0"/>
    <s v="F800RE-GMMFJ-30"/>
    <s v="X12"/>
    <s v="BLACK MICA"/>
    <s v="MHKE8FA2JTK026418"/>
    <s v="2NR-4G03069"/>
    <s v="KCMK24005"/>
    <s v="JAJANG NURJAMAN"/>
    <s v="FERYANTO"/>
    <s v="CST-000829072"/>
    <s v="PT. TANI MURNI INDONESIA"/>
    <s v="PT"/>
    <s v="PT.TANI MURNI INDONESIA"/>
    <s v="JL. PAAIRKALIKI NO 112-114"/>
    <s v="KEC. CICENDO"/>
    <s v="KOTA BANDUNG"/>
    <s v="KREDIT"/>
    <s v="UNIT KKB PT. BANK CENTRAL ASIA"/>
    <m/>
    <n v="296400000"/>
    <n v="228794643"/>
    <n v="40150000"/>
    <n v="25848214"/>
    <n v="0"/>
    <n v="0"/>
    <n v="13392857"/>
    <n v="281400000"/>
    <n v="6150000"/>
    <n v="-17850000"/>
    <m/>
    <m/>
    <s v="Invoice"/>
    <n v="1"/>
    <s v="0736367657428000"/>
    <s v="10/06/26"/>
    <s v="KC-26-000395"/>
    <s v="08/06/26"/>
    <s v="08/06/26"/>
    <s v="10/06/26 19.10"/>
    <s v="EG02455"/>
    <m/>
    <s v="13/07/26"/>
    <s v="2026059910"/>
    <s v="29/05/26"/>
    <s v="30/06/26 19.02"/>
    <n v="2850000"/>
  </r>
  <r>
    <n v="1454"/>
    <n v="146"/>
    <s v="KC"/>
    <s v="146ARI2606-1375"/>
    <s v="29/06/26"/>
    <x v="5"/>
    <n v="2026"/>
    <x v="12"/>
    <x v="10"/>
    <s v="RUSH G M/T"/>
    <x v="6"/>
    <x v="1"/>
    <x v="0"/>
    <x v="4"/>
    <x v="0"/>
    <x v="0"/>
    <x v="1"/>
    <x v="6"/>
    <x v="1"/>
    <x v="0"/>
    <s v="F800RE-GMMFJ-30"/>
    <s v="X12"/>
    <s v="BLACK MICA"/>
    <s v="MHKE8FA2JTK026463"/>
    <s v="2NR-4G05464"/>
    <s v="KCMK24005"/>
    <s v="JAJANG NURJAMAN"/>
    <s v="FERYANTO"/>
    <s v="CST-000829071"/>
    <s v="PT. TANI MURNI INDONESIA"/>
    <s v="PT"/>
    <s v="PT. TANI MURNI INDONESIA"/>
    <s v="JL. PASIRKALIKI NO. 112-114"/>
    <s v="KEC. CICENDO"/>
    <s v="KOTA BANDUNG"/>
    <s v="KREDIT"/>
    <s v="UNIT KKB PT. BANK CENTRAL ASIA"/>
    <m/>
    <n v="296400000"/>
    <n v="228794643"/>
    <n v="40150000"/>
    <n v="25848214"/>
    <n v="0"/>
    <n v="0"/>
    <n v="13392857"/>
    <n v="281400000"/>
    <n v="6150000"/>
    <n v="-17850000"/>
    <m/>
    <m/>
    <s v="Invoice"/>
    <n v="1"/>
    <s v="0736367657428000"/>
    <s v="10/06/26"/>
    <s v="KC-26-000301"/>
    <s v="08/06/26"/>
    <s v="08/06/26"/>
    <s v="10/06/26 18.27"/>
    <s v="FG00324"/>
    <m/>
    <s v="13/07/26"/>
    <s v="2026062741"/>
    <s v="05/06/26"/>
    <s v="30/06/26 12.35"/>
    <n v="2850000"/>
  </r>
  <r>
    <n v="1542"/>
    <n v="146"/>
    <s v="KC"/>
    <s v="146ARI2606-0432"/>
    <s v="11/06/26"/>
    <x v="5"/>
    <n v="2026"/>
    <x v="2"/>
    <x v="2"/>
    <s v="CALYA G M/T"/>
    <x v="4"/>
    <x v="0"/>
    <x v="0"/>
    <x v="4"/>
    <x v="0"/>
    <x v="3"/>
    <x v="0"/>
    <x v="0"/>
    <x v="29"/>
    <x v="1"/>
    <s v="B401RA-GMZFJ-20"/>
    <s v="X13"/>
    <s v="BLACK"/>
    <s v="MHKA6GJ6JTJ228899"/>
    <s v="3NR-5A00006"/>
    <s v="KCMG042609"/>
    <s v="ANDRI JAYA LAKSANA"/>
    <s v="ALVIN"/>
    <s v="CST-000826135"/>
    <s v="RANA"/>
    <s v="INDIVIDU"/>
    <s v="RANA"/>
    <s v="JL BABAKAN CIPARAY GG ELOS 1"/>
    <s v="KEC. BABAKAN CIPARAY"/>
    <s v="KOTA BANDUNG"/>
    <s v="KREDIT"/>
    <s v="PT. ASTRA SEDAYA FINANCE"/>
    <m/>
    <n v="182200000"/>
    <n v="139575893"/>
    <n v="25875000"/>
    <n v="15677678"/>
    <n v="0"/>
    <n v="0"/>
    <n v="8928571"/>
    <n v="172200000"/>
    <n v="2000000"/>
    <n v="-10000000"/>
    <s v="20/06/26"/>
    <s v="20/06/26"/>
    <s v="Invoice"/>
    <n v="1"/>
    <m/>
    <s v="18/05/26"/>
    <s v="KC-26-000327"/>
    <s v="16/05/26"/>
    <s v="16/05/26"/>
    <s v="18/05/26 17.10"/>
    <s v="FO00997"/>
    <s v="11/06/26"/>
    <s v="25/06/26"/>
    <s v="2026064347"/>
    <s v="09/06/26"/>
    <s v="12/06/26 16.47"/>
    <n v="0"/>
  </r>
  <r>
    <n v="1576"/>
    <n v="146"/>
    <s v="KC"/>
    <s v="146ARI2606-1338"/>
    <s v="29/06/26"/>
    <x v="5"/>
    <n v="2026"/>
    <x v="12"/>
    <x v="10"/>
    <s v="RUSH S A/T"/>
    <x v="0"/>
    <x v="0"/>
    <x v="0"/>
    <x v="4"/>
    <x v="0"/>
    <x v="3"/>
    <x v="0"/>
    <x v="4"/>
    <x v="29"/>
    <x v="1"/>
    <s v="F800RE-GQGFJ-40"/>
    <s v="X12"/>
    <s v="BLACK MICA"/>
    <s v="MHKE8FB3JTK122101"/>
    <s v="2NR-4G14544"/>
    <s v="KCMG042609"/>
    <s v="ANDRI JAYA LAKSANA"/>
    <s v="ALVIN"/>
    <s v="CST-000831407"/>
    <s v="RINA NURMALASARI"/>
    <s v="INDIVIDU"/>
    <s v="FAZA INDIRA PRATAMA PUTRI"/>
    <s v="JL. CIPADUNG WETAN"/>
    <s v="KEC. PANYILEUKAN"/>
    <s v="KOTA BANDUNG"/>
    <s v="KREDIT"/>
    <s v="PT. TOYOTA ASTRA FINANCIAL SERVICES"/>
    <m/>
    <n v="322500000"/>
    <n v="249185268"/>
    <n v="43412500"/>
    <n v="28295089"/>
    <n v="0"/>
    <n v="0"/>
    <n v="13392857"/>
    <n v="307500000"/>
    <n v="10000000"/>
    <n v="-15000000"/>
    <m/>
    <m/>
    <s v="Invoice"/>
    <n v="1"/>
    <m/>
    <s v="26/06/26"/>
    <s v="KC-26-000469"/>
    <s v="26/06/26"/>
    <s v="26/06/26"/>
    <s v="29/06/26 10.01"/>
    <s v="FG01650"/>
    <m/>
    <s v="13/07/26"/>
    <s v="2026069824"/>
    <s v="20/06/26"/>
    <s v="30/06/26 14.19"/>
    <n v="0"/>
  </r>
  <r>
    <n v="1581"/>
    <n v="146"/>
    <s v="KC"/>
    <s v="146ARI2606-0344"/>
    <s v="10/06/26"/>
    <x v="5"/>
    <n v="2026"/>
    <x v="2"/>
    <x v="2"/>
    <s v="CALYA G M/T"/>
    <x v="2"/>
    <x v="0"/>
    <x v="0"/>
    <x v="0"/>
    <x v="0"/>
    <x v="3"/>
    <x v="0"/>
    <x v="1"/>
    <x v="29"/>
    <x v="1"/>
    <s v="B401RA-GMZFJ-20"/>
    <s v="X13"/>
    <s v="BLACK"/>
    <s v="MHKA6GJ6JTJ228383"/>
    <s v="3NR-H998335"/>
    <s v="KCMG042609"/>
    <s v="ANDRI JAYA LAKSANA"/>
    <s v="ALVIN"/>
    <s v="CST-000828705"/>
    <s v="RINTO GUNADI"/>
    <s v="INDIVIDU"/>
    <s v="RINTO GUNADI"/>
    <s v="KOMP BATUKARUT REGENCY BLOK NAMBO"/>
    <s v="KEC. ARJASARI"/>
    <s v="KAB. BANDUNG"/>
    <s v="KREDIT"/>
    <s v="PT. MANDIRI TUNAS FINANCE"/>
    <m/>
    <n v="182200000"/>
    <n v="139575893"/>
    <n v="25875000"/>
    <n v="15677678"/>
    <n v="0"/>
    <n v="0"/>
    <n v="8928571"/>
    <n v="172200000"/>
    <n v="1990000"/>
    <n v="-10000000"/>
    <s v="17/06/26"/>
    <s v="17/06/26"/>
    <s v="Invoice"/>
    <n v="1"/>
    <m/>
    <s v="08/06/26"/>
    <s v="KC-26-000390"/>
    <s v="06/06/26"/>
    <s v="06/06/26"/>
    <s v="08/06/26 16.07"/>
    <s v="FO00197"/>
    <s v="10/06/26"/>
    <s v="24/06/26"/>
    <s v="2026061748"/>
    <s v="04/06/26"/>
    <s v="12/06/26 15.48"/>
    <n v="0"/>
  </r>
  <r>
    <n v="1591"/>
    <n v="146"/>
    <s v="KC"/>
    <s v="146ARI2606-0935"/>
    <s v="22/06/26"/>
    <x v="5"/>
    <n v="2026"/>
    <x v="9"/>
    <x v="7"/>
    <s v="AGYA G A/T"/>
    <x v="2"/>
    <x v="0"/>
    <x v="0"/>
    <x v="6"/>
    <x v="1"/>
    <x v="0"/>
    <x v="0"/>
    <x v="1"/>
    <x v="21"/>
    <x v="1"/>
    <s v="A351RA-GBEFJ-00"/>
    <s v="X13"/>
    <s v="BLACK"/>
    <s v="MHKAB1BC4TJ087997"/>
    <s v="WA-A255649"/>
    <s v="KCMG012502"/>
    <s v="DADI SOBARI"/>
    <s v="ALVIN"/>
    <s v="CST-000826457"/>
    <s v="RISKA REGITA CAHYANI"/>
    <s v="INDIVIDU"/>
    <s v="RISKA REGITA CAHYANI"/>
    <s v="PERUM BUKIT PURI ASRI BLOK D2 NO 17"/>
    <s v="KEC. CISARUA"/>
    <s v="KAB. SUMEDANG"/>
    <s v="KREDIT"/>
    <s v="PT. MANDIRI TUNAS FINANCE"/>
    <m/>
    <n v="200800000"/>
    <n v="153794643"/>
    <n v="28550000"/>
    <n v="17383928"/>
    <n v="0"/>
    <n v="0"/>
    <n v="8928571"/>
    <n v="190800000"/>
    <n v="3000000"/>
    <n v="-10000000"/>
    <s v="26/06/26"/>
    <s v="26/06/26"/>
    <s v="Invoice"/>
    <n v="1"/>
    <m/>
    <s v="20/05/26"/>
    <s v="KC-26-000313"/>
    <s v="16/05/26"/>
    <s v="16/05/26"/>
    <s v="21/05/26 08.52"/>
    <s v="FR00705"/>
    <s v="22/06/26"/>
    <s v="06/07/26"/>
    <s v="2026069695"/>
    <s v="20/06/26"/>
    <s v="23/06/26 06.32"/>
    <n v="0"/>
  </r>
  <r>
    <n v="1595"/>
    <n v="146"/>
    <s v="KC"/>
    <s v="146ARI2606-0772"/>
    <s v="19/06/26"/>
    <x v="5"/>
    <n v="2026"/>
    <x v="2"/>
    <x v="2"/>
    <s v="CALYA G M/T"/>
    <x v="1"/>
    <x v="0"/>
    <x v="0"/>
    <x v="2"/>
    <x v="0"/>
    <x v="1"/>
    <x v="0"/>
    <x v="0"/>
    <x v="8"/>
    <x v="0"/>
    <s v="B401RA-GMZFJ-20"/>
    <s v="4T3"/>
    <s v="BRONZE M.M."/>
    <s v="MHKA6GJ6JTJ229596"/>
    <s v="3NR-5A01149"/>
    <s v="KCMK25002"/>
    <s v="RAHMAWATI"/>
    <s v="FERYANTO"/>
    <s v="CST-000826437"/>
    <s v="RITA MARDIANI"/>
    <s v="INDIVIDU"/>
    <s v="RITA MARDIANI"/>
    <s v="KP TUGU 1"/>
    <s v="KEC. CISARUA"/>
    <s v="KAB. BANDUNG BARAT"/>
    <s v="KREDIT"/>
    <s v="PT. MANDIRI UTAMA FINANCE"/>
    <m/>
    <n v="182200000"/>
    <n v="139575893"/>
    <n v="25875000"/>
    <n v="15570535"/>
    <n v="0"/>
    <n v="0"/>
    <n v="9821429"/>
    <n v="171200000"/>
    <n v="500000"/>
    <n v="-11000000"/>
    <s v="23/06/26"/>
    <s v="23/06/26"/>
    <s v="Invoice"/>
    <n v="1"/>
    <m/>
    <s v="20/05/26"/>
    <s v="KC-26-000328"/>
    <s v="18/05/26"/>
    <s v="18/05/26"/>
    <s v="20/05/26 17.36"/>
    <s v="FO01932"/>
    <s v="19/06/26"/>
    <s v="03/07/26"/>
    <s v="2026068374"/>
    <s v="18/06/26"/>
    <s v="22/06/26 13.00"/>
    <n v="0"/>
  </r>
  <r>
    <n v="1596"/>
    <n v="146"/>
    <s v="KC"/>
    <s v="146ARI2606-0227"/>
    <s v="08/06/26"/>
    <x v="5"/>
    <n v="2026"/>
    <x v="5"/>
    <x v="4"/>
    <s v="VELOZ V AT HYBRID"/>
    <x v="3"/>
    <x v="0"/>
    <x v="1"/>
    <x v="2"/>
    <x v="0"/>
    <x v="0"/>
    <x v="0"/>
    <x v="3"/>
    <x v="0"/>
    <x v="0"/>
    <s v="W102RE-LBVFJ-11"/>
    <s v="089"/>
    <s v="PLATINUM WHITE PEARL MICA"/>
    <s v="MHFA71BY8T0008736"/>
    <s v="2NR-Y704282"/>
    <s v="KCMG072432"/>
    <s v="DENO"/>
    <s v="FERYANTO"/>
    <s v="CST-000828445"/>
    <s v="RITA ROSALITA, SE"/>
    <s v="INDIVIDU"/>
    <s v="RITA ROSALITA, SE"/>
    <s v="KP. CIKANDE"/>
    <s v="KEC. SAGULING"/>
    <s v="KAB. BANDUNG BARAT"/>
    <s v="CASH"/>
    <s v="CASH"/>
    <m/>
    <n v="304500000"/>
    <n v="235122768"/>
    <n v="41162500"/>
    <n v="28214732"/>
    <n v="0"/>
    <n v="0"/>
    <n v="0"/>
    <n v="304500000"/>
    <n v="0"/>
    <n v="0"/>
    <s v="11/06/26"/>
    <s v="11/06/26"/>
    <s v="Invoice"/>
    <n v="1"/>
    <s v="0000000000000000"/>
    <s v="06/06/26"/>
    <s v="KC-26-000302"/>
    <s v="05/06/26"/>
    <s v="05/06/26"/>
    <s v="06/06/26 13.10"/>
    <s v="E801572"/>
    <s v="08/06/26"/>
    <s v="17/06/26"/>
    <s v="2026057151"/>
    <s v="22/05/26"/>
    <s v="10/06/26 12.28"/>
    <n v="0"/>
  </r>
  <r>
    <n v="1615"/>
    <n v="146"/>
    <s v="KC"/>
    <s v="146ARI2606-1071"/>
    <s v="24/06/26"/>
    <x v="5"/>
    <n v="2026"/>
    <x v="3"/>
    <x v="3"/>
    <s v="INNOVA G A/T DIESEL"/>
    <x v="2"/>
    <x v="0"/>
    <x v="0"/>
    <x v="4"/>
    <x v="0"/>
    <x v="4"/>
    <x v="1"/>
    <x v="7"/>
    <x v="27"/>
    <x v="0"/>
    <s v="GUN142R-MDTSXD-30"/>
    <s v="218"/>
    <s v="ATTITUDE BLACK MICA"/>
    <s v="MHFJB8EM3T1193952"/>
    <s v="2GD-1973032"/>
    <s v="KCMG052518"/>
    <s v="YANI ANDRIYANI"/>
    <s v="FERYANTO"/>
    <s v="CST-000822328"/>
    <s v="ROBY SEPTIADI"/>
    <s v="INDIVIDU"/>
    <s v="RADEN RENI ANGGRAENI"/>
    <s v="KLUSTER KIARQ RESIDENCR BLOK PIRUS NO. 1B KIARA SARIRAYA"/>
    <s v="KEC. BUAH BATU"/>
    <s v="KOTA BANDUNG"/>
    <s v="KREDIT"/>
    <s v="PT. MANDIRI TUNAS FINANCE"/>
    <m/>
    <n v="442700000"/>
    <n v="343091518"/>
    <n v="58437500"/>
    <n v="39028125"/>
    <n v="0"/>
    <n v="0"/>
    <n v="17857143"/>
    <n v="422700000"/>
    <n v="10000000"/>
    <n v="-20000000"/>
    <s v="27/06/26"/>
    <s v="27/06/26"/>
    <s v="Invoice"/>
    <n v="1"/>
    <s v="7174042709780003"/>
    <s v="23/06/26"/>
    <s v="KC-26-000432"/>
    <s v="23/06/26"/>
    <s v="23/06/26"/>
    <s v="24/06/26 11.46"/>
    <s v="EC01405"/>
    <s v="24/06/26"/>
    <s v="08/07/26"/>
    <s v="2026051650"/>
    <s v="12/05/26"/>
    <s v="30/06/26 11.07"/>
    <n v="0"/>
  </r>
  <r>
    <n v="1649"/>
    <n v="146"/>
    <s v="KC"/>
    <s v="146ARI2606-0658"/>
    <s v="15/06/26"/>
    <x v="5"/>
    <n v="2026"/>
    <x v="2"/>
    <x v="2"/>
    <s v="CALYA G M/T"/>
    <x v="2"/>
    <x v="0"/>
    <x v="0"/>
    <x v="0"/>
    <x v="0"/>
    <x v="4"/>
    <x v="1"/>
    <x v="0"/>
    <x v="20"/>
    <x v="1"/>
    <s v="B401RA-GMZFJ-20"/>
    <s v="3Q3"/>
    <s v="DARK RED MICA MET."/>
    <s v="MHKA6GJ6JTJ229258"/>
    <s v="3NR-5A00786"/>
    <s v="KCMG042424"/>
    <s v="INDAH PITALOKA"/>
    <s v="ALVIN"/>
    <s v="CST-000828718"/>
    <s v="SAIDI RAHMAN"/>
    <s v="INDIVIDU"/>
    <s v="SAIDI RAHMAN"/>
    <s v="KP CIGOROWONG"/>
    <s v="KEC. CILENGKRANG"/>
    <s v="KAB. BANDUNG"/>
    <s v="KREDIT"/>
    <s v="PT. MANDIRI TUNAS FINANCE"/>
    <m/>
    <n v="182200000"/>
    <n v="139575893"/>
    <n v="25875000"/>
    <n v="15677678"/>
    <n v="0"/>
    <n v="0"/>
    <n v="8928571"/>
    <n v="172200000"/>
    <n v="0"/>
    <n v="-10000000"/>
    <s v="20/06/26"/>
    <s v="20/06/26"/>
    <s v="Invoice"/>
    <n v="1"/>
    <m/>
    <s v="08/06/26"/>
    <s v="KC-26-000402"/>
    <s v="08/06/26"/>
    <s v="08/06/26"/>
    <s v="09/06/26 14.37"/>
    <s v="FO01528"/>
    <s v="15/06/26"/>
    <s v="29/06/26"/>
    <s v="2026066127"/>
    <s v="12/06/26"/>
    <s v="16/06/26 15.30"/>
    <n v="0"/>
  </r>
  <r>
    <n v="1693"/>
    <n v="146"/>
    <s v="KC"/>
    <s v="146ARI2606-1419"/>
    <s v="30/06/26"/>
    <x v="5"/>
    <n v="2026"/>
    <x v="12"/>
    <x v="10"/>
    <s v="RUSH S A/T"/>
    <x v="2"/>
    <x v="0"/>
    <x v="0"/>
    <x v="4"/>
    <x v="0"/>
    <x v="0"/>
    <x v="2"/>
    <x v="0"/>
    <x v="31"/>
    <x v="0"/>
    <s v="F800RE-GQGFJ-40"/>
    <s v="W09"/>
    <s v="WHITE"/>
    <s v="MHKE8FB3JTK122065"/>
    <s v="2NR-4G14013"/>
    <s v="KCMG032607"/>
    <s v="FANI PERMANI"/>
    <s v="FERYANTO"/>
    <s v="CST-000831691"/>
    <s v="SHOFYAN ABDUL RAHMAN"/>
    <s v="INDIVIDU"/>
    <s v="SHOFYAN ABDUL RAHMAN"/>
    <s v="JALAN KARTIKA II NO 92 G KPAD"/>
    <s v="KEC. SUKASARI"/>
    <s v="KOTA BANDUNG"/>
    <s v="KREDIT"/>
    <s v="PT. MANDIRI TUNAS FINANCE"/>
    <m/>
    <n v="322500000"/>
    <n v="249185268"/>
    <n v="43412500"/>
    <n v="28295089"/>
    <n v="0"/>
    <n v="0"/>
    <n v="13392857"/>
    <n v="307500000"/>
    <n v="10000000"/>
    <n v="-15000000"/>
    <m/>
    <m/>
    <s v="Invoice"/>
    <n v="1"/>
    <m/>
    <s v="30/06/26"/>
    <s v="KC-26-000456"/>
    <s v="29/06/26"/>
    <s v="29/06/26"/>
    <s v="30/06/26 14.53"/>
    <s v="FG01582"/>
    <m/>
    <s v="14/07/26"/>
    <s v="2026070766"/>
    <s v="23/06/26"/>
    <s v="04/07/26 08.46"/>
    <n v="0"/>
  </r>
  <r>
    <n v="1725"/>
    <n v="146"/>
    <s v="KC"/>
    <s v="146ARI2606-0263"/>
    <s v="08/06/26"/>
    <x v="5"/>
    <n v="2026"/>
    <x v="2"/>
    <x v="2"/>
    <s v="CALYA G M/T"/>
    <x v="2"/>
    <x v="0"/>
    <x v="0"/>
    <x v="5"/>
    <x v="0"/>
    <x v="3"/>
    <x v="0"/>
    <x v="1"/>
    <x v="20"/>
    <x v="1"/>
    <s v="B401RA-GMZFJ-20"/>
    <s v="S28"/>
    <s v="Silver Metallic"/>
    <s v="MHKA6GJ6JTJ228358"/>
    <s v="3NR-H998309"/>
    <s v="KCMG042424"/>
    <s v="INDAH PITALOKA"/>
    <s v="ALVIN"/>
    <s v="CST-000826897"/>
    <s v="SONDANG SITUMORANG"/>
    <s v="INDIVIDU"/>
    <s v="YOHAN"/>
    <s v="APARTEMEN THE EDGE JL BAROS NO 57"/>
    <s v="KEC. CIMAHI SELATAN"/>
    <s v="KOTA CIMAHI"/>
    <s v="KREDIT"/>
    <s v="PT. MANDIRI TUNAS FINANCE"/>
    <m/>
    <n v="182200000"/>
    <n v="139575893"/>
    <n v="25875000"/>
    <n v="15677678"/>
    <n v="0"/>
    <n v="0"/>
    <n v="8928571"/>
    <n v="172200000"/>
    <n v="0"/>
    <n v="-10000000"/>
    <s v="12/06/26"/>
    <s v="12/06/26"/>
    <s v="Invoice"/>
    <n v="1"/>
    <m/>
    <s v="24/05/26"/>
    <s v="KC-26-000336"/>
    <s v="23/05/26"/>
    <s v="23/05/26"/>
    <s v="26/05/26 09.55"/>
    <s v="FO00248"/>
    <s v="08/06/26"/>
    <s v="22/06/26"/>
    <s v="2026061293"/>
    <s v="03/06/26"/>
    <s v="10/06/26 06.17"/>
    <n v="0"/>
  </r>
  <r>
    <n v="1769"/>
    <n v="146"/>
    <s v="KC"/>
    <s v="146ARI2606-1215"/>
    <s v="26/06/26"/>
    <x v="5"/>
    <n v="2026"/>
    <x v="12"/>
    <x v="10"/>
    <s v="RUSH S M/T"/>
    <x v="2"/>
    <x v="0"/>
    <x v="0"/>
    <x v="2"/>
    <x v="0"/>
    <x v="0"/>
    <x v="0"/>
    <x v="1"/>
    <x v="9"/>
    <x v="0"/>
    <s v="F800RE-GMGFJ-40"/>
    <s v="W09"/>
    <s v="WHITE"/>
    <s v="MHKE8FA3JTK146540"/>
    <s v="2NR-4G16501"/>
    <s v="KCMG042511"/>
    <s v="DADAN DARMADI"/>
    <s v="FERYANTO"/>
    <s v="CST-000831149"/>
    <s v="SUKANDAR"/>
    <s v="INDIVIDU"/>
    <s v="SUKANDAR"/>
    <s v="KP CITESPONG"/>
    <s v="KEC. LEMBANG"/>
    <s v="KAB. BANDUNG BARAT"/>
    <s v="KREDIT"/>
    <s v="PT. MANDIRI TUNAS FINANCE"/>
    <m/>
    <n v="311800000"/>
    <n v="240825893"/>
    <n v="42075000"/>
    <n v="27291964"/>
    <n v="0"/>
    <n v="0"/>
    <n v="13392857"/>
    <n v="296800000"/>
    <n v="10000000"/>
    <n v="-15000000"/>
    <m/>
    <m/>
    <s v="Invoice"/>
    <n v="1"/>
    <s v="0000000000000000"/>
    <s v="26/06/26"/>
    <s v="KC-26-000424"/>
    <s v="20/06/26"/>
    <s v="20/06/26"/>
    <s v="26/06/26 10.38"/>
    <s v="FG02014"/>
    <m/>
    <s v="10/07/26"/>
    <s v="2026072122"/>
    <s v="25/06/26"/>
    <s v="27/06/26 10.10"/>
    <n v="0"/>
  </r>
  <r>
    <n v="1809"/>
    <n v="146"/>
    <s v="KC"/>
    <s v="146ARI2606-0114"/>
    <s v="04/06/26"/>
    <x v="5"/>
    <n v="2026"/>
    <x v="0"/>
    <x v="0"/>
    <s v="AVANZA E A/T"/>
    <x v="2"/>
    <x v="0"/>
    <x v="0"/>
    <x v="0"/>
    <x v="0"/>
    <x v="0"/>
    <x v="1"/>
    <x v="1"/>
    <x v="40"/>
    <x v="2"/>
    <s v="W100RE-LBDFJ-10"/>
    <s v="X12"/>
    <s v="BLACK MICA"/>
    <s v="MHKAA1BY4TJ017060"/>
    <s v="1NR-G328923"/>
    <s v="KCMG052612"/>
    <s v="WULAN FITRI ANDRIYANI"/>
    <s v="MUHAMMAD CAISARIVA"/>
    <s v="CST-000828016"/>
    <s v="SUSAN FITRIYANTY"/>
    <s v="INDIVIDU"/>
    <s v="ATEP KOMARUDIN"/>
    <s v="KP. SUKAMANAH"/>
    <s v="KEC. RANCAEKEK"/>
    <s v="KAB. BANDUNG"/>
    <s v="KREDIT"/>
    <s v="PT. MANDIRI TUNAS FINANCE"/>
    <s v="003-26.21309997"/>
    <n v="262200000"/>
    <n v="202075893"/>
    <n v="35875000"/>
    <n v="22641964"/>
    <n v="0"/>
    <n v="0"/>
    <n v="13392857"/>
    <n v="247200000"/>
    <n v="0"/>
    <n v="-15000000"/>
    <s v="06/06/26"/>
    <s v="06/06/26"/>
    <s v="Invoice"/>
    <n v="1"/>
    <s v="0442984274444000"/>
    <s v="03/06/26"/>
    <s v="KC-26-000321"/>
    <s v="02/06/26"/>
    <s v="02/06/26"/>
    <s v="04/06/26 07.50"/>
    <s v="E703245"/>
    <s v="04/06/26"/>
    <s v="18/06/26"/>
    <s v="2026059270"/>
    <s v="28/05/26"/>
    <s v="06/06/26 17.45"/>
    <n v="0"/>
  </r>
  <r>
    <n v="1811"/>
    <n v="146"/>
    <s v="KC"/>
    <s v="146ARI2606-1274"/>
    <s v="27/06/26"/>
    <x v="5"/>
    <n v="2026"/>
    <x v="2"/>
    <x v="2"/>
    <s v="CALYA G A/T"/>
    <x v="4"/>
    <x v="0"/>
    <x v="0"/>
    <x v="0"/>
    <x v="0"/>
    <x v="0"/>
    <x v="0"/>
    <x v="0"/>
    <x v="17"/>
    <x v="2"/>
    <s v="B401RA-GQZFJ-20"/>
    <s v="W09"/>
    <s v="WHITE"/>
    <s v="MHKA6GK6JTJ092245"/>
    <s v="3NR-5A01463"/>
    <s v="KCMG112540"/>
    <s v="KHARISMA GALIH PUTRA"/>
    <s v="MUHAMMAD CAISARIVA"/>
    <s v="CST-000830684"/>
    <s v="SUSANTO"/>
    <s v="INDIVIDU"/>
    <s v="SUSANTO"/>
    <s v="JL. CIGANITRI NO. 80"/>
    <s v="KEC. BOJONGSOANG"/>
    <s v="KAB. BANDUNG"/>
    <s v="KREDIT"/>
    <s v="PT. ASTRA SEDAYA FINANCE"/>
    <m/>
    <n v="196800000"/>
    <n v="150982143"/>
    <n v="27700000"/>
    <n v="17046428"/>
    <n v="0"/>
    <n v="0"/>
    <n v="8928571"/>
    <n v="186800000"/>
    <n v="3000000"/>
    <n v="-10000000"/>
    <m/>
    <m/>
    <s v="Invoice"/>
    <n v="1"/>
    <m/>
    <s v="22/06/26"/>
    <s v="KC-26-000446"/>
    <s v="22/06/26"/>
    <s v="22/06/26"/>
    <s v="23/06/26 09.34"/>
    <s v="FO01984"/>
    <m/>
    <s v="11/07/26"/>
    <s v="2026068358"/>
    <s v="18/06/26"/>
    <s v="29/06/26 13.00"/>
    <n v="0"/>
  </r>
  <r>
    <n v="1838"/>
    <n v="146"/>
    <s v="KC"/>
    <s v="146ARI2606-0147"/>
    <s v="05/06/26"/>
    <x v="5"/>
    <n v="2026"/>
    <x v="2"/>
    <x v="2"/>
    <s v="CALYA G M/T"/>
    <x v="0"/>
    <x v="0"/>
    <x v="0"/>
    <x v="4"/>
    <x v="0"/>
    <x v="3"/>
    <x v="0"/>
    <x v="1"/>
    <x v="1"/>
    <x v="0"/>
    <s v="B401RA-GMZFJ-20"/>
    <s v="W09"/>
    <s v="WHITE"/>
    <s v="MHKA6GJ6JTJ228406"/>
    <s v="3NR-H998417"/>
    <s v="KCMK24005"/>
    <s v="JAJANG NURJAMAN"/>
    <s v="FERYANTO"/>
    <s v="CST-000828113"/>
    <s v="TAOPIK RAHMAN"/>
    <s v="INDIVIDU"/>
    <s v="TAOPIK RAHMAN"/>
    <s v="BUMI PANYILEUKAN I.6 NO.21"/>
    <s v="KEC. PANYILEUKAN"/>
    <s v="KOTA BANDUNG"/>
    <s v="KREDIT"/>
    <s v="PT. TOYOTA ASTRA FINANCIAL SERVICES"/>
    <s v="003-26.21309994"/>
    <n v="182200000"/>
    <n v="139575893"/>
    <n v="25875000"/>
    <n v="15677678"/>
    <n v="0"/>
    <n v="0"/>
    <n v="8928571"/>
    <n v="172200000"/>
    <n v="0"/>
    <n v="-10000000"/>
    <s v="12/06/26"/>
    <s v="12/06/26"/>
    <s v="Invoice"/>
    <n v="1"/>
    <m/>
    <s v="03/06/26"/>
    <s v="KC-26-000346"/>
    <s v="02/06/26"/>
    <s v="02/06/26"/>
    <s v="04/06/26 14.50"/>
    <s v="FO00276"/>
    <s v="05/06/26"/>
    <s v="19/06/26"/>
    <s v="2026061800"/>
    <s v="04/06/26"/>
    <s v="08/06/26 13.17"/>
    <n v="0"/>
  </r>
  <r>
    <n v="1840"/>
    <n v="146"/>
    <s v="KC"/>
    <s v="146ARI2606-0213"/>
    <s v="06/06/26"/>
    <x v="5"/>
    <n v="2026"/>
    <x v="0"/>
    <x v="0"/>
    <s v="AVANZA G A/T"/>
    <x v="2"/>
    <x v="0"/>
    <x v="0"/>
    <x v="0"/>
    <x v="0"/>
    <x v="5"/>
    <x v="0"/>
    <x v="4"/>
    <x v="27"/>
    <x v="0"/>
    <s v="W101RE-LBMFJ-10"/>
    <s v="X12"/>
    <s v="BLACK MICA"/>
    <s v="MHKAB1BY0TJ022222"/>
    <s v="2NR-4G04615"/>
    <s v="KCMG052518"/>
    <s v="YANI ANDRIYANI"/>
    <s v="FERYANTO"/>
    <s v="CST-000819509"/>
    <s v="TARINA NINGSIH"/>
    <s v="INDIVIDU"/>
    <s v="TARINA NINGSIH"/>
    <s v="KP.  GEMPOL"/>
    <s v="KEC. ARJASARI"/>
    <s v="KAB. BANDUNG"/>
    <s v="KREDIT"/>
    <s v="PT. MANDIRI TUNAS FINANCE"/>
    <s v="003-26.21309995"/>
    <n v="285000000"/>
    <n v="219888393"/>
    <n v="38725000"/>
    <n v="24779464"/>
    <n v="0"/>
    <n v="0"/>
    <n v="13392857"/>
    <n v="270000000"/>
    <n v="0"/>
    <n v="-15000000"/>
    <s v="12/06/26"/>
    <s v="12/06/26"/>
    <s v="Invoice"/>
    <n v="1"/>
    <m/>
    <s v="26/03/26"/>
    <s v="KC-26-000148"/>
    <s v="25/03/26"/>
    <s v="25/03/26"/>
    <s v="01/04/26 11.54"/>
    <s v="F700439"/>
    <s v="06/06/26"/>
    <s v="20/06/26"/>
    <s v="2026061850"/>
    <s v="04/06/26"/>
    <s v="08/06/26 09.47"/>
    <n v="0"/>
  </r>
  <r>
    <n v="1845"/>
    <n v="146"/>
    <s v="KC"/>
    <s v="146ARI2606-0742"/>
    <s v="17/06/26"/>
    <x v="5"/>
    <n v="2026"/>
    <x v="6"/>
    <x v="3"/>
    <s v="INNOVA ZENIX V A/T"/>
    <x v="3"/>
    <x v="0"/>
    <x v="1"/>
    <x v="4"/>
    <x v="0"/>
    <x v="4"/>
    <x v="1"/>
    <x v="0"/>
    <x v="1"/>
    <x v="0"/>
    <s v="MAGA10R-BRXMBD-FE"/>
    <s v="1D6"/>
    <s v="Silver Metallic"/>
    <s v="MHFAAAAA6T0051347"/>
    <s v="M20A-NG03341"/>
    <s v="KCMK24005"/>
    <s v="JAJANG NURJAMAN"/>
    <s v="FERYANTO"/>
    <s v="CST-000828597"/>
    <s v="TEDDY FACHRUL HIDAYAT"/>
    <s v="INDIVIDU"/>
    <s v="ENDAS"/>
    <s v="JL. MERKURI SELATAN VII NO. 11"/>
    <s v="KEC. RANCASARI"/>
    <s v="KOTA BANDUNG"/>
    <s v="CASH"/>
    <s v="CASH"/>
    <m/>
    <n v="486466000"/>
    <n v="377283705"/>
    <n v="63908250"/>
    <n v="43024044"/>
    <n v="0"/>
    <n v="0"/>
    <n v="18750000"/>
    <n v="465466000"/>
    <n v="0"/>
    <n v="-21000000"/>
    <s v="18/06/26"/>
    <s v="18/06/26"/>
    <s v="Invoice"/>
    <n v="1"/>
    <m/>
    <s v="08/06/26"/>
    <s v="KC-26-000266"/>
    <s v="06/06/26"/>
    <s v="06/06/26"/>
    <s v="08/06/26 11.51"/>
    <s v="FJ01382"/>
    <s v="17/06/26"/>
    <s v="26/06/26"/>
    <s v="2026067571"/>
    <s v="15/06/26"/>
    <s v="18/06/26 08.15"/>
    <n v="0"/>
  </r>
  <r>
    <n v="1868"/>
    <n v="146"/>
    <s v="KC"/>
    <s v="146ARI2606-1040"/>
    <s v="23/06/26"/>
    <x v="5"/>
    <n v="2026"/>
    <x v="4"/>
    <x v="3"/>
    <s v="INNOVA ZENIX G A/T HIYBRID"/>
    <x v="0"/>
    <x v="0"/>
    <x v="0"/>
    <x v="4"/>
    <x v="0"/>
    <x v="2"/>
    <x v="2"/>
    <x v="2"/>
    <x v="39"/>
    <x v="2"/>
    <s v="MAGH10R-BRXLBD-10"/>
    <s v="1G3"/>
    <s v="GRAY METALLIC"/>
    <s v="MHFABAAA5T0052793"/>
    <s v="M20A-NF83827"/>
    <s v="KCMG042610"/>
    <s v="RIZAL SAEPUL ROHMAN"/>
    <s v="MUHAMMAD CAISARIVA"/>
    <s v="CST-000828780"/>
    <s v="TITIN MARIA ULFAH"/>
    <s v="INDIVIDU"/>
    <s v="TITIN MARIA ULFAH"/>
    <s v="JL. KIARA ASRI UTARA I F 52"/>
    <s v="KEC. KIARACONDONG"/>
    <s v="KOTA BANDUNG"/>
    <s v="KREDIT"/>
    <s v="PT. TOYOTA ASTRA FINANCIAL SERVICES"/>
    <m/>
    <n v="477500000"/>
    <n v="370279018"/>
    <n v="62787500"/>
    <n v="42290625"/>
    <n v="0"/>
    <n v="0"/>
    <n v="17857143"/>
    <n v="457500000"/>
    <n v="8000000"/>
    <n v="-20000000"/>
    <m/>
    <m/>
    <s v="Invoice"/>
    <n v="1"/>
    <s v="0000000000000000"/>
    <s v="08/06/26"/>
    <s v="KC-26-000385"/>
    <s v="08/06/26"/>
    <s v="08/06/26"/>
    <s v="09/06/26 09.21"/>
    <s v="EJ00989"/>
    <s v="23/06/26"/>
    <s v="07/07/26"/>
    <s v="2026051779"/>
    <s v="12/05/26"/>
    <s v="24/06/26 21.53"/>
    <n v="0"/>
  </r>
  <r>
    <n v="1872"/>
    <n v="146"/>
    <s v="KC"/>
    <s v="146ARI2606-1382"/>
    <s v="29/06/26"/>
    <x v="5"/>
    <n v="2026"/>
    <x v="12"/>
    <x v="10"/>
    <s v="RUSH S A/T"/>
    <x v="3"/>
    <x v="0"/>
    <x v="1"/>
    <x v="0"/>
    <x v="0"/>
    <x v="1"/>
    <x v="0"/>
    <x v="1"/>
    <x v="8"/>
    <x v="0"/>
    <s v="F800RE-GQGFJ-40"/>
    <s v="X12"/>
    <s v="BLACK MICA"/>
    <s v="MHKE8FB3JTK121826"/>
    <s v="2NR-4G10126"/>
    <s v="KCMK25002"/>
    <s v="RAHMAWATI"/>
    <s v="FERYANTO"/>
    <s v="CST-000831535"/>
    <s v="TOMI WARTIKA"/>
    <s v="INDIVIDU"/>
    <s v="TOMI WARTIKA"/>
    <s v="KP. CIPAKU PAKUTANDANG"/>
    <s v="KEC. CIPARAY"/>
    <s v="KAB. BANDUNG"/>
    <s v="CASH"/>
    <s v="CASH"/>
    <m/>
    <n v="322500000"/>
    <n v="249185268"/>
    <n v="43412500"/>
    <n v="28295089"/>
    <n v="0"/>
    <n v="0"/>
    <n v="13392857"/>
    <n v="307500000"/>
    <n v="9000000"/>
    <n v="-15000000"/>
    <m/>
    <m/>
    <s v="Invoice"/>
    <n v="1"/>
    <m/>
    <s v="29/06/26"/>
    <s v="KC-26-000462"/>
    <s v="29/06/26"/>
    <s v="29/06/26"/>
    <s v="29/06/26 15.58"/>
    <s v="FG00975"/>
    <s v="29/06/26"/>
    <s v="13/07/26"/>
    <s v="2026067815"/>
    <s v="17/06/26"/>
    <s v="02/07/26 09.30"/>
    <n v="0"/>
  </r>
  <r>
    <n v="1874"/>
    <n v="146"/>
    <s v="KC"/>
    <s v="146ARI2606-1448"/>
    <s v="30/06/26"/>
    <x v="5"/>
    <n v="2026"/>
    <x v="1"/>
    <x v="1"/>
    <s v="HIACE PREMIO"/>
    <x v="0"/>
    <x v="0"/>
    <x v="0"/>
    <x v="4"/>
    <x v="0"/>
    <x v="0"/>
    <x v="0"/>
    <x v="0"/>
    <x v="10"/>
    <x v="2"/>
    <s v="GDH321R-EDFDYD-10"/>
    <s v="058"/>
    <s v="WHITE"/>
    <s v="JTF2A9CPXT6013978"/>
    <s v="1GD-9774460"/>
    <s v="KCMG012503"/>
    <s v="DERI NURSANDI"/>
    <s v="MUHAMMAD CAISARIVA"/>
    <s v="CST-000831660"/>
    <s v="TONI HARTONO"/>
    <s v="INDIVIDU"/>
    <s v="NATASYA KUSUMA AYU SIWI"/>
    <s v="JL. TERUSAN KIARACONDONG NO. 47"/>
    <s v="KEC. KIARACONDONG"/>
    <s v="KOTA BANDUNG"/>
    <s v="KREDIT"/>
    <s v="PT. TOYOTA ASTRA FINANCIAL SERVICES"/>
    <m/>
    <n v="679100000"/>
    <n v="525680804"/>
    <n v="90337500"/>
    <n v="58795982"/>
    <n v="0"/>
    <n v="0"/>
    <n v="35714286"/>
    <n v="639100000"/>
    <n v="93000000"/>
    <n v="-40000000"/>
    <m/>
    <m/>
    <s v="Invoice"/>
    <n v="1"/>
    <s v="0000000000000000"/>
    <s v="30/06/26"/>
    <s v="KC-26-000380"/>
    <s v="25/06/26"/>
    <s v="25/06/26"/>
    <s v="30/06/26 13.13"/>
    <s v="FP00046"/>
    <m/>
    <s v="14/07/26"/>
    <s v="2026074032"/>
    <s v="30/06/26"/>
    <s v="05/07/26 12.29"/>
    <n v="0"/>
  </r>
  <r>
    <n v="1890"/>
    <n v="146"/>
    <s v="KC"/>
    <s v="146ARI2606-0792"/>
    <s v="19/06/26"/>
    <x v="5"/>
    <n v="2026"/>
    <x v="4"/>
    <x v="3"/>
    <s v="INNOVA ZENIX Q A/T HYBRID"/>
    <x v="0"/>
    <x v="0"/>
    <x v="0"/>
    <x v="14"/>
    <x v="1"/>
    <x v="1"/>
    <x v="0"/>
    <x v="1"/>
    <x v="8"/>
    <x v="0"/>
    <s v="MAGH10R-BPXHBD-11"/>
    <s v="089"/>
    <s v="PLATINUM WHITE PEARL"/>
    <s v="MHFABBAA4T0474382"/>
    <s v="M20A-NF98989"/>
    <s v="KCMK25002"/>
    <s v="RAHMAWATI"/>
    <s v="FERYANTO"/>
    <s v="CST-000830220"/>
    <s v="UDI SUHANDORO"/>
    <s v="INDIVIDU"/>
    <s v="UDI SUHANDORO"/>
    <s v="JL RAWAMAYA ELOK"/>
    <s v="KEC. BEJI"/>
    <s v="KOTA DEPOK"/>
    <s v="KREDIT"/>
    <s v="PT. TOYOTA ASTRA FINANCIAL SERVICES"/>
    <m/>
    <n v="629800000"/>
    <n v="489719643"/>
    <n v="81314000"/>
    <n v="56516357"/>
    <n v="0"/>
    <n v="0"/>
    <n v="18750000"/>
    <n v="608800000"/>
    <n v="9000000"/>
    <n v="-21000000"/>
    <s v="24/06/26"/>
    <s v="24/06/26"/>
    <s v="Invoice"/>
    <n v="1"/>
    <m/>
    <s v="19/06/26"/>
    <s v="KC-26-000377"/>
    <s v="18/06/26"/>
    <s v="18/06/26"/>
    <s v="19/06/26 11.59"/>
    <s v="FJ02007"/>
    <s v="19/06/26"/>
    <s v="03/07/26"/>
    <s v="2026068398"/>
    <s v="18/06/26"/>
    <s v="22/06/26 10.43"/>
    <n v="0"/>
  </r>
  <r>
    <n v="1906"/>
    <n v="146"/>
    <s v="KC"/>
    <s v="146ARI2606-0743"/>
    <s v="17/06/26"/>
    <x v="5"/>
    <n v="2026"/>
    <x v="2"/>
    <x v="2"/>
    <s v="CALYA G M/T"/>
    <x v="4"/>
    <x v="0"/>
    <x v="0"/>
    <x v="4"/>
    <x v="0"/>
    <x v="0"/>
    <x v="1"/>
    <x v="0"/>
    <x v="31"/>
    <x v="0"/>
    <s v="B401RA-GMZFJ-20"/>
    <s v="X13"/>
    <s v="BLACK"/>
    <s v="MHKA6GJ6JTJ229156"/>
    <s v="3NR-5A00363"/>
    <s v="KCMG032607"/>
    <s v="FANI PERMANI"/>
    <s v="FERYANTO"/>
    <s v="CST-000829868"/>
    <s v="VEGA HERDY"/>
    <s v="INDIVIDU"/>
    <s v="CV ASWINDRA INTI REZEKI"/>
    <s v="JALAN GAMELAN NO. 1 RT. 002 RW. 001 TURANGGA, LENGKONG KOTA BANDUNG JAWA BARAT"/>
    <s v="KEC. LENGKONG"/>
    <s v="KOTA BANDUNG"/>
    <s v="KREDIT"/>
    <s v="PT. ASTRA SEDAYA FINANCE"/>
    <m/>
    <n v="182200000"/>
    <n v="139575893"/>
    <n v="25875000"/>
    <n v="15677678"/>
    <n v="0"/>
    <n v="0"/>
    <n v="8928571"/>
    <n v="172200000"/>
    <n v="0"/>
    <n v="-10000000"/>
    <s v="22/06/26"/>
    <s v="22/06/26"/>
    <s v="Invoice"/>
    <n v="1"/>
    <m/>
    <m/>
    <s v="KC-26-000422"/>
    <s v="13/06/26"/>
    <s v="13/06/26"/>
    <s v="17/06/26 17.17"/>
    <s v="FO01376"/>
    <s v="17/06/26"/>
    <s v="01/07/26"/>
    <s v="2026066127"/>
    <s v="12/06/26"/>
    <s v="23/06/26 17.03"/>
    <n v="0"/>
  </r>
  <r>
    <n v="1937"/>
    <n v="146"/>
    <s v="KC"/>
    <s v="146ARI2606-0405"/>
    <s v="11/06/26"/>
    <x v="5"/>
    <n v="2026"/>
    <x v="3"/>
    <x v="3"/>
    <s v="INNOVA G A/T DIESEL"/>
    <x v="0"/>
    <x v="0"/>
    <x v="0"/>
    <x v="4"/>
    <x v="0"/>
    <x v="3"/>
    <x v="1"/>
    <x v="0"/>
    <x v="23"/>
    <x v="1"/>
    <s v="GUN142R-MDTSXD-30"/>
    <s v="040"/>
    <s v="SUPER WHITE II"/>
    <s v="MHFJB8EM1T1194016"/>
    <s v="2GD-1973498"/>
    <s v="KCMG052516"/>
    <s v="YENI"/>
    <s v="ALVIN"/>
    <s v="CST-000828852"/>
    <s v="WILZAN MULIA ALHADI"/>
    <s v="INDIVIDU"/>
    <s v="WILZAN MULIA ALHADI"/>
    <s v="JL CIBOGO ATAS"/>
    <s v="KEC. SUKAJADI"/>
    <s v="KOTA BANDUNG"/>
    <s v="KREDIT"/>
    <s v="PT. TOYOTA ASTRA FINANCIAL SERVICES"/>
    <m/>
    <n v="442700000"/>
    <n v="343091518"/>
    <n v="58437500"/>
    <n v="38920982"/>
    <n v="0"/>
    <n v="0"/>
    <n v="18750000"/>
    <n v="421700000"/>
    <n v="2762400"/>
    <n v="-21000000"/>
    <s v="15/06/26"/>
    <s v="15/06/26"/>
    <s v="Invoice"/>
    <n v="1"/>
    <m/>
    <s v="09/06/26"/>
    <s v="KC-26-000391"/>
    <s v="08/06/26"/>
    <s v="08/06/26"/>
    <s v="09/06/26 14.14"/>
    <s v="EC01273"/>
    <s v="11/06/26"/>
    <s v="25/06/26"/>
    <s v="2026051650"/>
    <s v="12/05/26"/>
    <s v="18/06/26 11.30"/>
    <n v="0"/>
  </r>
  <r>
    <n v="1952"/>
    <n v="146"/>
    <s v="KC"/>
    <s v="146ARI2606-0346"/>
    <s v="10/06/26"/>
    <x v="5"/>
    <n v="2026"/>
    <x v="5"/>
    <x v="4"/>
    <s v="VELOZ Q AT HYBRID"/>
    <x v="0"/>
    <x v="0"/>
    <x v="0"/>
    <x v="4"/>
    <x v="0"/>
    <x v="0"/>
    <x v="0"/>
    <x v="4"/>
    <x v="0"/>
    <x v="0"/>
    <s v="W102RE-LBVFJ-06"/>
    <s v="X12"/>
    <s v="BLACK MICA"/>
    <s v="MHFA71BY1T0010182"/>
    <s v="2NR-Y713740"/>
    <s v="KCMG072432"/>
    <s v="DENO"/>
    <s v="FERYANTO"/>
    <s v="CST-000828999"/>
    <s v="YESI PRIMADORA, SH"/>
    <s v="INDIVIDU"/>
    <s v="YESI PRIMADORA, SH"/>
    <s v="JL. SEKELOA NO 32"/>
    <s v="KEC. COBLONG"/>
    <s v="KOTA BANDUNG"/>
    <s v="KREDIT"/>
    <s v="PT. TOYOTA ASTRA FINANCIAL SERVICES"/>
    <m/>
    <n v="350000000"/>
    <n v="270669643"/>
    <n v="46850000"/>
    <n v="32480357"/>
    <n v="0"/>
    <n v="0"/>
    <n v="0"/>
    <n v="350000000"/>
    <n v="0"/>
    <n v="0"/>
    <s v="13/06/26"/>
    <s v="13/06/26"/>
    <s v="Invoice"/>
    <n v="1"/>
    <s v="0000000000000000"/>
    <s v="09/06/26"/>
    <s v="KC-26-000365"/>
    <s v="09/06/26"/>
    <s v="09/06/26"/>
    <s v="10/06/26 15.12"/>
    <s v="F800571"/>
    <s v="10/06/26"/>
    <s v="24/06/26"/>
    <s v="2026064101"/>
    <s v="09/06/26"/>
    <s v="20/06/26 16.23"/>
    <n v="0"/>
  </r>
  <r>
    <n v="1975"/>
    <n v="146"/>
    <s v="KC"/>
    <s v="146ARI2606-0290"/>
    <s v="08/06/26"/>
    <x v="5"/>
    <n v="2026"/>
    <x v="2"/>
    <x v="2"/>
    <s v="CALYA G A/T"/>
    <x v="0"/>
    <x v="0"/>
    <x v="0"/>
    <x v="5"/>
    <x v="0"/>
    <x v="0"/>
    <x v="0"/>
    <x v="0"/>
    <x v="10"/>
    <x v="2"/>
    <s v="B401RA-GQZFJ-20"/>
    <s v="1G3"/>
    <s v="GRAY METALLIC"/>
    <s v="MHKA6GK6JTJ091612"/>
    <s v="3NR-H997682"/>
    <s v="KCMG012503"/>
    <s v="DERI NURSANDI"/>
    <s v="MUHAMMAD CAISARIVA"/>
    <s v="CST-000828515"/>
    <s v="YULIANTO"/>
    <s v="INDIVIDU"/>
    <s v="YULIANTO"/>
    <s v="BOMBER V, NO. 5"/>
    <s v="KEC. CIMAHI SELATAN"/>
    <s v="KOTA CIMAHI"/>
    <s v="KREDIT"/>
    <s v="PT. TOYOTA ASTRA FINANCIAL SERVICES"/>
    <m/>
    <n v="196800000"/>
    <n v="150982143"/>
    <n v="27700000"/>
    <n v="17046428"/>
    <n v="0"/>
    <n v="0"/>
    <n v="8928571"/>
    <n v="186800000"/>
    <n v="0"/>
    <n v="-10000000"/>
    <s v="12/06/26"/>
    <s v="12/06/26"/>
    <s v="Invoice"/>
    <n v="1"/>
    <s v="0000000000000000"/>
    <s v="07/06/26"/>
    <s v="KC-26-000388"/>
    <s v="06/06/26"/>
    <s v="06/06/26"/>
    <s v="07/06/26 19.18"/>
    <s v="EO02420"/>
    <s v="08/06/26"/>
    <s v="22/06/26"/>
    <s v="2026059168"/>
    <s v="28/05/26"/>
    <s v="10/06/26 18.48"/>
    <n v="0"/>
  </r>
  <r>
    <n v="1991"/>
    <n v="146"/>
    <s v="KC"/>
    <s v="146ARI2606-1078"/>
    <s v="24/06/26"/>
    <x v="5"/>
    <n v="2026"/>
    <x v="7"/>
    <x v="5"/>
    <s v="RANGGA-HILUX PU DIESEL M/T"/>
    <x v="0"/>
    <x v="0"/>
    <x v="0"/>
    <x v="1"/>
    <x v="1"/>
    <x v="0"/>
    <x v="0"/>
    <x v="0"/>
    <x v="18"/>
    <x v="1"/>
    <s v="GUN112R-ATMSXD-10"/>
    <s v="058"/>
    <s v="WHITE"/>
    <s v="MR0ACAEA8T0242284"/>
    <s v="2GD-D575325"/>
    <s v="KCMG052429"/>
    <s v="TOPIK HIDAYAT"/>
    <s v="ALVIN"/>
    <s v="CST-000830665"/>
    <s v="ZAKARIA AL HARUN"/>
    <s v="INDIVIDU"/>
    <s v="ZAKARIA AL HARUN"/>
    <s v="KP. RANCABUAYA"/>
    <s v="KEC. CARINGIN"/>
    <s v="KAB. GARUT"/>
    <s v="KREDIT"/>
    <s v="PT. TOYOTA ASTRA FINANCIAL SERVICES"/>
    <m/>
    <n v="259700000"/>
    <n v="199457207"/>
    <n v="38302500"/>
    <n v="19958310"/>
    <n v="0"/>
    <n v="0"/>
    <n v="18018018"/>
    <n v="239700000"/>
    <n v="0"/>
    <n v="-20000000"/>
    <s v="27/06/26"/>
    <s v="27/06/26"/>
    <s v="Invoice"/>
    <n v="1"/>
    <s v="0000000000000000"/>
    <s v="22/06/26"/>
    <s v="KC-26-000403"/>
    <s v="21/06/26"/>
    <s v="21/06/26"/>
    <s v="23/06/26 11.55"/>
    <s v="CB01044"/>
    <s v="24/06/26"/>
    <s v="08/07/26"/>
    <s v="2026030651"/>
    <s v="16/03/26"/>
    <s v="26/06/26 18.00"/>
    <n v="0"/>
  </r>
  <r>
    <n v="3"/>
    <n v="146"/>
    <s v="KC"/>
    <s v="146ARI2607-0305"/>
    <s v="06/07/26"/>
    <x v="6"/>
    <n v="2026"/>
    <x v="2"/>
    <x v="2"/>
    <s v="CALYA G M/T"/>
    <x v="2"/>
    <x v="0"/>
    <x v="0"/>
    <x v="0"/>
    <x v="0"/>
    <x v="0"/>
    <x v="0"/>
    <x v="1"/>
    <x v="2"/>
    <x v="1"/>
    <s v="B401RA-GMZFJ-20"/>
    <s v="1G3"/>
    <s v="GRAY METALLIC"/>
    <s v="MHKA6GJ6JTJ230571"/>
    <s v="3NR-5A03694"/>
    <s v="KCMG042414"/>
    <s v="RIZKI RISMAWAN"/>
    <s v="ALVIN"/>
    <s v="CST-000831187"/>
    <s v="AA BOIE FIRMANSYAH"/>
    <s v="INDIVIDU"/>
    <s v="AA BOIE FIRMANSYAH"/>
    <s v="KOMPLEK TAMAN KOPO KATAPANG BLOK P9 NO. 10"/>
    <s v="KEC. KATAPANG"/>
    <s v="KAB. BANDUNG"/>
    <s v="KREDIT"/>
    <s v="PT. MANDIRI TUNAS FINANCE"/>
    <s v="003-26.21311352"/>
    <n v="182700000"/>
    <n v="139966518"/>
    <n v="25937500"/>
    <n v="15724553"/>
    <n v="0"/>
    <n v="0"/>
    <n v="8928571"/>
    <n v="172700000"/>
    <n v="0"/>
    <n v="-10000000"/>
    <s v="09/07/26"/>
    <s v="09/07/26"/>
    <s v="Invoice"/>
    <n v="1"/>
    <m/>
    <s v="25/06/26"/>
    <s v="KC-26-000445"/>
    <s v="25/06/26"/>
    <s v="25/06/26"/>
    <s v="26/06/26 13.57"/>
    <s v="FO03395"/>
    <s v="06/07/26"/>
    <s v="20/07/26"/>
    <s v="2026073740"/>
    <s v="30/06/26"/>
    <s v="07/07/26 09.36"/>
    <n v="0"/>
  </r>
  <r>
    <n v="25"/>
    <n v="146"/>
    <s v="KC"/>
    <s v="146ARI2607-1229"/>
    <s v="27/07/26"/>
    <x v="6"/>
    <n v="2026"/>
    <x v="3"/>
    <x v="3"/>
    <s v="INNOVA G A/T DIESEL"/>
    <x v="4"/>
    <x v="0"/>
    <x v="0"/>
    <x v="4"/>
    <x v="0"/>
    <x v="4"/>
    <x v="0"/>
    <x v="7"/>
    <x v="8"/>
    <x v="0"/>
    <s v="GUN142R-MDTSXD-30"/>
    <s v="040"/>
    <s v="SUPER WHITE II"/>
    <s v="MHFJB8EMXT1199733"/>
    <s v="2GD-J181716"/>
    <s v="KCMK25002"/>
    <s v="RAHMAWATI"/>
    <s v="FERYANTO"/>
    <s v="CST-000835020"/>
    <s v="ACHMAD FARID"/>
    <s v="INDIVIDU"/>
    <s v="VANI YULIANITA"/>
    <s v="ASRAMA PUSSENKAV JL. TURANGGA BARAT 1 NO. 7B"/>
    <s v="KEC. LENGKONG"/>
    <s v="KOTA BANDUNG"/>
    <s v="KREDIT"/>
    <s v="PT. ASTRA SEDAYA FINANCE"/>
    <m/>
    <n v="442700000"/>
    <n v="343091518"/>
    <n v="58437500"/>
    <n v="37635267"/>
    <n v="0"/>
    <n v="0"/>
    <n v="29464286"/>
    <n v="409700000"/>
    <n v="2000000"/>
    <n v="-33000000"/>
    <m/>
    <m/>
    <s v="Invoice"/>
    <n v="1"/>
    <m/>
    <s v="23/07/26"/>
    <s v="KC-26-000506"/>
    <s v="23/07/26"/>
    <s v="23/07/26"/>
    <s v="25/07/26 11.27"/>
    <s v="FC03316"/>
    <m/>
    <s v="10/08/26"/>
    <s v="2026076639"/>
    <s v="07/07/26"/>
    <s v="28/07/26 12.31"/>
    <n v="0"/>
  </r>
  <r>
    <n v="32"/>
    <n v="146"/>
    <s v="KC"/>
    <s v="146ARI2607-1416"/>
    <s v="31/07/26"/>
    <x v="6"/>
    <n v="2026"/>
    <x v="2"/>
    <x v="2"/>
    <s v="CALYA G M/T"/>
    <x v="2"/>
    <x v="0"/>
    <x v="0"/>
    <x v="4"/>
    <x v="0"/>
    <x v="3"/>
    <x v="0"/>
    <x v="1"/>
    <x v="19"/>
    <x v="0"/>
    <s v="B401RA-GMZFJ-20"/>
    <s v="W09"/>
    <s v="WHITE"/>
    <s v="MHKA6GJ6JTJ231975"/>
    <s v="3NR-5A07368"/>
    <s v="KCMG122541"/>
    <s v="GALIH HARISTIANTO"/>
    <s v="FERYANTO"/>
    <s v="CST-000834828"/>
    <s v="ADE ALIMIN"/>
    <s v="INDIVIDU"/>
    <s v="ADE ALIMIN"/>
    <s v="GG MESJID AL HIDAYAH I NO 26"/>
    <s v="KEC. BOJONGLOA KALER"/>
    <s v="KOTA BANDUNG"/>
    <s v="KREDIT"/>
    <s v="PT. MANDIRI TUNAS FINANCE"/>
    <m/>
    <n v="182700000"/>
    <n v="139966518"/>
    <n v="25937500"/>
    <n v="15349553"/>
    <n v="0"/>
    <n v="0"/>
    <n v="12053571"/>
    <n v="169200000"/>
    <n v="4500000"/>
    <n v="-13500000"/>
    <m/>
    <m/>
    <s v="Invoice"/>
    <n v="1"/>
    <m/>
    <s v="20/07/26"/>
    <s v="KC-26-000485"/>
    <s v="18/07/26"/>
    <s v="18/07/26"/>
    <s v="23/07/26 15.17"/>
    <s v="GO02037"/>
    <m/>
    <s v="14/08/26"/>
    <s v="2026085742"/>
    <s v="28/07/26"/>
    <s v="01/08/26 14.00"/>
    <n v="0"/>
  </r>
  <r>
    <n v="38"/>
    <n v="146"/>
    <s v="KC"/>
    <s v="146ARI2607-0624"/>
    <s v="14/07/26"/>
    <x v="6"/>
    <n v="2026"/>
    <x v="2"/>
    <x v="2"/>
    <s v="CALYA G M/T"/>
    <x v="0"/>
    <x v="0"/>
    <x v="0"/>
    <x v="0"/>
    <x v="0"/>
    <x v="3"/>
    <x v="0"/>
    <x v="0"/>
    <x v="43"/>
    <x v="2"/>
    <s v="B401RA-GMZFJ-20"/>
    <s v="1G3"/>
    <s v="GRAY METALLIC"/>
    <s v="MHKA6GJ6JTJ230586"/>
    <s v="3NR-5A03926"/>
    <s v="KCMG062614"/>
    <s v="SINTA MUSTIKA"/>
    <s v="MUHAMMAD CAISARIVA"/>
    <s v="CST-000833188"/>
    <s v="ADI BING SLAMET GEA"/>
    <s v="INDIVIDU"/>
    <s v="ADI BING SLAMET GEA"/>
    <s v="HEGAR ASRI RESIDENCE"/>
    <s v="KEC. BALEENDAH"/>
    <s v="KAB. BANDUNG"/>
    <s v="KREDIT"/>
    <s v="PT. TOYOTA ASTRA FINANCIAL SERVICES"/>
    <m/>
    <n v="182700000"/>
    <n v="139966518"/>
    <n v="25937500"/>
    <n v="15724553"/>
    <n v="0"/>
    <n v="0"/>
    <n v="8928571"/>
    <n v="172700000"/>
    <n v="0"/>
    <n v="-10000000"/>
    <s v="20/07/26"/>
    <s v="20/07/26"/>
    <s v="Invoice"/>
    <n v="1"/>
    <s v="0000000000000000"/>
    <s v="10/07/26"/>
    <s v="KC-26-000477"/>
    <s v="09/07/26"/>
    <s v="09/07/26"/>
    <s v="10/07/26 18.53"/>
    <s v="FO03469"/>
    <s v="14/07/26"/>
    <s v="28/07/26"/>
    <s v="2026074189"/>
    <s v="01/07/26"/>
    <s v="19/07/26 18.00"/>
    <n v="0"/>
  </r>
  <r>
    <n v="56"/>
    <n v="146"/>
    <s v="KC"/>
    <s v="146ARI2607-0945"/>
    <s v="22/07/26"/>
    <x v="6"/>
    <n v="2026"/>
    <x v="7"/>
    <x v="5"/>
    <s v="HILUX DC V A/T DIESEL"/>
    <x v="4"/>
    <x v="0"/>
    <x v="0"/>
    <x v="0"/>
    <x v="0"/>
    <x v="3"/>
    <x v="1"/>
    <x v="4"/>
    <x v="37"/>
    <x v="1"/>
    <s v="GUN226R-DTTHXD-00"/>
    <s v="218"/>
    <s v="ATTITUDE BLACK MICA"/>
    <s v="MR0HA3AV9T1003457"/>
    <s v="1GD-6038348"/>
    <s v="KCMG042611"/>
    <s v="NOVA KHAIRUNNISA SUMARNA"/>
    <s v="ALVIN"/>
    <s v="CST-000833452"/>
    <s v="AGUS DUDI SETIAWAN S, SOS"/>
    <s v="INDIVIDU"/>
    <s v="NENG YANI HARYANI"/>
    <m/>
    <s v="KEC. BALEENDAH"/>
    <s v="KAB. BANDUNG"/>
    <s v="KREDIT"/>
    <s v="PT. ASTRA SEDAYA FINANCE"/>
    <m/>
    <n v="575100000"/>
    <n v="444430804"/>
    <n v="77337500"/>
    <n v="51885267"/>
    <n v="0"/>
    <n v="0"/>
    <n v="12053571"/>
    <n v="561600000"/>
    <n v="0"/>
    <n v="-13500000"/>
    <s v="28/07/26"/>
    <s v="28/07/26"/>
    <s v="Invoice"/>
    <n v="1"/>
    <m/>
    <s v="12/07/26"/>
    <s v="KC-26-000503"/>
    <s v="11/07/26"/>
    <s v="11/07/26"/>
    <s v="13/07/26 14.51"/>
    <s v="GB02202"/>
    <s v="22/07/26"/>
    <s v="05/08/26"/>
    <s v="2026083262"/>
    <s v="21/07/26"/>
    <s v="23/07/26 08.00"/>
    <n v="0"/>
  </r>
  <r>
    <n v="104"/>
    <n v="146"/>
    <s v="KC"/>
    <s v="146ARI2607-1429"/>
    <s v="31/07/26"/>
    <x v="6"/>
    <n v="2026"/>
    <x v="13"/>
    <x v="11"/>
    <s v="RAIZE G A/T"/>
    <x v="4"/>
    <x v="0"/>
    <x v="0"/>
    <x v="4"/>
    <x v="0"/>
    <x v="3"/>
    <x v="0"/>
    <x v="5"/>
    <x v="29"/>
    <x v="1"/>
    <s v="A251RA-GBXFJ-10"/>
    <s v="X13"/>
    <s v="BLACK"/>
    <s v="MHKAB1BA6TJ172984"/>
    <s v="WA-A261679"/>
    <s v="KCMG042609"/>
    <s v="ANDRI JAYA LAKSANA"/>
    <s v="ALVIN"/>
    <s v="CST-000835796"/>
    <s v="AMELIA SILVANA ANGGRAENI"/>
    <s v="INDIVIDU"/>
    <s v="AMELIA SILVANA ANGGRAENI"/>
    <s v="RANCABOLANG"/>
    <s v="KEC. GEDEBAGE"/>
    <s v="KOTA BANDUNG"/>
    <s v="KREDIT"/>
    <s v="PT. ASTRA SEDAYA FINANCE"/>
    <m/>
    <n v="262100000"/>
    <n v="201997768"/>
    <n v="35862500"/>
    <n v="21775446"/>
    <n v="0"/>
    <n v="0"/>
    <n v="20535714"/>
    <n v="239100000"/>
    <n v="25800000"/>
    <n v="-23000000"/>
    <m/>
    <m/>
    <s v="Invoice"/>
    <n v="1"/>
    <m/>
    <s v="31/07/26"/>
    <s v="KC-26-000539"/>
    <s v="31/07/26"/>
    <s v="31/07/26"/>
    <s v="31/07/26 20.30"/>
    <s v="GZ00460"/>
    <m/>
    <s v="14/08/26"/>
    <s v="2026084214"/>
    <s v="23/07/26"/>
    <s v="05/08/26 20.24"/>
    <n v="0"/>
  </r>
  <r>
    <n v="118"/>
    <n v="146"/>
    <s v="KC"/>
    <s v="146ARI2607-0567"/>
    <s v="13/07/26"/>
    <x v="6"/>
    <n v="2026"/>
    <x v="12"/>
    <x v="10"/>
    <s v="RUSH S M/T"/>
    <x v="2"/>
    <x v="0"/>
    <x v="0"/>
    <x v="0"/>
    <x v="0"/>
    <x v="1"/>
    <x v="1"/>
    <x v="0"/>
    <x v="20"/>
    <x v="1"/>
    <s v="F800RE-GMGFJ-40"/>
    <s v="X12"/>
    <s v="BLACK MICA"/>
    <s v="MHKE8FA3JTK147193"/>
    <s v="2NR-4G24138"/>
    <s v="KCMG042424"/>
    <s v="INDAH PITALOKA"/>
    <s v="ALVIN"/>
    <s v="CST-000833237"/>
    <s v="ANDRI AHMAD TOHARI"/>
    <s v="INDIVIDU"/>
    <s v="ANDRI AHMAD TOHARI"/>
    <s v="KP. SUKAMANAH"/>
    <s v="KEC. MARGAASIH"/>
    <s v="KAB. BANDUNG"/>
    <s v="KREDIT"/>
    <s v="PT. MANDIRI TUNAS FINANCE"/>
    <m/>
    <n v="312500000"/>
    <n v="241372768"/>
    <n v="42162500"/>
    <n v="27357589"/>
    <n v="0"/>
    <n v="0"/>
    <n v="13392857"/>
    <n v="297500000"/>
    <n v="0"/>
    <n v="-15000000"/>
    <s v="17/07/26"/>
    <s v="17/07/26"/>
    <s v="Invoice"/>
    <n v="1"/>
    <m/>
    <s v="11/07/26"/>
    <s v="KC-26-000513"/>
    <s v="11/07/26"/>
    <s v="11/07/26"/>
    <s v="11/07/26 11.07"/>
    <s v="GG00709"/>
    <s v="13/07/26"/>
    <s v="27/07/26"/>
    <s v="2026078819"/>
    <s v="10/07/26"/>
    <s v="15/07/26 09.21"/>
    <n v="0"/>
  </r>
  <r>
    <n v="129"/>
    <n v="146"/>
    <s v="KC"/>
    <s v="146ARI2607-0387"/>
    <s v="08/07/26"/>
    <x v="6"/>
    <n v="2026"/>
    <x v="0"/>
    <x v="0"/>
    <s v="AVANZA E A/T"/>
    <x v="2"/>
    <x v="0"/>
    <x v="0"/>
    <x v="2"/>
    <x v="0"/>
    <x v="5"/>
    <x v="1"/>
    <x v="1"/>
    <x v="41"/>
    <x v="0"/>
    <s v="W100RE-LBDFJ-10"/>
    <s v="X12"/>
    <s v="BLACK MICA"/>
    <s v="MHKAA1BY5TJ019285"/>
    <s v="1NR-G333001"/>
    <s v="KCMG062615"/>
    <s v="REZA PAHLEVI PUTRA PRIBADI"/>
    <s v="FERYANTO"/>
    <s v="CST-000829230"/>
    <s v="ANGGIE CHRISNA DEWI"/>
    <s v="INDIVIDU"/>
    <s v="ANGGIE CHRISNA DEWI,ST"/>
    <s v="G-LAND PADALARANG RESIDENCE BLOK I 16"/>
    <s v="KEC. PADALARANG"/>
    <s v="KAB. BANDUNG BARAT"/>
    <s v="KREDIT"/>
    <s v="PT. MANDIRI TUNAS FINANCE"/>
    <m/>
    <n v="262700000"/>
    <n v="202466518"/>
    <n v="35937500"/>
    <n v="22688839"/>
    <n v="0"/>
    <n v="0"/>
    <n v="13392857"/>
    <n v="247700000"/>
    <n v="0"/>
    <n v="-15000000"/>
    <s v="21/07/26"/>
    <s v="21/07/26"/>
    <s v="Invoice"/>
    <n v="1"/>
    <s v="3211014205920007"/>
    <m/>
    <s v="KC-26-000399"/>
    <s v="02/07/26"/>
    <s v="02/07/26"/>
    <s v="06/07/26 15.16"/>
    <s v="G700616"/>
    <s v="08/07/26"/>
    <s v="22/07/26"/>
    <s v="2026075763"/>
    <s v="06/07/26"/>
    <s v="11/07/26 08.20"/>
    <n v="0"/>
  </r>
  <r>
    <n v="139"/>
    <n v="146"/>
    <s v="KC"/>
    <s v="146ARI2607-1320"/>
    <s v="29/07/26"/>
    <x v="6"/>
    <n v="2026"/>
    <x v="2"/>
    <x v="2"/>
    <s v="CALYA G M/T"/>
    <x v="2"/>
    <x v="0"/>
    <x v="0"/>
    <x v="4"/>
    <x v="0"/>
    <x v="3"/>
    <x v="0"/>
    <x v="1"/>
    <x v="29"/>
    <x v="1"/>
    <s v="B401RA-GMZFJ-20"/>
    <s v="1G3"/>
    <s v="GRAY METALLIC"/>
    <s v="MHKA6GJ6JTJ231845"/>
    <s v="3NR-5A07017"/>
    <s v="KCMG042609"/>
    <s v="ANDRI JAYA LAKSANA"/>
    <s v="ALVIN"/>
    <s v="CST-000832769"/>
    <s v="ANNO ADE HASOLOAN SILITONGA"/>
    <s v="INDIVIDU"/>
    <s v="ANNO ADE HASOLOAN SILITONGA"/>
    <s v="JL BABAKAN CIPARAY GG MISBAH"/>
    <s v="KEC. BABAKAN CIPARAY"/>
    <s v="KOTA BANDUNG"/>
    <s v="KREDIT"/>
    <s v="PT. MANDIRI TUNAS FINANCE"/>
    <m/>
    <n v="182700000"/>
    <n v="139966518"/>
    <n v="25937500"/>
    <n v="15295982"/>
    <n v="0"/>
    <n v="0"/>
    <n v="12500000"/>
    <n v="168700000"/>
    <n v="0"/>
    <n v="-14000000"/>
    <m/>
    <m/>
    <s v="Invoice"/>
    <n v="1"/>
    <s v="3273031110880002"/>
    <s v="08/07/26"/>
    <s v="KC-26-000498"/>
    <s v="06/07/26"/>
    <s v="06/07/26"/>
    <s v="08/07/26 11.21"/>
    <s v="GO01785"/>
    <s v="29/07/26"/>
    <s v="12/08/26"/>
    <s v="2026085742"/>
    <s v="28/07/26"/>
    <s v="30/07/26 11.13"/>
    <n v="0"/>
  </r>
  <r>
    <n v="180"/>
    <n v="146"/>
    <s v="KC"/>
    <s v="146ARI2607-0505"/>
    <s v="11/07/26"/>
    <x v="6"/>
    <n v="2026"/>
    <x v="12"/>
    <x v="10"/>
    <s v="RUSH S M/T"/>
    <x v="2"/>
    <x v="0"/>
    <x v="0"/>
    <x v="4"/>
    <x v="0"/>
    <x v="1"/>
    <x v="1"/>
    <x v="1"/>
    <x v="1"/>
    <x v="0"/>
    <s v="F800RE-GMGFJ-40"/>
    <s v="X12"/>
    <s v="BLACK MICA"/>
    <s v="MHKE8FA3JTK146979"/>
    <s v="2NR-4G22018"/>
    <s v="KCMK24005"/>
    <s v="JAJANG NURJAMAN"/>
    <s v="FERYANTO"/>
    <s v="CST-000832974"/>
    <s v="ASEP MISBAH"/>
    <s v="INDIVIDU"/>
    <s v="ASEP MISBAH"/>
    <s v="JL. CIBADUYUT GG. IBU IPONG"/>
    <s v="KEC. BOJONGLOA KIDUL"/>
    <s v="KOTA BANDUNG"/>
    <s v="KREDIT"/>
    <s v="PT. MANDIRI TUNAS FINANCE"/>
    <m/>
    <n v="312500000"/>
    <n v="241372768"/>
    <n v="42162500"/>
    <n v="27357589"/>
    <n v="0"/>
    <n v="0"/>
    <n v="13392857"/>
    <n v="297500000"/>
    <n v="0"/>
    <n v="-15000000"/>
    <s v="16/07/26"/>
    <s v="16/07/26"/>
    <s v="Invoice"/>
    <n v="1"/>
    <m/>
    <s v="08/07/26"/>
    <s v="KC-26-000490"/>
    <s v="08/07/26"/>
    <s v="08/07/26"/>
    <s v="09/07/26 14.24"/>
    <s v="GG00300"/>
    <s v="11/07/26"/>
    <s v="25/07/26"/>
    <s v="2026076393"/>
    <s v="07/07/26"/>
    <s v="13/07/26 19.06"/>
    <n v="0"/>
  </r>
  <r>
    <n v="182"/>
    <n v="146"/>
    <s v="KC"/>
    <s v="146ARI2607-1427"/>
    <s v="31/07/26"/>
    <x v="6"/>
    <n v="2026"/>
    <x v="2"/>
    <x v="2"/>
    <s v="CALYA G M/T"/>
    <x v="2"/>
    <x v="0"/>
    <x v="0"/>
    <x v="0"/>
    <x v="0"/>
    <x v="3"/>
    <x v="0"/>
    <x v="1"/>
    <x v="24"/>
    <x v="0"/>
    <s v="B401RA-GMZFJ-20"/>
    <s v="W09"/>
    <s v="WHITE"/>
    <s v="MHKA6GJ6JTJ232082"/>
    <s v="3NR-5A07697"/>
    <s v="KCMG012605"/>
    <s v="JUARNA KARMAN PUTRA"/>
    <s v="FERYANTO"/>
    <s v="CST-000835785"/>
    <s v="ASEP ROSIDIN P"/>
    <s v="INDIVIDU"/>
    <s v="ASEP ROSIDIN P"/>
    <s v="BLOK DESA"/>
    <s v="KEC. BANJARAN"/>
    <s v="KAB. BANDUNG"/>
    <s v="KREDIT"/>
    <s v="PT. MANDIRI TUNAS FINANCE"/>
    <m/>
    <n v="182700000"/>
    <n v="139966518"/>
    <n v="25937500"/>
    <n v="15349553"/>
    <n v="0"/>
    <n v="0"/>
    <n v="12053571"/>
    <n v="169200000"/>
    <n v="3890000"/>
    <n v="-13500000"/>
    <m/>
    <m/>
    <s v="Invoice"/>
    <n v="1"/>
    <m/>
    <s v="31/07/26"/>
    <s v="KC-26-000552"/>
    <s v="27/07/26"/>
    <s v="27/07/26"/>
    <s v="31/07/26 18.47"/>
    <s v="GO02248"/>
    <m/>
    <s v="14/08/26"/>
    <s v="2026087183"/>
    <s v="31/07/26"/>
    <s v="01/08/26 18.39"/>
    <n v="0"/>
  </r>
  <r>
    <n v="183"/>
    <n v="146"/>
    <s v="KC"/>
    <s v="146ARI2607-0503"/>
    <s v="11/07/26"/>
    <x v="6"/>
    <n v="2026"/>
    <x v="0"/>
    <x v="0"/>
    <s v="AVANZA E A/T"/>
    <x v="2"/>
    <x v="0"/>
    <x v="0"/>
    <x v="4"/>
    <x v="0"/>
    <x v="0"/>
    <x v="0"/>
    <x v="1"/>
    <x v="41"/>
    <x v="0"/>
    <s v="W100RE-LBDFJ-10"/>
    <s v="S28"/>
    <s v="Silver Metallic"/>
    <s v="MHKAA1BY4TJ019391"/>
    <s v="1NR-G333155"/>
    <s v="KCMG062615"/>
    <s v="REZA PAHLEVI PUTRA PRIBADI"/>
    <s v="FERYANTO"/>
    <s v="CST-000832040"/>
    <s v="ASEP SOPYAN"/>
    <s v="INDIVIDU"/>
    <s v="ASEP SOPYAN"/>
    <s v="CIJAWURA GIRANG V"/>
    <s v="KEC. BUAH BATU"/>
    <s v="KOTA BANDUNG"/>
    <s v="KREDIT"/>
    <s v="PT. MANDIRI TUNAS FINANCE"/>
    <m/>
    <n v="262700000"/>
    <n v="202466518"/>
    <n v="35937500"/>
    <n v="22688839"/>
    <n v="0"/>
    <n v="0"/>
    <n v="13392857"/>
    <n v="247700000"/>
    <n v="0"/>
    <n v="-15000000"/>
    <s v="18/07/26"/>
    <s v="18/07/26"/>
    <s v="Invoice"/>
    <n v="1"/>
    <m/>
    <s v="25/06/26"/>
    <s v="KC-26-000429"/>
    <s v="24/06/26"/>
    <s v="24/06/26"/>
    <s v="02/07/26 14.27"/>
    <s v="G700702"/>
    <s v="11/07/26"/>
    <s v="25/07/26"/>
    <s v="2026076955"/>
    <s v="08/07/26"/>
    <s v="13/07/26 08.52"/>
    <n v="0"/>
  </r>
  <r>
    <n v="245"/>
    <n v="146"/>
    <s v="KC"/>
    <s v="146ARI2607-1180"/>
    <s v="27/07/26"/>
    <x v="6"/>
    <n v="2026"/>
    <x v="13"/>
    <x v="11"/>
    <s v="RAIZE S A/T"/>
    <x v="2"/>
    <x v="0"/>
    <x v="0"/>
    <x v="0"/>
    <x v="0"/>
    <x v="3"/>
    <x v="0"/>
    <x v="0"/>
    <x v="18"/>
    <x v="1"/>
    <s v="A250RA-GBVVJ-31"/>
    <s v="XK1"/>
    <s v="BLACK YELLOW"/>
    <s v="MHKAA1BA0TJ195325"/>
    <s v="1KR-B058751"/>
    <s v="KCMG052429"/>
    <s v="TOPIK HIDAYAT"/>
    <s v="ALVIN"/>
    <s v="CST-000832798"/>
    <s v="CEP ADE HENDRIANA"/>
    <s v="INDIVIDU"/>
    <s v="REYSA SITI KULSUM"/>
    <s v="KP SINDANG SARI"/>
    <s v="KEC. PANGALENGAN"/>
    <s v="KAB. BANDUNG"/>
    <s v="KREDIT"/>
    <s v="PT. MANDIRI TUNAS FINANCE"/>
    <m/>
    <n v="297900000"/>
    <n v="229966518"/>
    <n v="40337500"/>
    <n v="25024553"/>
    <n v="0"/>
    <n v="0"/>
    <n v="21428571"/>
    <n v="273900000"/>
    <n v="0"/>
    <n v="-24000000"/>
    <s v="31/07/26"/>
    <s v="31/07/26"/>
    <s v="Invoice"/>
    <n v="1"/>
    <m/>
    <s v="08/07/26"/>
    <s v="KC-26-000497"/>
    <s v="04/07/26"/>
    <s v="04/07/26"/>
    <s v="08/07/26 14.26"/>
    <s v="GZ00394"/>
    <s v="27/07/26"/>
    <s v="10/08/26"/>
    <s v="2026084914"/>
    <s v="24/07/26"/>
    <s v="28/07/26 15.59"/>
    <n v="0"/>
  </r>
  <r>
    <n v="280"/>
    <n v="146"/>
    <s v="KC"/>
    <s v="146ARI2607-0584"/>
    <s v="13/07/26"/>
    <x v="6"/>
    <n v="2026"/>
    <x v="7"/>
    <x v="5"/>
    <s v="RANGGA-HILUX PU DIESEL M/T"/>
    <x v="3"/>
    <x v="1"/>
    <x v="1"/>
    <x v="1"/>
    <x v="1"/>
    <x v="0"/>
    <x v="1"/>
    <x v="6"/>
    <x v="17"/>
    <x v="2"/>
    <s v="GUN112R-ATMHXD-12"/>
    <s v="1M2"/>
    <s v="ASH GREY"/>
    <s v="MR0AC9EA9T0101108"/>
    <s v="2GD-D603949"/>
    <s v="KCMG112540"/>
    <s v="KHARISMA GALIH PUTRA"/>
    <s v="MUHAMMAD CAISARIVA"/>
    <s v="CST-000802968"/>
    <s v="CV. SKN AGRO TANI"/>
    <s v="PT"/>
    <s v="CV. SKN AGRO TANI"/>
    <s v="KP. BARUKAI"/>
    <s v="KEC. CIKAJANG"/>
    <s v="KAB. GARUT"/>
    <s v="CASH"/>
    <s v="CASH"/>
    <m/>
    <n v="294300000"/>
    <n v="226731982"/>
    <n v="42627500"/>
    <n v="23255833"/>
    <n v="0"/>
    <n v="0"/>
    <n v="15315315"/>
    <n v="277300000"/>
    <n v="0"/>
    <n v="-17000000"/>
    <s v="23/07/26"/>
    <s v="23/07/26"/>
    <s v="Invoice"/>
    <n v="1"/>
    <m/>
    <s v="05/12/25"/>
    <s v="KC-25-000838"/>
    <s v="08/12/25"/>
    <s v="08/12/25"/>
    <s v="08/12/25 13.20"/>
    <s v="GB00974"/>
    <s v="13/07/26"/>
    <s v="27/07/26"/>
    <s v="2026078564"/>
    <s v="10/07/26"/>
    <s v="14/07/26 10.00"/>
    <n v="0"/>
  </r>
  <r>
    <n v="286"/>
    <n v="146"/>
    <s v="KC"/>
    <s v="146ARI2607-1420"/>
    <s v="31/07/26"/>
    <x v="6"/>
    <n v="2026"/>
    <x v="2"/>
    <x v="2"/>
    <s v="CALYA G M/T"/>
    <x v="2"/>
    <x v="0"/>
    <x v="0"/>
    <x v="0"/>
    <x v="0"/>
    <x v="3"/>
    <x v="2"/>
    <x v="1"/>
    <x v="15"/>
    <x v="0"/>
    <s v="B401RA-GMZFJ-20"/>
    <s v="S28"/>
    <s v="Silver Metallic"/>
    <s v="MHKA6GJ6JTJ230585"/>
    <s v="3NR-5A03824"/>
    <s v="CMMG122342"/>
    <s v="REGYAWAN KURNIA"/>
    <s v="FERYANTO"/>
    <s v="CST-000835661"/>
    <s v="DADANG HIDAYAT"/>
    <s v="INDIVIDU"/>
    <s v="NENG SITI MUFLIHAH"/>
    <s v="RANCA CATANG"/>
    <s v="KEC. BOJONGSOANG"/>
    <s v="KAB. BANDUNG"/>
    <s v="KREDIT"/>
    <s v="PT. MANDIRI TUNAS FINANCE"/>
    <m/>
    <n v="182700000"/>
    <n v="139966518"/>
    <n v="25937500"/>
    <n v="15349553"/>
    <n v="0"/>
    <n v="0"/>
    <n v="12053571"/>
    <n v="169200000"/>
    <n v="0"/>
    <n v="-13500000"/>
    <m/>
    <m/>
    <s v="Invoice"/>
    <n v="1"/>
    <m/>
    <s v="30/07/26"/>
    <s v="KC-26-000556"/>
    <s v="26/07/26"/>
    <s v="26/07/26"/>
    <s v="30/07/26 19.05"/>
    <s v="FO03453"/>
    <m/>
    <s v="14/08/26"/>
    <s v="2026074235"/>
    <s v="01/07/26"/>
    <s v="01/08/26 17.53"/>
    <n v="0"/>
  </r>
  <r>
    <n v="303"/>
    <n v="146"/>
    <s v="KC"/>
    <s v="146ARI2607-0892"/>
    <s v="21/07/26"/>
    <x v="6"/>
    <n v="2026"/>
    <x v="5"/>
    <x v="4"/>
    <s v="VELOZ Q AT HYBRID"/>
    <x v="0"/>
    <x v="0"/>
    <x v="0"/>
    <x v="4"/>
    <x v="0"/>
    <x v="0"/>
    <x v="0"/>
    <x v="0"/>
    <x v="10"/>
    <x v="2"/>
    <s v="W102RE-LBVFJ-09"/>
    <s v="089"/>
    <s v="PLATINUM WHITE PEARL MICA"/>
    <s v="MHFA71BY0T0012750"/>
    <s v="2NR-Y729225"/>
    <s v="KCMG012503"/>
    <s v="DERI NURSANDI"/>
    <s v="MUHAMMAD CAISARIVA"/>
    <s v="CST-000833778"/>
    <s v="DEDI PRASETYO"/>
    <s v="INDIVIDU"/>
    <s v="DEDI PRASETYO"/>
    <s v="JL. GEGERKALONG GILANG NO. 10"/>
    <s v="KEC. SUKASARI"/>
    <s v="KOTA BANDUNG"/>
    <s v="KREDIT"/>
    <s v="PT. TOYOTA ASTRA FINANCIAL SERVICES"/>
    <m/>
    <n v="326500000"/>
    <n v="252310268"/>
    <n v="43912500"/>
    <n v="29205803"/>
    <n v="0"/>
    <n v="0"/>
    <n v="8928571"/>
    <n v="316500000"/>
    <n v="0"/>
    <n v="-10000000"/>
    <s v="28/07/26"/>
    <s v="28/07/26"/>
    <s v="Invoice"/>
    <n v="1"/>
    <s v="0000000000000000"/>
    <s v="15/07/26"/>
    <s v="KC-26-000529"/>
    <s v="13/07/26"/>
    <s v="13/07/26"/>
    <s v="15/07/26 11.26"/>
    <s v="G800484"/>
    <s v="27/07/26"/>
    <s v="04/08/26"/>
    <s v="2026077177"/>
    <s v="08/07/26"/>
    <s v="23/07/26 10.51"/>
    <n v="0"/>
  </r>
  <r>
    <n v="313"/>
    <n v="146"/>
    <s v="KC"/>
    <s v="146ARI2607-0870"/>
    <s v="20/07/26"/>
    <x v="6"/>
    <n v="2026"/>
    <x v="3"/>
    <x v="3"/>
    <s v="INNOVA G A/T DIESEL"/>
    <x v="4"/>
    <x v="0"/>
    <x v="0"/>
    <x v="2"/>
    <x v="0"/>
    <x v="3"/>
    <x v="0"/>
    <x v="1"/>
    <x v="18"/>
    <x v="1"/>
    <s v="GUN142R-MDTSXD-30"/>
    <s v="040"/>
    <s v="SUPER WHITE II"/>
    <s v="MHFJB8EM2T1199922"/>
    <s v="2GD-J182067"/>
    <s v="KCMG052429"/>
    <s v="TOPIK HIDAYAT"/>
    <s v="ALVIN"/>
    <s v="CST-000833812"/>
    <s v="DENA ANUGRAH"/>
    <s v="INDIVIDU"/>
    <s v="EMA RAHMAWATI"/>
    <s v="KP CIJEUNGJING"/>
    <s v="KEC. PADALARANG"/>
    <s v="KAB. BANDUNG BARAT"/>
    <s v="KREDIT"/>
    <s v="PT. ASTRA SEDAYA FINANCE"/>
    <m/>
    <n v="442700000"/>
    <n v="343091518"/>
    <n v="58437500"/>
    <n v="37420982"/>
    <n v="0"/>
    <n v="0"/>
    <n v="31250000"/>
    <n v="407700000"/>
    <n v="0"/>
    <n v="-35000000"/>
    <s v="23/07/26"/>
    <s v="23/07/26"/>
    <s v="Invoice"/>
    <n v="1"/>
    <m/>
    <s v="14/07/26"/>
    <s v="KC-26-000538"/>
    <s v="14/07/26"/>
    <s v="14/07/26"/>
    <s v="15/07/26 13.59"/>
    <s v="FC03504"/>
    <s v="20/07/26"/>
    <s v="03/08/26"/>
    <s v="2026077174"/>
    <s v="08/07/26"/>
    <s v="27/07/26 18.41"/>
    <n v="0"/>
  </r>
  <r>
    <n v="342"/>
    <n v="146"/>
    <s v="KC"/>
    <s v="146ARI2607-1225"/>
    <s v="27/07/26"/>
    <x v="6"/>
    <n v="2026"/>
    <x v="0"/>
    <x v="0"/>
    <s v="AVANZA G A/T"/>
    <x v="2"/>
    <x v="0"/>
    <x v="0"/>
    <x v="4"/>
    <x v="0"/>
    <x v="3"/>
    <x v="0"/>
    <x v="1"/>
    <x v="29"/>
    <x v="1"/>
    <s v="W101RE-LBMFJ-10"/>
    <s v="X12"/>
    <s v="BLACK MICA"/>
    <s v="MHKAB1BY7TJ025067"/>
    <s v="2NR-4G29455"/>
    <s v="KCMG042609"/>
    <s v="ANDRI JAYA LAKSANA"/>
    <s v="ALVIN"/>
    <s v="CST-000833406"/>
    <s v="DIAN HERDIANA"/>
    <s v="INDIVIDU"/>
    <s v="DIAN HERDIANA"/>
    <s v="METEOR BARAT I BLOK L-II NO 128"/>
    <s v="KEC. BUAH BATU"/>
    <s v="KOTA BANDUNG"/>
    <s v="KREDIT"/>
    <s v="PT. MANDIRI TUNAS FINANCE"/>
    <m/>
    <n v="285500000"/>
    <n v="220279018"/>
    <n v="38787500"/>
    <n v="24269196"/>
    <n v="0"/>
    <n v="0"/>
    <n v="18035714"/>
    <n v="265300000"/>
    <n v="0"/>
    <n v="-20200000"/>
    <s v="29/07/26"/>
    <s v="29/07/26"/>
    <s v="Invoice"/>
    <n v="1"/>
    <m/>
    <s v="11/07/26"/>
    <s v="KC-26-000502"/>
    <s v="11/07/26"/>
    <s v="11/07/26"/>
    <s v="13/07/26 12.22"/>
    <s v="G702384"/>
    <s v="27/07/26"/>
    <s v="10/08/26"/>
    <s v="2026084013"/>
    <s v="23/07/26"/>
    <s v="28/07/26 10.28"/>
    <n v="0"/>
  </r>
  <r>
    <n v="359"/>
    <n v="146"/>
    <s v="KC"/>
    <s v="146ARI2607-0397"/>
    <s v="09/07/26"/>
    <x v="6"/>
    <n v="2026"/>
    <x v="10"/>
    <x v="8"/>
    <s v="YARIS CROSS S A/T"/>
    <x v="3"/>
    <x v="0"/>
    <x v="1"/>
    <x v="4"/>
    <x v="0"/>
    <x v="6"/>
    <x v="0"/>
    <x v="1"/>
    <x v="23"/>
    <x v="1"/>
    <s v="NYC200R-DHXHBD-01"/>
    <s v="218"/>
    <s v="ATTITUDE BLACK MICA"/>
    <s v="MHFAB8BF0T0042353"/>
    <s v="2NR-Y701951"/>
    <s v="KCMG052516"/>
    <s v="YENI"/>
    <s v="ALVIN"/>
    <s v="CST-000832409"/>
    <s v="DINI HANDAYANI"/>
    <s v="INDIVIDU"/>
    <s v="DINI HANDAYANI"/>
    <s v="ANDIR WETAN"/>
    <s v="KEC. UJUNGBERUNG"/>
    <s v="KOTA BANDUNG"/>
    <s v="CASH"/>
    <s v="CASH"/>
    <m/>
    <n v="461100000"/>
    <n v="357466518"/>
    <n v="60737500"/>
    <n v="39681696"/>
    <n v="0"/>
    <n v="0"/>
    <n v="26785714"/>
    <n v="431100000"/>
    <n v="0"/>
    <n v="-30000000"/>
    <s v="14/07/26"/>
    <s v="14/07/26"/>
    <s v="Invoice"/>
    <n v="1"/>
    <m/>
    <s v="04/07/26"/>
    <s v="KC-26-000465"/>
    <s v="01/07/26"/>
    <s v="01/07/26"/>
    <s v="06/07/26 10.54"/>
    <s v="E100193"/>
    <s v="09/07/26"/>
    <s v="18/07/26"/>
    <s v="2026054328"/>
    <s v="18/05/26"/>
    <s v="10/07/26 10.00"/>
    <n v="0"/>
  </r>
  <r>
    <n v="371"/>
    <n v="146"/>
    <s v="KC"/>
    <s v="146ARI2607-1267"/>
    <s v="29/07/26"/>
    <x v="6"/>
    <n v="2026"/>
    <x v="8"/>
    <x v="6"/>
    <s v="FORTUNER 4X2 VRZ A/T DIESEL"/>
    <x v="3"/>
    <x v="0"/>
    <x v="1"/>
    <x v="24"/>
    <x v="1"/>
    <x v="0"/>
    <x v="1"/>
    <x v="0"/>
    <x v="15"/>
    <x v="0"/>
    <s v="GUN166R-SDTHXD-33"/>
    <s v="089"/>
    <s v="PLATINUM WHITE PEARL"/>
    <s v="MHFAA8GS1T0938377"/>
    <s v="1GD-5997812"/>
    <s v="CMMG122342"/>
    <s v="REGYAWAN KURNIA"/>
    <s v="FERYANTO"/>
    <s v="CST-000835343"/>
    <s v="DR. ERYANDA DINATA"/>
    <s v="INDIVIDU"/>
    <s v="dr. ARIANTY ARISTA"/>
    <s v="BLOK KIBUYUT"/>
    <s v="KEC. BONGAS"/>
    <s v="KAB. INDRAMAYU"/>
    <s v="CASH"/>
    <s v="CASH"/>
    <m/>
    <n v="683700000"/>
    <n v="530399554"/>
    <n v="89652500"/>
    <n v="58612232"/>
    <n v="0"/>
    <n v="0"/>
    <n v="41964286"/>
    <n v="636700000"/>
    <n v="0"/>
    <n v="-47000000"/>
    <m/>
    <m/>
    <s v="Invoice"/>
    <n v="1"/>
    <m/>
    <s v="28/07/26"/>
    <s v="KC-26-000492"/>
    <s v="28/07/26"/>
    <s v="28/07/26"/>
    <s v="28/07/26 14.08"/>
    <s v="EF01336"/>
    <s v="29/07/26"/>
    <s v="12/08/26"/>
    <s v="2026076708"/>
    <s v="07/07/26"/>
    <s v="30/07/26 11.32"/>
    <n v="0"/>
  </r>
  <r>
    <n v="377"/>
    <n v="146"/>
    <s v="KC"/>
    <s v="146ARI2607-1060"/>
    <s v="24/07/26"/>
    <x v="6"/>
    <n v="2026"/>
    <x v="2"/>
    <x v="2"/>
    <s v="CALYA G M/T"/>
    <x v="0"/>
    <x v="0"/>
    <x v="0"/>
    <x v="2"/>
    <x v="0"/>
    <x v="0"/>
    <x v="0"/>
    <x v="0"/>
    <x v="3"/>
    <x v="0"/>
    <s v="B401RA-GMZFJ-20"/>
    <s v="X13"/>
    <s v="BLACK"/>
    <s v="MHKA6GJ6JTJ231084"/>
    <s v="3NR-5A04695"/>
    <s v="KCMG052513"/>
    <s v="DENI ALFIAN"/>
    <s v="FERYANTO"/>
    <s v="CST-000834941"/>
    <s v="DUDUNG"/>
    <s v="INDIVIDU"/>
    <s v="DUDUNG"/>
    <s v="KP LEMBUR PASIR"/>
    <s v="KEC. GUNUNGHALU"/>
    <s v="KAB. BANDUNG BARAT"/>
    <s v="KREDIT"/>
    <s v="PT. TOYOTA ASTRA FINANCIAL SERVICES"/>
    <m/>
    <n v="182700000"/>
    <n v="139966518"/>
    <n v="25937500"/>
    <n v="15403125"/>
    <n v="0"/>
    <n v="0"/>
    <n v="11607143"/>
    <n v="169700000"/>
    <n v="0"/>
    <n v="-13000000"/>
    <s v="29/07/26"/>
    <s v="29/07/26"/>
    <s v="Invoice"/>
    <n v="1"/>
    <s v="3217150107630145"/>
    <s v="24/07/26"/>
    <s v="KC-26-000486"/>
    <s v="29/06/26"/>
    <s v="29/06/26"/>
    <s v="24/07/26 13.58"/>
    <s v="GO00421"/>
    <s v="24/07/26"/>
    <s v="07/08/26"/>
    <s v="2026076318"/>
    <s v="07/07/26"/>
    <s v="31/07/26 13.49"/>
    <n v="0"/>
  </r>
  <r>
    <n v="407"/>
    <n v="146"/>
    <s v="KC"/>
    <s v="146ARI2607-0414"/>
    <s v="09/07/26"/>
    <x v="6"/>
    <n v="2026"/>
    <x v="0"/>
    <x v="0"/>
    <s v="AVANZA E A/T"/>
    <x v="0"/>
    <x v="0"/>
    <x v="0"/>
    <x v="2"/>
    <x v="0"/>
    <x v="1"/>
    <x v="1"/>
    <x v="0"/>
    <x v="3"/>
    <x v="0"/>
    <s v="W100RE-LBDFJ-10"/>
    <s v="S28"/>
    <s v="Silver Metallic"/>
    <s v="MHKAA1BY6TJ019134"/>
    <s v="1NR-G332813"/>
    <s v="KCMG052513"/>
    <s v="DENI ALFIAN"/>
    <s v="FERYANTO"/>
    <s v="CST-000832677"/>
    <s v="ENTIN WARTINI"/>
    <s v="INDIVIDU"/>
    <s v="ENTIN WARTINI"/>
    <s v="PERUM BUMI CITRA INDAH 2 BLOK B3 NO 7"/>
    <s v="KEC. CIHAMPELAS"/>
    <s v="KAB. BANDUNG BARAT"/>
    <s v="KREDIT"/>
    <s v="PT. TOYOTA ASTRA FINANCIAL SERVICES"/>
    <m/>
    <n v="262700000"/>
    <n v="202466518"/>
    <n v="35937500"/>
    <n v="22688839"/>
    <n v="0"/>
    <n v="0"/>
    <n v="13392857"/>
    <n v="247700000"/>
    <n v="0"/>
    <n v="-15000000"/>
    <s v="15/07/26"/>
    <s v="15/07/26"/>
    <s v="Invoice"/>
    <n v="1"/>
    <s v="3217084405660023"/>
    <s v="07/07/26"/>
    <s v="KC-26-000487"/>
    <s v="03/07/26"/>
    <s v="03/07/26"/>
    <s v="07/07/26 15.57"/>
    <s v="G700334"/>
    <s v="09/07/26"/>
    <s v="23/07/26"/>
    <s v="2026075540"/>
    <s v="03/07/26"/>
    <s v="13/07/26 13.35"/>
    <n v="0"/>
  </r>
  <r>
    <n v="409"/>
    <n v="146"/>
    <s v="KC"/>
    <s v="146ARI2607-0365"/>
    <s v="08/07/26"/>
    <x v="6"/>
    <n v="2026"/>
    <x v="13"/>
    <x v="11"/>
    <s v="RAIZE G A/T"/>
    <x v="3"/>
    <x v="0"/>
    <x v="1"/>
    <x v="4"/>
    <x v="0"/>
    <x v="0"/>
    <x v="0"/>
    <x v="0"/>
    <x v="11"/>
    <x v="1"/>
    <s v="A250RA-GBXVJ-10"/>
    <s v="W09"/>
    <s v="WHITE"/>
    <s v="MHKAA1BA6TJ195149"/>
    <s v="1KR-B055851"/>
    <s v="KCMG052428"/>
    <s v="MUHAMMAD FADIL FAHMI RUSTANDI"/>
    <s v="ALVIN"/>
    <s v="CST-000832412"/>
    <s v="ERI PRIMANDARI"/>
    <s v="INDIVIDU"/>
    <s v="ERI PRIMANDARI"/>
    <s v="UJUNGBERUNG INDAH BLOK 22-3A"/>
    <s v="KEC. UJUNGBERUNG"/>
    <s v="KOTA BANDUNG"/>
    <s v="CASH"/>
    <s v="CASH"/>
    <m/>
    <n v="281200000"/>
    <n v="216919643"/>
    <n v="38250000"/>
    <n v="23566071"/>
    <n v="0"/>
    <n v="0"/>
    <n v="20535714"/>
    <n v="258200000"/>
    <n v="0"/>
    <n v="-23000000"/>
    <s v="17/07/26"/>
    <s v="17/07/26"/>
    <s v="Invoice"/>
    <n v="1"/>
    <m/>
    <s v="06/07/26"/>
    <s v="KC-26-000468"/>
    <s v="06/07/26"/>
    <s v="06/07/26"/>
    <s v="06/07/26 10.58"/>
    <s v="GZ00119"/>
    <s v="08/07/26"/>
    <s v="17/07/26"/>
    <s v="2026076679"/>
    <s v="07/07/26"/>
    <s v="16/07/26 10.41"/>
    <n v="0"/>
  </r>
  <r>
    <n v="429"/>
    <n v="146"/>
    <s v="KC"/>
    <s v="146ARI2607-1254"/>
    <s v="28/07/26"/>
    <x v="6"/>
    <n v="2026"/>
    <x v="1"/>
    <x v="1"/>
    <s v="HIACE PREMIO"/>
    <x v="3"/>
    <x v="0"/>
    <x v="1"/>
    <x v="4"/>
    <x v="0"/>
    <x v="0"/>
    <x v="0"/>
    <x v="4"/>
    <x v="6"/>
    <x v="0"/>
    <s v="GDH321R-EDFDYD-10"/>
    <s v="058"/>
    <s v="WHITE"/>
    <s v="JTF2A9CP4T6014771"/>
    <s v="1GD-9794626"/>
    <s v="KCMG042509"/>
    <s v="ERICK JANUAR LISAPALY"/>
    <s v="FERYANTO"/>
    <s v="CST-000808583"/>
    <s v="FADZAR INDRIAWAN S.SOS"/>
    <s v="INDIVIDU"/>
    <s v="ARSYANISA BILQIS ISTIFIRA"/>
    <s v="Jl BATU INDAH I NO 2"/>
    <s v="KEC. BANDUNG KIDUL"/>
    <s v="KOTA BANDUNG"/>
    <s v="CASH"/>
    <s v="CASH"/>
    <m/>
    <n v="679100000"/>
    <n v="525680804"/>
    <n v="90337500"/>
    <n v="58795982"/>
    <n v="0"/>
    <n v="0"/>
    <n v="35714286"/>
    <n v="639100000"/>
    <n v="438100000"/>
    <n v="-40847637"/>
    <m/>
    <m/>
    <s v="Invoice"/>
    <n v="1"/>
    <s v="3310262712700001"/>
    <s v="27/07/26"/>
    <s v="KC-26-000544"/>
    <s v="25/07/26"/>
    <s v="25/07/26"/>
    <s v="28/07/26 11.01"/>
    <s v="GP00288"/>
    <m/>
    <s v="06/08/26"/>
    <s v="2026084408"/>
    <s v="23/07/26"/>
    <s v="31/07/26 09.39"/>
    <n v="0"/>
  </r>
  <r>
    <n v="452"/>
    <n v="146"/>
    <s v="KC"/>
    <s v="146ARI2607-0602"/>
    <s v="14/07/26"/>
    <x v="6"/>
    <n v="2026"/>
    <x v="12"/>
    <x v="10"/>
    <s v="RUSH S M/T"/>
    <x v="2"/>
    <x v="0"/>
    <x v="0"/>
    <x v="2"/>
    <x v="0"/>
    <x v="3"/>
    <x v="2"/>
    <x v="0"/>
    <x v="37"/>
    <x v="1"/>
    <s v="F800RE-GMGFJ-40"/>
    <s v="W09"/>
    <s v="WHITE"/>
    <s v="MHKE8FA3JTK146761"/>
    <s v="2NR-4G19124"/>
    <s v="KCMG042611"/>
    <s v="NOVA KHAIRUNNISA SUMARNA"/>
    <s v="ALVIN"/>
    <s v="CST-000833215"/>
    <s v="FITRI DAMAYANTI"/>
    <s v="INDIVIDU"/>
    <s v="FITRI DAMAYANTI"/>
    <s v="KP. KEBON KALAPA"/>
    <s v="KEC. NGAMPRAH"/>
    <s v="KAB. BANDUNG BARAT"/>
    <s v="KREDIT"/>
    <s v="PT. MANDIRI TUNAS FINANCE"/>
    <m/>
    <n v="312500000"/>
    <n v="241372768"/>
    <n v="42162500"/>
    <n v="27357589"/>
    <n v="0"/>
    <n v="0"/>
    <n v="13392857"/>
    <n v="297500000"/>
    <n v="0"/>
    <n v="-15000000"/>
    <s v="18/07/26"/>
    <s v="18/07/26"/>
    <s v="Invoice"/>
    <n v="1"/>
    <m/>
    <s v="10/07/26"/>
    <s v="KC-26-000500"/>
    <s v="09/07/26"/>
    <s v="09/07/26"/>
    <s v="11/07/26 09.53"/>
    <s v="FG02462"/>
    <s v="14/07/26"/>
    <s v="28/07/26"/>
    <s v="2026074417"/>
    <s v="01/07/26"/>
    <s v="17/07/26 08.00"/>
    <n v="0"/>
  </r>
  <r>
    <n v="478"/>
    <n v="146"/>
    <s v="KC"/>
    <s v="146ARI2607-0344"/>
    <s v="07/07/26"/>
    <x v="6"/>
    <n v="2026"/>
    <x v="2"/>
    <x v="2"/>
    <s v="CALYA G M/T"/>
    <x v="0"/>
    <x v="0"/>
    <x v="0"/>
    <x v="3"/>
    <x v="1"/>
    <x v="3"/>
    <x v="0"/>
    <x v="0"/>
    <x v="15"/>
    <x v="0"/>
    <s v="B401RA-GMZFJ-20"/>
    <s v="W09"/>
    <s v="WHITE"/>
    <s v="MHKA6GJ6JTJ230969"/>
    <s v="3NR-5A04420"/>
    <s v="CMMG122342"/>
    <s v="REGYAWAN KURNIA"/>
    <s v="FERYANTO"/>
    <s v="CST-000831745"/>
    <s v="H ABDUL KODIR"/>
    <s v="INDIVIDU"/>
    <s v="H ABDUL KODIR"/>
    <s v="KP. CILENJANG"/>
    <s v="KEC. WARUNGKONDANG"/>
    <s v="KAB. CIANJUR"/>
    <s v="KREDIT"/>
    <s v="PT. TOYOTA ASTRA FINANCIAL SERVICES"/>
    <s v="003-26.21311351"/>
    <n v="182700000"/>
    <n v="137399554"/>
    <n v="28812500"/>
    <n v="15416517"/>
    <n v="0"/>
    <n v="0"/>
    <n v="8928571"/>
    <n v="172700000"/>
    <n v="0"/>
    <n v="-10000000"/>
    <s v="10/07/26"/>
    <s v="10/07/26"/>
    <s v="Invoice"/>
    <n v="1"/>
    <m/>
    <s v="30/06/26"/>
    <s v="KC-26-000421"/>
    <s v="26/06/26"/>
    <s v="26/06/26"/>
    <s v="30/06/26 18.55"/>
    <s v="GO00210"/>
    <s v="07/07/26"/>
    <s v="21/07/26"/>
    <s v="2026075646"/>
    <s v="04/07/26"/>
    <s v="08/07/26 18.45"/>
    <n v="0"/>
  </r>
  <r>
    <n v="482"/>
    <n v="146"/>
    <s v="KC"/>
    <s v="146ARI2607-0585"/>
    <s v="13/07/26"/>
    <x v="6"/>
    <n v="2026"/>
    <x v="3"/>
    <x v="3"/>
    <s v="INNOVA G A/T DIESEL"/>
    <x v="2"/>
    <x v="0"/>
    <x v="0"/>
    <x v="19"/>
    <x v="1"/>
    <x v="4"/>
    <x v="0"/>
    <x v="0"/>
    <x v="8"/>
    <x v="0"/>
    <s v="GUN142R-MDTSXD-30"/>
    <s v="218"/>
    <s v="ATTITUDE BLACK MICA"/>
    <s v="MHFJB8EM2T1196907"/>
    <s v="2GD-1986373"/>
    <s v="KCMK25002"/>
    <s v="RAHMAWATI"/>
    <s v="FERYANTO"/>
    <s v="CST-000833429"/>
    <s v="H. SIRAD"/>
    <s v="INDIVIDU"/>
    <s v="DZAKI ZIDAN FERDINAN"/>
    <s v="DUSUN ASTIRA"/>
    <s v="KEC. CILAMAYA WETAN"/>
    <s v="KAB. KARAWANG"/>
    <s v="KREDIT"/>
    <s v="PT. MANDIRI TUNAS FINANCE"/>
    <m/>
    <n v="442700000"/>
    <n v="342689732"/>
    <n v="58887500"/>
    <n v="38979910"/>
    <n v="0"/>
    <n v="0"/>
    <n v="17857143"/>
    <n v="422700000"/>
    <n v="0"/>
    <n v="-20000000"/>
    <s v="16/07/26"/>
    <s v="16/07/26"/>
    <s v="Invoice"/>
    <n v="1"/>
    <m/>
    <s v="13/07/26"/>
    <s v="KC-26-000509"/>
    <s v="10/07/26"/>
    <s v="10/07/26"/>
    <s v="13/07/26 14.14"/>
    <s v="FC00518"/>
    <s v="13/07/26"/>
    <s v="27/07/26"/>
    <s v="2026062046"/>
    <s v="04/06/26"/>
    <s v="17/07/26 09.35"/>
    <n v="0"/>
  </r>
  <r>
    <n v="518"/>
    <n v="146"/>
    <s v="KC"/>
    <s v="146ARI2607-1020"/>
    <s v="23/07/26"/>
    <x v="6"/>
    <n v="2026"/>
    <x v="3"/>
    <x v="3"/>
    <s v="INNOVA G A/T DIESEL"/>
    <x v="1"/>
    <x v="0"/>
    <x v="0"/>
    <x v="12"/>
    <x v="1"/>
    <x v="0"/>
    <x v="1"/>
    <x v="8"/>
    <x v="44"/>
    <x v="2"/>
    <s v="GUN142R-MDTSXD-30"/>
    <s v="218"/>
    <s v="ATTITUDE BLACK MICA"/>
    <s v="MHFJB8EM2T1199080"/>
    <s v="2GD-J180453"/>
    <s v="KCMG072619"/>
    <s v="RENI NURBAYANI"/>
    <s v="MUHAMMAD CAISARIVA"/>
    <s v="CST-000834700"/>
    <s v="HARYSANDI"/>
    <s v="INDIVIDU"/>
    <s v="HARYSANDI"/>
    <s v="JL. KEPODANG VI NO. 7"/>
    <s v="KEC. CIPUTAT TIMUR"/>
    <s v="KOTA TANGERANG SELATAN"/>
    <s v="KREDIT"/>
    <s v="PT. MANDIRI UTAMA FINANCE"/>
    <m/>
    <n v="438700000"/>
    <n v="340422768"/>
    <n v="57426500"/>
    <n v="37207875"/>
    <n v="0"/>
    <n v="0"/>
    <n v="30357143"/>
    <n v="404700000"/>
    <n v="0"/>
    <n v="-34000000"/>
    <m/>
    <m/>
    <s v="Invoice"/>
    <n v="1"/>
    <m/>
    <s v="22/07/26"/>
    <s v="KC-26-000408"/>
    <s v="16/07/26"/>
    <s v="16/07/26"/>
    <s v="22/07/26 16.39"/>
    <s v="FC02643"/>
    <s v="23/07/26"/>
    <s v="06/08/26"/>
    <s v="2026077174"/>
    <s v="08/07/26"/>
    <s v="29/07/26 13.30"/>
    <n v="0"/>
  </r>
  <r>
    <n v="543"/>
    <n v="146"/>
    <s v="KC"/>
    <s v="146ARI2607-1285"/>
    <s v="29/07/26"/>
    <x v="6"/>
    <n v="2026"/>
    <x v="2"/>
    <x v="2"/>
    <s v="CALYA G A/T"/>
    <x v="2"/>
    <x v="0"/>
    <x v="0"/>
    <x v="17"/>
    <x v="1"/>
    <x v="3"/>
    <x v="1"/>
    <x v="5"/>
    <x v="15"/>
    <x v="0"/>
    <s v="B401RA-GQZFJ-20"/>
    <s v="3Q3"/>
    <s v="DARK RED MICA MET."/>
    <s v="MHKA6GK6JTJ092789"/>
    <s v="3NR-5A04840"/>
    <s v="CMMG122342"/>
    <s v="REGYAWAN KURNIA"/>
    <s v="FERYANTO"/>
    <s v="CST-000834569"/>
    <s v="HERAWATI"/>
    <s v="INDIVIDU"/>
    <s v="HERAWATI"/>
    <s v="KP.CINANGKA"/>
    <s v="KEC. PABUARAN"/>
    <s v="KAB. SUBANG"/>
    <s v="KREDIT"/>
    <s v="PT. MANDIRI TUNAS FINANCE"/>
    <m/>
    <n v="197300000"/>
    <n v="151372768"/>
    <n v="27762500"/>
    <n v="16771875"/>
    <n v="0"/>
    <n v="0"/>
    <n v="11607143"/>
    <n v="184300000"/>
    <n v="0"/>
    <n v="-13000000"/>
    <m/>
    <m/>
    <s v="Invoice"/>
    <n v="1"/>
    <m/>
    <s v="17/07/26"/>
    <s v="KC-26-000483"/>
    <s v="15/07/26"/>
    <s v="15/07/26"/>
    <s v="21/07/26 17.37"/>
    <s v="GO00589"/>
    <s v="29/07/26"/>
    <s v="12/08/26"/>
    <s v="2026077296"/>
    <s v="08/07/26"/>
    <s v="30/07/26 17.23"/>
    <n v="0"/>
  </r>
  <r>
    <n v="570"/>
    <n v="146"/>
    <s v="KC"/>
    <s v="146ARI2607-0455"/>
    <s v="10/07/26"/>
    <x v="6"/>
    <n v="2026"/>
    <x v="2"/>
    <x v="2"/>
    <s v="CALYA G M/T"/>
    <x v="0"/>
    <x v="0"/>
    <x v="0"/>
    <x v="4"/>
    <x v="0"/>
    <x v="0"/>
    <x v="0"/>
    <x v="5"/>
    <x v="17"/>
    <x v="2"/>
    <s v="B401RA-GMZFJ-20"/>
    <s v="1G3"/>
    <s v="GRAY METALLIC"/>
    <s v="MHKA6GJ6JTJ230676"/>
    <s v="3NR-5A03899"/>
    <s v="KCMG112540"/>
    <s v="KHARISMA GALIH PUTRA"/>
    <s v="MUHAMMAD CAISARIVA"/>
    <s v="CST-000832197"/>
    <s v="HOTMAWATI HERMINA PINTU BATU"/>
    <s v="INDIVIDU"/>
    <s v="HOTMAWATI HERMINA PINTU BATU"/>
    <s v="JL. SUKAMANAH"/>
    <s v="KEC. BANDUNG KIDUL"/>
    <s v="KOTA BANDUNG"/>
    <s v="KREDIT"/>
    <s v="PT. TOYOTA ASTRA FINANCIAL SERVICES"/>
    <m/>
    <n v="182700000"/>
    <n v="139966518"/>
    <n v="25937500"/>
    <n v="15724553"/>
    <n v="0"/>
    <n v="0"/>
    <n v="8928571"/>
    <n v="172700000"/>
    <n v="0"/>
    <n v="-10000000"/>
    <s v="24/07/26"/>
    <s v="24/07/26"/>
    <s v="Invoice"/>
    <n v="1"/>
    <m/>
    <s v="30/06/26"/>
    <s v="KC-26-000475"/>
    <s v="29/06/26"/>
    <s v="29/06/26"/>
    <s v="03/07/26 14.42"/>
    <s v="FO03639"/>
    <s v="10/07/26"/>
    <s v="24/07/26"/>
    <s v="2026073740"/>
    <s v="30/06/26"/>
    <s v="11/07/26 12.18"/>
    <n v="0"/>
  </r>
  <r>
    <n v="596"/>
    <n v="146"/>
    <s v="KC"/>
    <s v="146ARI2607-0896"/>
    <s v="21/07/26"/>
    <x v="6"/>
    <n v="2026"/>
    <x v="5"/>
    <x v="4"/>
    <s v="VELOZ Q AT HYBRID"/>
    <x v="2"/>
    <x v="0"/>
    <x v="0"/>
    <x v="5"/>
    <x v="0"/>
    <x v="1"/>
    <x v="0"/>
    <x v="1"/>
    <x v="8"/>
    <x v="0"/>
    <s v="W102RE-LBVFJ-09"/>
    <s v="089"/>
    <s v="PLATINUM WHITE PEARL MICA"/>
    <s v="MHFA71BY4T0011049"/>
    <s v="2NR-Y718614"/>
    <s v="KCMK25002"/>
    <s v="RAHMAWATI"/>
    <s v="FERYANTO"/>
    <s v="CST-000833841"/>
    <s v="INDRA GUNAWAN"/>
    <s v="INDIVIDU"/>
    <s v="INDRA GUNAWAN"/>
    <s v="CIBOGO"/>
    <s v="KEC. CIMAHI SELATAN"/>
    <s v="KOTA CIMAHI"/>
    <s v="KREDIT"/>
    <s v="PT. MANDIRI TUNAS FINANCE"/>
    <m/>
    <n v="326500000"/>
    <n v="252310268"/>
    <n v="43912500"/>
    <n v="29420089"/>
    <n v="0"/>
    <n v="0"/>
    <n v="7142857"/>
    <n v="318500000"/>
    <n v="0"/>
    <n v="-8000000"/>
    <s v="27/07/26"/>
    <s v="27/07/26"/>
    <s v="Invoice"/>
    <n v="1"/>
    <m/>
    <s v="15/07/26"/>
    <s v="KC-26-000510"/>
    <s v="15/07/26"/>
    <s v="15/07/26"/>
    <s v="15/07/26 15.37"/>
    <s v="F801465"/>
    <s v="21/07/26"/>
    <s v="04/08/26"/>
    <s v="2026068275"/>
    <s v="18/06/26"/>
    <s v="23/07/26 15.10"/>
    <n v="0"/>
  </r>
  <r>
    <n v="600"/>
    <n v="146"/>
    <s v="KC"/>
    <s v="146ARI2607-1258"/>
    <s v="28/07/26"/>
    <x v="6"/>
    <n v="2026"/>
    <x v="0"/>
    <x v="0"/>
    <s v="AVANZA G A/T"/>
    <x v="0"/>
    <x v="0"/>
    <x v="0"/>
    <x v="24"/>
    <x v="1"/>
    <x v="1"/>
    <x v="1"/>
    <x v="0"/>
    <x v="15"/>
    <x v="0"/>
    <s v="W101RE-LBMFJ-10"/>
    <s v="W09"/>
    <s v="WHITE"/>
    <s v="MHKAB1BY9TJ024924"/>
    <s v="2NR-4G27786"/>
    <s v="CMMG122342"/>
    <s v="REGYAWAN KURNIA"/>
    <s v="FERYANTO"/>
    <s v="CST-000825331"/>
    <s v="INTAN PERMATA SARI"/>
    <s v="INDIVIDU"/>
    <s v="INTAN PERMATA SARI"/>
    <s v="DUSUN BUBUT LOR"/>
    <s v="KEC. ANJATAN"/>
    <s v="KAB. INDRAMAYU"/>
    <s v="KREDIT"/>
    <s v="PT. TOYOTA ASTRA FINANCIAL SERVICES"/>
    <m/>
    <n v="285500000"/>
    <n v="219305804"/>
    <n v="39877500"/>
    <n v="23959553"/>
    <n v="0"/>
    <n v="0"/>
    <n v="19642857"/>
    <n v="263500000"/>
    <n v="64000000"/>
    <n v="-22000000"/>
    <m/>
    <m/>
    <s v="Invoice"/>
    <n v="1"/>
    <m/>
    <s v="08/05/26"/>
    <s v="KC-26-000269"/>
    <s v="06/05/26"/>
    <s v="06/05/26"/>
    <s v="12/05/26 14.29"/>
    <s v="G702070"/>
    <m/>
    <s v="11/08/26"/>
    <s v="2026083075"/>
    <s v="21/07/26"/>
    <s v="29/07/26 09.47"/>
    <n v="0"/>
  </r>
  <r>
    <n v="611"/>
    <n v="146"/>
    <s v="KC"/>
    <s v="146ARI2607-1414"/>
    <s v="31/07/26"/>
    <x v="6"/>
    <n v="2026"/>
    <x v="8"/>
    <x v="6"/>
    <s v="FORTUNER 4X2 VRZ A/T DIESEL"/>
    <x v="2"/>
    <x v="0"/>
    <x v="0"/>
    <x v="0"/>
    <x v="0"/>
    <x v="0"/>
    <x v="0"/>
    <x v="0"/>
    <x v="2"/>
    <x v="1"/>
    <s v="GUN166R-SDTHXD-31"/>
    <s v="218"/>
    <s v="ATTITUDE BLACK MICA"/>
    <s v="MHFAA8GS3T0937053"/>
    <s v="1GD-5975490"/>
    <s v="KCMG042414"/>
    <s v="RIZKI RISMAWAN"/>
    <s v="ALVIN"/>
    <s v="CST-000835753"/>
    <s v="IRA YULI AULIA"/>
    <s v="INDIVIDU"/>
    <s v="IRA YULI AULIA"/>
    <s v="JL. KALURAHAN"/>
    <s v="KEC. CICALENGKA"/>
    <s v="KAB. BANDUNG"/>
    <s v="KREDIT"/>
    <s v="PT. MANDIRI TUNAS FINANCE"/>
    <m/>
    <n v="680700000"/>
    <n v="529029018"/>
    <n v="88187500"/>
    <n v="58126446"/>
    <n v="0"/>
    <n v="0"/>
    <n v="44641964"/>
    <n v="630701000"/>
    <n v="0"/>
    <n v="-49999000"/>
    <m/>
    <m/>
    <s v="Invoice"/>
    <n v="1"/>
    <m/>
    <s v="30/07/26"/>
    <s v="KC-26-000537"/>
    <s v="30/07/26"/>
    <s v="30/07/26"/>
    <s v="31/07/26 15.45"/>
    <s v="DF00888"/>
    <m/>
    <s v="14/08/26"/>
    <s v="2026044671"/>
    <s v="28/04/26"/>
    <s v="01/08/26 20.41"/>
    <n v="0"/>
  </r>
  <r>
    <n v="618"/>
    <n v="146"/>
    <s v="KC"/>
    <s v="146ARI2607-0406"/>
    <s v="09/07/26"/>
    <x v="6"/>
    <n v="2026"/>
    <x v="5"/>
    <x v="4"/>
    <s v="VELOZ V AT HYBRID"/>
    <x v="4"/>
    <x v="0"/>
    <x v="0"/>
    <x v="5"/>
    <x v="0"/>
    <x v="0"/>
    <x v="1"/>
    <x v="1"/>
    <x v="20"/>
    <x v="1"/>
    <s v="W102RE-LBVFJ-10"/>
    <s v="X12"/>
    <s v="BLACK MICA"/>
    <s v="MHFA71BY7T0012146"/>
    <s v="2NR-Y724886"/>
    <s v="KCMG042424"/>
    <s v="INDAH PITALOKA"/>
    <s v="ALVIN"/>
    <s v="CST-000832520"/>
    <s v="IRMA NURISLAMIAH"/>
    <s v="INDIVIDU"/>
    <s v="IRMA NURISLAMIAH"/>
    <s v="JLN SUKAJAYA NO 24"/>
    <s v="KEC. CIMAHI UTARA"/>
    <s v="KOTA CIMAHI"/>
    <s v="KREDIT"/>
    <s v="PT. ASTRA SEDAYA FINANCE"/>
    <m/>
    <n v="303000000"/>
    <n v="233950893"/>
    <n v="40975000"/>
    <n v="28074107"/>
    <n v="0"/>
    <n v="0"/>
    <n v="0"/>
    <n v="303000000"/>
    <n v="0"/>
    <n v="0"/>
    <s v="14/07/26"/>
    <s v="14/07/26"/>
    <s v="Invoice"/>
    <n v="1"/>
    <m/>
    <s v="06/07/26"/>
    <s v="KC-26-000499"/>
    <s v="04/07/26"/>
    <s v="04/07/26"/>
    <s v="06/07/26 15.45"/>
    <s v="F802560"/>
    <s v="09/07/26"/>
    <s v="23/07/26"/>
    <s v="2026073724"/>
    <s v="30/06/26"/>
    <s v="09/07/26 10.40"/>
    <n v="0"/>
  </r>
  <r>
    <n v="726"/>
    <n v="146"/>
    <s v="KC"/>
    <s v="146ARI2607-0389"/>
    <s v="08/07/26"/>
    <x v="6"/>
    <n v="2026"/>
    <x v="2"/>
    <x v="2"/>
    <s v="CALYA G M/T"/>
    <x v="0"/>
    <x v="0"/>
    <x v="0"/>
    <x v="2"/>
    <x v="0"/>
    <x v="0"/>
    <x v="0"/>
    <x v="0"/>
    <x v="10"/>
    <x v="2"/>
    <s v="B401RA-GMZFJ-20"/>
    <s v="W09"/>
    <s v="WHITE"/>
    <s v="MHKA6GJ6JTJ230709"/>
    <s v="3NR-5A04009"/>
    <s v="KCMG012503"/>
    <s v="DERI NURSANDI"/>
    <s v="MUHAMMAD CAISARIVA"/>
    <s v="CST-000832181"/>
    <s v="LINA MARLINA"/>
    <s v="INDIVIDU"/>
    <s v="LINA MARLINA"/>
    <s v="KP CICARITA"/>
    <s v="KEC. PARONGPONG"/>
    <s v="KAB. BANDUNG BARAT"/>
    <s v="KREDIT"/>
    <s v="PT. TOYOTA ASTRA FINANCIAL SERVICES"/>
    <m/>
    <n v="182700000"/>
    <n v="139966518"/>
    <n v="25937500"/>
    <n v="15724553"/>
    <n v="0"/>
    <n v="0"/>
    <n v="8928571"/>
    <n v="172700000"/>
    <n v="0"/>
    <n v="-10000000"/>
    <s v="14/07/26"/>
    <s v="14/07/26"/>
    <s v="Invoice"/>
    <n v="1"/>
    <s v="0000000000000000"/>
    <s v="03/07/26"/>
    <s v="KC-26-000473"/>
    <s v="27/06/26"/>
    <s v="27/06/26"/>
    <s v="03/07/26 14.18"/>
    <s v="FO03565"/>
    <s v="08/07/26"/>
    <s v="22/07/26"/>
    <s v="2026074235"/>
    <s v="01/07/26"/>
    <s v="10/07/26 12.32"/>
    <n v="0"/>
  </r>
  <r>
    <n v="807"/>
    <n v="146"/>
    <s v="KC"/>
    <s v="146ARI2607-1425"/>
    <s v="31/07/26"/>
    <x v="6"/>
    <n v="2026"/>
    <x v="0"/>
    <x v="0"/>
    <s v="AVANZA G M/T"/>
    <x v="2"/>
    <x v="0"/>
    <x v="0"/>
    <x v="0"/>
    <x v="0"/>
    <x v="0"/>
    <x v="2"/>
    <x v="0"/>
    <x v="42"/>
    <x v="1"/>
    <s v="W101RE-LMMFJ-10"/>
    <s v="X12"/>
    <s v="BLACK MICA"/>
    <s v="MHKAB1BY8TJ024509"/>
    <s v="2NR-4G24536"/>
    <s v="KCMG062617"/>
    <s v="FADHIL MUHAMMAD"/>
    <s v="ALVIN"/>
    <s v="CST-000835518"/>
    <s v="MOHAMAD JAMIL"/>
    <s v="INDIVIDU"/>
    <s v="MOHAMAD JAMIL"/>
    <s v="KP BBK TASIKMALAYA"/>
    <s v="KEC. MARGAHAYU"/>
    <s v="KAB. BANDUNG"/>
    <s v="KREDIT"/>
    <s v="PT. MANDIRI TUNAS FINANCE"/>
    <m/>
    <n v="270700000"/>
    <n v="208716518"/>
    <n v="36937500"/>
    <n v="22688839"/>
    <n v="0"/>
    <n v="0"/>
    <n v="19642857"/>
    <n v="248700000"/>
    <n v="0"/>
    <n v="-22000000"/>
    <m/>
    <m/>
    <s v="Invoice"/>
    <n v="1"/>
    <m/>
    <s v="29/07/26"/>
    <s v="KC-26-000569"/>
    <s v="28/07/26"/>
    <s v="28/07/26"/>
    <s v="29/07/26 15.33"/>
    <s v="G701385"/>
    <m/>
    <s v="14/08/26"/>
    <s v="2026079795"/>
    <s v="13/07/26"/>
    <s v="31/07/26 09.13"/>
    <n v="0"/>
  </r>
  <r>
    <n v="881"/>
    <n v="146"/>
    <s v="KC"/>
    <s v="146ARI2607-1362"/>
    <s v="30/07/26"/>
    <x v="6"/>
    <n v="2026"/>
    <x v="2"/>
    <x v="2"/>
    <s v="CALYA G A/T"/>
    <x v="2"/>
    <x v="0"/>
    <x v="0"/>
    <x v="4"/>
    <x v="0"/>
    <x v="3"/>
    <x v="0"/>
    <x v="0"/>
    <x v="27"/>
    <x v="0"/>
    <s v="B401RA-GQZFJ-20"/>
    <s v="1G3"/>
    <s v="GRAY METALLIC"/>
    <s v="MHKA6GK6JTJ093258"/>
    <s v="3NR-5A06972"/>
    <s v="KCMG052518"/>
    <s v="YANI ANDRIYANI"/>
    <s v="FERYANTO"/>
    <s v="CST-000835658"/>
    <s v="MUTIARA RACHMANY SULANJANA"/>
    <s v="INDIVIDU"/>
    <s v="MUTIARA RACHMANY SULANJANA"/>
    <s v="JL. NURSAID NO. 66/18D"/>
    <s v="KEC. REGOL"/>
    <s v="KOTA BANDUNG"/>
    <s v="KREDIT"/>
    <s v="PT. MANDIRI TUNAS FINANCE"/>
    <m/>
    <n v="197300000"/>
    <n v="151372768"/>
    <n v="27762500"/>
    <n v="16718303"/>
    <n v="0"/>
    <n v="0"/>
    <n v="12053571"/>
    <n v="183800000"/>
    <n v="0"/>
    <n v="-13500000"/>
    <m/>
    <m/>
    <s v="Invoice"/>
    <n v="1"/>
    <m/>
    <s v="30/07/26"/>
    <s v="KC-26-000578"/>
    <s v="18/07/26"/>
    <s v="18/07/26"/>
    <s v="30/07/26 17.29"/>
    <s v="GO01857"/>
    <m/>
    <s v="13/08/26"/>
    <s v="2026084615"/>
    <s v="24/07/26"/>
    <s v="06/08/26 16.54"/>
    <n v="0"/>
  </r>
  <r>
    <n v="887"/>
    <n v="146"/>
    <s v="KC"/>
    <s v="146ARI2607-0864"/>
    <s v="20/07/26"/>
    <x v="6"/>
    <n v="2026"/>
    <x v="12"/>
    <x v="10"/>
    <s v="RUSH S A/T"/>
    <x v="0"/>
    <x v="0"/>
    <x v="0"/>
    <x v="4"/>
    <x v="0"/>
    <x v="3"/>
    <x v="0"/>
    <x v="1"/>
    <x v="18"/>
    <x v="1"/>
    <s v="F800RE-GQGFJ-40"/>
    <s v="W09"/>
    <s v="WHITE"/>
    <s v="MHKE8FB3JTK122352"/>
    <s v="2NR-4G18223"/>
    <s v="KCMG052429"/>
    <s v="TOPIK HIDAYAT"/>
    <s v="ALVIN"/>
    <s v="CST-000833446"/>
    <s v="NANA KUSMANA"/>
    <s v="INDIVIDU"/>
    <s v="GHAIDA FATHIN AGHNIYA"/>
    <s v="SARIBUNGA BAKUNG C-72"/>
    <s v="KEC. BUAH BATU"/>
    <s v="KOTA BANDUNG"/>
    <s v="KREDIT"/>
    <s v="PT. TOYOTA ASTRA FINANCIAL SERVICES"/>
    <m/>
    <n v="323200000"/>
    <n v="249732143"/>
    <n v="43500000"/>
    <n v="27342857"/>
    <n v="0"/>
    <n v="0"/>
    <n v="21875000"/>
    <n v="298700000"/>
    <n v="0"/>
    <n v="-24500000"/>
    <s v="27/07/26"/>
    <s v="27/07/26"/>
    <s v="Invoice"/>
    <n v="1"/>
    <m/>
    <s v="13/07/26"/>
    <s v="KC-26-000512"/>
    <s v="10/07/26"/>
    <s v="10/07/26"/>
    <s v="13/07/26 14.41"/>
    <s v="FG02339"/>
    <s v="20/07/26"/>
    <s v="03/08/26"/>
    <s v="2026078758"/>
    <s v="10/07/26"/>
    <s v="29/07/26 14.16"/>
    <n v="0"/>
  </r>
  <r>
    <n v="888"/>
    <n v="146"/>
    <s v="KC"/>
    <s v="146ARI2607-1360"/>
    <s v="30/07/26"/>
    <x v="6"/>
    <n v="2026"/>
    <x v="13"/>
    <x v="11"/>
    <s v="RAIZE S A/T"/>
    <x v="2"/>
    <x v="0"/>
    <x v="0"/>
    <x v="4"/>
    <x v="0"/>
    <x v="0"/>
    <x v="1"/>
    <x v="0"/>
    <x v="42"/>
    <x v="1"/>
    <s v="A250RA-GBVVJ-AC"/>
    <s v="XK1"/>
    <s v="BLACK YELLOW"/>
    <s v="MHKAA1BA3TJ195366"/>
    <s v="1KR-B058755"/>
    <s v="KCMG062617"/>
    <s v="FADHIL MUHAMMAD"/>
    <s v="ALVIN"/>
    <s v="CST-000835217"/>
    <s v="NANA SUGIATNA"/>
    <s v="INDIVIDU"/>
    <s v="DIAN HARYANTI"/>
    <s v="JL KOPO GG PASAHDI NO 24"/>
    <s v="KEC. BOJONGLOA KALER"/>
    <s v="KOTA BANDUNG"/>
    <s v="KREDIT"/>
    <s v="PT. MANDIRI TUNAS FINANCE"/>
    <m/>
    <n v="299899000"/>
    <n v="231528237"/>
    <n v="40587375"/>
    <n v="25081245"/>
    <n v="0"/>
    <n v="0"/>
    <n v="22517857"/>
    <n v="274679000"/>
    <n v="0"/>
    <n v="-25220000"/>
    <m/>
    <m/>
    <s v="Invoice"/>
    <n v="1"/>
    <s v="3273041111750002"/>
    <s v="27/07/26"/>
    <s v="KC-26-000541"/>
    <s v="25/07/26"/>
    <s v="25/07/26"/>
    <s v="27/07/26 15.16"/>
    <s v="GZ00480"/>
    <m/>
    <s v="13/08/26"/>
    <s v="2026086699"/>
    <s v="30/07/26"/>
    <s v="31/07/26 11.20"/>
    <n v="0"/>
  </r>
  <r>
    <n v="936"/>
    <n v="146"/>
    <s v="KC"/>
    <s v="146ARI2607-1316"/>
    <s v="29/07/26"/>
    <x v="6"/>
    <n v="2026"/>
    <x v="2"/>
    <x v="2"/>
    <s v="CALYA G A/T"/>
    <x v="2"/>
    <x v="0"/>
    <x v="0"/>
    <x v="0"/>
    <x v="0"/>
    <x v="0"/>
    <x v="0"/>
    <x v="0"/>
    <x v="43"/>
    <x v="2"/>
    <s v="B401RA-GQZFJ-20"/>
    <s v="3Q3"/>
    <s v="DARK RED MICA MET."/>
    <s v="MHKA6GK6JTJ093307"/>
    <s v="3NR-5A06146"/>
    <s v="KCMG062614"/>
    <s v="SINTA MUSTIKA"/>
    <s v="MUHAMMAD CAISARIVA"/>
    <s v="CST-000835155"/>
    <s v="NUNUNG NURYAMAH"/>
    <s v="INDIVIDU"/>
    <s v="NUNUNG NURYANAH"/>
    <s v="KP PANDAN WANGI"/>
    <s v="KEC. CILEUNYI"/>
    <s v="KAB. BANDUNG"/>
    <s v="KREDIT"/>
    <s v="PT. MANDIRI TUNAS FINANCE"/>
    <m/>
    <n v="197300000"/>
    <n v="151372768"/>
    <n v="27762500"/>
    <n v="16718303"/>
    <n v="0"/>
    <n v="0"/>
    <n v="12053571"/>
    <n v="183800000"/>
    <n v="9911210"/>
    <n v="-13500000"/>
    <m/>
    <m/>
    <s v="Invoice"/>
    <n v="1"/>
    <s v="3213224906850003"/>
    <s v="27/07/26"/>
    <s v="KC-26-000548"/>
    <s v="27/07/26"/>
    <s v="27/07/26"/>
    <s v="27/07/26 11.40"/>
    <s v="GO01920"/>
    <m/>
    <s v="12/08/26"/>
    <s v="2026085527"/>
    <s v="28/07/26"/>
    <s v="30/07/26 10.17"/>
    <n v="0"/>
  </r>
  <r>
    <n v="957"/>
    <n v="146"/>
    <s v="KC"/>
    <s v="146ARI2607-1358"/>
    <s v="30/07/26"/>
    <x v="6"/>
    <n v="2026"/>
    <x v="1"/>
    <x v="1"/>
    <s v="HIACE PREMIO"/>
    <x v="3"/>
    <x v="0"/>
    <x v="1"/>
    <x v="0"/>
    <x v="0"/>
    <x v="0"/>
    <x v="0"/>
    <x v="0"/>
    <x v="10"/>
    <x v="2"/>
    <s v="GDH321R-EDFDYD-10"/>
    <s v="058"/>
    <s v="WHITE"/>
    <s v="JTF2A9CP2T6014753"/>
    <s v="1GD-9793513"/>
    <s v="KCMG012503"/>
    <s v="DERI NURSANDI"/>
    <s v="MUHAMMAD CAISARIVA"/>
    <s v="CST-000835577"/>
    <s v="OKKY DWI CAHYONO"/>
    <s v="INDIVIDU"/>
    <s v="OKKY DWI CAHYONO"/>
    <s v="KP. PASARKEMIS"/>
    <s v="KEC. BALEENDAH"/>
    <s v="KAB. BANDUNG"/>
    <s v="CASH"/>
    <s v="CASH"/>
    <m/>
    <n v="679100000"/>
    <n v="525680804"/>
    <n v="90337500"/>
    <n v="58795982"/>
    <n v="0"/>
    <n v="0"/>
    <n v="35714286"/>
    <n v="639100000"/>
    <n v="0"/>
    <n v="-40847637"/>
    <m/>
    <m/>
    <s v="Invoice"/>
    <n v="1"/>
    <s v="0000000000000000"/>
    <s v="30/07/26"/>
    <s v="KC-26-000549"/>
    <s v="30/07/26"/>
    <s v="30/07/26"/>
    <s v="30/07/26 11.23"/>
    <s v="GP00294"/>
    <s v="30/07/26"/>
    <s v="13/08/26"/>
    <s v="2026083301"/>
    <s v="21/07/26"/>
    <s v="04/08/26 10.35"/>
    <n v="0"/>
  </r>
  <r>
    <n v="983"/>
    <n v="146"/>
    <s v="KC"/>
    <s v="146ARI2607-0931"/>
    <s v="22/07/26"/>
    <x v="6"/>
    <n v="2026"/>
    <x v="3"/>
    <x v="3"/>
    <s v="INNOVA G A/T DIESEL"/>
    <x v="0"/>
    <x v="0"/>
    <x v="0"/>
    <x v="19"/>
    <x v="1"/>
    <x v="0"/>
    <x v="0"/>
    <x v="5"/>
    <x v="37"/>
    <x v="1"/>
    <s v="GUN142R-MDTSXD-30"/>
    <s v="218"/>
    <s v="ATTITUDE BLACK MICA"/>
    <s v="MHFJB8EM8T1199214"/>
    <s v="2GD-J180964"/>
    <s v="KCMG042611"/>
    <s v="NOVA KHAIRUNNISA SUMARNA"/>
    <s v="ALVIN"/>
    <s v="CST-000834563"/>
    <s v="PINSENSIA SIHOTANG"/>
    <s v="INDIVIDU"/>
    <s v="PINSENSIA SIHOTANG"/>
    <s v="KEBON II"/>
    <s v="KEC. CILAMAYA WETAN"/>
    <s v="KAB. KARAWANG"/>
    <s v="KREDIT"/>
    <s v="PT. TOYOTA ASTRA FINANCIAL SERVICES"/>
    <m/>
    <n v="442700000"/>
    <n v="342689732"/>
    <n v="58887500"/>
    <n v="37908482"/>
    <n v="0"/>
    <n v="0"/>
    <n v="26785714"/>
    <n v="412700000"/>
    <n v="0"/>
    <n v="-30000000"/>
    <s v="27/07/26"/>
    <s v="27/07/26"/>
    <s v="Invoice"/>
    <n v="1"/>
    <m/>
    <s v="21/07/26"/>
    <s v="KC-26-000542"/>
    <s v="21/07/26"/>
    <s v="21/07/26"/>
    <s v="21/07/26 16.53"/>
    <s v="FC02785"/>
    <s v="22/07/26"/>
    <s v="05/08/26"/>
    <s v="2026080137"/>
    <s v="14/07/26"/>
    <s v="28/07/26 12.10"/>
    <n v="0"/>
  </r>
  <r>
    <n v="984"/>
    <n v="146"/>
    <s v="KC"/>
    <s v="146ARI2607-0685"/>
    <s v="16/07/26"/>
    <x v="6"/>
    <n v="2026"/>
    <x v="0"/>
    <x v="0"/>
    <s v="AVANZA E A/T"/>
    <x v="0"/>
    <x v="0"/>
    <x v="0"/>
    <x v="4"/>
    <x v="0"/>
    <x v="0"/>
    <x v="0"/>
    <x v="1"/>
    <x v="14"/>
    <x v="2"/>
    <s v="W100RE-LBDFJ-10"/>
    <s v="S28"/>
    <s v="Silver Metallic"/>
    <s v="MHKAA1BY0TJ019601"/>
    <s v="1NR-G333449"/>
    <s v="KCMG022606"/>
    <s v="RIDWAN MUSTOFA"/>
    <s v="MUHAMMAD CAISARIVA"/>
    <s v="CST-000833554"/>
    <s v="PIPIN FIRMANSYAH"/>
    <s v="INDIVIDU"/>
    <s v="PIPIN FIRMANSYAH"/>
    <s v="JL MAKAM CARINGIN GG PORIB VI E"/>
    <s v="KEC. BABAKAN CIPARAY"/>
    <s v="KOTA BANDUNG"/>
    <s v="KREDIT"/>
    <s v="PT. TOYOTA ASTRA FINANCIAL SERVICES"/>
    <m/>
    <n v="262700000"/>
    <n v="202466518"/>
    <n v="35937500"/>
    <n v="22045982"/>
    <n v="0"/>
    <n v="0"/>
    <n v="18750000"/>
    <n v="241700000"/>
    <n v="0"/>
    <n v="-21000000"/>
    <s v="22/07/26"/>
    <s v="22/07/26"/>
    <s v="Invoice"/>
    <n v="1"/>
    <s v="0000000000000000"/>
    <s v="13/07/26"/>
    <s v="KC-26-000527"/>
    <s v="13/07/26"/>
    <s v="13/07/26"/>
    <s v="14/07/26 08.42"/>
    <s v="G701138"/>
    <s v="16/07/26"/>
    <s v="30/07/26"/>
    <s v="2026078467"/>
    <s v="10/07/26"/>
    <s v="18/07/26 21.35"/>
    <n v="0"/>
  </r>
  <r>
    <n v="1080"/>
    <n v="146"/>
    <s v="KC"/>
    <s v="146ARI2607-0697"/>
    <s v="17/07/26"/>
    <x v="6"/>
    <n v="2026"/>
    <x v="13"/>
    <x v="11"/>
    <s v="RAIZE G A/T"/>
    <x v="2"/>
    <x v="1"/>
    <x v="0"/>
    <x v="5"/>
    <x v="0"/>
    <x v="0"/>
    <x v="1"/>
    <x v="6"/>
    <x v="42"/>
    <x v="1"/>
    <s v="A251RA-GBXFJ-10"/>
    <s v="W09"/>
    <s v="WHITE"/>
    <s v="MHKAB1BAXTJ172924"/>
    <s v="WA-A260524"/>
    <s v="KCMG062617"/>
    <s v="FADHIL MUHAMMAD"/>
    <s v="ALVIN"/>
    <s v="CST-000833860"/>
    <s v="PT. LANGIT SENJA TRAVELLINDO"/>
    <s v="PT"/>
    <s v="PT LANGIT SENJA TRAVELLINDO"/>
    <s v="KOMP ALAM ASRI JL ALAM ASRI INDAH KELURAHAN CITEREUP KECAMATAN CIMAHI UTARA KOTA CIMAHI"/>
    <s v="KEC. CIMAHI UTARA"/>
    <s v="KOTA CIMAHI"/>
    <s v="KREDIT"/>
    <s v="PT. MANDIRI TUNAS FINANCE"/>
    <m/>
    <n v="262100000"/>
    <n v="201997768"/>
    <n v="35862500"/>
    <n v="21775446"/>
    <n v="0"/>
    <n v="0"/>
    <n v="20535714"/>
    <n v="239100000"/>
    <n v="0"/>
    <n v="-23000000"/>
    <s v="22/07/26"/>
    <s v="22/07/26"/>
    <s v="Invoice"/>
    <n v="1"/>
    <s v="0626160105421000"/>
    <s v="15/07/26"/>
    <s v="KC-26-000516"/>
    <s v="15/07/26"/>
    <s v="15/07/26"/>
    <s v="15/07/26 16.28"/>
    <s v="GZ00301"/>
    <s v="17/07/26"/>
    <s v="31/07/26"/>
    <s v="2026081787"/>
    <s v="17/07/26"/>
    <s v="20/07/26 15.54"/>
    <n v="0"/>
  </r>
  <r>
    <n v="1122"/>
    <n v="146"/>
    <s v="KC"/>
    <s v="146ARI2607-1058"/>
    <s v="24/07/26"/>
    <x v="6"/>
    <n v="2026"/>
    <x v="3"/>
    <x v="3"/>
    <s v="INNOVA G A/T DIESEL"/>
    <x v="6"/>
    <x v="1"/>
    <x v="0"/>
    <x v="22"/>
    <x v="1"/>
    <x v="3"/>
    <x v="1"/>
    <x v="6"/>
    <x v="15"/>
    <x v="0"/>
    <s v="GUN142R-MDTSXD-30"/>
    <s v="218"/>
    <s v="ATTITUDE BLACK MICA"/>
    <s v="MHFJB8EM7T1199074"/>
    <s v="2GD-J180632"/>
    <s v="CMMG122342"/>
    <s v="REGYAWAN KURNIA"/>
    <s v="FERYANTO"/>
    <s v="CST-000834571"/>
    <s v="PT. PAN PUTRA SAMUDRA"/>
    <s v="PT"/>
    <s v="PT PAN PUTRA SAMUDRA"/>
    <s v="JALAN BOULEVARD BARAT, PLAZA PASIFIK, BLOK A3 NO.49"/>
    <s v="KEC. KELAPA GADING"/>
    <s v="KOTA JAKARTA UTARA"/>
    <s v="KREDIT"/>
    <s v="UNIT KKB PT. BANK CENTRAL ASIA"/>
    <m/>
    <n v="438700000"/>
    <n v="340422768"/>
    <n v="57426500"/>
    <n v="37111446"/>
    <n v="0"/>
    <n v="0"/>
    <n v="31160714"/>
    <n v="403800000"/>
    <n v="0"/>
    <n v="-34900000"/>
    <m/>
    <m/>
    <s v="Invoice"/>
    <n v="1"/>
    <s v="0018712976043000"/>
    <s v="21/07/26"/>
    <s v="KC-26-000457"/>
    <s v="21/07/26"/>
    <s v="21/07/26"/>
    <s v="21/07/26 17.45"/>
    <s v="FC02522"/>
    <s v="24/07/26"/>
    <s v="07/08/26"/>
    <s v="2026079491"/>
    <s v="13/07/26"/>
    <s v="25/07/26 15.15"/>
    <n v="0"/>
  </r>
  <r>
    <n v="1145"/>
    <n v="146"/>
    <s v="KC"/>
    <s v="146ARI2607-0687"/>
    <s v="17/07/26"/>
    <x v="6"/>
    <n v="2026"/>
    <x v="0"/>
    <x v="0"/>
    <s v="AVANZA G M/T"/>
    <x v="3"/>
    <x v="1"/>
    <x v="1"/>
    <x v="4"/>
    <x v="0"/>
    <x v="4"/>
    <x v="1"/>
    <x v="6"/>
    <x v="27"/>
    <x v="0"/>
    <s v="W101RE-LMMFJ-10"/>
    <s v="X12"/>
    <s v="BLACK MICA"/>
    <s v="MHKAB1BY9TJ024020"/>
    <s v="2NR-4G20577"/>
    <s v="KCMG052518"/>
    <s v="YANI ANDRIYANI"/>
    <s v="FERYANTO"/>
    <s v="CST-000794405"/>
    <s v="PT. SURYA SUDECO"/>
    <s v="PT"/>
    <s v="PT. SURYA SUDECO"/>
    <s v="JL. GEMPOL NO. 52"/>
    <s v="KEC. PANYILEUKAN"/>
    <s v="KOTA BANDUNG"/>
    <s v="CASH"/>
    <s v="CASH"/>
    <m/>
    <n v="270700000"/>
    <n v="208716518"/>
    <n v="36937500"/>
    <n v="22688839"/>
    <n v="0"/>
    <n v="0"/>
    <n v="19642857"/>
    <n v="248700000"/>
    <n v="248700000"/>
    <n v="-22264886"/>
    <s v="30/07/26"/>
    <s v="30/07/26"/>
    <s v="Invoice"/>
    <n v="1"/>
    <s v="0013318217429001"/>
    <s v="16/07/26"/>
    <s v="KC-26-000488"/>
    <s v="16/07/26"/>
    <s v="16/07/26"/>
    <s v="16/07/26 16.36"/>
    <s v="G700226"/>
    <s v="16/07/26"/>
    <s v="31/08/26"/>
    <s v="2026075396"/>
    <s v="03/07/26"/>
    <s v="23/07/26 16.28"/>
    <n v="0"/>
  </r>
  <r>
    <n v="1148"/>
    <n v="146"/>
    <s v="KC"/>
    <s v="146ARI2607-1230"/>
    <s v="27/07/26"/>
    <x v="6"/>
    <n v="2026"/>
    <x v="7"/>
    <x v="5"/>
    <s v="RANGGA-HILUX PU DIESEL M/T"/>
    <x v="6"/>
    <x v="1"/>
    <x v="0"/>
    <x v="4"/>
    <x v="0"/>
    <x v="0"/>
    <x v="0"/>
    <x v="6"/>
    <x v="45"/>
    <x v="2"/>
    <s v="GUN112R-ATMHXD-10"/>
    <s v="058"/>
    <s v="WHITE"/>
    <s v="MR0AC9EA7T0101009"/>
    <s v="2GD-D597431"/>
    <s v="KCMG072618"/>
    <s v="NURI LESTARI KRISTIANTY"/>
    <s v="MUHAMMAD CAISARIVA"/>
    <s v="CST-000834760"/>
    <s v="PT. TAKA TURBOMACHINERY INDONESIA"/>
    <s v="PT"/>
    <s v="PT TAKA TURBOMACHINERY INDONESIA"/>
    <s v="JL. SOEKARNO HATA NOMOR 797"/>
    <s v="KEC. CINAMBO"/>
    <s v="KOTA BANDUNG"/>
    <s v="KREDIT"/>
    <s v="UNIT KKB PT. BANK CENTRAL ASIA"/>
    <m/>
    <n v="294300000"/>
    <n v="227083333"/>
    <n v="42237500"/>
    <n v="23492680"/>
    <n v="0"/>
    <n v="0"/>
    <n v="13513514"/>
    <n v="279300000"/>
    <n v="0"/>
    <n v="-15847637"/>
    <m/>
    <m/>
    <s v="Invoice"/>
    <n v="1"/>
    <s v="0019103563441000"/>
    <s v="23/07/26"/>
    <s v="KC-26-000474"/>
    <s v="15/07/26"/>
    <s v="15/07/26"/>
    <s v="23/07/26 10.37"/>
    <s v="FB00949"/>
    <s v="27/07/26"/>
    <s v="10/08/26"/>
    <s v="2026065649"/>
    <s v="11/06/26"/>
    <s v="28/07/26 10.26"/>
    <n v="0"/>
  </r>
  <r>
    <n v="1217"/>
    <n v="146"/>
    <s v="KC"/>
    <s v="146ARI2607-0530"/>
    <s v="13/07/26"/>
    <x v="6"/>
    <n v="2026"/>
    <x v="7"/>
    <x v="5"/>
    <s v="HILUX DC V A/T DIESEL"/>
    <x v="1"/>
    <x v="1"/>
    <x v="0"/>
    <x v="4"/>
    <x v="0"/>
    <x v="0"/>
    <x v="1"/>
    <x v="6"/>
    <x v="17"/>
    <x v="2"/>
    <s v="GUN226R-DTTHXD-00"/>
    <s v="218"/>
    <s v="ATTITUDE BLACK MICA"/>
    <s v="MR0HA3AV3T1002871"/>
    <s v="1GD-6029983"/>
    <s v="KCMG112540"/>
    <s v="KHARISMA GALIH PUTRA"/>
    <s v="MUHAMMAD CAISARIVA"/>
    <s v="CST-000833052"/>
    <s v="PT. KAMAR ATAS MEDIA INDONESIA"/>
    <s v="PT"/>
    <s v="PT. KAMAR ATAS MEDIA INDONESIA"/>
    <s v="BUANA SOETA RESIDENCE RUKO A-22 LT.2"/>
    <s v="KEC. GEDEBAGE"/>
    <s v="KOTA BANDUNG"/>
    <s v="KREDIT"/>
    <s v="PT. CLIPAN FINANCE INDONESIA TBK"/>
    <m/>
    <n v="575100000"/>
    <n v="444430804"/>
    <n v="77337500"/>
    <n v="53331696"/>
    <n v="0"/>
    <n v="0"/>
    <n v="0"/>
    <n v="575100000"/>
    <n v="0"/>
    <n v="0"/>
    <s v="14/07/26"/>
    <s v="14/07/26"/>
    <s v="Invoice"/>
    <n v="1"/>
    <m/>
    <s v="09/07/26"/>
    <s v="KC-26-000412"/>
    <s v="10/07/26"/>
    <s v="10/07/26"/>
    <s v="10/07/26 08.08"/>
    <s v="GB00594"/>
    <s v="13/07/26"/>
    <s v="27/07/26"/>
    <s v="2026076753"/>
    <s v="07/07/26"/>
    <s v="16/07/26 11.00"/>
    <n v="0"/>
  </r>
  <r>
    <n v="1430"/>
    <n v="146"/>
    <s v="KC"/>
    <s v="146ARI2607-1359"/>
    <s v="30/07/26"/>
    <x v="6"/>
    <n v="2026"/>
    <x v="7"/>
    <x v="5"/>
    <s v="RANGGA-HILUX PU M/T"/>
    <x v="3"/>
    <x v="0"/>
    <x v="1"/>
    <x v="12"/>
    <x v="1"/>
    <x v="0"/>
    <x v="1"/>
    <x v="0"/>
    <x v="17"/>
    <x v="2"/>
    <s v="TGN110R-ATMSKD-10"/>
    <s v="058"/>
    <s v="WHITE"/>
    <s v="MR0AWAAA1T0845008"/>
    <s v="1TR-B444799"/>
    <s v="KCMG112540"/>
    <s v="KHARISMA GALIH PUTRA"/>
    <s v="MUHAMMAD CAISARIVA"/>
    <s v="CST-000828944"/>
    <s v="PUTRA ADIACA BARTELS"/>
    <s v="INDIVIDU"/>
    <s v="PUTRA ADIACA BARTELS"/>
    <s v="JL. TARUMANEGARA DALAM NO. 11"/>
    <s v="KEC. CIPUTAT TIMUR"/>
    <s v="KOTA TANGERANG SELATAN"/>
    <s v="CASH"/>
    <s v="CASH"/>
    <m/>
    <n v="199200000"/>
    <n v="154283784"/>
    <n v="27945000"/>
    <n v="14989234"/>
    <n v="0"/>
    <n v="0"/>
    <n v="18018018"/>
    <n v="179200000"/>
    <n v="154700000"/>
    <n v="-20000000"/>
    <m/>
    <m/>
    <s v="Invoice"/>
    <n v="1"/>
    <m/>
    <s v="10/06/26"/>
    <s v="KC-26-000382"/>
    <s v="09/06/26"/>
    <s v="09/06/26"/>
    <s v="10/06/26 10.38"/>
    <s v="GB02362"/>
    <m/>
    <s v="13/08/26"/>
    <s v="2026086544"/>
    <s v="29/07/26"/>
    <s v="31/07/26 10.08"/>
    <n v="0"/>
  </r>
  <r>
    <n v="1479"/>
    <n v="146"/>
    <s v="KC"/>
    <s v="146ARI2607-0667"/>
    <s v="16/07/26"/>
    <x v="6"/>
    <n v="2026"/>
    <x v="5"/>
    <x v="4"/>
    <s v="VELOZ V AT HYBRID"/>
    <x v="1"/>
    <x v="0"/>
    <x v="0"/>
    <x v="2"/>
    <x v="0"/>
    <x v="0"/>
    <x v="2"/>
    <x v="1"/>
    <x v="31"/>
    <x v="0"/>
    <s v="W102RE-LBVFJ-11"/>
    <s v="089"/>
    <s v="PLATINUM WHITE PEARL MICA"/>
    <s v="MHFA71BY9T0012973"/>
    <s v="2NR-Y731196"/>
    <s v="KCMG032607"/>
    <s v="FANI PERMANI"/>
    <s v="FERYANTO"/>
    <s v="CST-000833459"/>
    <s v="RIA SUSIYANTI"/>
    <s v="INDIVIDU"/>
    <s v="ASHAR"/>
    <s v="KP KANCAH NO 48"/>
    <s v="KEC. PARONGPONG"/>
    <s v="KAB. BANDUNG BARAT"/>
    <s v="KREDIT"/>
    <s v="PT. BANK BCA SYARIAH"/>
    <m/>
    <n v="304500000"/>
    <n v="235122768"/>
    <n v="41162500"/>
    <n v="27464732"/>
    <n v="0"/>
    <n v="0"/>
    <n v="6250000"/>
    <n v="297500000"/>
    <n v="0"/>
    <n v="-7000000"/>
    <s v="17/07/26"/>
    <s v="17/07/26"/>
    <s v="Invoice"/>
    <n v="1"/>
    <m/>
    <s v="13/07/26"/>
    <s v="KC-26-000519"/>
    <s v="10/07/26"/>
    <s v="10/07/26"/>
    <s v="13/07/26 15.08"/>
    <s v="G800719"/>
    <s v="16/07/26"/>
    <s v="30/07/26"/>
    <s v="2026079253"/>
    <s v="13/07/26"/>
    <s v="20/07/26 14.41"/>
    <n v="0"/>
  </r>
  <r>
    <n v="1492"/>
    <n v="146"/>
    <s v="KC"/>
    <s v="146ARI2607-1022"/>
    <s v="23/07/26"/>
    <x v="6"/>
    <n v="2026"/>
    <x v="4"/>
    <x v="3"/>
    <s v="INNOVA ZENIX V A/T HYBRID"/>
    <x v="3"/>
    <x v="0"/>
    <x v="1"/>
    <x v="4"/>
    <x v="0"/>
    <x v="1"/>
    <x v="0"/>
    <x v="1"/>
    <x v="8"/>
    <x v="0"/>
    <s v="MAGH10R-BRXMBD-10"/>
    <s v="218"/>
    <s v="ATTITUDE BLACK MICA"/>
    <s v="MHFABAAA8T0056059"/>
    <s v="M20A-NG14592"/>
    <s v="KCMK25002"/>
    <s v="RAHMAWATI"/>
    <s v="FERYANTO"/>
    <s v="CST-000834858"/>
    <s v="RIKA MARLINA"/>
    <s v="INDIVIDU"/>
    <s v="RIKA MARLINA"/>
    <s v="GG MUKALMI NO 13/86"/>
    <s v="KEC. BOJONGLOA KALER"/>
    <s v="KOTA BANDUNG"/>
    <s v="CASH"/>
    <s v="CASH"/>
    <m/>
    <n v="552800000"/>
    <n v="429107143"/>
    <n v="72200000"/>
    <n v="48707142"/>
    <n v="0"/>
    <n v="0"/>
    <n v="23214286"/>
    <n v="526800000"/>
    <n v="0"/>
    <n v="-26000000"/>
    <s v="28/07/26"/>
    <s v="28/07/26"/>
    <s v="Invoice"/>
    <n v="1"/>
    <m/>
    <s v="23/07/26"/>
    <s v="KC-26-000560"/>
    <s v="23/07/26"/>
    <s v="23/07/26"/>
    <s v="23/07/26 17.47"/>
    <s v="GJ01240"/>
    <s v="23/07/26"/>
    <s v="06/08/26"/>
    <s v="2026079332"/>
    <s v="13/07/26"/>
    <s v="26/07/26 17.17"/>
    <n v="0"/>
  </r>
  <r>
    <n v="1533"/>
    <n v="146"/>
    <s v="KC"/>
    <s v="146ARI2607-0626"/>
    <s v="14/07/26"/>
    <x v="6"/>
    <n v="2026"/>
    <x v="14"/>
    <x v="12"/>
    <s v="ALPHARD A/T HYBRID"/>
    <x v="2"/>
    <x v="0"/>
    <x v="0"/>
    <x v="0"/>
    <x v="0"/>
    <x v="3"/>
    <x v="1"/>
    <x v="0"/>
    <x v="2"/>
    <x v="1"/>
    <s v="AAHH40R-PFXLB-02"/>
    <s v="202"/>
    <s v="BLACK"/>
    <s v="JTNACAAH4T8017309"/>
    <s v="A25A-6521982"/>
    <s v="KCMG042414"/>
    <s v="RIZKI RISMAWAN"/>
    <s v="ALVIN"/>
    <s v="CST-000833486"/>
    <s v="RONAL ALAMSYAH S.H"/>
    <s v="INDIVIDU"/>
    <s v="SUPRI YULIATIN"/>
    <s v="KP BOJONG PEUNDEUY"/>
    <s v="KEC. RANCAEKEK"/>
    <s v="KAB. BANDUNG"/>
    <s v="KREDIT"/>
    <s v="PT. MANDIRI TUNAS FINANCE"/>
    <m/>
    <n v="1388000000"/>
    <n v="1079508929"/>
    <n v="178950000"/>
    <n v="124719642"/>
    <n v="0"/>
    <n v="0"/>
    <n v="40178571"/>
    <n v="1343000000"/>
    <n v="0"/>
    <n v="-45000000"/>
    <s v="18/07/26"/>
    <s v="18/07/26"/>
    <s v="Invoice"/>
    <n v="1"/>
    <m/>
    <s v="13/07/26"/>
    <s v="KC-26-000494"/>
    <s v="13/07/26"/>
    <s v="13/07/26"/>
    <s v="13/07/26 15.56"/>
    <s v="FN00172"/>
    <s v="14/07/26"/>
    <s v="28/07/26"/>
    <s v="2026068030"/>
    <s v="17/06/26"/>
    <s v="16/07/26 15.11"/>
    <n v="0"/>
  </r>
  <r>
    <n v="1543"/>
    <n v="146"/>
    <s v="KC"/>
    <s v="146ARI2607-0906"/>
    <s v="22/07/26"/>
    <x v="6"/>
    <n v="2026"/>
    <x v="2"/>
    <x v="2"/>
    <s v="CALYA G M/T"/>
    <x v="2"/>
    <x v="0"/>
    <x v="0"/>
    <x v="5"/>
    <x v="0"/>
    <x v="3"/>
    <x v="0"/>
    <x v="0"/>
    <x v="18"/>
    <x v="1"/>
    <s v="B401RA-GMZFJ-20"/>
    <s v="S28"/>
    <s v="Silver Metallic"/>
    <s v="MHKA6GJ6JTJ230729"/>
    <s v="3NR-5A03376"/>
    <s v="KCMG052429"/>
    <s v="TOPIK HIDAYAT"/>
    <s v="ALVIN"/>
    <s v="CST-000833672"/>
    <s v="RUDI HARTONO"/>
    <s v="INDIVIDU"/>
    <s v="FITRI ANITA"/>
    <s v="JLN ABDUL HALIM NO 53 GG GUNA BAKTI 5"/>
    <s v="KEC. CIMAHI TENGAH"/>
    <s v="KOTA CIMAHI"/>
    <s v="KREDIT"/>
    <s v="PT. MANDIRI TUNAS FINANCE"/>
    <m/>
    <n v="182700000"/>
    <n v="139966518"/>
    <n v="25937500"/>
    <n v="15403125"/>
    <n v="0"/>
    <n v="0"/>
    <n v="11607143"/>
    <n v="169700000"/>
    <n v="0"/>
    <n v="-13000000"/>
    <s v="29/07/26"/>
    <s v="29/07/26"/>
    <s v="Invoice"/>
    <n v="1"/>
    <m/>
    <s v="14/07/26"/>
    <s v="KC-26-000515"/>
    <s v="12/07/26"/>
    <s v="12/07/26"/>
    <s v="14/07/26 14.11"/>
    <s v="FO03643"/>
    <s v="22/07/26"/>
    <s v="05/08/26"/>
    <s v="2026074235"/>
    <s v="01/07/26"/>
    <s v="26/07/26 12.37"/>
    <n v="0"/>
  </r>
  <r>
    <n v="1554"/>
    <n v="146"/>
    <s v="KC"/>
    <s v="146ARI2607-1054"/>
    <s v="24/07/26"/>
    <x v="6"/>
    <n v="2026"/>
    <x v="12"/>
    <x v="10"/>
    <s v="RUSH S A/T"/>
    <x v="4"/>
    <x v="0"/>
    <x v="0"/>
    <x v="0"/>
    <x v="0"/>
    <x v="1"/>
    <x v="0"/>
    <x v="0"/>
    <x v="21"/>
    <x v="1"/>
    <s v="F800RE-GQGFJ-40"/>
    <s v="W09"/>
    <s v="WHITE"/>
    <s v="MHKE8FB3JTK122298"/>
    <s v="2NR-4G17582"/>
    <s v="KCMG012502"/>
    <s v="DADI SOBARI"/>
    <s v="ALVIN"/>
    <s v="CST-000834297"/>
    <s v="RUSMANA"/>
    <s v="INDIVIDU"/>
    <s v="RUSMANA"/>
    <s v="PERUMAHAN RANCAMULYA ASRI BLOK H2 NO. 11"/>
    <s v="KEC. PAMEUNGPEUK"/>
    <s v="KAB. BANDUNG"/>
    <s v="KREDIT"/>
    <s v="PT. ASTRA SEDAYA FINANCE"/>
    <m/>
    <n v="323200000"/>
    <n v="249732143"/>
    <n v="43500000"/>
    <n v="27396428"/>
    <n v="0"/>
    <n v="0"/>
    <n v="21428571"/>
    <n v="299200000"/>
    <n v="0"/>
    <n v="-24000000"/>
    <m/>
    <m/>
    <s v="Invoice"/>
    <n v="1"/>
    <m/>
    <s v="17/07/26"/>
    <s v="KC-26-000534"/>
    <s v="14/07/26"/>
    <s v="14/07/26"/>
    <s v="20/07/26 09.26"/>
    <s v="FG02192"/>
    <s v="24/07/26"/>
    <s v="07/08/26"/>
    <s v="2026080187"/>
    <s v="14/07/26"/>
    <s v="27/07/26 15.04"/>
    <n v="0"/>
  </r>
  <r>
    <n v="1646"/>
    <n v="146"/>
    <s v="KC"/>
    <s v="146ARI2607-1401"/>
    <s v="31/07/26"/>
    <x v="6"/>
    <n v="2026"/>
    <x v="8"/>
    <x v="6"/>
    <s v="FORTUNER 4X4 VRZ A/T DIESEL"/>
    <x v="2"/>
    <x v="0"/>
    <x v="0"/>
    <x v="4"/>
    <x v="0"/>
    <x v="4"/>
    <x v="1"/>
    <x v="0"/>
    <x v="15"/>
    <x v="0"/>
    <s v="GUN156R-SDTHXD-43"/>
    <s v="218"/>
    <s v="ATTITUDE BLACK MICA"/>
    <s v="MHFBA3FS1T1176610"/>
    <s v="1GD-6020284"/>
    <s v="CMMG122342"/>
    <s v="REGYAWAN KURNIA"/>
    <s v="FERYANTO"/>
    <s v="CST-000832604"/>
    <s v="SOIMAN"/>
    <s v="INDIVIDU"/>
    <s v="SOIMAN"/>
    <s v="JL PASIRKALIKI BARAT NO 3"/>
    <s v="KEC. COBLONG"/>
    <s v="KOTA BANDUNG"/>
    <s v="KREDIT"/>
    <s v="PT. MANDIRI TUNAS FINANCE"/>
    <m/>
    <n v="790500000"/>
    <n v="614810268"/>
    <n v="101912500"/>
    <n v="68955803"/>
    <n v="0"/>
    <n v="0"/>
    <n v="40178571"/>
    <n v="745500000"/>
    <n v="37500000"/>
    <n v="-45000000"/>
    <m/>
    <m/>
    <s v="Invoice"/>
    <n v="1"/>
    <m/>
    <s v="29/06/26"/>
    <s v="KC-26-000450"/>
    <s v="28/06/26"/>
    <s v="28/06/26"/>
    <s v="07/07/26 11.04"/>
    <s v="GF00179"/>
    <m/>
    <s v="14/08/26"/>
    <s v="2026084989"/>
    <s v="24/07/26"/>
    <s v="01/08/26 10.32"/>
    <n v="0"/>
  </r>
  <r>
    <n v="1654"/>
    <n v="146"/>
    <s v="KC"/>
    <s v="146ARI2607-0424"/>
    <s v="10/07/26"/>
    <x v="6"/>
    <n v="2026"/>
    <x v="4"/>
    <x v="3"/>
    <s v="INNOVA ZENIX Q A/T HYBRID"/>
    <x v="0"/>
    <x v="0"/>
    <x v="0"/>
    <x v="4"/>
    <x v="0"/>
    <x v="0"/>
    <x v="1"/>
    <x v="5"/>
    <x v="23"/>
    <x v="1"/>
    <s v="MAGH10R-BPXHBD-11"/>
    <s v="089"/>
    <s v="PLATINUM WHITE PEARL"/>
    <s v="MHFABBAA8T0475941"/>
    <s v="M20A-NG09578"/>
    <s v="KCMG052516"/>
    <s v="YENI"/>
    <s v="ALVIN"/>
    <s v="CST-000832919"/>
    <s v="SRI HARYATI"/>
    <s v="INDIVIDU"/>
    <s v="NADHIO BOY GERALDI"/>
    <s v="JL.SIMPANG NO.20"/>
    <s v="KEC. REGOL"/>
    <s v="KOTA BANDUNG"/>
    <s v="KREDIT"/>
    <s v="PT. TOYOTA ASTRA FINANCIAL SERVICES"/>
    <m/>
    <n v="631100000"/>
    <n v="490279018"/>
    <n v="81987500"/>
    <n v="56690625"/>
    <n v="0"/>
    <n v="0"/>
    <n v="17857143"/>
    <n v="611100000"/>
    <n v="0"/>
    <n v="-20000000"/>
    <s v="11/07/26"/>
    <s v="11/07/26"/>
    <s v="Invoice"/>
    <n v="1"/>
    <m/>
    <s v="07/07/26"/>
    <s v="KC-26-000496"/>
    <s v="07/07/26"/>
    <s v="07/07/26"/>
    <s v="09/07/26 10.37"/>
    <s v="GJ00488"/>
    <s v="10/07/26"/>
    <s v="24/07/26"/>
    <s v="2026076454"/>
    <s v="07/07/26"/>
    <s v="14/07/26 10.30"/>
    <n v="0"/>
  </r>
  <r>
    <n v="1676"/>
    <n v="146"/>
    <s v="KC"/>
    <s v="146ARI2607-0894"/>
    <s v="21/07/26"/>
    <x v="6"/>
    <n v="2026"/>
    <x v="3"/>
    <x v="3"/>
    <s v="INNOVA G A/T DIESEL"/>
    <x v="0"/>
    <x v="0"/>
    <x v="0"/>
    <x v="2"/>
    <x v="0"/>
    <x v="1"/>
    <x v="1"/>
    <x v="0"/>
    <x v="3"/>
    <x v="0"/>
    <s v="GUN142R-MDTSXD-30"/>
    <s v="040"/>
    <s v="SUPER WHITE II"/>
    <s v="MHFJB8EM3T1199671"/>
    <s v="2GD-J181584"/>
    <s v="KCMG052513"/>
    <s v="DENI ALFIAN"/>
    <s v="FERYANTO"/>
    <s v="CST-000834511"/>
    <s v="SUGENG APRIANTO"/>
    <s v="INDIVIDU"/>
    <s v="SUTIA"/>
    <s v="KP RAWAPOJOK"/>
    <s v="KEC. NGAMPRAH"/>
    <s v="KAB. BANDUNG BARAT"/>
    <s v="KREDIT"/>
    <s v="PT. TOYOTA ASTRA FINANCIAL SERVICES"/>
    <m/>
    <n v="442700000"/>
    <n v="343091518"/>
    <n v="58437500"/>
    <n v="37528125"/>
    <n v="0"/>
    <n v="0"/>
    <n v="30357143"/>
    <n v="408700000"/>
    <n v="0"/>
    <n v="-34000000"/>
    <s v="29/07/26"/>
    <s v="29/07/26"/>
    <s v="Invoice"/>
    <n v="1"/>
    <s v="3217062504740008"/>
    <s v="20/07/26"/>
    <s v="KC-26-000522"/>
    <s v="17/07/26"/>
    <s v="17/07/26"/>
    <s v="21/07/26 13.30"/>
    <s v="FC03307"/>
    <s v="21/07/26"/>
    <s v="04/08/26"/>
    <s v="2026077174"/>
    <s v="08/07/26"/>
    <s v="25/07/26 09.14"/>
    <n v="0"/>
  </r>
  <r>
    <n v="1716"/>
    <n v="146"/>
    <s v="KC"/>
    <s v="146ARI2607-1062"/>
    <s v="24/07/26"/>
    <x v="6"/>
    <n v="2026"/>
    <x v="2"/>
    <x v="2"/>
    <s v="CALYA G M/T"/>
    <x v="2"/>
    <x v="0"/>
    <x v="0"/>
    <x v="6"/>
    <x v="1"/>
    <x v="3"/>
    <x v="0"/>
    <x v="5"/>
    <x v="29"/>
    <x v="1"/>
    <s v="B401RA-GMZFJ-20"/>
    <s v="X13"/>
    <s v="BLACK"/>
    <s v="MHKA6GJ6JTJ231132"/>
    <s v="3NR-5A04878"/>
    <s v="KCMG042609"/>
    <s v="ANDRI JAYA LAKSANA"/>
    <s v="ALVIN"/>
    <s v="CST-000833835"/>
    <s v="SUSANTI BAROKAH"/>
    <s v="INDIVIDU"/>
    <s v="SUSANTI BAROKAH"/>
    <s v="DUSUN CIMASUK 2"/>
    <s v="KEC. PAMULIHAN"/>
    <s v="KAB. SUMEDANG"/>
    <s v="KREDIT"/>
    <s v="PT. MANDIRI TUNAS FINANCE"/>
    <m/>
    <n v="182700000"/>
    <n v="139654018"/>
    <n v="26287500"/>
    <n v="15365625"/>
    <n v="0"/>
    <n v="0"/>
    <n v="11607143"/>
    <n v="169700000"/>
    <n v="0"/>
    <n v="-13000000"/>
    <m/>
    <m/>
    <s v="Invoice"/>
    <n v="1"/>
    <m/>
    <s v="15/07/26"/>
    <s v="KC-26-000536"/>
    <s v="14/07/26"/>
    <s v="14/07/26"/>
    <s v="15/07/26 15.17"/>
    <s v="GO00449"/>
    <s v="24/07/26"/>
    <s v="07/08/26"/>
    <s v="2026077084"/>
    <s v="08/07/26"/>
    <s v="25/07/26 15.09"/>
    <n v="0"/>
  </r>
  <r>
    <n v="1720"/>
    <n v="146"/>
    <s v="KC"/>
    <s v="146ARI2607-1412"/>
    <s v="31/07/26"/>
    <x v="6"/>
    <n v="2026"/>
    <x v="7"/>
    <x v="5"/>
    <s v="RANGGA-HILUX PU M/T"/>
    <x v="4"/>
    <x v="0"/>
    <x v="0"/>
    <x v="5"/>
    <x v="0"/>
    <x v="1"/>
    <x v="0"/>
    <x v="0"/>
    <x v="8"/>
    <x v="0"/>
    <s v="TGN110R-ATMSKD-11"/>
    <s v="058"/>
    <s v="WHITE"/>
    <s v="MR0AWAAA2T0844515"/>
    <s v="1TR-B435025"/>
    <s v="KCMK25002"/>
    <s v="RAHMAWATI"/>
    <s v="FERYANTO"/>
    <s v="CST-000835703"/>
    <s v="SUTINI"/>
    <s v="INDIVIDU"/>
    <s v="SUTINI"/>
    <s v="PERUMAHAN ROSALIE HILLS BLOK E3"/>
    <s v="KEC. CIMAHI UTARA"/>
    <s v="KOTA CIMAHI"/>
    <s v="KREDIT"/>
    <s v="PT. ASTRA SEDAYA FINANCE"/>
    <m/>
    <n v="205200000"/>
    <n v="156846847"/>
    <n v="31100000"/>
    <n v="15469369"/>
    <n v="0"/>
    <n v="0"/>
    <n v="16216216"/>
    <n v="187200000"/>
    <n v="6000000"/>
    <n v="-18000000"/>
    <m/>
    <m/>
    <s v="Invoice"/>
    <n v="1"/>
    <m/>
    <s v="29/07/26"/>
    <s v="KC-26-000562"/>
    <s v="28/07/26"/>
    <s v="28/07/26"/>
    <s v="31/07/26 11.34"/>
    <s v="FB00580"/>
    <m/>
    <s v="14/08/26"/>
    <s v="2026086816"/>
    <s v="30/07/26"/>
    <s v="01/08/26 13.48"/>
    <n v="0"/>
  </r>
  <r>
    <n v="1725"/>
    <n v="146"/>
    <s v="KC"/>
    <s v="146ARI2607-1281"/>
    <s v="29/07/26"/>
    <x v="6"/>
    <n v="2026"/>
    <x v="4"/>
    <x v="3"/>
    <s v="INNOVA ZENIX G A/T HIYBRID"/>
    <x v="0"/>
    <x v="0"/>
    <x v="0"/>
    <x v="25"/>
    <x v="1"/>
    <x v="3"/>
    <x v="1"/>
    <x v="1"/>
    <x v="20"/>
    <x v="1"/>
    <s v="MAGH10R-BRXLBD-11"/>
    <s v="089"/>
    <s v="PLATINUM WHITE PEARL"/>
    <s v="MHFABAAA2T0054453"/>
    <s v="M20A-NF96034"/>
    <s v="KCMG042424"/>
    <s v="INDAH PITALOKA"/>
    <s v="ALVIN"/>
    <s v="CST-000835392"/>
    <s v="SWANTO ARIMIN"/>
    <s v="INDIVIDU"/>
    <s v="SWANTO ARIMIN"/>
    <s v="JL GATOT SUBROTO KM 3.5 NO 138"/>
    <s v="KEC. CIBODAS"/>
    <s v="KOTA TANGERANG"/>
    <s v="KREDIT"/>
    <s v="PT. TOYOTA ASTRA FINANCIAL SERVICES"/>
    <m/>
    <n v="478300000"/>
    <n v="371360268"/>
    <n v="62376500"/>
    <n v="41348946"/>
    <n v="0"/>
    <n v="0"/>
    <n v="26785714"/>
    <n v="448300000"/>
    <n v="0"/>
    <n v="-30000000"/>
    <s v="31/07/26"/>
    <s v="31/07/26"/>
    <s v="Invoice"/>
    <n v="1"/>
    <m/>
    <s v="28/07/26"/>
    <s v="KC-26-000570"/>
    <s v="28/07/26"/>
    <s v="28/07/26"/>
    <s v="28/07/26 17.49"/>
    <s v="FJ01592"/>
    <s v="29/07/26"/>
    <s v="12/08/26"/>
    <s v="2026069474"/>
    <s v="19/06/26"/>
    <s v="31/07/26 17.41"/>
    <n v="0"/>
  </r>
  <r>
    <n v="1732"/>
    <n v="146"/>
    <s v="KC"/>
    <s v="146ARI2607-0418"/>
    <s v="09/07/26"/>
    <x v="6"/>
    <n v="2026"/>
    <x v="5"/>
    <x v="4"/>
    <s v="VELOZ V AT HYBRID"/>
    <x v="3"/>
    <x v="0"/>
    <x v="1"/>
    <x v="4"/>
    <x v="0"/>
    <x v="0"/>
    <x v="2"/>
    <x v="0"/>
    <x v="17"/>
    <x v="2"/>
    <s v="W102RE-LBVFJ-10"/>
    <s v="X12"/>
    <s v="BLACK MICA"/>
    <s v="MHFA71BY4T0010399"/>
    <s v="2NR-Y715036"/>
    <s v="KCMG112540"/>
    <s v="KHARISMA GALIH PUTRA"/>
    <s v="MUHAMMAD CAISARIVA"/>
    <s v="CST-000832875"/>
    <s v="T. SJAIFUL ANWAR"/>
    <s v="INDIVIDU"/>
    <s v="T. SJAIFUL ANWAR"/>
    <s v="JL. HJ. RATNAMAH"/>
    <s v="KEC. BUAH BATU"/>
    <s v="KOTA BANDUNG"/>
    <s v="CASH"/>
    <s v="CASH"/>
    <m/>
    <n v="303000000"/>
    <n v="233950893"/>
    <n v="40975000"/>
    <n v="28074107"/>
    <n v="0"/>
    <n v="0"/>
    <n v="0"/>
    <n v="303000000"/>
    <n v="0"/>
    <n v="0"/>
    <s v="11/07/26"/>
    <s v="11/07/26"/>
    <s v="Invoice"/>
    <n v="1"/>
    <m/>
    <s v="08/07/26"/>
    <s v="KC-26-000478"/>
    <s v="08/07/26"/>
    <s v="08/07/26"/>
    <s v="09/07/26 08.27"/>
    <s v="F800902"/>
    <s v="09/07/26"/>
    <s v="23/07/26"/>
    <s v="2026065184"/>
    <s v="10/06/26"/>
    <s v="10/07/26 17.00"/>
    <n v="0"/>
  </r>
  <r>
    <n v="1746"/>
    <n v="146"/>
    <s v="KC"/>
    <s v="146ARI2607-0326"/>
    <s v="06/07/26"/>
    <x v="6"/>
    <n v="2026"/>
    <x v="12"/>
    <x v="10"/>
    <s v="RUSH S M/T"/>
    <x v="2"/>
    <x v="0"/>
    <x v="0"/>
    <x v="0"/>
    <x v="0"/>
    <x v="0"/>
    <x v="1"/>
    <x v="0"/>
    <x v="15"/>
    <x v="0"/>
    <s v="F800RE-GMGFJ-40"/>
    <s v="X12"/>
    <s v="BLACK MICA"/>
    <s v="MHKE8FA3JTK146897"/>
    <s v="2NR-4G20862"/>
    <s v="CMMG122342"/>
    <s v="REGYAWAN KURNIA"/>
    <s v="FERYANTO"/>
    <s v="CST-000831758"/>
    <s v="TEDI ERLAN"/>
    <s v="INDIVIDU"/>
    <s v="TEDI ERLAN"/>
    <s v="KP.CIBEUREUM"/>
    <s v="KEC. PANGALENGAN"/>
    <s v="KAB. BANDUNG"/>
    <s v="KREDIT"/>
    <s v="PT. MANDIRI TUNAS FINANCE"/>
    <s v="003-26.21311353"/>
    <n v="312500000"/>
    <n v="241372768"/>
    <n v="42162500"/>
    <n v="27357589"/>
    <n v="0"/>
    <n v="0"/>
    <n v="13392857"/>
    <n v="297500000"/>
    <n v="0"/>
    <n v="-15000000"/>
    <m/>
    <m/>
    <s v="Invoice"/>
    <n v="1"/>
    <m/>
    <s v="30/06/26"/>
    <s v="KC-26-000430"/>
    <s v="29/06/26"/>
    <s v="29/06/26"/>
    <s v="30/06/26 20.18"/>
    <s v="GG00204"/>
    <s v="06/07/26"/>
    <s v="20/07/26"/>
    <s v="2026075147"/>
    <s v="03/07/26"/>
    <s v="07/07/26 20.05"/>
    <n v="0"/>
  </r>
  <r>
    <n v="1766"/>
    <n v="146"/>
    <s v="KC"/>
    <s v="146ARI2607-0872"/>
    <s v="20/07/26"/>
    <x v="6"/>
    <n v="2026"/>
    <x v="3"/>
    <x v="3"/>
    <s v="INNOVA G A/T DIESEL"/>
    <x v="6"/>
    <x v="0"/>
    <x v="0"/>
    <x v="4"/>
    <x v="0"/>
    <x v="0"/>
    <x v="1"/>
    <x v="0"/>
    <x v="17"/>
    <x v="2"/>
    <s v="GUN142R-MDTSXD-30"/>
    <s v="218"/>
    <s v="ATTITUDE BLACK MICA"/>
    <s v="MHFJB8EM6T1198997"/>
    <s v="2GD-J180657"/>
    <s v="KCMG112540"/>
    <s v="KHARISMA GALIH PUTRA"/>
    <s v="MUHAMMAD CAISARIVA"/>
    <s v="CST-000834338"/>
    <s v="TONI HARTONO"/>
    <s v="INDIVIDU"/>
    <s v="NURHAYATI"/>
    <s v="JL. SUKAMULYA"/>
    <s v="KEC. BOJONGLOA KALER"/>
    <s v="KOTA BANDUNG"/>
    <s v="KREDIT"/>
    <s v="UNIT KKB PT. BANK CENTRAL ASIA"/>
    <m/>
    <n v="442700000"/>
    <n v="343091518"/>
    <n v="58437500"/>
    <n v="37528125"/>
    <n v="0"/>
    <n v="0"/>
    <n v="30357143"/>
    <n v="408700000"/>
    <n v="0"/>
    <n v="-34000000"/>
    <m/>
    <m/>
    <s v="Invoice"/>
    <n v="1"/>
    <m/>
    <s v="20/07/26"/>
    <s v="KC-26-000530"/>
    <s v="14/07/26"/>
    <s v="14/07/26"/>
    <s v="20/07/26 11.13"/>
    <s v="FC02563"/>
    <s v="20/07/26"/>
    <s v="03/08/26"/>
    <s v="2026078151"/>
    <s v="09/07/26"/>
    <s v="28/07/26 10.00"/>
    <n v="0"/>
  </r>
  <r>
    <n v="1767"/>
    <n v="146"/>
    <s v="KC"/>
    <s v="146ARI2607-1003"/>
    <s v="23/07/26"/>
    <x v="6"/>
    <n v="2026"/>
    <x v="1"/>
    <x v="1"/>
    <s v="HIACE PREMIO"/>
    <x v="0"/>
    <x v="0"/>
    <x v="0"/>
    <x v="4"/>
    <x v="0"/>
    <x v="0"/>
    <x v="1"/>
    <x v="0"/>
    <x v="17"/>
    <x v="2"/>
    <s v="GDH321R-EDFDYD-10"/>
    <s v="058"/>
    <s v="WHITE"/>
    <s v="JTF2A9CP2T6014770"/>
    <s v="1GD-9793703"/>
    <s v="KCMG112540"/>
    <s v="KHARISMA GALIH PUTRA"/>
    <s v="MUHAMMAD CAISARIVA"/>
    <s v="CST-000833810"/>
    <s v="TONI HARTONO"/>
    <s v="INDIVIDU"/>
    <s v="NURHAYATI"/>
    <s v="GG. PESANTREN NO. 44/197C"/>
    <s v="KEC. BOJONGLOA KALER"/>
    <s v="KOTA BANDUNG"/>
    <s v="KREDIT"/>
    <s v="PT. TOYOTA ASTRA FINANCIAL SERVICES"/>
    <m/>
    <n v="679100000"/>
    <n v="525680804"/>
    <n v="90337500"/>
    <n v="58581696"/>
    <n v="0"/>
    <n v="0"/>
    <n v="37500000"/>
    <n v="637100000"/>
    <n v="0"/>
    <n v="-42000000"/>
    <m/>
    <m/>
    <s v="Invoice"/>
    <n v="1"/>
    <m/>
    <s v="15/07/26"/>
    <s v="KC-26-000526"/>
    <s v="14/07/26"/>
    <s v="14/07/26"/>
    <s v="15/07/26 13.49"/>
    <s v="GP00291"/>
    <s v="23/07/26"/>
    <s v="06/08/26"/>
    <s v="2026083301"/>
    <s v="21/07/26"/>
    <s v="24/07/26 11.00"/>
    <n v="0"/>
  </r>
  <r>
    <n v="1770"/>
    <n v="146"/>
    <s v="KC"/>
    <s v="146ARI2607-1418"/>
    <s v="31/07/26"/>
    <x v="6"/>
    <n v="2026"/>
    <x v="5"/>
    <x v="4"/>
    <s v="VELOZ Q AT HYBRID"/>
    <x v="2"/>
    <x v="0"/>
    <x v="0"/>
    <x v="5"/>
    <x v="0"/>
    <x v="3"/>
    <x v="2"/>
    <x v="1"/>
    <x v="15"/>
    <x v="0"/>
    <s v="W102RE-LBVFJ-08"/>
    <s v="X12"/>
    <s v="BLACK MICA"/>
    <s v="MHFA71BY6T0009402"/>
    <s v="2NR-Y705161"/>
    <s v="CMMG122342"/>
    <s v="REGYAWAN KURNIA"/>
    <s v="FERYANTO"/>
    <s v="CST-000835699"/>
    <s v="TRI JULIANTO"/>
    <s v="INDIVIDU"/>
    <s v="TRI JULIANTO"/>
    <s v="JL.PANEMBAKAN UTARA NO.234"/>
    <s v="KEC. CIMAHI TENGAH"/>
    <s v="KOTA CIMAHI"/>
    <s v="KREDIT"/>
    <s v="PT. MANDIRI TUNAS FINANCE"/>
    <m/>
    <n v="325000000"/>
    <n v="251138393"/>
    <n v="43725000"/>
    <n v="28850892"/>
    <n v="0"/>
    <n v="0"/>
    <n v="10714286"/>
    <n v="313000000"/>
    <n v="0"/>
    <n v="-12000000"/>
    <m/>
    <m/>
    <s v="Invoice"/>
    <n v="1"/>
    <m/>
    <s v="30/07/26"/>
    <s v="KC-26-000521"/>
    <s v="29/07/26"/>
    <s v="29/07/26"/>
    <s v="31/07/26 11.21"/>
    <s v="E802232"/>
    <m/>
    <s v="14/08/26"/>
    <s v="2026060088"/>
    <s v="29/05/26"/>
    <s v="01/08/26 18.03"/>
    <n v="0"/>
  </r>
  <r>
    <n v="1775"/>
    <n v="146"/>
    <s v="KC"/>
    <s v="146ARI2607-1017"/>
    <s v="23/07/26"/>
    <x v="6"/>
    <n v="2026"/>
    <x v="8"/>
    <x v="6"/>
    <s v="FORTUNER 4X2 VRZ A/T DIESEL"/>
    <x v="1"/>
    <x v="0"/>
    <x v="0"/>
    <x v="4"/>
    <x v="0"/>
    <x v="0"/>
    <x v="0"/>
    <x v="0"/>
    <x v="6"/>
    <x v="0"/>
    <s v="GUN166R-SDTHXD-31"/>
    <s v="218"/>
    <s v="ATTITUDE BLACK MICA"/>
    <s v="MHFAA8GS1T0938170"/>
    <s v="1GD-5994770"/>
    <s v="KCMG042509"/>
    <s v="ERICK JANUAR LISAPALY"/>
    <s v="FERYANTO"/>
    <s v="CST-000834694"/>
    <s v="TRIO HASRI"/>
    <s v="INDIVIDU"/>
    <s v="RADITHYA KENZIE"/>
    <s v="JL CIHAMPELAS GANG MASJID NO 32/35B"/>
    <s v="KEC. COBLONG"/>
    <s v="KOTA BANDUNG"/>
    <s v="KREDIT"/>
    <s v="PT. MANDIRI UTAMA FINANCE"/>
    <m/>
    <n v="680700000"/>
    <n v="529029018"/>
    <n v="88187500"/>
    <n v="58126339"/>
    <n v="0"/>
    <n v="0"/>
    <n v="44642857"/>
    <n v="630700000"/>
    <n v="0"/>
    <n v="-50000000"/>
    <m/>
    <m/>
    <s v="Invoice"/>
    <n v="1"/>
    <s v="0000000000000000"/>
    <s v="22/07/26"/>
    <s v="KC-26-000491"/>
    <s v="22/07/26"/>
    <s v="22/07/26"/>
    <s v="22/07/26 16.16"/>
    <s v="EF01085"/>
    <s v="23/07/26"/>
    <s v="06/08/26"/>
    <s v="2026057967"/>
    <s v="25/05/26"/>
    <s v="30/07/26 16.02"/>
    <n v="0"/>
  </r>
  <r>
    <n v="1784"/>
    <n v="146"/>
    <s v="KC"/>
    <s v="146ARI2607-1314"/>
    <s v="29/07/26"/>
    <x v="6"/>
    <n v="2026"/>
    <x v="12"/>
    <x v="10"/>
    <s v="RUSH S A/T"/>
    <x v="2"/>
    <x v="0"/>
    <x v="0"/>
    <x v="0"/>
    <x v="0"/>
    <x v="1"/>
    <x v="0"/>
    <x v="0"/>
    <x v="8"/>
    <x v="0"/>
    <s v="F800RE-GQGFJ-40"/>
    <s v="W09"/>
    <s v="WHITE"/>
    <s v="MHKE8FB3JTK123034"/>
    <s v="2NR-4G30629"/>
    <s v="KCMK25002"/>
    <s v="RAHMAWATI"/>
    <s v="FERYANTO"/>
    <s v="CST-000835483"/>
    <s v="TURIMIN"/>
    <s v="INDIVIDU"/>
    <s v="TUKIRAH"/>
    <s v="KP. RANCAKASIAT"/>
    <s v="KEC. PAMEUNGPEUK"/>
    <s v="KAB. BANDUNG"/>
    <s v="KREDIT"/>
    <s v="PT. MANDIRI TUNAS FINANCE"/>
    <m/>
    <n v="323200000"/>
    <n v="249732143"/>
    <n v="43500000"/>
    <n v="27503571"/>
    <n v="0"/>
    <n v="0"/>
    <n v="20535714"/>
    <n v="300200000"/>
    <n v="0"/>
    <n v="-23000000"/>
    <m/>
    <m/>
    <s v="Invoice"/>
    <n v="1"/>
    <m/>
    <s v="28/07/26"/>
    <s v="KC-26-000563"/>
    <s v="27/07/26"/>
    <s v="27/07/26"/>
    <s v="29/07/26 13.25"/>
    <s v="GG01925"/>
    <s v="29/07/26"/>
    <s v="12/08/26"/>
    <s v="2026085395"/>
    <s v="27/07/26"/>
    <s v="31/07/26 12.54"/>
    <n v="0"/>
  </r>
  <r>
    <n v="1802"/>
    <n v="146"/>
    <s v="KC"/>
    <s v="146ARI2607-1318"/>
    <s v="29/07/26"/>
    <x v="6"/>
    <n v="2026"/>
    <x v="13"/>
    <x v="11"/>
    <s v="RAIZE G A/T"/>
    <x v="4"/>
    <x v="0"/>
    <x v="0"/>
    <x v="4"/>
    <x v="0"/>
    <x v="0"/>
    <x v="0"/>
    <x v="1"/>
    <x v="32"/>
    <x v="1"/>
    <s v="A251RA-GBXFJ-10"/>
    <s v="X13"/>
    <s v="BLACK"/>
    <s v="MHKAB1BA8TJ172923"/>
    <s v="WA-A260183"/>
    <s v="KCMG042608"/>
    <s v="ARDIAN PURNAMA"/>
    <s v="ALVIN"/>
    <s v="CST-000833570"/>
    <s v="VINA SEPTIANA"/>
    <s v="INDIVIDU"/>
    <s v="VINA SEPTIANA"/>
    <s v="JL. CIBADUYUT LAMA NO.29B"/>
    <s v="KEC. BOJONGLOA KIDUL"/>
    <s v="KOTA BANDUNG"/>
    <s v="KREDIT"/>
    <s v="PT. ASTRA SEDAYA FINANCE"/>
    <m/>
    <n v="262100000"/>
    <n v="201997768"/>
    <n v="35862500"/>
    <n v="21775446"/>
    <n v="0"/>
    <n v="0"/>
    <n v="20535714"/>
    <n v="239100000"/>
    <n v="22000000"/>
    <n v="-23000000"/>
    <m/>
    <m/>
    <s v="Invoice"/>
    <n v="1"/>
    <m/>
    <s v="14/07/26"/>
    <s v="KC-26-000511"/>
    <s v="10/07/26"/>
    <s v="10/07/26"/>
    <s v="14/07/26 09.33"/>
    <s v="GZ00283"/>
    <m/>
    <s v="12/08/26"/>
    <s v="2026081185"/>
    <s v="16/07/26"/>
    <s v="30/07/26 09.14"/>
    <n v="0"/>
  </r>
  <r>
    <n v="1812"/>
    <n v="146"/>
    <s v="KC"/>
    <s v="146ARI2607-0573"/>
    <s v="13/07/26"/>
    <x v="6"/>
    <n v="2026"/>
    <x v="5"/>
    <x v="4"/>
    <s v="VELOZ Q AT HYBRID"/>
    <x v="3"/>
    <x v="0"/>
    <x v="1"/>
    <x v="0"/>
    <x v="0"/>
    <x v="0"/>
    <x v="0"/>
    <x v="1"/>
    <x v="43"/>
    <x v="2"/>
    <s v="W102RE-LBVFJ-08"/>
    <s v="X12"/>
    <s v="BLACK MICA"/>
    <s v="MHFA71BYXT0010228"/>
    <s v="2NR-Y714021"/>
    <s v="KCMG062614"/>
    <s v="SINTA MUSTIKA"/>
    <s v="MUHAMMAD CAISARIVA"/>
    <s v="CST-000833340"/>
    <s v="WANDIANTO"/>
    <s v="INDIVIDU"/>
    <s v="WANDIANTO"/>
    <s v="KOMP MANGLAYANG REGENCY A3-14"/>
    <s v="KEC. CILEUNYI"/>
    <s v="KAB. BANDUNG"/>
    <s v="CASH"/>
    <s v="CASH"/>
    <m/>
    <n v="325000000"/>
    <n v="251138393"/>
    <n v="43725000"/>
    <n v="30136607"/>
    <n v="0"/>
    <n v="0"/>
    <n v="0"/>
    <n v="325000000"/>
    <n v="0"/>
    <n v="0"/>
    <s v="16/07/26"/>
    <s v="16/07/26"/>
    <s v="Invoice"/>
    <n v="1"/>
    <m/>
    <s v="13/07/26"/>
    <s v="KC-26-000523"/>
    <s v="11/07/26"/>
    <s v="11/07/26"/>
    <s v="13/07/26 10.06"/>
    <s v="F800583"/>
    <s v="13/07/26"/>
    <s v="27/07/26"/>
    <s v="2026064837"/>
    <s v="10/06/26"/>
    <s v="14/07/26 10.01"/>
    <n v="0"/>
  </r>
  <r>
    <n v="1823"/>
    <n v="146"/>
    <s v="KC"/>
    <s v="146ARI2607-0616"/>
    <s v="14/07/26"/>
    <x v="6"/>
    <n v="2026"/>
    <x v="1"/>
    <x v="1"/>
    <s v="HIACE PREMIO"/>
    <x v="0"/>
    <x v="0"/>
    <x v="0"/>
    <x v="21"/>
    <x v="1"/>
    <x v="0"/>
    <x v="0"/>
    <x v="1"/>
    <x v="32"/>
    <x v="1"/>
    <s v="GDH321R-EDFDYD-10"/>
    <s v="058"/>
    <s v="WHITE"/>
    <s v="JTF2A9CP8T6014613"/>
    <s v="1GD-9790098"/>
    <s v="KCMG042608"/>
    <s v="ARDIAN PURNAMA"/>
    <s v="ALVIN"/>
    <s v="CST-000833032"/>
    <s v="WIDYA WIJAYANTI"/>
    <s v="INDIVIDU"/>
    <s v="ANDI YULIANTO"/>
    <s v="CLUSTER TAMAN CIKINI BLOK F3 8 METLAND CIBITU"/>
    <s v="KEC. CIBITUNG"/>
    <s v="KAB. BEKASI"/>
    <s v="KREDIT"/>
    <s v="PT. TOYOTA ASTRA FINANCIAL SERVICES"/>
    <m/>
    <n v="678800000"/>
    <n v="527593750"/>
    <n v="87895000"/>
    <n v="59025535"/>
    <n v="0"/>
    <n v="0"/>
    <n v="35714286"/>
    <n v="638800000"/>
    <n v="0"/>
    <n v="-40000000"/>
    <s v="20/07/26"/>
    <s v="20/07/26"/>
    <s v="Invoice"/>
    <n v="1"/>
    <m/>
    <s v="11/07/26"/>
    <s v="KC-26-000514"/>
    <s v="11/07/26"/>
    <s v="11/07/26"/>
    <s v="11/07/26 11.38"/>
    <s v="GP00151"/>
    <s v="14/07/26"/>
    <s v="28/07/26"/>
    <s v="2026078466"/>
    <s v="10/07/26"/>
    <s v="30/07/26 09.22"/>
    <n v="0"/>
  </r>
  <r>
    <n v="1828"/>
    <n v="146"/>
    <s v="KC"/>
    <s v="146ARI2607-0419"/>
    <s v="09/07/26"/>
    <x v="6"/>
    <n v="2026"/>
    <x v="8"/>
    <x v="6"/>
    <s v="FORTUNER 4X2 VRZ A/T DIESEL"/>
    <x v="4"/>
    <x v="0"/>
    <x v="0"/>
    <x v="0"/>
    <x v="0"/>
    <x v="0"/>
    <x v="0"/>
    <x v="7"/>
    <x v="8"/>
    <x v="0"/>
    <s v="GUN166R-SDTHXD-33"/>
    <s v="089"/>
    <s v="PLATINUM WHITE PEARL"/>
    <s v="MHFAA8GS0T0938693"/>
    <s v="1GD-6006203"/>
    <s v="KCMK25002"/>
    <s v="RAHMAWATI"/>
    <s v="FERYANTO"/>
    <s v="CST-000832611"/>
    <s v="WISNU CAHYO NUGROHO"/>
    <s v="INDIVIDU"/>
    <s v="IIS SULASTRI"/>
    <s v="KP. PATROL, KEC. IBUN, KEL. IBUN, KAB. BANDUNG"/>
    <s v="KEC. IBUN"/>
    <s v="KAB. BANDUNG"/>
    <s v="KREDIT"/>
    <s v="PT. ASTRA SEDAYA FINANCE"/>
    <m/>
    <n v="683700000"/>
    <n v="531372768"/>
    <n v="88562500"/>
    <n v="59479017"/>
    <n v="0"/>
    <n v="0"/>
    <n v="35714286"/>
    <n v="643700000"/>
    <n v="0"/>
    <n v="-40000000"/>
    <s v="13/07/26"/>
    <s v="13/07/26"/>
    <s v="Invoice"/>
    <n v="1"/>
    <s v="3316081611840003"/>
    <s v="06/07/26"/>
    <s v="KC-26-000461"/>
    <s v="04/07/26"/>
    <s v="04/07/26"/>
    <s v="07/07/26 11.37"/>
    <s v="FF00446"/>
    <s v="09/07/26"/>
    <s v="23/07/26"/>
    <s v="2026072517"/>
    <s v="26/06/26"/>
    <s v="10/07/26 10.10"/>
    <n v="0"/>
  </r>
  <r>
    <n v="1833"/>
    <n v="146"/>
    <s v="KC"/>
    <s v="146ARI2607-1227"/>
    <s v="27/07/26"/>
    <x v="6"/>
    <n v="2026"/>
    <x v="1"/>
    <x v="1"/>
    <s v="HIACE COMM"/>
    <x v="0"/>
    <x v="0"/>
    <x v="0"/>
    <x v="4"/>
    <x v="0"/>
    <x v="0"/>
    <x v="1"/>
    <x v="4"/>
    <x v="2"/>
    <x v="1"/>
    <s v="KDH223R-LEMDY-10"/>
    <s v="058"/>
    <s v="WHITE"/>
    <s v="JTFST22P9T0055953"/>
    <s v="1KD-B242923"/>
    <s v="KCMG042414"/>
    <s v="RIZKI RISMAWAN"/>
    <s v="ALVIN"/>
    <s v="CST-000834564"/>
    <s v="YADI KUSMAYADI"/>
    <s v="INDIVIDU"/>
    <s v="YADI KUSMAYADI"/>
    <s v="JL. BABAKAN SARI III NO.262"/>
    <s v="KEC. KIARACONDONG"/>
    <s v="KOTA BANDUNG"/>
    <s v="KREDIT"/>
    <s v="PT. TOYOTA ASTRA FINANCIAL SERVICES"/>
    <m/>
    <n v="578900000"/>
    <n v="451430180"/>
    <n v="77812500"/>
    <n v="45693355"/>
    <n v="0"/>
    <n v="0"/>
    <n v="36036036"/>
    <n v="538900000"/>
    <n v="0"/>
    <n v="-40000000"/>
    <s v="28/07/26"/>
    <s v="28/07/26"/>
    <s v="Invoice"/>
    <n v="1"/>
    <m/>
    <s v="21/07/26"/>
    <s v="KC-26-000535"/>
    <s v="20/07/26"/>
    <s v="20/07/26"/>
    <s v="21/07/26 17.10"/>
    <s v="GP00259"/>
    <s v="27/07/26"/>
    <s v="10/08/26"/>
    <s v="2026084901"/>
    <s v="24/07/26"/>
    <s v="28/07/26 09.52"/>
    <n v="0"/>
  </r>
  <r>
    <n v="1834"/>
    <n v="146"/>
    <s v="KC"/>
    <s v="146ARI2607-1023"/>
    <s v="24/07/26"/>
    <x v="6"/>
    <n v="2026"/>
    <x v="2"/>
    <x v="2"/>
    <s v="CALYA G A/T"/>
    <x v="0"/>
    <x v="0"/>
    <x v="0"/>
    <x v="5"/>
    <x v="0"/>
    <x v="0"/>
    <x v="0"/>
    <x v="0"/>
    <x v="17"/>
    <x v="2"/>
    <s v="B401RA-GQZFJ-20"/>
    <s v="3Q3"/>
    <s v="DARK RED MICA MET."/>
    <s v="MHKA6GK6JTJ092913"/>
    <s v="3NR-5A05442"/>
    <s v="KCMG112540"/>
    <s v="KHARISMA GALIH PUTRA"/>
    <s v="MUHAMMAD CAISARIVA"/>
    <s v="CST-000832191"/>
    <s v="YAMAN NURYAMAN"/>
    <s v="INDIVIDU"/>
    <s v="YAMAN NURYAMAN"/>
    <s v="KEBON KOPI AL MUQODAR TENGAH NO. 289"/>
    <s v="KEC. CIMAHI SELATAN"/>
    <s v="KOTA CIMAHI"/>
    <s v="KREDIT"/>
    <s v="PT. TOYOTA ASTRA FINANCIAL SERVICES"/>
    <m/>
    <n v="197300000"/>
    <n v="151372768"/>
    <n v="27762500"/>
    <n v="16726875"/>
    <n v="0"/>
    <n v="0"/>
    <n v="11982143"/>
    <n v="183880000"/>
    <n v="1300000"/>
    <n v="-13420000"/>
    <m/>
    <m/>
    <s v="Invoice"/>
    <n v="1"/>
    <m/>
    <s v="03/07/26"/>
    <s v="KC-26-000472"/>
    <s v="01/07/26"/>
    <s v="01/07/26"/>
    <s v="03/07/26 14.33"/>
    <s v="GO00890"/>
    <m/>
    <s v="07/08/26"/>
    <s v="2026079246"/>
    <s v="13/07/26"/>
    <s v="24/07/26 13.00"/>
    <n v="0"/>
  </r>
  <r>
    <n v="1842"/>
    <n v="146"/>
    <s v="KC"/>
    <s v="146ARI2607-0392"/>
    <s v="09/07/26"/>
    <x v="6"/>
    <n v="2026"/>
    <x v="1"/>
    <x v="1"/>
    <s v="HIACE PREMIO"/>
    <x v="0"/>
    <x v="1"/>
    <x v="0"/>
    <x v="4"/>
    <x v="0"/>
    <x v="3"/>
    <x v="1"/>
    <x v="6"/>
    <x v="11"/>
    <x v="1"/>
    <s v="GDH321R-EDFDYD-10"/>
    <s v="058"/>
    <s v="WHITE"/>
    <s v="JTF2A9CP8T6013980"/>
    <s v="1GD-9774822"/>
    <s v="KCMG052428"/>
    <s v="MUHAMMAD FADIL FAHMI RUSTANDI"/>
    <s v="ALVIN"/>
    <s v="CST-000832408"/>
    <s v="YAYASAN KREASI EDULAB INDONESIA"/>
    <s v="PT"/>
    <s v="YAYASAN KREASI EDULAB INDONESIA"/>
    <s v="JALAN GATOT SUBROTO NOMOR 38"/>
    <s v="KEC. LENGKONG"/>
    <s v="KOTA BANDUNG"/>
    <s v="KREDIT"/>
    <s v="PT. TOYOTA ASTRA FINANCIAL SERVICES"/>
    <m/>
    <n v="679100000"/>
    <n v="525680804"/>
    <n v="90337500"/>
    <n v="58581696"/>
    <n v="0"/>
    <n v="0"/>
    <n v="37500000"/>
    <n v="637100000"/>
    <n v="0"/>
    <n v="-42000000"/>
    <s v="13/07/26"/>
    <s v="13/07/26"/>
    <s v="Invoice"/>
    <n v="1"/>
    <s v="0317925527423000"/>
    <s v="03/07/26"/>
    <s v="KC-26-000493"/>
    <s v="03/07/26"/>
    <s v="03/07/26"/>
    <s v="06/07/26 11.05"/>
    <s v="FP00049"/>
    <s v="09/07/26"/>
    <s v="23/07/26"/>
    <s v="2026076718"/>
    <s v="07/07/26"/>
    <s v="13/07/26 14.33"/>
    <n v="0"/>
  </r>
  <r>
    <n v="1846"/>
    <n v="146"/>
    <s v="KC"/>
    <s v="146ARI2607-0648"/>
    <s v="15/07/26"/>
    <x v="6"/>
    <n v="2026"/>
    <x v="12"/>
    <x v="10"/>
    <s v="RUSH S A/T"/>
    <x v="0"/>
    <x v="0"/>
    <x v="0"/>
    <x v="23"/>
    <x v="1"/>
    <x v="0"/>
    <x v="1"/>
    <x v="0"/>
    <x v="39"/>
    <x v="2"/>
    <s v="F800RE-GQGFJ-40"/>
    <s v="W09"/>
    <s v="WHITE"/>
    <s v="MHKE8FB3JTK122412"/>
    <s v="2NR-4G19461"/>
    <s v="KCMG042610"/>
    <s v="RIZAL SAEPUL ROHMAN"/>
    <s v="MUHAMMAD CAISARIVA"/>
    <s v="CST-000833558"/>
    <s v="YEDI APRIADI"/>
    <s v="INDIVIDU"/>
    <s v="AI NURAISAH"/>
    <s v="KP. CICADAS"/>
    <s v="KEC. SUKARATU"/>
    <s v="KAB. TASIKMALAYA"/>
    <s v="KREDIT"/>
    <s v="PT. TOYOTA ASTRA FINANCIAL SERVICES"/>
    <m/>
    <n v="323200000"/>
    <n v="249419643"/>
    <n v="43850000"/>
    <n v="28323214"/>
    <n v="0"/>
    <n v="0"/>
    <n v="13392857"/>
    <n v="308200000"/>
    <n v="9000000"/>
    <n v="-15000000"/>
    <s v="18/07/26"/>
    <s v="18/07/26"/>
    <s v="Invoice"/>
    <n v="1"/>
    <s v="0000000000000000"/>
    <s v="13/07/26"/>
    <s v="KC-26-000525"/>
    <s v="13/07/26"/>
    <s v="13/07/26"/>
    <s v="14/07/26 08.49"/>
    <s v="FG02444"/>
    <s v="15/07/26"/>
    <s v="29/07/26"/>
    <s v="2026078185"/>
    <s v="09/07/26"/>
    <s v="21/07/26 17.54"/>
    <n v="0"/>
  </r>
  <r>
    <n v="1868"/>
    <n v="146"/>
    <s v="KC"/>
    <s v="146ARI2607-0994"/>
    <s v="23/07/26"/>
    <x v="6"/>
    <n v="2026"/>
    <x v="4"/>
    <x v="3"/>
    <s v="INNOVA ZENIX V A/T HYBRID"/>
    <x v="0"/>
    <x v="0"/>
    <x v="0"/>
    <x v="25"/>
    <x v="1"/>
    <x v="0"/>
    <x v="0"/>
    <x v="5"/>
    <x v="0"/>
    <x v="0"/>
    <s v="MAGH10R-BRXMBD-10"/>
    <s v="218"/>
    <s v="ATTITUDE BLACK MICA"/>
    <s v="MHFABAAA9T0054353"/>
    <s v="M20A-NF89464"/>
    <s v="KCMG072432"/>
    <s v="DENO"/>
    <s v="FERYANTO"/>
    <s v="CST-000834378"/>
    <s v="YUSLIA AGUS QUARTI"/>
    <s v="INDIVIDU"/>
    <s v="YUSLIA AGUS QUARTI"/>
    <s v="JL. NENAS RAYA NO 13"/>
    <s v="KEC. CIBODAS"/>
    <s v="KOTA TANGERANG"/>
    <s v="KREDIT"/>
    <s v="PT. TOYOTA ASTRA FINANCIAL SERVICES"/>
    <m/>
    <n v="549000000"/>
    <n v="426594643"/>
    <n v="71214000"/>
    <n v="47977071"/>
    <n v="0"/>
    <n v="0"/>
    <n v="26785714"/>
    <n v="519000000"/>
    <n v="0"/>
    <n v="-30000000"/>
    <s v="24/07/26"/>
    <s v="24/07/26"/>
    <s v="Invoice"/>
    <n v="1"/>
    <m/>
    <s v="20/07/26"/>
    <s v="KC-26-000460"/>
    <s v="18/07/26"/>
    <s v="18/07/26"/>
    <s v="20/07/26 14.01"/>
    <s v="FJ01494"/>
    <s v="23/07/26"/>
    <s v="06/08/26"/>
    <s v="2026066102"/>
    <s v="12/06/26"/>
    <s v="25/07/26 12.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C7789-A78E-4F56-9F25-F533E9009F11}" name="PivotTable8" cacheId="10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Z2:AA18"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axis="axisRow"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pivotField showAll="0"/>
    <pivotField showAll="0"/>
    <pivotField showAll="0"/>
    <pivotField showAll="0"/>
    <pivotField showAll="0"/>
    <pivotField showAll="0"/>
    <pivotField showAll="0"/>
    <pivotField showAll="0">
      <items count="156">
        <item m="1" x="76"/>
        <item m="1" x="79"/>
        <item m="1" x="148"/>
        <item m="1" x="130"/>
        <item m="1" x="123"/>
        <item x="28"/>
        <item x="7"/>
        <item m="1" x="62"/>
        <item m="1" x="72"/>
        <item m="1" x="106"/>
        <item x="13"/>
        <item m="1" x="59"/>
        <item m="1" x="103"/>
        <item m="1" x="64"/>
        <item m="1" x="122"/>
        <item m="1" x="55"/>
        <item x="29"/>
        <item m="1" x="53"/>
        <item m="1" x="113"/>
        <item m="1" x="139"/>
        <item m="1" x="105"/>
        <item m="1" x="97"/>
        <item m="1" x="65"/>
        <item m="1" x="83"/>
        <item m="1" x="125"/>
        <item m="1" x="134"/>
        <item x="32"/>
        <item x="38"/>
        <item m="1" x="94"/>
        <item m="1" x="68"/>
        <item m="1" x="69"/>
        <item x="26"/>
        <item m="1" x="124"/>
        <item m="1" x="51"/>
        <item m="1" x="81"/>
        <item m="1" x="54"/>
        <item m="1" x="88"/>
        <item x="9"/>
        <item x="21"/>
        <item m="1" x="144"/>
        <item m="1" x="70"/>
        <item m="1" x="115"/>
        <item m="1" x="112"/>
        <item x="22"/>
        <item m="1" x="89"/>
        <item x="3"/>
        <item x="33"/>
        <item x="0"/>
        <item x="10"/>
        <item m="1" x="111"/>
        <item m="1" x="116"/>
        <item x="35"/>
        <item m="1" x="102"/>
        <item m="1" x="66"/>
        <item m="1" x="118"/>
        <item x="6"/>
        <item m="1" x="101"/>
        <item m="1" x="63"/>
        <item m="1" x="61"/>
        <item x="42"/>
        <item m="1" x="114"/>
        <item m="1" x="137"/>
        <item m="1" x="78"/>
        <item x="31"/>
        <item m="1" x="117"/>
        <item m="1" x="46"/>
        <item m="1" x="100"/>
        <item x="19"/>
        <item m="1" x="142"/>
        <item x="5"/>
        <item m="1" x="152"/>
        <item m="1" x="49"/>
        <item m="1" x="75"/>
        <item m="1" x="84"/>
        <item x="36"/>
        <item m="1" x="92"/>
        <item m="1" x="133"/>
        <item x="20"/>
        <item m="1" x="73"/>
        <item x="34"/>
        <item m="1" x="138"/>
        <item x="1"/>
        <item m="1" x="52"/>
        <item m="1" x="135"/>
        <item x="24"/>
        <item m="1" x="82"/>
        <item x="17"/>
        <item m="1" x="109"/>
        <item m="1" x="104"/>
        <item x="16"/>
        <item m="1" x="128"/>
        <item m="1" x="150"/>
        <item m="1" x="110"/>
        <item m="1" x="107"/>
        <item m="1" x="153"/>
        <item m="1" x="129"/>
        <item m="1" x="120"/>
        <item m="1" x="131"/>
        <item x="11"/>
        <item m="1" x="86"/>
        <item m="1" x="95"/>
        <item m="1" x="143"/>
        <item m="1" x="140"/>
        <item m="1" x="56"/>
        <item m="1" x="93"/>
        <item x="37"/>
        <item m="1" x="80"/>
        <item m="1" x="136"/>
        <item m="1" x="85"/>
        <item m="1" x="96"/>
        <item x="45"/>
        <item m="1" x="147"/>
        <item m="1" x="71"/>
        <item m="1" x="50"/>
        <item m="1" x="108"/>
        <item x="8"/>
        <item m="1" x="58"/>
        <item m="1" x="151"/>
        <item m="1" x="121"/>
        <item m="1" x="77"/>
        <item x="15"/>
        <item m="1" x="91"/>
        <item m="1" x="126"/>
        <item x="44"/>
        <item x="41"/>
        <item m="1" x="99"/>
        <item m="1" x="67"/>
        <item m="1" x="146"/>
        <item x="12"/>
        <item x="25"/>
        <item x="14"/>
        <item m="1" x="47"/>
        <item m="1" x="60"/>
        <item m="1" x="154"/>
        <item x="39"/>
        <item x="2"/>
        <item m="1" x="74"/>
        <item x="4"/>
        <item x="43"/>
        <item m="1" x="48"/>
        <item x="30"/>
        <item m="1" x="57"/>
        <item m="1" x="149"/>
        <item x="18"/>
        <item m="1" x="145"/>
        <item m="1" x="119"/>
        <item x="40"/>
        <item m="1" x="127"/>
        <item x="27"/>
        <item x="23"/>
        <item m="1" x="87"/>
        <item m="1" x="90"/>
        <item m="1" x="132"/>
        <item m="1" x="141"/>
        <item m="1" x="98"/>
        <item t="default"/>
      </items>
    </pivotField>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6">
    <i>
      <x/>
    </i>
    <i>
      <x v="4"/>
    </i>
    <i>
      <x v="5"/>
    </i>
    <i>
      <x v="7"/>
    </i>
    <i>
      <x v="12"/>
    </i>
    <i>
      <x v="17"/>
    </i>
    <i>
      <x v="20"/>
    </i>
    <i>
      <x v="25"/>
    </i>
    <i>
      <x v="26"/>
    </i>
    <i>
      <x v="27"/>
    </i>
    <i>
      <x v="28"/>
    </i>
    <i>
      <x v="29"/>
    </i>
    <i>
      <x v="30"/>
    </i>
    <i>
      <x v="33"/>
    </i>
    <i>
      <x v="36"/>
    </i>
    <i t="grand">
      <x/>
    </i>
  </rowItems>
  <colItems count="1">
    <i/>
  </colItems>
  <dataFields count="1">
    <dataField name="TOTAL" fld="51" baseField="0" baseItem="0"/>
  </dataFields>
  <formats count="20">
    <format dxfId="87">
      <pivotArea outline="0" collapsedLevelsAreSubtotals="1"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7" type="button" dataOnly="0" labelOnly="1" outline="0" axis="axisRow" fieldPosition="0"/>
    </format>
    <format dxfId="82">
      <pivotArea dataOnly="0" labelOnly="1" fieldPosition="0">
        <references count="1">
          <reference field="7"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7" type="button" dataOnly="0" labelOnly="1" outline="0" axis="axisRow" fieldPosition="0"/>
    </format>
    <format dxfId="76">
      <pivotArea dataOnly="0" labelOnly="1" fieldPosition="0">
        <references count="1">
          <reference field="7"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7" type="button" dataOnly="0" labelOnly="1" outline="0" axis="axisRow" fieldPosition="0"/>
    </format>
    <format dxfId="70">
      <pivotArea dataOnly="0" labelOnly="1" fieldPosition="0">
        <references count="1">
          <reference field="7" count="14">
            <x v="0"/>
            <x v="4"/>
            <x v="5"/>
            <x v="7"/>
            <x v="12"/>
            <x v="17"/>
            <x v="20"/>
            <x v="25"/>
            <x v="26"/>
            <x v="27"/>
            <x v="29"/>
            <x v="30"/>
            <x v="33"/>
            <x v="36"/>
          </reference>
        </references>
      </pivotArea>
    </format>
    <format dxfId="69">
      <pivotArea dataOnly="0" labelOnly="1" grandRow="1" outline="0" fieldPosition="0"/>
    </format>
    <format dxfId="68">
      <pivotArea dataOnly="0" labelOnly="1" outline="0" axis="axisValues" fieldPosition="0"/>
    </format>
  </formats>
  <chartFormats count="2">
    <chartFormat chart="2" format="2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A3C76-69BE-4F3C-98F3-D37F86D4BAE1}" name="PivotTable5" cacheId="107" applyNumberFormats="0" applyBorderFormats="0" applyFontFormats="0" applyPatternFormats="0" applyAlignmentFormats="0" applyWidthHeightFormats="1" dataCaption="Values" grandTotalCaption="TTL" updatedVersion="8" minRefreshableVersion="3" itemPrintTitles="1" createdVersion="8" indent="0" compact="0" compactData="0" multipleFieldFilters="0">
  <location ref="P1:X49" firstHeaderRow="1" firstDataRow="2" firstDataCol="1"/>
  <pivotFields count="65">
    <pivotField compact="0" outline="0" showAll="0"/>
    <pivotField compact="0" outline="0" showAll="0"/>
    <pivotField compact="0" outline="0" showAll="0"/>
    <pivotField compact="0" outline="0" showAll="0"/>
    <pivotField compact="0" outline="0" showAll="0"/>
    <pivotField axis="axisCol" compact="0" outline="0" showAll="0">
      <items count="15">
        <item x="3"/>
        <item x="1"/>
        <item x="0"/>
        <item x="2"/>
        <item x="4"/>
        <item x="5"/>
        <item x="6"/>
        <item m="1" x="12"/>
        <item m="1" x="7"/>
        <item m="1" x="11"/>
        <item m="1" x="9"/>
        <item m="1" x="10"/>
        <item m="1" x="8"/>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6">
        <item m="1" x="76"/>
        <item m="1" x="79"/>
        <item m="1" x="148"/>
        <item m="1" x="130"/>
        <item m="1" x="123"/>
        <item x="28"/>
        <item x="7"/>
        <item m="1" x="62"/>
        <item m="1" x="72"/>
        <item m="1" x="106"/>
        <item x="13"/>
        <item m="1" x="59"/>
        <item m="1" x="103"/>
        <item m="1" x="64"/>
        <item m="1" x="122"/>
        <item m="1" x="55"/>
        <item x="29"/>
        <item m="1" x="53"/>
        <item m="1" x="113"/>
        <item m="1" x="139"/>
        <item m="1" x="105"/>
        <item m="1" x="97"/>
        <item m="1" x="65"/>
        <item m="1" x="83"/>
        <item m="1" x="125"/>
        <item m="1" x="134"/>
        <item x="32"/>
        <item x="38"/>
        <item m="1" x="94"/>
        <item m="1" x="68"/>
        <item m="1" x="69"/>
        <item x="26"/>
        <item m="1" x="124"/>
        <item m="1" x="51"/>
        <item m="1" x="81"/>
        <item m="1" x="54"/>
        <item m="1" x="88"/>
        <item x="9"/>
        <item x="21"/>
        <item m="1" x="144"/>
        <item m="1" x="70"/>
        <item m="1" x="115"/>
        <item m="1" x="112"/>
        <item x="22"/>
        <item m="1" x="89"/>
        <item x="3"/>
        <item x="33"/>
        <item x="0"/>
        <item x="10"/>
        <item m="1" x="111"/>
        <item m="1" x="116"/>
        <item x="35"/>
        <item m="1" x="102"/>
        <item m="1" x="66"/>
        <item m="1" x="118"/>
        <item x="6"/>
        <item m="1" x="101"/>
        <item m="1" x="63"/>
        <item m="1" x="61"/>
        <item x="42"/>
        <item m="1" x="114"/>
        <item m="1" x="137"/>
        <item m="1" x="78"/>
        <item x="31"/>
        <item m="1" x="117"/>
        <item m="1" x="46"/>
        <item m="1" x="100"/>
        <item x="19"/>
        <item m="1" x="142"/>
        <item x="5"/>
        <item m="1" x="152"/>
        <item m="1" x="49"/>
        <item m="1" x="75"/>
        <item m="1" x="84"/>
        <item x="36"/>
        <item m="1" x="92"/>
        <item m="1" x="133"/>
        <item x="20"/>
        <item m="1" x="73"/>
        <item x="34"/>
        <item m="1" x="138"/>
        <item x="1"/>
        <item m="1" x="52"/>
        <item m="1" x="135"/>
        <item x="24"/>
        <item m="1" x="82"/>
        <item x="17"/>
        <item m="1" x="109"/>
        <item m="1" x="104"/>
        <item x="16"/>
        <item m="1" x="128"/>
        <item m="1" x="150"/>
        <item m="1" x="110"/>
        <item m="1" x="107"/>
        <item m="1" x="153"/>
        <item m="1" x="129"/>
        <item m="1" x="120"/>
        <item m="1" x="131"/>
        <item x="11"/>
        <item m="1" x="86"/>
        <item m="1" x="95"/>
        <item m="1" x="143"/>
        <item m="1" x="140"/>
        <item m="1" x="56"/>
        <item m="1" x="93"/>
        <item x="37"/>
        <item m="1" x="80"/>
        <item m="1" x="136"/>
        <item m="1" x="85"/>
        <item m="1" x="96"/>
        <item x="45"/>
        <item m="1" x="147"/>
        <item m="1" x="71"/>
        <item m="1" x="50"/>
        <item m="1" x="108"/>
        <item x="8"/>
        <item m="1" x="58"/>
        <item m="1" x="151"/>
        <item m="1" x="121"/>
        <item m="1" x="77"/>
        <item x="15"/>
        <item m="1" x="91"/>
        <item m="1" x="126"/>
        <item x="44"/>
        <item x="41"/>
        <item m="1" x="99"/>
        <item m="1" x="67"/>
        <item m="1" x="146"/>
        <item x="12"/>
        <item x="25"/>
        <item x="14"/>
        <item m="1" x="47"/>
        <item m="1" x="60"/>
        <item m="1" x="154"/>
        <item x="39"/>
        <item x="2"/>
        <item m="1" x="74"/>
        <item x="4"/>
        <item x="43"/>
        <item m="1" x="48"/>
        <item x="30"/>
        <item m="1" x="57"/>
        <item m="1" x="149"/>
        <item x="18"/>
        <item m="1" x="145"/>
        <item m="1" x="119"/>
        <item x="40"/>
        <item m="1" x="127"/>
        <item x="27"/>
        <item x="23"/>
        <item m="1" x="87"/>
        <item m="1" x="90"/>
        <item m="1" x="132"/>
        <item m="1" x="141"/>
        <item m="1" x="98"/>
        <item t="default"/>
      </items>
    </pivotField>
    <pivotField compact="0" outline="0" showAll="0">
      <items count="10">
        <item x="1"/>
        <item m="1" x="3"/>
        <item m="1" x="8"/>
        <item x="0"/>
        <item m="1" x="7"/>
        <item m="1" x="5"/>
        <item m="1" x="6"/>
        <item m="1"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numFmtId="165"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47">
    <i>
      <x v="5"/>
    </i>
    <i>
      <x v="6"/>
    </i>
    <i>
      <x v="10"/>
    </i>
    <i>
      <x v="16"/>
    </i>
    <i>
      <x v="26"/>
    </i>
    <i>
      <x v="27"/>
    </i>
    <i>
      <x v="31"/>
    </i>
    <i>
      <x v="37"/>
    </i>
    <i>
      <x v="38"/>
    </i>
    <i>
      <x v="43"/>
    </i>
    <i>
      <x v="45"/>
    </i>
    <i>
      <x v="46"/>
    </i>
    <i>
      <x v="47"/>
    </i>
    <i>
      <x v="48"/>
    </i>
    <i>
      <x v="51"/>
    </i>
    <i>
      <x v="55"/>
    </i>
    <i>
      <x v="59"/>
    </i>
    <i>
      <x v="63"/>
    </i>
    <i>
      <x v="67"/>
    </i>
    <i>
      <x v="69"/>
    </i>
    <i>
      <x v="74"/>
    </i>
    <i>
      <x v="77"/>
    </i>
    <i>
      <x v="79"/>
    </i>
    <i>
      <x v="81"/>
    </i>
    <i>
      <x v="84"/>
    </i>
    <i>
      <x v="86"/>
    </i>
    <i>
      <x v="89"/>
    </i>
    <i>
      <x v="98"/>
    </i>
    <i>
      <x v="105"/>
    </i>
    <i>
      <x v="110"/>
    </i>
    <i>
      <x v="115"/>
    </i>
    <i>
      <x v="120"/>
    </i>
    <i>
      <x v="123"/>
    </i>
    <i>
      <x v="124"/>
    </i>
    <i>
      <x v="128"/>
    </i>
    <i>
      <x v="129"/>
    </i>
    <i>
      <x v="130"/>
    </i>
    <i>
      <x v="134"/>
    </i>
    <i>
      <x v="135"/>
    </i>
    <i>
      <x v="137"/>
    </i>
    <i>
      <x v="138"/>
    </i>
    <i>
      <x v="140"/>
    </i>
    <i>
      <x v="143"/>
    </i>
    <i>
      <x v="146"/>
    </i>
    <i>
      <x v="148"/>
    </i>
    <i>
      <x v="149"/>
    </i>
    <i t="grand">
      <x/>
    </i>
  </rowItems>
  <colFields count="1">
    <field x="5"/>
  </colFields>
  <colItems count="8">
    <i>
      <x/>
    </i>
    <i>
      <x v="1"/>
    </i>
    <i>
      <x v="2"/>
    </i>
    <i>
      <x v="3"/>
    </i>
    <i>
      <x v="4"/>
    </i>
    <i>
      <x v="5"/>
    </i>
    <i>
      <x v="6"/>
    </i>
    <i t="grand">
      <x/>
    </i>
  </colItems>
  <dataFields count="1">
    <dataField name="Sum of Qty" fld="51" baseField="0" baseItem="0"/>
  </dataFields>
  <formats count="54">
    <format dxfId="141">
      <pivotArea outline="0" collapsedLevelsAreSubtotals="1" fieldPosition="0"/>
    </format>
    <format dxfId="140">
      <pivotArea dataOnly="0" labelOnly="1" fieldPosition="0">
        <references count="1">
          <reference field="5" count="4">
            <x v="0"/>
            <x v="1"/>
            <x v="3"/>
            <x v="4"/>
          </reference>
        </references>
      </pivotArea>
    </format>
    <format dxfId="139">
      <pivotArea dataOnly="0" labelOnly="1" grandCol="1" outline="0" fieldPosition="0"/>
    </format>
    <format dxfId="138">
      <pivotArea outline="0" collapsedLevelsAreSubtotals="1" fieldPosition="0"/>
    </format>
    <format dxfId="137">
      <pivotArea field="18" type="button" dataOnly="0" labelOnly="1" outline="0" axis="axisRow" fieldPosition="0"/>
    </format>
    <format dxfId="136">
      <pivotArea dataOnly="0" labelOnly="1" fieldPosition="0">
        <references count="1">
          <reference field="18" count="0"/>
        </references>
      </pivotArea>
    </format>
    <format dxfId="135">
      <pivotArea dataOnly="0" labelOnly="1" grandRow="1" outline="0" fieldPosition="0"/>
    </format>
    <format dxfId="134">
      <pivotArea dataOnly="0" labelOnly="1" fieldPosition="0">
        <references count="1">
          <reference field="5" count="0"/>
        </references>
      </pivotArea>
    </format>
    <format dxfId="133">
      <pivotArea dataOnly="0" labelOnly="1" grandCol="1" outline="0" fieldPosition="0"/>
    </format>
    <format dxfId="132">
      <pivotArea outline="0" collapsedLevelsAreSubtotals="1" fieldPosition="0"/>
    </format>
    <format dxfId="131">
      <pivotArea field="5" type="button" dataOnly="0" labelOnly="1" outline="0" axis="axisCol" fieldPosition="0"/>
    </format>
    <format dxfId="130">
      <pivotArea type="topRight" dataOnly="0" labelOnly="1" outline="0" fieldPosition="0"/>
    </format>
    <format dxfId="129">
      <pivotArea dataOnly="0" labelOnly="1" fieldPosition="0">
        <references count="1">
          <reference field="5" count="0"/>
        </references>
      </pivotArea>
    </format>
    <format dxfId="128">
      <pivotArea dataOnly="0" labelOnly="1" grandCol="1" outline="0" fieldPosition="0"/>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5" type="button" dataOnly="0" labelOnly="1" outline="0" axis="axisCol" fieldPosition="0"/>
    </format>
    <format dxfId="123">
      <pivotArea type="topRight" dataOnly="0" labelOnly="1" outline="0" fieldPosition="0"/>
    </format>
    <format dxfId="122">
      <pivotArea field="18" type="button" dataOnly="0" labelOnly="1" outline="0" axis="axisRow" fieldPosition="0"/>
    </format>
    <format dxfId="121">
      <pivotArea dataOnly="0" labelOnly="1" fieldPosition="0">
        <references count="1">
          <reference field="18" count="0"/>
        </references>
      </pivotArea>
    </format>
    <format dxfId="120">
      <pivotArea dataOnly="0" labelOnly="1" grandRow="1" outline="0" fieldPosition="0"/>
    </format>
    <format dxfId="119">
      <pivotArea dataOnly="0" labelOnly="1" fieldPosition="0">
        <references count="1">
          <reference field="5" count="0"/>
        </references>
      </pivotArea>
    </format>
    <format dxfId="118">
      <pivotArea dataOnly="0" labelOnly="1" grandCol="1" outline="0"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5" type="button" dataOnly="0" labelOnly="1" outline="0" axis="axisCol" fieldPosition="0"/>
    </format>
    <format dxfId="113">
      <pivotArea type="topRight" dataOnly="0" labelOnly="1" outline="0" fieldPosition="0"/>
    </format>
    <format dxfId="112">
      <pivotArea field="18" type="button" dataOnly="0" labelOnly="1" outline="0" axis="axisRow" fieldPosition="0"/>
    </format>
    <format dxfId="111">
      <pivotArea dataOnly="0" labelOnly="1" fieldPosition="0">
        <references count="1">
          <reference field="18" count="0"/>
        </references>
      </pivotArea>
    </format>
    <format dxfId="110">
      <pivotArea dataOnly="0" labelOnly="1" grandRow="1" outline="0" fieldPosition="0"/>
    </format>
    <format dxfId="109">
      <pivotArea dataOnly="0" labelOnly="1" fieldPosition="0">
        <references count="1">
          <reference field="5" count="0"/>
        </references>
      </pivotArea>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5" type="button" dataOnly="0" labelOnly="1" outline="0" axis="axisCol" fieldPosition="0"/>
    </format>
    <format dxfId="103">
      <pivotArea type="topRight" dataOnly="0" labelOnly="1" outline="0" fieldPosition="0"/>
    </format>
    <format dxfId="102">
      <pivotArea field="18" type="button" dataOnly="0" labelOnly="1" outline="0" axis="axisRow" fieldPosition="0"/>
    </format>
    <format dxfId="101">
      <pivotArea dataOnly="0" labelOnly="1" fieldPosition="0">
        <references count="1">
          <reference field="18" count="0"/>
        </references>
      </pivotArea>
    </format>
    <format dxfId="100">
      <pivotArea dataOnly="0" labelOnly="1" grandRow="1" outline="0" fieldPosition="0"/>
    </format>
    <format dxfId="99">
      <pivotArea dataOnly="0" labelOnly="1" fieldPosition="0">
        <references count="1">
          <reference field="5" count="0"/>
        </references>
      </pivotArea>
    </format>
    <format dxfId="98">
      <pivotArea dataOnly="0" labelOnly="1" grandCol="1" outline="0"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5" type="button" dataOnly="0" labelOnly="1" outline="0" axis="axisCol" fieldPosition="0"/>
    </format>
    <format dxfId="93">
      <pivotArea type="topRight" dataOnly="0" labelOnly="1" outline="0" fieldPosition="0"/>
    </format>
    <format dxfId="92">
      <pivotArea field="18" type="button" dataOnly="0" labelOnly="1" outline="0" axis="axisRow" fieldPosition="0"/>
    </format>
    <format dxfId="91">
      <pivotArea dataOnly="0" labelOnly="1" outline="0" fieldPosition="0">
        <references count="1">
          <reference field="18" count="15">
            <x v="5"/>
            <x v="37"/>
            <x v="45"/>
            <x v="46"/>
            <x v="47"/>
            <x v="55"/>
            <x v="63"/>
            <x v="67"/>
            <x v="81"/>
            <x v="84"/>
            <x v="115"/>
            <x v="120"/>
            <x v="124"/>
            <x v="137"/>
            <x v="148"/>
          </reference>
        </references>
      </pivotArea>
    </format>
    <format dxfId="90">
      <pivotArea dataOnly="0" labelOnly="1" grandRow="1" outline="0" fieldPosition="0"/>
    </format>
    <format dxfId="89">
      <pivotArea dataOnly="0" labelOnly="1" outline="0" fieldPosition="0">
        <references count="1">
          <reference field="5" count="0"/>
        </references>
      </pivotArea>
    </format>
    <format dxfId="88">
      <pivotArea dataOnly="0" labelOnly="1" grandCol="1" outline="0"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Table1"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2:B71"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axis="axisRow" showAll="0" defaultSubtotal="0">
      <items count="8">
        <item x="4"/>
        <item x="3"/>
        <item x="6"/>
        <item x="2"/>
        <item x="1"/>
        <item x="0"/>
        <item x="5"/>
        <item x="7"/>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Sum of Qty" fld="51" baseField="0" baseItem="0"/>
  </dataFields>
  <chartFormats count="1">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11000000}" name="PivotTable11"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6:B315"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axis="axisRow" showAll="0" sortType="descending">
      <items count="20">
        <item x="6"/>
        <item m="1" x="8"/>
        <item x="7"/>
        <item x="4"/>
        <item m="1" x="17"/>
        <item m="1" x="15"/>
        <item m="1" x="11"/>
        <item x="0"/>
        <item m="1" x="13"/>
        <item x="2"/>
        <item m="1" x="18"/>
        <item x="1"/>
        <item x="3"/>
        <item m="1" x="12"/>
        <item m="1" x="14"/>
        <item m="1" x="9"/>
        <item m="1" x="10"/>
        <item m="1" x="16"/>
        <item x="5"/>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2"/>
    </i>
    <i>
      <x v="3"/>
    </i>
    <i>
      <x v="7"/>
    </i>
    <i>
      <x v="9"/>
    </i>
    <i>
      <x v="11"/>
    </i>
    <i>
      <x v="12"/>
    </i>
    <i>
      <x v="18"/>
    </i>
    <i t="grand">
      <x/>
    </i>
  </rowItems>
  <colItems count="1">
    <i/>
  </colItems>
  <dataFields count="1">
    <dataField name="Sum of Qty" fld="5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9"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2:B199"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axis="axisRow" showAll="0">
      <items count="61">
        <item m="1" x="37"/>
        <item m="1" x="36"/>
        <item m="1" x="35"/>
        <item m="1" x="42"/>
        <item m="1" x="32"/>
        <item m="1" x="46"/>
        <item m="1" x="39"/>
        <item m="1" x="30"/>
        <item m="1" x="34"/>
        <item m="1" x="58"/>
        <item x="21"/>
        <item x="18"/>
        <item x="1"/>
        <item x="19"/>
        <item m="1" x="50"/>
        <item m="1" x="51"/>
        <item m="1" x="31"/>
        <item m="1" x="54"/>
        <item m="1" x="52"/>
        <item m="1" x="33"/>
        <item x="10"/>
        <item x="15"/>
        <item x="16"/>
        <item x="20"/>
        <item m="1" x="59"/>
        <item x="25"/>
        <item x="22"/>
        <item m="1" x="55"/>
        <item x="14"/>
        <item m="1" x="49"/>
        <item m="1" x="47"/>
        <item x="8"/>
        <item x="12"/>
        <item m="1" x="27"/>
        <item m="1" x="48"/>
        <item m="1" x="44"/>
        <item m="1" x="38"/>
        <item m="1" x="26"/>
        <item m="1" x="53"/>
        <item x="9"/>
        <item x="7"/>
        <item m="1" x="45"/>
        <item x="0"/>
        <item x="4"/>
        <item x="13"/>
        <item m="1" x="56"/>
        <item x="5"/>
        <item m="1" x="40"/>
        <item x="11"/>
        <item m="1" x="43"/>
        <item m="1" x="41"/>
        <item m="1" x="57"/>
        <item m="1" x="28"/>
        <item m="1" x="29"/>
        <item x="24"/>
        <item x="2"/>
        <item x="3"/>
        <item x="6"/>
        <item x="17"/>
        <item x="23"/>
        <item t="default"/>
      </items>
    </pivotField>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7">
    <i>
      <x v="10"/>
    </i>
    <i>
      <x v="11"/>
    </i>
    <i>
      <x v="12"/>
    </i>
    <i>
      <x v="13"/>
    </i>
    <i>
      <x v="20"/>
    </i>
    <i>
      <x v="21"/>
    </i>
    <i>
      <x v="22"/>
    </i>
    <i>
      <x v="23"/>
    </i>
    <i>
      <x v="25"/>
    </i>
    <i>
      <x v="26"/>
    </i>
    <i>
      <x v="28"/>
    </i>
    <i>
      <x v="31"/>
    </i>
    <i>
      <x v="32"/>
    </i>
    <i>
      <x v="39"/>
    </i>
    <i>
      <x v="40"/>
    </i>
    <i>
      <x v="42"/>
    </i>
    <i>
      <x v="43"/>
    </i>
    <i>
      <x v="44"/>
    </i>
    <i>
      <x v="46"/>
    </i>
    <i>
      <x v="48"/>
    </i>
    <i>
      <x v="54"/>
    </i>
    <i>
      <x v="55"/>
    </i>
    <i>
      <x v="56"/>
    </i>
    <i>
      <x v="57"/>
    </i>
    <i>
      <x v="58"/>
    </i>
    <i>
      <x v="59"/>
    </i>
    <i t="grand">
      <x/>
    </i>
  </rowItems>
  <colItems count="1">
    <i/>
  </colItems>
  <dataFields count="1">
    <dataField name="Sum of Qty" fld="51"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2"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8:B375"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axis="axisRow" showAll="0">
      <items count="156">
        <item m="1" x="79"/>
        <item m="1" x="148"/>
        <item m="1" x="130"/>
        <item m="1" x="123"/>
        <item m="1" x="72"/>
        <item m="1" x="106"/>
        <item m="1" x="64"/>
        <item m="1" x="113"/>
        <item m="1" x="139"/>
        <item m="1" x="105"/>
        <item m="1" x="134"/>
        <item m="1" x="94"/>
        <item m="1" x="124"/>
        <item m="1" x="51"/>
        <item m="1" x="88"/>
        <item m="1" x="144"/>
        <item m="1" x="115"/>
        <item m="1" x="112"/>
        <item m="1" x="111"/>
        <item m="1" x="116"/>
        <item m="1" x="102"/>
        <item m="1" x="61"/>
        <item m="1" x="114"/>
        <item m="1" x="137"/>
        <item m="1" x="46"/>
        <item m="1" x="100"/>
        <item m="1" x="142"/>
        <item m="1" x="152"/>
        <item m="1" x="84"/>
        <item m="1" x="92"/>
        <item m="1" x="133"/>
        <item m="1" x="138"/>
        <item m="1" x="109"/>
        <item m="1" x="128"/>
        <item m="1" x="150"/>
        <item m="1" x="110"/>
        <item m="1" x="107"/>
        <item m="1" x="153"/>
        <item m="1" x="129"/>
        <item m="1" x="120"/>
        <item m="1" x="131"/>
        <item m="1" x="86"/>
        <item m="1" x="56"/>
        <item m="1" x="136"/>
        <item m="1" x="85"/>
        <item m="1" x="147"/>
        <item m="1" x="108"/>
        <item m="1" x="151"/>
        <item m="1" x="121"/>
        <item m="1" x="91"/>
        <item m="1" x="126"/>
        <item m="1" x="146"/>
        <item m="1" x="60"/>
        <item m="1" x="154"/>
        <item m="1" x="57"/>
        <item m="1" x="149"/>
        <item m="1" x="87"/>
        <item m="1" x="90"/>
        <item m="1" x="141"/>
        <item m="1" x="98"/>
        <item m="1" x="101"/>
        <item m="1" x="53"/>
        <item m="1" x="49"/>
        <item m="1" x="135"/>
        <item m="1" x="103"/>
        <item m="1" x="48"/>
        <item m="1" x="54"/>
        <item m="1" x="67"/>
        <item m="1" x="143"/>
        <item m="1" x="117"/>
        <item m="1" x="125"/>
        <item m="1" x="145"/>
        <item m="1" x="93"/>
        <item m="1" x="83"/>
        <item m="1" x="74"/>
        <item m="1" x="73"/>
        <item m="1" x="89"/>
        <item m="1" x="122"/>
        <item m="1" x="104"/>
        <item m="1" x="140"/>
        <item m="1" x="118"/>
        <item m="1" x="63"/>
        <item m="1" x="96"/>
        <item m="1" x="127"/>
        <item m="1" x="65"/>
        <item m="1" x="77"/>
        <item m="1" x="66"/>
        <item m="1" x="76"/>
        <item m="1" x="52"/>
        <item m="1" x="97"/>
        <item m="1" x="99"/>
        <item m="1" x="59"/>
        <item m="1" x="95"/>
        <item m="1" x="132"/>
        <item m="1" x="47"/>
        <item m="1" x="119"/>
        <item m="1" x="75"/>
        <item m="1" x="69"/>
        <item m="1" x="50"/>
        <item m="1" x="70"/>
        <item m="1" x="71"/>
        <item m="1" x="55"/>
        <item m="1" x="58"/>
        <item m="1" x="62"/>
        <item m="1" x="68"/>
        <item m="1" x="78"/>
        <item m="1" x="80"/>
        <item m="1" x="81"/>
        <item m="1" x="82"/>
        <item x="21"/>
        <item x="22"/>
        <item x="17"/>
        <item x="23"/>
        <item x="10"/>
        <item x="6"/>
        <item x="8"/>
        <item x="12"/>
        <item x="5"/>
        <item x="4"/>
        <item x="15"/>
        <item x="2"/>
        <item x="24"/>
        <item x="25"/>
        <item x="26"/>
        <item x="1"/>
        <item x="18"/>
        <item x="19"/>
        <item x="7"/>
        <item x="20"/>
        <item x="3"/>
        <item x="27"/>
        <item x="9"/>
        <item x="28"/>
        <item x="13"/>
        <item x="29"/>
        <item x="11"/>
        <item x="30"/>
        <item x="0"/>
        <item x="31"/>
        <item x="14"/>
        <item x="32"/>
        <item x="33"/>
        <item x="16"/>
        <item x="34"/>
        <item x="35"/>
        <item x="36"/>
        <item x="37"/>
        <item x="38"/>
        <item x="39"/>
        <item x="40"/>
        <item x="41"/>
        <item x="42"/>
        <item x="43"/>
        <item x="44"/>
        <item x="45"/>
        <item t="default"/>
      </items>
    </pivotField>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7">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t="grand">
      <x/>
    </i>
  </rowItems>
  <colItems count="1">
    <i/>
  </colItems>
  <dataFields count="1">
    <dataField name="Sum of Qty" fld="5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6"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7:B120"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axis="axisRow" showAll="0">
      <items count="4">
        <item m="1" x="2"/>
        <item x="0"/>
        <item x="1"/>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v="1"/>
    </i>
    <i>
      <x v="2"/>
    </i>
    <i t="grand">
      <x/>
    </i>
  </rowItems>
  <colItems count="1">
    <i/>
  </colItems>
  <dataFields count="1">
    <dataField name="Sum of Qty" fld="51" baseField="0" baseItem="0"/>
  </dataFields>
  <chartFormats count="5">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2">
          <reference field="4294967294" count="1" selected="0">
            <x v="0"/>
          </reference>
          <reference field="14" count="1" selected="0">
            <x v="1"/>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7"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2:C629" firstHeaderRow="1" firstDataRow="1" firstDataCol="0"/>
  <pivotFields count="65">
    <pivotField showAll="0"/>
    <pivotField showAll="0"/>
    <pivotField showAll="0"/>
    <pivotField showAll="0"/>
    <pivotField showAll="0"/>
    <pivotField showAll="0"/>
    <pivotField showAll="0"/>
    <pivotField showAll="0"/>
    <pivotField showAll="0"/>
    <pivotField showAll="0"/>
    <pivotField showAll="0" defaultSubtotal="0">
      <items count="8">
        <item x="4"/>
        <item x="7"/>
        <item x="5"/>
        <item x="3"/>
        <item x="6"/>
        <item x="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9:A50" firstHeaderRow="1" firstDataRow="1" firstDataCol="0"/>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ty" fld="51"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10000000}" name="PivotTable5"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5"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axis="axisRow" showAll="0" sortType="descending">
      <items count="10">
        <item x="2"/>
        <item m="1" x="4"/>
        <item m="1" x="6"/>
        <item m="1" x="5"/>
        <item m="1" x="7"/>
        <item x="0"/>
        <item m="1" x="8"/>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5"/>
    </i>
    <i>
      <x v="8"/>
    </i>
    <i t="grand">
      <x/>
    </i>
  </rowItems>
  <colItems count="1">
    <i/>
  </colItems>
  <dataFields count="1">
    <dataField name="Sum of Qty" fld="51"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16"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2:B576"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pivotField axis="axisRow" showAll="0">
      <items count="23">
        <item x="7"/>
        <item x="12"/>
        <item x="0"/>
        <item x="2"/>
        <item m="1" x="18"/>
        <item m="1" x="13"/>
        <item m="1" x="21"/>
        <item x="6"/>
        <item m="1" x="16"/>
        <item x="1"/>
        <item x="5"/>
        <item x="3"/>
        <item x="9"/>
        <item x="11"/>
        <item x="10"/>
        <item m="1" x="20"/>
        <item m="1" x="19"/>
        <item x="4"/>
        <item m="1" x="17"/>
        <item m="1" x="15"/>
        <item x="8"/>
        <item m="1" x="14"/>
        <item t="default"/>
      </items>
    </pivotField>
    <pivotField showAll="0"/>
    <pivotField showAll="0" defaultSubtotal="0"/>
    <pivotField showAll="0"/>
    <pivotField showAll="0"/>
    <pivotField showAll="0"/>
    <pivotField showAll="0">
      <items count="4">
        <item x="1"/>
        <item m="1" x="2"/>
        <item x="0"/>
        <item t="default"/>
      </items>
    </pivotField>
    <pivotField showAll="0"/>
    <pivotField showAll="0"/>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4">
    <i>
      <x/>
    </i>
    <i>
      <x v="1"/>
    </i>
    <i>
      <x v="2"/>
    </i>
    <i>
      <x v="3"/>
    </i>
    <i>
      <x v="7"/>
    </i>
    <i>
      <x v="9"/>
    </i>
    <i>
      <x v="10"/>
    </i>
    <i>
      <x v="11"/>
    </i>
    <i>
      <x v="12"/>
    </i>
    <i>
      <x v="13"/>
    </i>
    <i>
      <x v="14"/>
    </i>
    <i>
      <x v="17"/>
    </i>
    <i>
      <x v="20"/>
    </i>
    <i t="grand">
      <x/>
    </i>
  </rowItems>
  <colItems count="1">
    <i/>
  </colItems>
  <dataFields count="1">
    <dataField name="Sum of Qty" fld="5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F000000}" name="PivotTable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16" firstHeaderRow="1" firstDataRow="1" firstDataCol="1"/>
  <pivotFields count="65">
    <pivotField showAll="0"/>
    <pivotField showAll="0"/>
    <pivotField showAll="0"/>
    <pivotField showAll="0"/>
    <pivotField showAll="0"/>
    <pivotField axis="axisRow" showAll="0">
      <items count="15">
        <item x="3"/>
        <item x="1"/>
        <item x="0"/>
        <item x="2"/>
        <item x="4"/>
        <item m="1" x="8"/>
        <item x="5"/>
        <item x="6"/>
        <item m="1" x="12"/>
        <item m="1" x="7"/>
        <item m="1" x="13"/>
        <item m="1" x="11"/>
        <item m="1" x="9"/>
        <item m="1" x="10"/>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6"/>
    </i>
    <i>
      <x v="7"/>
    </i>
    <i t="grand">
      <x/>
    </i>
  </rowItems>
  <colItems count="1">
    <i/>
  </colItems>
  <dataFields count="1">
    <dataField name="Sum of Qty" fld="5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13"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7:B427"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axis="axisRow" showAll="0" sortType="ascending">
      <items count="29">
        <item m="1" x="11"/>
        <item m="1" x="19"/>
        <item m="1" x="27"/>
        <item x="2"/>
        <item x="1"/>
        <item m="1" x="10"/>
        <item m="1" x="25"/>
        <item m="1" x="9"/>
        <item m="1" x="26"/>
        <item x="5"/>
        <item x="8"/>
        <item m="1" x="23"/>
        <item x="4"/>
        <item m="1" x="14"/>
        <item x="3"/>
        <item m="1" x="20"/>
        <item m="1" x="18"/>
        <item x="6"/>
        <item m="1" x="16"/>
        <item m="1" x="12"/>
        <item x="7"/>
        <item x="0"/>
        <item m="1" x="15"/>
        <item m="1" x="21"/>
        <item m="1" x="17"/>
        <item m="1" x="22"/>
        <item m="1" x="24"/>
        <item m="1" x="13"/>
        <item t="default"/>
      </items>
    </pivotField>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v="3"/>
    </i>
    <i>
      <x v="4"/>
    </i>
    <i>
      <x v="9"/>
    </i>
    <i>
      <x v="10"/>
    </i>
    <i>
      <x v="12"/>
    </i>
    <i>
      <x v="14"/>
    </i>
    <i>
      <x v="17"/>
    </i>
    <i>
      <x v="20"/>
    </i>
    <i>
      <x v="21"/>
    </i>
    <i t="grand">
      <x/>
    </i>
  </rowItems>
  <colItems count="1">
    <i/>
  </colItems>
  <dataFields count="1">
    <dataField name="Sum of Qty" fld="5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7:B90"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axis="axisRow"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Sum of Qty" fld="5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10"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9:B293"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axis="axisRow"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Sum of Qty" fld="5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19"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62:A763" firstHeaderRow="1" firstDataRow="1" firstDataCol="0"/>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ty" fld="5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3"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0:B103"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axis="axisRow" showAll="0">
      <items count="5">
        <item x="1"/>
        <item x="0"/>
        <item m="1" x="2"/>
        <item m="1" x="3"/>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Sum of Qty" fld="51" baseField="0" baseItem="0"/>
  </dataFields>
  <chartFormats count="5">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2" format="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PivotTable1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3:A444" firstHeaderRow="1" firstDataRow="1" firstDataCol="0"/>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ty" fld="5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7"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3:B149"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axis="axisRow" showAll="0" sortType="descending">
      <items count="40">
        <item m="1" x="33"/>
        <item m="1" x="36"/>
        <item x="10"/>
        <item m="1" x="17"/>
        <item m="1" x="19"/>
        <item x="5"/>
        <item m="1" x="24"/>
        <item m="1" x="30"/>
        <item x="12"/>
        <item x="13"/>
        <item x="11"/>
        <item x="4"/>
        <item x="6"/>
        <item x="3"/>
        <item m="1" x="27"/>
        <item m="1" x="29"/>
        <item m="1" x="22"/>
        <item m="1" x="34"/>
        <item x="7"/>
        <item m="1" x="21"/>
        <item m="1" x="26"/>
        <item x="1"/>
        <item m="1" x="37"/>
        <item m="1" x="18"/>
        <item m="1" x="35"/>
        <item m="1" x="28"/>
        <item x="8"/>
        <item m="1" x="31"/>
        <item m="1" x="38"/>
        <item m="1" x="15"/>
        <item m="1" x="20"/>
        <item x="2"/>
        <item m="1" x="16"/>
        <item x="0"/>
        <item x="14"/>
        <item m="1" x="23"/>
        <item m="1" x="32"/>
        <item m="1" x="25"/>
        <item x="9"/>
        <item t="default"/>
      </items>
    </pivotField>
    <pivotField showAll="0"/>
    <pivotField showAll="0"/>
    <pivotField showAll="0" defaultSubtotal="0">
      <items count="8">
        <item x="4"/>
        <item x="7"/>
        <item x="5"/>
        <item x="3"/>
        <item x="6"/>
        <item x="2"/>
        <item x="1"/>
        <item x="0"/>
      </items>
    </pivotField>
    <pivotField showAll="0">
      <items count="3">
        <item x="0"/>
        <item x="1"/>
        <item t="default"/>
      </items>
    </pivotField>
    <pivotField showAll="0">
      <items count="5">
        <item x="1"/>
        <item x="0"/>
        <item m="1" x="3"/>
        <item m="1" x="2"/>
        <item t="default"/>
      </items>
    </pivotField>
    <pivotField showAll="0"/>
    <pivotField showAll="0">
      <items count="4">
        <item x="1"/>
        <item m="1" x="2"/>
        <item x="0"/>
        <item t="default"/>
      </items>
    </pivotField>
    <pivotField showAll="0">
      <items count="20">
        <item x="5"/>
        <item m="1" x="16"/>
        <item m="1" x="10"/>
        <item m="1" x="9"/>
        <item m="1" x="14"/>
        <item m="1" x="12"/>
        <item x="3"/>
        <item x="1"/>
        <item m="1" x="18"/>
        <item x="2"/>
        <item m="1" x="13"/>
        <item x="0"/>
        <item m="1" x="11"/>
        <item m="1" x="15"/>
        <item m="1" x="17"/>
        <item x="4"/>
        <item x="7"/>
        <item m="1" x="8"/>
        <item x="6"/>
        <item t="default"/>
      </items>
    </pivotField>
    <pivotField showAll="0">
      <items count="5">
        <item x="1"/>
        <item x="0"/>
        <item x="2"/>
        <item m="1" x="3"/>
        <item t="default"/>
      </items>
    </pivotField>
    <pivotField showAll="0"/>
    <pivotField showAll="0"/>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6">
    <i>
      <x v="2"/>
    </i>
    <i>
      <x v="5"/>
    </i>
    <i>
      <x v="8"/>
    </i>
    <i>
      <x v="9"/>
    </i>
    <i>
      <x v="10"/>
    </i>
    <i>
      <x v="11"/>
    </i>
    <i>
      <x v="12"/>
    </i>
    <i>
      <x v="13"/>
    </i>
    <i>
      <x v="18"/>
    </i>
    <i>
      <x v="21"/>
    </i>
    <i>
      <x v="26"/>
    </i>
    <i>
      <x v="31"/>
    </i>
    <i>
      <x v="33"/>
    </i>
    <i>
      <x v="34"/>
    </i>
    <i>
      <x v="38"/>
    </i>
    <i t="grand">
      <x/>
    </i>
  </rowItems>
  <colItems count="1">
    <i/>
  </colItems>
  <dataFields count="1">
    <dataField name="Sum of Qty" fld="5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51:B698"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showAll="0"/>
    <pivotField showAll="0"/>
    <pivotField showAll="0"/>
    <pivotField showAll="0" defaultSubtotal="0"/>
    <pivotField showAll="0"/>
    <pivotField showAll="0"/>
    <pivotField showAll="0"/>
    <pivotField showAll="0"/>
    <pivotField showAll="0"/>
    <pivotField showAll="0"/>
    <pivotField showAll="0"/>
    <pivotField axis="axisRow" showAll="0">
      <items count="156">
        <item m="1" x="79"/>
        <item m="1" x="148"/>
        <item m="1" x="130"/>
        <item m="1" x="123"/>
        <item m="1" x="72"/>
        <item m="1" x="106"/>
        <item m="1" x="64"/>
        <item m="1" x="113"/>
        <item m="1" x="139"/>
        <item m="1" x="105"/>
        <item m="1" x="134"/>
        <item m="1" x="94"/>
        <item m="1" x="124"/>
        <item m="1" x="51"/>
        <item m="1" x="88"/>
        <item m="1" x="144"/>
        <item m="1" x="115"/>
        <item m="1" x="112"/>
        <item m="1" x="111"/>
        <item m="1" x="116"/>
        <item m="1" x="102"/>
        <item m="1" x="61"/>
        <item m="1" x="114"/>
        <item m="1" x="137"/>
        <item m="1" x="46"/>
        <item m="1" x="100"/>
        <item m="1" x="142"/>
        <item m="1" x="152"/>
        <item m="1" x="84"/>
        <item m="1" x="92"/>
        <item m="1" x="133"/>
        <item m="1" x="138"/>
        <item m="1" x="109"/>
        <item m="1" x="128"/>
        <item m="1" x="150"/>
        <item m="1" x="110"/>
        <item m="1" x="107"/>
        <item m="1" x="153"/>
        <item m="1" x="129"/>
        <item m="1" x="120"/>
        <item m="1" x="131"/>
        <item m="1" x="86"/>
        <item m="1" x="56"/>
        <item m="1" x="136"/>
        <item m="1" x="85"/>
        <item m="1" x="147"/>
        <item m="1" x="108"/>
        <item m="1" x="151"/>
        <item m="1" x="121"/>
        <item m="1" x="91"/>
        <item m="1" x="126"/>
        <item m="1" x="146"/>
        <item m="1" x="60"/>
        <item m="1" x="154"/>
        <item m="1" x="57"/>
        <item m="1" x="149"/>
        <item m="1" x="87"/>
        <item m="1" x="90"/>
        <item m="1" x="141"/>
        <item m="1" x="98"/>
        <item m="1" x="101"/>
        <item m="1" x="53"/>
        <item m="1" x="49"/>
        <item m="1" x="135"/>
        <item m="1" x="103"/>
        <item m="1" x="48"/>
        <item m="1" x="54"/>
        <item m="1" x="67"/>
        <item m="1" x="143"/>
        <item m="1" x="117"/>
        <item m="1" x="125"/>
        <item m="1" x="145"/>
        <item m="1" x="93"/>
        <item m="1" x="83"/>
        <item m="1" x="74"/>
        <item m="1" x="73"/>
        <item m="1" x="89"/>
        <item m="1" x="122"/>
        <item m="1" x="104"/>
        <item m="1" x="140"/>
        <item m="1" x="118"/>
        <item m="1" x="63"/>
        <item m="1" x="96"/>
        <item m="1" x="127"/>
        <item m="1" x="65"/>
        <item m="1" x="77"/>
        <item m="1" x="66"/>
        <item m="1" x="76"/>
        <item m="1" x="52"/>
        <item m="1" x="97"/>
        <item m="1" x="99"/>
        <item m="1" x="59"/>
        <item m="1" x="95"/>
        <item m="1" x="132"/>
        <item m="1" x="47"/>
        <item m="1" x="119"/>
        <item m="1" x="75"/>
        <item m="1" x="69"/>
        <item m="1" x="50"/>
        <item m="1" x="70"/>
        <item m="1" x="71"/>
        <item m="1" x="55"/>
        <item m="1" x="58"/>
        <item m="1" x="62"/>
        <item m="1" x="68"/>
        <item m="1" x="78"/>
        <item m="1" x="80"/>
        <item m="1" x="81"/>
        <item m="1" x="82"/>
        <item x="21"/>
        <item x="22"/>
        <item x="17"/>
        <item x="23"/>
        <item x="10"/>
        <item x="6"/>
        <item x="8"/>
        <item x="12"/>
        <item x="5"/>
        <item x="4"/>
        <item x="15"/>
        <item x="2"/>
        <item x="24"/>
        <item x="25"/>
        <item x="26"/>
        <item x="1"/>
        <item x="18"/>
        <item x="19"/>
        <item x="7"/>
        <item x="20"/>
        <item x="3"/>
        <item x="27"/>
        <item x="9"/>
        <item x="28"/>
        <item x="13"/>
        <item x="29"/>
        <item x="11"/>
        <item x="30"/>
        <item x="0"/>
        <item x="31"/>
        <item x="14"/>
        <item x="32"/>
        <item x="33"/>
        <item x="16"/>
        <item x="34"/>
        <item x="35"/>
        <item x="36"/>
        <item x="37"/>
        <item x="38"/>
        <item x="39"/>
        <item x="40"/>
        <item x="41"/>
        <item x="42"/>
        <item x="43"/>
        <item x="44"/>
        <item x="45"/>
        <item t="default"/>
      </items>
    </pivotField>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7">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t="grand">
      <x/>
    </i>
  </rowItems>
  <colItems count="1">
    <i/>
  </colItems>
  <dataFields count="1">
    <dataField name="Sum of Qty" fld="5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CCB3CC7-B8A9-439B-9F74-4413492B75DA}" name="PivotTable6"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2:B98" firstHeaderRow="1" firstDataRow="1" firstDataCol="1"/>
  <pivotFields count="65">
    <pivotField showAll="0"/>
    <pivotField showAll="0"/>
    <pivotField showAll="0"/>
    <pivotField showAll="0"/>
    <pivotField showAll="0"/>
    <pivotField showAll="0">
      <items count="15">
        <item x="3"/>
        <item x="1"/>
        <item x="0"/>
        <item x="2"/>
        <item x="4"/>
        <item x="5"/>
        <item x="6"/>
        <item m="1" x="12"/>
        <item m="1" x="7"/>
        <item m="1" x="11"/>
        <item m="1" x="9"/>
        <item m="1" x="10"/>
        <item m="1" x="8"/>
        <item m="1" x="13"/>
        <item t="default"/>
      </items>
    </pivotField>
    <pivotField showAll="0"/>
    <pivotField axis="axisRow" showAll="0">
      <items count="40">
        <item x="9"/>
        <item m="1" x="25"/>
        <item m="1" x="32"/>
        <item m="1" x="23"/>
        <item x="14"/>
        <item x="0"/>
        <item m="1" x="16"/>
        <item x="2"/>
        <item m="1" x="20"/>
        <item m="1" x="15"/>
        <item m="1" x="38"/>
        <item m="1" x="31"/>
        <item x="8"/>
        <item m="1" x="28"/>
        <item m="1" x="35"/>
        <item m="1" x="18"/>
        <item m="1" x="37"/>
        <item x="1"/>
        <item m="1" x="26"/>
        <item m="1" x="21"/>
        <item x="7"/>
        <item m="1" x="34"/>
        <item m="1" x="22"/>
        <item m="1" x="29"/>
        <item m="1" x="27"/>
        <item x="3"/>
        <item x="6"/>
        <item x="4"/>
        <item x="11"/>
        <item x="13"/>
        <item x="12"/>
        <item m="1" x="30"/>
        <item m="1" x="24"/>
        <item x="5"/>
        <item m="1" x="19"/>
        <item m="1" x="17"/>
        <item x="10"/>
        <item m="1" x="36"/>
        <item m="1" x="33"/>
        <item t="default"/>
      </items>
    </pivotField>
    <pivotField showAll="0"/>
    <pivotField showAll="0"/>
    <pivotField showAll="0"/>
    <pivotField showAll="0"/>
    <pivotField showAll="0"/>
    <pivotField showAll="0"/>
    <pivotField showAll="0"/>
    <pivotField showAll="0"/>
    <pivotField showAll="0"/>
    <pivotField showAll="0"/>
    <pivotField showAll="0">
      <items count="156">
        <item m="1" x="76"/>
        <item m="1" x="79"/>
        <item m="1" x="148"/>
        <item m="1" x="130"/>
        <item m="1" x="123"/>
        <item x="28"/>
        <item x="7"/>
        <item m="1" x="62"/>
        <item m="1" x="72"/>
        <item m="1" x="106"/>
        <item x="13"/>
        <item m="1" x="59"/>
        <item m="1" x="103"/>
        <item m="1" x="64"/>
        <item m="1" x="122"/>
        <item m="1" x="55"/>
        <item x="29"/>
        <item m="1" x="53"/>
        <item m="1" x="113"/>
        <item m="1" x="139"/>
        <item m="1" x="105"/>
        <item m="1" x="97"/>
        <item m="1" x="65"/>
        <item m="1" x="83"/>
        <item m="1" x="125"/>
        <item m="1" x="134"/>
        <item x="32"/>
        <item x="38"/>
        <item m="1" x="94"/>
        <item m="1" x="68"/>
        <item m="1" x="69"/>
        <item x="26"/>
        <item m="1" x="124"/>
        <item m="1" x="51"/>
        <item m="1" x="81"/>
        <item m="1" x="54"/>
        <item m="1" x="88"/>
        <item x="9"/>
        <item x="21"/>
        <item m="1" x="144"/>
        <item m="1" x="70"/>
        <item m="1" x="115"/>
        <item m="1" x="112"/>
        <item x="22"/>
        <item m="1" x="89"/>
        <item x="3"/>
        <item x="33"/>
        <item x="0"/>
        <item x="10"/>
        <item m="1" x="111"/>
        <item m="1" x="116"/>
        <item x="35"/>
        <item m="1" x="102"/>
        <item m="1" x="66"/>
        <item m="1" x="118"/>
        <item x="6"/>
        <item m="1" x="101"/>
        <item m="1" x="63"/>
        <item m="1" x="61"/>
        <item x="42"/>
        <item m="1" x="114"/>
        <item m="1" x="137"/>
        <item m="1" x="78"/>
        <item x="31"/>
        <item m="1" x="117"/>
        <item m="1" x="46"/>
        <item m="1" x="100"/>
        <item x="19"/>
        <item m="1" x="142"/>
        <item x="5"/>
        <item m="1" x="152"/>
        <item m="1" x="49"/>
        <item m="1" x="75"/>
        <item m="1" x="84"/>
        <item x="36"/>
        <item m="1" x="92"/>
        <item m="1" x="133"/>
        <item x="20"/>
        <item m="1" x="73"/>
        <item x="34"/>
        <item m="1" x="138"/>
        <item x="1"/>
        <item m="1" x="52"/>
        <item m="1" x="135"/>
        <item x="24"/>
        <item m="1" x="82"/>
        <item x="17"/>
        <item m="1" x="109"/>
        <item m="1" x="104"/>
        <item x="16"/>
        <item m="1" x="128"/>
        <item m="1" x="150"/>
        <item m="1" x="110"/>
        <item m="1" x="107"/>
        <item m="1" x="153"/>
        <item m="1" x="129"/>
        <item m="1" x="120"/>
        <item m="1" x="131"/>
        <item x="11"/>
        <item m="1" x="86"/>
        <item m="1" x="95"/>
        <item m="1" x="143"/>
        <item m="1" x="140"/>
        <item m="1" x="56"/>
        <item m="1" x="93"/>
        <item x="37"/>
        <item m="1" x="80"/>
        <item m="1" x="136"/>
        <item m="1" x="85"/>
        <item m="1" x="96"/>
        <item x="45"/>
        <item m="1" x="147"/>
        <item m="1" x="71"/>
        <item m="1" x="50"/>
        <item m="1" x="108"/>
        <item x="8"/>
        <item m="1" x="58"/>
        <item m="1" x="151"/>
        <item m="1" x="121"/>
        <item m="1" x="77"/>
        <item x="15"/>
        <item m="1" x="91"/>
        <item m="1" x="126"/>
        <item x="44"/>
        <item x="41"/>
        <item m="1" x="99"/>
        <item m="1" x="67"/>
        <item m="1" x="146"/>
        <item x="12"/>
        <item x="25"/>
        <item x="14"/>
        <item m="1" x="47"/>
        <item m="1" x="60"/>
        <item m="1" x="154"/>
        <item x="39"/>
        <item x="2"/>
        <item m="1" x="74"/>
        <item x="4"/>
        <item x="43"/>
        <item m="1" x="48"/>
        <item x="30"/>
        <item m="1" x="57"/>
        <item m="1" x="149"/>
        <item x="18"/>
        <item m="1" x="145"/>
        <item m="1" x="119"/>
        <item x="40"/>
        <item m="1" x="127"/>
        <item x="27"/>
        <item x="23"/>
        <item m="1" x="87"/>
        <item m="1" x="90"/>
        <item m="1" x="132"/>
        <item m="1" x="141"/>
        <item m="1" x="98"/>
        <item t="default"/>
      </items>
    </pivotField>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6">
    <i>
      <x/>
    </i>
    <i>
      <x v="4"/>
    </i>
    <i>
      <x v="5"/>
    </i>
    <i>
      <x v="7"/>
    </i>
    <i>
      <x v="12"/>
    </i>
    <i>
      <x v="17"/>
    </i>
    <i>
      <x v="20"/>
    </i>
    <i>
      <x v="25"/>
    </i>
    <i>
      <x v="26"/>
    </i>
    <i>
      <x v="27"/>
    </i>
    <i>
      <x v="28"/>
    </i>
    <i>
      <x v="29"/>
    </i>
    <i>
      <x v="30"/>
    </i>
    <i>
      <x v="33"/>
    </i>
    <i>
      <x v="36"/>
    </i>
    <i t="grand">
      <x/>
    </i>
  </rowItems>
  <colItems count="1">
    <i/>
  </colItems>
  <dataFields count="1">
    <dataField name="Sum of Qty" fld="51" baseField="0" baseItem="0"/>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21252B4-72E7-4491-9125-2226EEEC7C73}" name="PivotTable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65">
    <pivotField showAll="0"/>
    <pivotField showAll="0"/>
    <pivotField showAll="0"/>
    <pivotField showAll="0"/>
    <pivotField showAll="0"/>
    <pivotField axis="axisRow" showAll="0">
      <items count="15">
        <item x="3"/>
        <item x="1"/>
        <item x="0"/>
        <item x="2"/>
        <item x="4"/>
        <item x="5"/>
        <item x="6"/>
        <item m="1" x="12"/>
        <item m="1" x="7"/>
        <item m="1" x="11"/>
        <item m="1" x="9"/>
        <item m="1" x="10"/>
        <item m="1" x="8"/>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6">
        <item m="1" x="76"/>
        <item m="1" x="79"/>
        <item m="1" x="148"/>
        <item m="1" x="130"/>
        <item m="1" x="123"/>
        <item x="28"/>
        <item x="7"/>
        <item m="1" x="62"/>
        <item m="1" x="72"/>
        <item m="1" x="106"/>
        <item x="13"/>
        <item m="1" x="59"/>
        <item m="1" x="103"/>
        <item m="1" x="64"/>
        <item m="1" x="122"/>
        <item m="1" x="55"/>
        <item x="29"/>
        <item m="1" x="53"/>
        <item m="1" x="113"/>
        <item m="1" x="139"/>
        <item m="1" x="105"/>
        <item m="1" x="97"/>
        <item m="1" x="65"/>
        <item m="1" x="83"/>
        <item m="1" x="125"/>
        <item m="1" x="134"/>
        <item x="32"/>
        <item x="38"/>
        <item m="1" x="94"/>
        <item m="1" x="68"/>
        <item m="1" x="69"/>
        <item x="26"/>
        <item m="1" x="124"/>
        <item m="1" x="51"/>
        <item m="1" x="81"/>
        <item m="1" x="54"/>
        <item m="1" x="88"/>
        <item x="9"/>
        <item x="21"/>
        <item m="1" x="144"/>
        <item m="1" x="70"/>
        <item m="1" x="115"/>
        <item m="1" x="112"/>
        <item x="22"/>
        <item m="1" x="89"/>
        <item x="3"/>
        <item x="33"/>
        <item x="0"/>
        <item x="10"/>
        <item m="1" x="111"/>
        <item m="1" x="116"/>
        <item x="35"/>
        <item m="1" x="102"/>
        <item m="1" x="66"/>
        <item m="1" x="118"/>
        <item x="6"/>
        <item m="1" x="101"/>
        <item m="1" x="63"/>
        <item m="1" x="61"/>
        <item x="42"/>
        <item m="1" x="114"/>
        <item m="1" x="137"/>
        <item m="1" x="78"/>
        <item x="31"/>
        <item m="1" x="117"/>
        <item m="1" x="46"/>
        <item m="1" x="100"/>
        <item x="19"/>
        <item m="1" x="142"/>
        <item x="5"/>
        <item m="1" x="152"/>
        <item m="1" x="49"/>
        <item m="1" x="75"/>
        <item m="1" x="84"/>
        <item x="36"/>
        <item m="1" x="92"/>
        <item m="1" x="133"/>
        <item x="20"/>
        <item m="1" x="73"/>
        <item x="34"/>
        <item m="1" x="138"/>
        <item x="1"/>
        <item m="1" x="52"/>
        <item m="1" x="135"/>
        <item x="24"/>
        <item m="1" x="82"/>
        <item x="17"/>
        <item m="1" x="109"/>
        <item m="1" x="104"/>
        <item x="16"/>
        <item m="1" x="128"/>
        <item m="1" x="150"/>
        <item m="1" x="110"/>
        <item m="1" x="107"/>
        <item m="1" x="153"/>
        <item m="1" x="129"/>
        <item m="1" x="120"/>
        <item m="1" x="131"/>
        <item x="11"/>
        <item m="1" x="86"/>
        <item m="1" x="95"/>
        <item m="1" x="143"/>
        <item m="1" x="140"/>
        <item m="1" x="56"/>
        <item m="1" x="93"/>
        <item x="37"/>
        <item m="1" x="80"/>
        <item m="1" x="136"/>
        <item m="1" x="85"/>
        <item m="1" x="96"/>
        <item x="45"/>
        <item m="1" x="147"/>
        <item m="1" x="71"/>
        <item m="1" x="50"/>
        <item m="1" x="108"/>
        <item x="8"/>
        <item m="1" x="58"/>
        <item m="1" x="151"/>
        <item m="1" x="121"/>
        <item m="1" x="77"/>
        <item x="15"/>
        <item m="1" x="91"/>
        <item m="1" x="126"/>
        <item x="44"/>
        <item x="41"/>
        <item m="1" x="99"/>
        <item m="1" x="67"/>
        <item m="1" x="146"/>
        <item x="12"/>
        <item x="25"/>
        <item x="14"/>
        <item m="1" x="47"/>
        <item m="1" x="60"/>
        <item m="1" x="154"/>
        <item x="39"/>
        <item x="2"/>
        <item m="1" x="74"/>
        <item x="4"/>
        <item x="43"/>
        <item m="1" x="48"/>
        <item x="30"/>
        <item m="1" x="57"/>
        <item m="1" x="149"/>
        <item x="18"/>
        <item m="1" x="145"/>
        <item m="1" x="119"/>
        <item x="40"/>
        <item m="1" x="127"/>
        <item x="27"/>
        <item x="23"/>
        <item m="1" x="87"/>
        <item m="1" x="90"/>
        <item m="1" x="132"/>
        <item m="1" x="141"/>
        <item m="1" x="98"/>
        <item t="default"/>
      </items>
    </pivotField>
    <pivotField showAll="0">
      <items count="10">
        <item x="1"/>
        <item m="1" x="3"/>
        <item m="1" x="8"/>
        <item x="0"/>
        <item m="1" x="7"/>
        <item m="1" x="5"/>
        <item m="1" x="6"/>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Qty" fld="5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4" name="PivotTable4"/>
    <pivotTable tabId="14" name="PivotTable5"/>
    <pivotTable tabId="14" name="PivotTable8"/>
    <pivotTable tabId="14" name="PivotTable1"/>
    <pivotTable tabId="14" name="PivotTable2"/>
    <pivotTable tabId="14" name="PivotTable3"/>
    <pivotTable tabId="14" name="PivotTable6"/>
    <pivotTable tabId="14" name="PivotTable7"/>
    <pivotTable tabId="14" name="PivotTable10"/>
    <pivotTable tabId="14" name="PivotTable11"/>
    <pivotTable tabId="14" name="PivotTable12"/>
    <pivotTable tabId="14" name="PivotTable9"/>
    <pivotTable tabId="14" name="PivotTable13"/>
    <pivotTable tabId="14" name="PivotTable14"/>
  </pivotTables>
  <data>
    <tabular pivotCacheId="831822031">
      <items count="14">
        <i x="3" s="1"/>
        <i x="1" s="1"/>
        <i x="0" s="1"/>
        <i x="2" s="1"/>
        <i x="4" s="1"/>
        <i x="5" s="1"/>
        <i x="6" s="1"/>
        <i x="12" s="1" nd="1"/>
        <i x="7" s="1" nd="1"/>
        <i x="11" s="1" nd="1"/>
        <i x="9" s="1" nd="1"/>
        <i x="10" s="1" nd="1"/>
        <i x="8"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00000000-0013-0000-FFFF-FFFF02000000}" sourceName="Supervisor">
  <pivotTables>
    <pivotTable tabId="14" name="PivotTable5"/>
    <pivotTable tabId="14" name="PivotTable4"/>
    <pivotTable tabId="14" name="PivotTable8"/>
    <pivotTable tabId="14" name="PivotTable1"/>
    <pivotTable tabId="14" name="PivotTable2"/>
    <pivotTable tabId="14" name="PivotTable3"/>
    <pivotTable tabId="14" name="PivotTable6"/>
    <pivotTable tabId="14" name="PivotTable7"/>
    <pivotTable tabId="14" name="PivotTable10"/>
    <pivotTable tabId="14" name="PivotTable11"/>
    <pivotTable tabId="14" name="PivotTable12"/>
    <pivotTable tabId="14" name="PivotTable9"/>
    <pivotTable tabId="14" name="PivotTable13"/>
    <pivotTable tabId="14" name="PivotTable14"/>
  </pivotTables>
  <data>
    <tabular pivotCacheId="831822031">
      <items count="9">
        <i x="1" s="1"/>
        <i x="0" s="1"/>
        <i x="2" s="1"/>
        <i x="3" s="1" nd="1"/>
        <i x="8" s="1" nd="1"/>
        <i x="7" s="1" nd="1"/>
        <i x="5" s="1" nd="1"/>
        <i x="6"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lass" xr10:uid="{00000000-0013-0000-FFFF-FFFF03000000}" sourceName="Customer Class">
  <pivotTables>
    <pivotTable tabId="14" name="PivotTable2"/>
    <pivotTable tabId="14" name="PivotTable1"/>
    <pivotTable tabId="14" name="PivotTable3"/>
    <pivotTable tabId="14" name="PivotTable4"/>
    <pivotTable tabId="14" name="PivotTable5"/>
    <pivotTable tabId="14" name="PivotTable6"/>
    <pivotTable tabId="14" name="PivotTable8"/>
    <pivotTable tabId="14" name="PivotTable7"/>
    <pivotTable tabId="14" name="PivotTable10"/>
    <pivotTable tabId="14" name="PivotTable11"/>
    <pivotTable tabId="14" name="PivotTable12"/>
    <pivotTable tabId="14" name="PivotTable9"/>
    <pivotTable tabId="14" name="PivotTable13"/>
    <pivotTable tabId="14" name="PivotTable14"/>
  </pivotTables>
  <data>
    <tabular pivotCacheId="83182203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hod_Of_Payment" xr10:uid="{00000000-0013-0000-FFFF-FFFF04000000}" sourceName="Method Of Payment">
  <pivotTables>
    <pivotTable tabId="14" name="PivotTable3"/>
    <pivotTable tabId="14" name="PivotTable1"/>
    <pivotTable tabId="14" name="PivotTable2"/>
    <pivotTable tabId="14" name="PivotTable4"/>
    <pivotTable tabId="14" name="PivotTable5"/>
    <pivotTable tabId="14" name="PivotTable6"/>
    <pivotTable tabId="14" name="PivotTable8"/>
    <pivotTable tabId="14" name="PivotTable7"/>
    <pivotTable tabId="14" name="PivotTable10"/>
    <pivotTable tabId="14" name="PivotTable11"/>
    <pivotTable tabId="14" name="PivotTable12"/>
    <pivotTable tabId="14" name="PivotTable9"/>
    <pivotTable tabId="14" name="PivotTable13"/>
    <pivotTable tabId="14" name="PivotTable14"/>
  </pivotTables>
  <data>
    <tabular pivotCacheId="831822031">
      <items count="4">
        <i x="1" s="1"/>
        <i x="0" s="1"/>
        <i x="3"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2" xr10:uid="{00000000-0013-0000-FFFF-FFFF05000000}" sourceName="Model2">
  <pivotTables>
    <pivotTable tabId="14" name="PivotTable7"/>
    <pivotTable tabId="14" name="PivotTable1"/>
    <pivotTable tabId="14" name="PivotTable2"/>
    <pivotTable tabId="14" name="PivotTable3"/>
    <pivotTable tabId="14" name="PivotTable4"/>
    <pivotTable tabId="14" name="PivotTable5"/>
    <pivotTable tabId="14" name="PivotTable6"/>
    <pivotTable tabId="14" name="PivotTable8"/>
    <pivotTable tabId="14" name="PivotTable10"/>
    <pivotTable tabId="14" name="PivotTable11"/>
    <pivotTable tabId="14" name="PivotTable12"/>
    <pivotTable tabId="14" name="PivotTable9"/>
    <pivotTable tabId="14" name="PivotTable13"/>
    <pivotTable tabId="14" name="PivotTable14"/>
  </pivotTables>
  <data>
    <tabular pivotCacheId="831822031">
      <items count="39">
        <i x="9" s="1"/>
        <i x="14" s="1"/>
        <i x="0" s="1"/>
        <i x="2" s="1"/>
        <i x="8" s="1"/>
        <i x="1" s="1"/>
        <i x="7" s="1"/>
        <i x="3" s="1"/>
        <i x="6" s="1"/>
        <i x="4" s="1"/>
        <i x="11" s="1"/>
        <i x="13" s="1"/>
        <i x="12" s="1"/>
        <i x="5" s="1"/>
        <i x="10" s="1"/>
        <i x="25" s="1" nd="1"/>
        <i x="32" s="1" nd="1"/>
        <i x="23" s="1" nd="1"/>
        <i x="16" s="1" nd="1"/>
        <i x="20" s="1" nd="1"/>
        <i x="15" s="1" nd="1"/>
        <i x="38" s="1" nd="1"/>
        <i x="31" s="1" nd="1"/>
        <i x="28" s="1" nd="1"/>
        <i x="35" s="1" nd="1"/>
        <i x="18" s="1" nd="1"/>
        <i x="37" s="1" nd="1"/>
        <i x="26" s="1" nd="1"/>
        <i x="21" s="1" nd="1"/>
        <i x="34" s="1" nd="1"/>
        <i x="22" s="1" nd="1"/>
        <i x="29" s="1" nd="1"/>
        <i x="27" s="1" nd="1"/>
        <i x="30" s="1" nd="1"/>
        <i x="24" s="1" nd="1"/>
        <i x="19" s="1" nd="1"/>
        <i x="17" s="1" nd="1"/>
        <i x="36" s="1" nd="1"/>
        <i x="3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l_Pembelian" xr10:uid="{00000000-0013-0000-FFFF-FFFF06000000}" sourceName="Profil Pembelian">
  <pivotTables>
    <pivotTable tabId="14" name="PivotTable10"/>
    <pivotTable tabId="14" name="PivotTable1"/>
    <pivotTable tabId="14" name="PivotTable11"/>
    <pivotTable tabId="14" name="PivotTable12"/>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4" name="PivotTable13"/>
    <pivotTable tabId="14" name="PivotTable14"/>
  </pivotTables>
  <data>
    <tabular pivotCacheId="831822031">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ber_Prospek" xr10:uid="{00000000-0013-0000-FFFF-FFFF07000000}" sourceName="Sumber Prospek">
  <pivotTables>
    <pivotTable tabId="14" name="PivotTable11"/>
    <pivotTable tabId="14" name="PivotTable1"/>
    <pivotTable tabId="14" name="PivotTable10"/>
    <pivotTable tabId="14" name="PivotTable12"/>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4" name="PivotTable13"/>
    <pivotTable tabId="14" name="PivotTable14"/>
  </pivotTables>
  <data>
    <tabular pivotCacheId="831822031">
      <items count="19">
        <i x="5" s="1"/>
        <i x="3" s="1"/>
        <i x="1" s="1"/>
        <i x="2" s="1"/>
        <i x="0" s="1"/>
        <i x="4" s="1"/>
        <i x="7" s="1"/>
        <i x="6" s="1"/>
        <i x="16" s="1" nd="1"/>
        <i x="10" s="1" nd="1"/>
        <i x="9" s="1" nd="1"/>
        <i x="14" s="1" nd="1"/>
        <i x="12" s="1" nd="1"/>
        <i x="18" s="1" nd="1"/>
        <i x="13" s="1" nd="1"/>
        <i x="11" s="1" nd="1"/>
        <i x="15" s="1" nd="1"/>
        <i x="17" s="1" nd="1"/>
        <i x="8"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1" xr10:uid="{00000000-0013-0000-FFFF-FFFF08000000}" sourceName="Supervisor">
  <pivotTables>
    <pivotTable tabId="14" name="PivotTable16"/>
    <pivotTable tabId="14" name="PivotTable18"/>
    <pivotTable tabId="14" name="PivotTable19"/>
  </pivotTables>
  <data>
    <tabular pivotCacheId="831822031">
      <items count="9">
        <i x="1" s="1"/>
        <i x="0" s="1"/>
        <i x="2" s="1"/>
        <i x="3" s="1" nd="1"/>
        <i x="8" s="1" nd="1"/>
        <i x="7" s="1" nd="1"/>
        <i x="5" s="1" nd="1"/>
        <i x="6" s="1" nd="1"/>
        <i x="4"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9000000}" sourceName="Month">
  <pivotTables>
    <pivotTable tabId="14" name="PivotTable16"/>
    <pivotTable tabId="14" name="PivotTable18"/>
    <pivotTable tabId="14" name="PivotTable19"/>
  </pivotTables>
  <data>
    <tabular pivotCacheId="831822031">
      <items count="14">
        <i x="3" s="1"/>
        <i x="1" s="1"/>
        <i x="0" s="1"/>
        <i x="2" s="1"/>
        <i x="4" s="1"/>
        <i x="5" s="1"/>
        <i x="6" s="1"/>
        <i x="12" s="1" nd="1"/>
        <i x="7" s="1" nd="1"/>
        <i x="11" s="1" nd="1"/>
        <i x="9" s="1" nd="1"/>
        <i x="10" s="1" nd="1"/>
        <i x="8" s="1" nd="1"/>
        <i x="13"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MA" xr10:uid="{00000000-0013-0000-FFFF-FFFF0A000000}" sourceName="PMA">
  <pivotTables>
    <pivotTable tabId="14" name="PivotTable6"/>
    <pivotTable tabId="14" name="PivotTable1"/>
    <pivotTable tabId="14" name="PivotTable10"/>
    <pivotTable tabId="14" name="PivotTable11"/>
    <pivotTable tabId="14" name="PivotTable12"/>
    <pivotTable tabId="14" name="PivotTable13"/>
    <pivotTable tabId="14" name="PivotTable14"/>
    <pivotTable tabId="14" name="PivotTable16"/>
    <pivotTable tabId="14" name="PivotTable2"/>
    <pivotTable tabId="14" name="PivotTable3"/>
    <pivotTable tabId="14" name="PivotTable4"/>
    <pivotTable tabId="14" name="PivotTable5"/>
    <pivotTable tabId="14" name="PivotTable7"/>
    <pivotTable tabId="14" name="PivotTable8"/>
    <pivotTable tabId="14" name="PivotTable9"/>
  </pivotTables>
  <data>
    <tabular pivotCacheId="831822031">
      <items count="3">
        <i x="1" s="1"/>
        <i x="0" s="1"/>
        <i x="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Leasing" xr10:uid="{00000000-0013-0000-FFFF-FFFF0B000000}" sourceName="Nama Leasing">
  <pivotTables>
    <pivotTable tabId="14" name="PivotTable1"/>
    <pivotTable tabId="14" name="PivotTable10"/>
    <pivotTable tabId="14" name="PivotTable11"/>
    <pivotTable tabId="14" name="PivotTable12"/>
    <pivotTable tabId="14" name="PivotTable13"/>
    <pivotTable tabId="14" name="PivotTable14"/>
    <pivotTable tabId="14" name="PivotTable17"/>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s>
  <data>
    <tabular pivotCacheId="831822031">
      <items count="8">
        <i x="4" s="1"/>
        <i x="7" s="1"/>
        <i x="5" s="1"/>
        <i x="3" s="1"/>
        <i x="6" s="1"/>
        <i x="2"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F01C0C7A-7A98-4297-A791-FE211DF2D64A}" sourceName="Month">
  <pivotTables>
    <pivotTable tabId="36" name="PivotTable4"/>
    <pivotTable tabId="37" name="PivotTable5"/>
    <pivotTable tabId="36" name="PivotTable6"/>
    <pivotTable tabId="37" name="PivotTable8"/>
  </pivotTables>
  <data>
    <tabular pivotCacheId="831822031">
      <items count="14">
        <i x="3" s="1"/>
        <i x="1" s="1"/>
        <i x="0" s="1"/>
        <i x="2" s="1"/>
        <i x="4" s="1"/>
        <i x="5" s="1"/>
        <i x="6" s="1"/>
        <i x="12" s="1" nd="1"/>
        <i x="7" s="1" nd="1"/>
        <i x="11" s="1" nd="1"/>
        <i x="9" s="1" nd="1"/>
        <i x="10" s="1" nd="1"/>
        <i x="8" s="1" nd="1"/>
        <i x="13" s="1" nd="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CC9B127-68AF-46D1-AB97-0EAC7EED8E3F}" sourceName="Sales Person">
  <pivotTables>
    <pivotTable tabId="36" name="PivotTable4"/>
    <pivotTable tabId="37" name="PivotTable5"/>
    <pivotTable tabId="36" name="PivotTable6"/>
    <pivotTable tabId="37" name="PivotTable8"/>
  </pivotTables>
  <data>
    <tabular pivotCacheId="831822031">
      <items count="155">
        <i x="28" s="1"/>
        <i x="7" s="1"/>
        <i x="13" s="1"/>
        <i x="29" s="1"/>
        <i x="32" s="1"/>
        <i x="38" s="1"/>
        <i x="26" s="1"/>
        <i x="9" s="1"/>
        <i x="21" s="1"/>
        <i x="22" s="1"/>
        <i x="3" s="1"/>
        <i x="33" s="1"/>
        <i x="0" s="1"/>
        <i x="10" s="1"/>
        <i x="35" s="1"/>
        <i x="6" s="1"/>
        <i x="42" s="1"/>
        <i x="31" s="1"/>
        <i x="19" s="1"/>
        <i x="5" s="1"/>
        <i x="36" s="1"/>
        <i x="20" s="1"/>
        <i x="34" s="1"/>
        <i x="1" s="1"/>
        <i x="24" s="1"/>
        <i x="17" s="1"/>
        <i x="16" s="1"/>
        <i x="11" s="1"/>
        <i x="37" s="1"/>
        <i x="45" s="1"/>
        <i x="8" s="1"/>
        <i x="15" s="1"/>
        <i x="44" s="1"/>
        <i x="41" s="1"/>
        <i x="12" s="1"/>
        <i x="25" s="1"/>
        <i x="14" s="1"/>
        <i x="39" s="1"/>
        <i x="2" s="1"/>
        <i x="4" s="1"/>
        <i x="43" s="1"/>
        <i x="30" s="1"/>
        <i x="18" s="1"/>
        <i x="40" s="1"/>
        <i x="27" s="1"/>
        <i x="23" s="1"/>
        <i x="76" s="1" nd="1"/>
        <i x="79" s="1" nd="1"/>
        <i x="148" s="1" nd="1"/>
        <i x="130" s="1" nd="1"/>
        <i x="123" s="1" nd="1"/>
        <i x="62" s="1" nd="1"/>
        <i x="72" s="1" nd="1"/>
        <i x="106" s="1" nd="1"/>
        <i x="59" s="1" nd="1"/>
        <i x="103" s="1" nd="1"/>
        <i x="64" s="1" nd="1"/>
        <i x="122" s="1" nd="1"/>
        <i x="55" s="1" nd="1"/>
        <i x="53" s="1" nd="1"/>
        <i x="113" s="1" nd="1"/>
        <i x="139" s="1" nd="1"/>
        <i x="105" s="1" nd="1"/>
        <i x="97" s="1" nd="1"/>
        <i x="65" s="1" nd="1"/>
        <i x="83" s="1" nd="1"/>
        <i x="125" s="1" nd="1"/>
        <i x="134" s="1" nd="1"/>
        <i x="94" s="1" nd="1"/>
        <i x="68" s="1" nd="1"/>
        <i x="69" s="1" nd="1"/>
        <i x="124" s="1" nd="1"/>
        <i x="51" s="1" nd="1"/>
        <i x="81" s="1" nd="1"/>
        <i x="54" s="1" nd="1"/>
        <i x="88" s="1" nd="1"/>
        <i x="144" s="1" nd="1"/>
        <i x="70" s="1" nd="1"/>
        <i x="115" s="1" nd="1"/>
        <i x="112" s="1" nd="1"/>
        <i x="89" s="1" nd="1"/>
        <i x="111" s="1" nd="1"/>
        <i x="116" s="1" nd="1"/>
        <i x="102" s="1" nd="1"/>
        <i x="66" s="1" nd="1"/>
        <i x="118" s="1" nd="1"/>
        <i x="101" s="1" nd="1"/>
        <i x="63" s="1" nd="1"/>
        <i x="61" s="1" nd="1"/>
        <i x="114" s="1" nd="1"/>
        <i x="137" s="1" nd="1"/>
        <i x="78" s="1" nd="1"/>
        <i x="117" s="1" nd="1"/>
        <i x="46" s="1" nd="1"/>
        <i x="100" s="1" nd="1"/>
        <i x="142" s="1" nd="1"/>
        <i x="152" s="1" nd="1"/>
        <i x="49" s="1" nd="1"/>
        <i x="75" s="1" nd="1"/>
        <i x="84" s="1" nd="1"/>
        <i x="92" s="1" nd="1"/>
        <i x="133" s="1" nd="1"/>
        <i x="73" s="1" nd="1"/>
        <i x="138" s="1" nd="1"/>
        <i x="52" s="1" nd="1"/>
        <i x="135" s="1" nd="1"/>
        <i x="82" s="1" nd="1"/>
        <i x="109" s="1" nd="1"/>
        <i x="104" s="1" nd="1"/>
        <i x="128" s="1" nd="1"/>
        <i x="150" s="1" nd="1"/>
        <i x="110" s="1" nd="1"/>
        <i x="107" s="1" nd="1"/>
        <i x="153" s="1" nd="1"/>
        <i x="129" s="1" nd="1"/>
        <i x="120" s="1" nd="1"/>
        <i x="131" s="1" nd="1"/>
        <i x="86" s="1" nd="1"/>
        <i x="95" s="1" nd="1"/>
        <i x="143" s="1" nd="1"/>
        <i x="140" s="1" nd="1"/>
        <i x="56" s="1" nd="1"/>
        <i x="93" s="1" nd="1"/>
        <i x="80" s="1" nd="1"/>
        <i x="136" s="1" nd="1"/>
        <i x="85" s="1" nd="1"/>
        <i x="96" s="1" nd="1"/>
        <i x="147" s="1" nd="1"/>
        <i x="71" s="1" nd="1"/>
        <i x="50" s="1" nd="1"/>
        <i x="108" s="1" nd="1"/>
        <i x="58" s="1" nd="1"/>
        <i x="151" s="1" nd="1"/>
        <i x="121" s="1" nd="1"/>
        <i x="77" s="1" nd="1"/>
        <i x="91" s="1" nd="1"/>
        <i x="126" s="1" nd="1"/>
        <i x="99" s="1" nd="1"/>
        <i x="67" s="1" nd="1"/>
        <i x="146" s="1" nd="1"/>
        <i x="47" s="1" nd="1"/>
        <i x="60" s="1" nd="1"/>
        <i x="154" s="1" nd="1"/>
        <i x="74" s="1" nd="1"/>
        <i x="48" s="1" nd="1"/>
        <i x="57" s="1" nd="1"/>
        <i x="149" s="1" nd="1"/>
        <i x="145" s="1" nd="1"/>
        <i x="119" s="1" nd="1"/>
        <i x="127" s="1" nd="1"/>
        <i x="87" s="1" nd="1"/>
        <i x="90" s="1" nd="1"/>
        <i x="132" s="1" nd="1"/>
        <i x="141" s="1" nd="1"/>
        <i x="98" s="1" nd="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2" xr10:uid="{E70CE27F-61A2-420A-96CA-A4636966F69E}" sourceName="Supervisor">
  <pivotTables>
    <pivotTable tabId="36" name="PivotTable4"/>
    <pivotTable tabId="37" name="PivotTable5"/>
    <pivotTable tabId="36" name="PivotTable6"/>
    <pivotTable tabId="37" name="PivotTable8"/>
  </pivotTables>
  <data>
    <tabular pivotCacheId="831822031">
      <items count="9">
        <i x="1" s="1"/>
        <i x="0" s="1"/>
        <i x="2" s="1"/>
        <i x="3" s="1" nd="1"/>
        <i x="8" s="1" nd="1"/>
        <i x="7" s="1" nd="1"/>
        <i x="5" s="1" nd="1"/>
        <i x="6"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style="SlicerStyleLight1 2" lockedPosition="1" rowHeight="241300"/>
  <slicer name="Supervisor" xr10:uid="{00000000-0014-0000-FFFF-FFFF02000000}" cache="Slicer_Supervisor" caption="Supervisor" style="SlicerStyleLight1 2" lockedPosition="1" rowHeight="241300"/>
  <slicer name="Customer Class" xr10:uid="{00000000-0014-0000-FFFF-FFFF03000000}" cache="Slicer_Customer_Class" caption="Customer Class" columnCount="2" style="SlicerStyleLight1 2" lockedPosition="1" rowHeight="241300"/>
  <slicer name="Method Of Payment" xr10:uid="{00000000-0014-0000-FFFF-FFFF04000000}" cache="Slicer_Method_Of_Payment" caption="Method Of Payment" columnCount="2" style="SlicerStyleLight1 2" lockedPosition="1" rowHeight="241300"/>
  <slicer name="Model2" xr10:uid="{00000000-0014-0000-FFFF-FFFF05000000}" cache="Slicer_Model2" caption="Model2" startItem="4" style="SlicerStyleLight1 2" lockedPosition="1" rowHeight="241300"/>
  <slicer name="Profil Pembelian" xr10:uid="{00000000-0014-0000-FFFF-FFFF06000000}" cache="Slicer_Profil_Pembelian" caption="Profil Pembelian" style="SlicerStyleLight1 2" lockedPosition="1" rowHeight="241300"/>
  <slicer name="Sumber Prospek" xr10:uid="{00000000-0014-0000-FFFF-FFFF07000000}" cache="Slicer_Sumber_Prospek" caption="Sumber Prospek" style="SlicerStyleLight1 2" lockedPosition="1" rowHeight="241300"/>
  <slicer name="PMA 1" xr10:uid="{00000000-0014-0000-FFFF-FFFF08000000}" cache="Slicer_PMA" caption="PMA" columnCount="2" style="SlicerStyleLight1 2" lockedPosition="1" rowHeight="241300"/>
  <slicer name="Nama Leasing" xr10:uid="{00000000-0014-0000-FFFF-FFFF09000000}" cache="Slicer_Nama_Leasing" caption="Nama Leasing" columnCount="6" style="SlicerStyleLight1 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ervisor 1" xr10:uid="{00000000-0014-0000-FFFF-FFFF0A000000}" cache="Slicer_Supervisor1" caption="Supervisor" columnCount="3" style="SlicerStyleDark2" lockedPosition="1" rowHeight="241300"/>
  <slicer name="Month 1" xr10:uid="{00000000-0014-0000-FFFF-FFFF0B000000}" cache="Slicer_Month1" caption="Month" columnCount="12" style="SlicerStyleDark5"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A586279E-F679-4EAA-A3B3-175C136ECCC8}" cache="Slicer_Month2" caption="Month" columnCount="7" style="SlicerStyleDark6" lockedPosition="1" rowHeight="241300"/>
  <slicer name="Sales Person 1" xr10:uid="{CB5D5E5D-251F-4793-9BD2-7B7C44EBBDFF}" cache="Slicer_Sales_Person" caption="Sales Person" columnCount="5" style="SlicerStyleDark2" lockedPosition="1" rowHeight="241300"/>
  <slicer name="Supervisor 3" xr10:uid="{6564C53C-EAA7-4D07-8E33-AB83AA8DEC0E}" cache="Slicer_Supervisor2" caption="Supervisor" columnCount="3" style="SlicerStyleDark6" lockedPosition="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19924F5-EF41-4A05-8A50-6596EA8E6D14}" cache="Slicer_Month2" caption="Month" rowHeight="241300"/>
  <slicer name="Sales Person" xr10:uid="{4F7F2280-1FD9-4A86-9789-B9B4F770053D}" cache="Slicer_Sales_Person" caption="Sales Person" rowHeight="241300"/>
  <slicer name="Supervisor 2" xr10:uid="{36FDEB78-7C38-4386-9314-0964C4255775}" cache="Slicer_Supervisor2" caption="Supervis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BM513" totalsRowShown="0" headerRowDxfId="67" dataDxfId="66">
  <tableColumns count="65">
    <tableColumn id="1" xr3:uid="{00000000-0010-0000-0000-000001000000}" name="No" dataDxfId="65"/>
    <tableColumn id="2" xr3:uid="{00000000-0010-0000-0000-000002000000}" name="BU" dataDxfId="64"/>
    <tableColumn id="3" xr3:uid="{00000000-0010-0000-0000-000003000000}" name="Cabang" dataDxfId="63"/>
    <tableColumn id="4" xr3:uid="{00000000-0010-0000-0000-000004000000}" name="Invoice No." dataDxfId="62"/>
    <tableColumn id="5" xr3:uid="{00000000-0010-0000-0000-000005000000}" name="Invoice Date " dataDxfId="61"/>
    <tableColumn id="6" xr3:uid="{00000000-0010-0000-0000-000006000000}" name="Month" dataDxfId="60"/>
    <tableColumn id="7" xr3:uid="{00000000-0010-0000-0000-000007000000}" name="Thn" dataDxfId="59"/>
    <tableColumn id="8" xr3:uid="{00000000-0010-0000-0000-000008000000}" name="Model2" dataDxfId="58">
      <calculatedColumnFormula>VLOOKUP(U2,'[1]KODE TYPE standar'!$D:$U,17,0)</calculatedColumnFormula>
    </tableColumn>
    <tableColumn id="65" xr3:uid="{00000000-0010-0000-0000-000041000000}" name="Model1" dataDxfId="57">
      <calculatedColumnFormula>VLOOKUP(U2,'[1]KODE TYPE standar'!$D:$U,16,0)</calculatedColumnFormula>
    </tableColumn>
    <tableColumn id="9" xr3:uid="{00000000-0010-0000-0000-000009000000}" name="Model3" dataDxfId="56">
      <calculatedColumnFormula>VLOOKUP(U2,'[1]KODE TYPE standar'!$D:$U,18,0)</calculatedColumnFormula>
    </tableColumn>
    <tableColumn id="10" xr3:uid="{00000000-0010-0000-0000-00000A000000}" name="Nama Leasing" dataDxfId="55"/>
    <tableColumn id="11" xr3:uid="{00000000-0010-0000-0000-00000B000000}" name="Customer Class" dataDxfId="54"/>
    <tableColumn id="12" xr3:uid="{00000000-0010-0000-0000-00000C000000}" name="Method Of Payment" dataDxfId="53"/>
    <tableColumn id="13" xr3:uid="{00000000-0010-0000-0000-00000D000000}" name="CITY" dataDxfId="52"/>
    <tableColumn id="14" xr3:uid="{00000000-0010-0000-0000-00000E000000}" name="PMA" dataDxfId="51"/>
    <tableColumn id="15" xr3:uid="{00000000-0010-0000-0000-00000F000000}" name="Sumber Prospek" dataDxfId="50"/>
    <tableColumn id="16" xr3:uid="{00000000-0010-0000-0000-000010000000}" name="Profil Pembelian" dataDxfId="49"/>
    <tableColumn id="17" xr3:uid="{00000000-0010-0000-0000-000011000000}" name="Pekerjaan" dataDxfId="48"/>
    <tableColumn id="18" xr3:uid="{00000000-0010-0000-0000-000012000000}" name="Sales Person" dataDxfId="47"/>
    <tableColumn id="19" xr3:uid="{00000000-0010-0000-0000-000013000000}" name="Supervisor" dataDxfId="46"/>
    <tableColumn id="20" xr3:uid="{00000000-0010-0000-0000-000014000000}" name="Tipe Kendaraan" dataDxfId="45"/>
    <tableColumn id="21" xr3:uid="{00000000-0010-0000-0000-000015000000}" name="Exterior Color Code" dataDxfId="44"/>
    <tableColumn id="22" xr3:uid="{00000000-0010-0000-0000-000016000000}" name="Colour Desc" dataDxfId="43"/>
    <tableColumn id="23" xr3:uid="{00000000-0010-0000-0000-000017000000}" name="Chasis" dataDxfId="42"/>
    <tableColumn id="24" xr3:uid="{00000000-0010-0000-0000-000018000000}" name="No Mesin" dataDxfId="41"/>
    <tableColumn id="25" xr3:uid="{00000000-0010-0000-0000-000019000000}" name="Sales Force ID" dataDxfId="40"/>
    <tableColumn id="26" xr3:uid="{00000000-0010-0000-0000-00001A000000}" name="Sales Person2" dataDxfId="39"/>
    <tableColumn id="27" xr3:uid="{00000000-0010-0000-0000-00001B000000}" name="Supervisor3" dataDxfId="38"/>
    <tableColumn id="28" xr3:uid="{00000000-0010-0000-0000-00001C000000}" name="Customer No" dataDxfId="37"/>
    <tableColumn id="29" xr3:uid="{00000000-0010-0000-0000-00001D000000}" name="Customer" dataDxfId="36"/>
    <tableColumn id="30" xr3:uid="{00000000-0010-0000-0000-00001E000000}" name="Customer Class4" dataDxfId="35"/>
    <tableColumn id="31" xr3:uid="{00000000-0010-0000-0000-00001F000000}" name="NAMA STNK" dataDxfId="34"/>
    <tableColumn id="32" xr3:uid="{00000000-0010-0000-0000-000020000000}" name="Owner Adress" dataDxfId="33"/>
    <tableColumn id="33" xr3:uid="{00000000-0010-0000-0000-000021000000}" name="Owner District" dataDxfId="32"/>
    <tableColumn id="34" xr3:uid="{00000000-0010-0000-0000-000022000000}" name="Owner City" dataDxfId="31"/>
    <tableColumn id="35" xr3:uid="{00000000-0010-0000-0000-000023000000}" name="Method Of Payment5" dataDxfId="30"/>
    <tableColumn id="36" xr3:uid="{00000000-0010-0000-0000-000024000000}" name="KREDIT" dataDxfId="29"/>
    <tableColumn id="37" xr3:uid="{00000000-0010-0000-0000-000025000000}" name="Faktur Pajak" dataDxfId="28"/>
    <tableColumn id="38" xr3:uid="{00000000-0010-0000-0000-000026000000}" name="Harga OTR" dataDxfId="27" dataCellStyle="Comma 2"/>
    <tableColumn id="39" xr3:uid="{00000000-0010-0000-0000-000027000000}" name="Harga Unit" dataDxfId="26" dataCellStyle="Comma 2"/>
    <tableColumn id="40" xr3:uid="{00000000-0010-0000-0000-000028000000}" name="BBN" dataDxfId="25" dataCellStyle="Comma 2"/>
    <tableColumn id="41" xr3:uid="{00000000-0010-0000-0000-000029000000}" name="PPN" dataDxfId="24" dataCellStyle="Comma 2"/>
    <tableColumn id="42" xr3:uid="{00000000-0010-0000-0000-00002A000000}" name="Accessories Optional" dataDxfId="23" dataCellStyle="Comma 2"/>
    <tableColumn id="43" xr3:uid="{00000000-0010-0000-0000-00002B000000}" name="Accessories Konsorsium" dataDxfId="22" dataCellStyle="Comma 2"/>
    <tableColumn id="44" xr3:uid="{00000000-0010-0000-0000-00002C000000}" name="Harga Discount" dataDxfId="21" dataCellStyle="Comma 2"/>
    <tableColumn id="45" xr3:uid="{00000000-0010-0000-0000-00002D000000}" name="Harga Total AR" dataDxfId="20" dataCellStyle="Comma 2"/>
    <tableColumn id="46" xr3:uid="{00000000-0010-0000-0000-00002E000000}" name="Outstanding AR" dataDxfId="19" dataCellStyle="Comma 2"/>
    <tableColumn id="47" xr3:uid="{00000000-0010-0000-0000-00002F000000}" name="Total Discount Approved" dataDxfId="18" dataCellStyle="Comma 2"/>
    <tableColumn id="48" xr3:uid="{00000000-0010-0000-0000-000030000000}" name="Delivery Date" dataDxfId="17"/>
    <tableColumn id="49" xr3:uid="{00000000-0010-0000-0000-000031000000}" name="Tanggal Act GI" dataDxfId="16"/>
    <tableColumn id="50" xr3:uid="{00000000-0010-0000-0000-000032000000}" name="Invoice Type" dataDxfId="15"/>
    <tableColumn id="51" xr3:uid="{00000000-0010-0000-0000-000033000000}" name="Qty" dataDxfId="14"/>
    <tableColumn id="52" xr3:uid="{00000000-0010-0000-0000-000034000000}" name="NPWP" dataDxfId="13"/>
    <tableColumn id="53" xr3:uid="{00000000-0010-0000-0000-000035000000}" name="Tanggal Prospect" dataDxfId="12"/>
    <tableColumn id="54" xr3:uid="{00000000-0010-0000-0000-000036000000}" name="SPK No." dataDxfId="11"/>
    <tableColumn id="55" xr3:uid="{00000000-0010-0000-0000-000037000000}" name="Tanggal SPK" dataDxfId="10"/>
    <tableColumn id="56" xr3:uid="{00000000-0010-0000-0000-000038000000}" name="SPK Transaction Date" dataDxfId="9"/>
    <tableColumn id="57" xr3:uid="{00000000-0010-0000-0000-000039000000}" name="SPK Created Date" dataDxfId="8"/>
    <tableColumn id="58" xr3:uid="{00000000-0010-0000-0000-00003A000000}" name="RRN No." dataDxfId="7"/>
    <tableColumn id="59" xr3:uid="{00000000-0010-0000-0000-00003B000000}" name="AFI Submit Date" dataDxfId="6"/>
    <tableColumn id="60" xr3:uid="{00000000-0010-0000-0000-00003C000000}" name="Invoice Due Date" dataDxfId="5"/>
    <tableColumn id="61" xr3:uid="{00000000-0010-0000-0000-00003D000000}" name="DO TAM No." dataDxfId="4"/>
    <tableColumn id="62" xr3:uid="{00000000-0010-0000-0000-00003E000000}" name="DO TAM Date" dataDxfId="3"/>
    <tableColumn id="63" xr3:uid="{00000000-0010-0000-0000-00003F000000}" name="Promise Delivery Date" dataDxfId="2"/>
    <tableColumn id="64" xr3:uid="{00000000-0010-0000-0000-000040000000}" name="Referral Amount" dataDxfId="1"/>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openxmlformats.org/officeDocument/2006/relationships/pivotTable" Target="../pivotTables/pivotTable2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pivotTable" Target="../pivotTables/pivotTable19.xml"/><Relationship Id="rId2" Type="http://schemas.openxmlformats.org/officeDocument/2006/relationships/pivotTable" Target="../pivotTables/pivotTable4.xml"/><Relationship Id="rId16" Type="http://schemas.openxmlformats.org/officeDocument/2006/relationships/pivotTable" Target="../pivotTables/pivotTable18.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W30"/>
  <sheetViews>
    <sheetView showGridLines="0" tabSelected="1" zoomScale="107" zoomScaleNormal="90" workbookViewId="0">
      <selection activeCell="A26" sqref="A26"/>
    </sheetView>
  </sheetViews>
  <sheetFormatPr baseColWidth="10" defaultColWidth="9.1640625" defaultRowHeight="15" x14ac:dyDescent="0.2"/>
  <cols>
    <col min="1" max="16384" width="9.1640625" style="5"/>
  </cols>
  <sheetData>
    <row r="1" spans="1:23" x14ac:dyDescent="0.2">
      <c r="A1" s="6"/>
      <c r="B1" s="6"/>
      <c r="C1" s="6"/>
      <c r="D1" s="6"/>
      <c r="E1" s="6"/>
      <c r="F1" s="6"/>
      <c r="G1" s="6"/>
      <c r="H1" s="6"/>
      <c r="I1" s="6"/>
      <c r="J1" s="6"/>
      <c r="K1" s="6"/>
      <c r="L1" s="6"/>
      <c r="M1" s="6"/>
      <c r="N1" s="6"/>
      <c r="O1" s="6"/>
      <c r="P1" s="6"/>
      <c r="Q1" s="6"/>
      <c r="R1" s="6"/>
      <c r="S1" s="6"/>
      <c r="T1" s="6"/>
      <c r="U1" s="6"/>
      <c r="V1" s="6"/>
      <c r="W1" s="6"/>
    </row>
    <row r="2" spans="1:23" x14ac:dyDescent="0.2">
      <c r="A2" s="6"/>
      <c r="B2" s="6"/>
      <c r="C2" s="6"/>
      <c r="D2" s="6"/>
      <c r="E2" s="6"/>
      <c r="F2" s="6"/>
      <c r="G2" s="6"/>
      <c r="H2" s="6"/>
      <c r="I2" s="6"/>
      <c r="J2" s="6"/>
      <c r="K2" s="6"/>
      <c r="L2" s="6"/>
      <c r="M2" s="6"/>
      <c r="N2" s="6"/>
      <c r="O2" s="6"/>
      <c r="P2" s="6"/>
      <c r="Q2" s="6"/>
      <c r="R2" s="6"/>
      <c r="S2" s="6"/>
      <c r="T2" s="6"/>
      <c r="U2" s="6"/>
      <c r="V2" s="6"/>
      <c r="W2" s="6"/>
    </row>
    <row r="3" spans="1:23" x14ac:dyDescent="0.2">
      <c r="A3" s="6"/>
      <c r="B3" s="6"/>
      <c r="C3" s="6"/>
      <c r="D3" s="6"/>
      <c r="E3" s="6"/>
      <c r="F3" s="6"/>
      <c r="G3" s="6"/>
      <c r="H3" s="6"/>
      <c r="I3" s="6"/>
      <c r="J3" s="6"/>
      <c r="K3" s="6"/>
      <c r="L3" s="6"/>
      <c r="M3" s="6"/>
      <c r="N3" s="6"/>
      <c r="O3" s="6"/>
      <c r="P3" s="6"/>
      <c r="Q3" s="6"/>
      <c r="R3" s="6"/>
      <c r="S3" s="6"/>
      <c r="T3" s="6"/>
      <c r="U3" s="6"/>
      <c r="V3" s="6"/>
      <c r="W3" s="6"/>
    </row>
    <row r="4" spans="1:23" x14ac:dyDescent="0.2">
      <c r="A4" s="6"/>
      <c r="B4" s="6"/>
      <c r="C4" s="6"/>
      <c r="D4" s="6"/>
      <c r="E4" s="6"/>
      <c r="F4" s="6"/>
      <c r="G4" s="6"/>
      <c r="H4" s="6"/>
      <c r="I4" s="6"/>
      <c r="J4" s="6"/>
      <c r="K4" s="6"/>
      <c r="L4" s="6"/>
      <c r="M4" s="6"/>
      <c r="N4" s="6"/>
      <c r="O4" s="6"/>
      <c r="P4" s="6"/>
      <c r="Q4" s="6"/>
      <c r="R4" s="6"/>
      <c r="S4" s="6"/>
      <c r="T4" s="6"/>
      <c r="U4" s="6"/>
      <c r="V4" s="6"/>
      <c r="W4" s="6"/>
    </row>
    <row r="5" spans="1:23" x14ac:dyDescent="0.2">
      <c r="A5" s="6"/>
      <c r="B5" s="6"/>
      <c r="C5" s="6"/>
      <c r="D5" s="6"/>
      <c r="E5" s="6"/>
      <c r="F5" s="6"/>
      <c r="G5" s="6"/>
      <c r="H5" s="6"/>
      <c r="I5" s="6"/>
      <c r="J5" s="6"/>
      <c r="K5" s="6"/>
      <c r="L5" s="6"/>
      <c r="M5" s="6"/>
      <c r="N5" s="6"/>
      <c r="O5" s="6"/>
      <c r="P5" s="6"/>
      <c r="Q5" s="6"/>
      <c r="R5" s="6"/>
      <c r="S5" s="6"/>
      <c r="T5" s="6"/>
      <c r="U5" s="6"/>
      <c r="V5" s="6"/>
      <c r="W5" s="6"/>
    </row>
    <row r="6" spans="1:23" x14ac:dyDescent="0.2">
      <c r="A6" s="6"/>
      <c r="B6" s="6"/>
      <c r="C6" s="6"/>
      <c r="D6" s="6"/>
      <c r="E6" s="6"/>
      <c r="F6" s="6"/>
      <c r="G6" s="6"/>
      <c r="H6" s="6"/>
      <c r="I6" s="6"/>
      <c r="J6" s="6"/>
      <c r="K6" s="6"/>
      <c r="L6" s="6"/>
      <c r="M6" s="6"/>
      <c r="N6" s="6"/>
      <c r="O6" s="6"/>
      <c r="P6" s="6"/>
      <c r="Q6" s="6"/>
      <c r="R6" s="6"/>
      <c r="S6" s="6"/>
      <c r="T6" s="6"/>
      <c r="U6" s="6"/>
      <c r="V6" s="6"/>
      <c r="W6" s="6"/>
    </row>
    <row r="7" spans="1:23" x14ac:dyDescent="0.2">
      <c r="A7" s="6"/>
      <c r="B7" s="6"/>
      <c r="C7" s="6"/>
      <c r="D7" s="6"/>
      <c r="E7" s="6"/>
      <c r="F7" s="6"/>
      <c r="G7" s="6"/>
      <c r="H7" s="6"/>
      <c r="I7" s="6"/>
      <c r="J7" s="6"/>
      <c r="K7" s="6"/>
      <c r="L7" s="6"/>
      <c r="M7" s="6"/>
      <c r="N7" s="6"/>
      <c r="O7" s="6"/>
      <c r="P7" s="6"/>
      <c r="Q7" s="6"/>
      <c r="R7" s="6"/>
      <c r="S7" s="6"/>
      <c r="T7" s="6"/>
      <c r="U7" s="6"/>
      <c r="V7" s="6"/>
      <c r="W7" s="6"/>
    </row>
    <row r="8" spans="1:23" x14ac:dyDescent="0.2">
      <c r="A8" s="6"/>
      <c r="B8" s="6"/>
      <c r="C8" s="6"/>
      <c r="D8" s="6"/>
      <c r="E8" s="6"/>
      <c r="F8" s="6"/>
      <c r="G8" s="6"/>
      <c r="H8" s="6"/>
      <c r="I8" s="6"/>
      <c r="J8" s="6"/>
      <c r="K8" s="6"/>
      <c r="L8" s="6"/>
      <c r="M8" s="6"/>
      <c r="N8" s="6"/>
      <c r="O8" s="6"/>
      <c r="P8" s="6"/>
      <c r="Q8" s="6"/>
      <c r="R8" s="6"/>
      <c r="S8" s="6"/>
      <c r="T8" s="6"/>
      <c r="U8" s="6"/>
      <c r="V8" s="6"/>
      <c r="W8" s="6"/>
    </row>
    <row r="9" spans="1:23" x14ac:dyDescent="0.2">
      <c r="A9" s="6"/>
      <c r="B9" s="6"/>
      <c r="C9" s="6"/>
      <c r="D9" s="6"/>
      <c r="E9" s="6"/>
      <c r="F9" s="6"/>
      <c r="G9" s="6"/>
      <c r="H9" s="6"/>
      <c r="I9" s="6"/>
      <c r="J9" s="6"/>
      <c r="K9" s="6"/>
      <c r="L9" s="6"/>
      <c r="M9" s="6"/>
      <c r="N9" s="6"/>
      <c r="O9" s="6"/>
      <c r="P9" s="6"/>
      <c r="Q9" s="6"/>
      <c r="R9" s="6"/>
      <c r="S9" s="6"/>
      <c r="T9" s="6"/>
      <c r="U9" s="6"/>
      <c r="V9" s="6"/>
      <c r="W9" s="6"/>
    </row>
    <row r="10" spans="1:23" x14ac:dyDescent="0.2">
      <c r="A10" s="6"/>
      <c r="B10" s="6"/>
      <c r="C10" s="6"/>
      <c r="D10" s="6"/>
      <c r="E10" s="6"/>
      <c r="F10" s="6"/>
      <c r="G10" s="6"/>
      <c r="H10" s="6"/>
      <c r="I10" s="6"/>
      <c r="J10" s="6"/>
      <c r="K10" s="6"/>
      <c r="L10" s="6"/>
      <c r="M10" s="6"/>
      <c r="N10" s="6"/>
      <c r="O10" s="6"/>
      <c r="P10" s="6"/>
      <c r="Q10" s="6"/>
      <c r="R10" s="6"/>
      <c r="S10" s="6"/>
      <c r="T10" s="6"/>
      <c r="U10" s="6"/>
      <c r="V10" s="6"/>
      <c r="W10" s="6"/>
    </row>
    <row r="11" spans="1:23" x14ac:dyDescent="0.2">
      <c r="A11" s="6"/>
      <c r="B11" s="6"/>
      <c r="C11" s="6"/>
      <c r="D11" s="6"/>
      <c r="E11" s="6"/>
      <c r="F11" s="6"/>
      <c r="G11" s="6"/>
      <c r="H11" s="6"/>
      <c r="I11" s="6"/>
      <c r="J11" s="6"/>
      <c r="K11" s="6"/>
      <c r="L11" s="6"/>
      <c r="M11" s="6"/>
      <c r="N11" s="6"/>
      <c r="O11" s="6"/>
      <c r="P11" s="6"/>
      <c r="Q11" s="6"/>
      <c r="R11" s="6"/>
      <c r="S11" s="6"/>
      <c r="T11" s="6"/>
      <c r="U11" s="6"/>
      <c r="V11" s="6"/>
      <c r="W11" s="6"/>
    </row>
    <row r="12" spans="1:23" x14ac:dyDescent="0.2">
      <c r="A12" s="6"/>
      <c r="B12" s="6"/>
      <c r="C12" s="6"/>
      <c r="D12" s="6"/>
      <c r="E12" s="6"/>
      <c r="F12" s="6"/>
      <c r="G12" s="6"/>
      <c r="H12" s="6"/>
      <c r="I12" s="6"/>
      <c r="J12" s="6"/>
      <c r="K12" s="6"/>
      <c r="L12" s="6"/>
      <c r="M12" s="6"/>
      <c r="N12" s="6"/>
      <c r="O12" s="6"/>
      <c r="P12" s="6"/>
      <c r="Q12" s="6"/>
      <c r="R12" s="6"/>
      <c r="S12" s="6"/>
      <c r="T12" s="6"/>
      <c r="U12" s="6"/>
      <c r="V12" s="6"/>
      <c r="W12" s="6"/>
    </row>
    <row r="13" spans="1:23" x14ac:dyDescent="0.2">
      <c r="A13" s="6"/>
      <c r="B13" s="6"/>
      <c r="C13" s="6"/>
      <c r="D13" s="6"/>
      <c r="E13" s="6"/>
      <c r="F13" s="6"/>
      <c r="G13" s="6"/>
      <c r="H13" s="6"/>
      <c r="I13" s="6"/>
      <c r="J13" s="6"/>
      <c r="K13" s="6"/>
      <c r="L13" s="6"/>
      <c r="M13" s="6"/>
      <c r="N13" s="6"/>
      <c r="O13" s="6"/>
      <c r="P13" s="6"/>
      <c r="Q13" s="6"/>
      <c r="R13" s="6"/>
      <c r="S13" s="6"/>
      <c r="T13" s="6"/>
      <c r="U13" s="6"/>
      <c r="V13" s="6"/>
      <c r="W13" s="6"/>
    </row>
    <row r="14" spans="1:23" x14ac:dyDescent="0.2">
      <c r="A14" s="6"/>
      <c r="B14" s="6"/>
      <c r="C14" s="6"/>
      <c r="D14" s="6"/>
      <c r="E14" s="6"/>
      <c r="F14" s="6"/>
      <c r="G14" s="6"/>
      <c r="H14" s="6"/>
      <c r="I14" s="6"/>
      <c r="J14" s="6"/>
      <c r="K14" s="6"/>
      <c r="L14" s="6"/>
      <c r="M14" s="6"/>
      <c r="N14" s="6"/>
      <c r="O14" s="6"/>
      <c r="P14" s="6"/>
      <c r="Q14" s="6"/>
      <c r="R14" s="6"/>
      <c r="S14" s="6"/>
      <c r="T14" s="6"/>
      <c r="U14" s="6"/>
      <c r="V14" s="6"/>
      <c r="W14" s="6"/>
    </row>
    <row r="15" spans="1:23" x14ac:dyDescent="0.2">
      <c r="A15" s="6"/>
      <c r="B15" s="6"/>
      <c r="C15" s="6"/>
      <c r="D15" s="6"/>
      <c r="E15" s="6"/>
      <c r="F15" s="6"/>
      <c r="G15" s="6"/>
      <c r="H15" s="6"/>
      <c r="I15" s="6"/>
      <c r="J15" s="6"/>
      <c r="K15" s="6"/>
      <c r="L15" s="6"/>
      <c r="M15" s="6"/>
      <c r="N15" s="6"/>
      <c r="O15" s="6"/>
      <c r="P15" s="6"/>
      <c r="Q15" s="6"/>
      <c r="R15" s="6"/>
      <c r="S15" s="6"/>
      <c r="T15" s="6"/>
      <c r="U15" s="6"/>
      <c r="V15" s="6"/>
      <c r="W15" s="6"/>
    </row>
    <row r="16" spans="1:23" x14ac:dyDescent="0.2">
      <c r="A16" s="6"/>
      <c r="B16" s="6"/>
      <c r="C16" s="6"/>
      <c r="D16" s="6"/>
      <c r="E16" s="6"/>
      <c r="F16" s="6"/>
      <c r="G16" s="6"/>
      <c r="H16" s="6"/>
      <c r="I16" s="6"/>
      <c r="J16" s="6"/>
      <c r="K16" s="6"/>
      <c r="L16" s="6"/>
      <c r="M16" s="6"/>
      <c r="N16" s="6"/>
      <c r="O16" s="6"/>
      <c r="P16" s="6"/>
      <c r="Q16" s="6"/>
      <c r="R16" s="6"/>
      <c r="S16" s="6"/>
      <c r="T16" s="6"/>
      <c r="U16" s="6"/>
      <c r="V16" s="6"/>
      <c r="W16" s="6"/>
    </row>
    <row r="17" spans="1:23" x14ac:dyDescent="0.2">
      <c r="A17" s="6"/>
      <c r="B17" s="6"/>
      <c r="C17" s="6"/>
      <c r="D17" s="6"/>
      <c r="E17" s="6"/>
      <c r="F17" s="6"/>
      <c r="G17" s="6"/>
      <c r="H17" s="6"/>
      <c r="I17" s="6"/>
      <c r="J17" s="6"/>
      <c r="K17" s="6"/>
      <c r="L17" s="6"/>
      <c r="M17" s="6"/>
      <c r="N17" s="6"/>
      <c r="O17" s="6"/>
      <c r="P17" s="6"/>
      <c r="Q17" s="6"/>
      <c r="R17" s="6"/>
      <c r="S17" s="6"/>
      <c r="T17" s="6"/>
      <c r="U17" s="6"/>
      <c r="V17" s="6"/>
      <c r="W17" s="6"/>
    </row>
    <row r="18" spans="1:23" x14ac:dyDescent="0.2">
      <c r="A18" s="6"/>
      <c r="B18" s="6"/>
      <c r="C18" s="6"/>
      <c r="D18" s="6"/>
      <c r="E18" s="6"/>
      <c r="F18" s="6"/>
      <c r="G18" s="6"/>
      <c r="H18" s="6"/>
      <c r="I18" s="6"/>
      <c r="J18" s="6"/>
      <c r="K18" s="6"/>
      <c r="L18" s="6"/>
      <c r="M18" s="6"/>
      <c r="N18" s="6"/>
      <c r="O18" s="6"/>
      <c r="P18" s="6"/>
      <c r="Q18" s="6"/>
      <c r="R18" s="6"/>
      <c r="S18" s="6"/>
      <c r="T18" s="6"/>
      <c r="U18" s="6"/>
      <c r="V18" s="6"/>
      <c r="W18" s="6"/>
    </row>
    <row r="19" spans="1:23" x14ac:dyDescent="0.2">
      <c r="A19" s="6"/>
      <c r="B19" s="6"/>
      <c r="C19" s="6"/>
      <c r="D19" s="6"/>
      <c r="E19" s="6"/>
      <c r="F19" s="6"/>
      <c r="G19" s="6"/>
      <c r="H19" s="6"/>
      <c r="I19" s="6"/>
      <c r="J19" s="6"/>
      <c r="K19" s="6"/>
      <c r="L19" s="6"/>
      <c r="M19" s="6"/>
      <c r="N19" s="6"/>
      <c r="O19" s="6"/>
      <c r="P19" s="6"/>
      <c r="Q19" s="6"/>
      <c r="R19" s="6"/>
      <c r="S19" s="6"/>
      <c r="T19" s="6"/>
      <c r="U19" s="6"/>
      <c r="V19" s="6"/>
      <c r="W19" s="6"/>
    </row>
    <row r="20" spans="1:23" x14ac:dyDescent="0.2">
      <c r="A20" s="6"/>
      <c r="B20" s="6"/>
      <c r="C20" s="6"/>
      <c r="D20" s="6"/>
      <c r="E20" s="6"/>
      <c r="F20" s="6"/>
      <c r="G20" s="6"/>
      <c r="H20" s="6"/>
      <c r="I20" s="6"/>
      <c r="J20" s="6"/>
      <c r="K20" s="6"/>
      <c r="L20" s="6"/>
      <c r="M20" s="6"/>
      <c r="N20" s="6"/>
      <c r="O20" s="6"/>
      <c r="P20" s="6"/>
      <c r="Q20" s="6"/>
      <c r="R20" s="6"/>
      <c r="S20" s="6"/>
      <c r="T20" s="6"/>
      <c r="U20" s="6"/>
      <c r="V20" s="6"/>
      <c r="W20" s="6"/>
    </row>
    <row r="21" spans="1:23" x14ac:dyDescent="0.2">
      <c r="A21" s="6"/>
      <c r="B21" s="6"/>
      <c r="C21" s="6"/>
      <c r="D21" s="6"/>
      <c r="E21" s="6"/>
      <c r="F21" s="6"/>
      <c r="G21" s="6"/>
      <c r="H21" s="6"/>
      <c r="I21" s="6"/>
      <c r="J21" s="6"/>
      <c r="K21" s="6"/>
      <c r="L21" s="6"/>
      <c r="M21" s="6"/>
      <c r="N21" s="6"/>
      <c r="O21" s="6"/>
      <c r="P21" s="6"/>
      <c r="Q21" s="6"/>
      <c r="R21" s="6"/>
      <c r="S21" s="6"/>
      <c r="T21" s="6"/>
      <c r="U21" s="6"/>
      <c r="V21" s="6"/>
      <c r="W21" s="6"/>
    </row>
    <row r="22" spans="1:23" x14ac:dyDescent="0.2">
      <c r="A22" s="6"/>
      <c r="B22" s="6"/>
      <c r="C22" s="6"/>
      <c r="D22" s="6"/>
      <c r="E22" s="6"/>
      <c r="F22" s="6"/>
      <c r="G22" s="6"/>
      <c r="H22" s="6"/>
      <c r="I22" s="6"/>
      <c r="J22" s="6"/>
      <c r="K22" s="6"/>
      <c r="L22" s="6"/>
      <c r="M22" s="6"/>
      <c r="N22" s="6"/>
      <c r="O22" s="6"/>
      <c r="P22" s="6"/>
      <c r="Q22" s="6"/>
      <c r="R22" s="6"/>
      <c r="S22" s="6"/>
      <c r="T22" s="6"/>
      <c r="U22" s="6"/>
      <c r="V22" s="6"/>
      <c r="W22" s="6"/>
    </row>
    <row r="23" spans="1:23" x14ac:dyDescent="0.2">
      <c r="A23" s="6"/>
      <c r="B23" s="6"/>
      <c r="C23" s="6"/>
      <c r="D23" s="6"/>
      <c r="E23" s="6"/>
      <c r="F23" s="6"/>
      <c r="G23" s="6"/>
      <c r="H23" s="6"/>
      <c r="I23" s="6"/>
      <c r="J23" s="6"/>
      <c r="K23" s="6"/>
      <c r="L23" s="6"/>
      <c r="M23" s="6"/>
      <c r="N23" s="6"/>
      <c r="O23" s="6"/>
      <c r="P23" s="6"/>
      <c r="Q23" s="6"/>
      <c r="R23" s="6"/>
      <c r="S23" s="6"/>
      <c r="T23" s="6"/>
      <c r="U23" s="6"/>
      <c r="V23" s="6"/>
      <c r="W23" s="6"/>
    </row>
    <row r="24" spans="1:23" x14ac:dyDescent="0.2">
      <c r="A24" s="6"/>
      <c r="B24" s="6"/>
      <c r="C24" s="6"/>
      <c r="D24" s="6"/>
      <c r="E24" s="6"/>
      <c r="F24" s="6"/>
      <c r="G24" s="6"/>
      <c r="H24" s="6"/>
      <c r="I24" s="6"/>
      <c r="J24" s="6"/>
      <c r="K24" s="6"/>
      <c r="L24" s="6"/>
      <c r="M24" s="6"/>
      <c r="N24" s="6"/>
      <c r="O24" s="6"/>
      <c r="P24" s="6"/>
      <c r="Q24" s="6"/>
      <c r="R24" s="6"/>
      <c r="S24" s="6"/>
      <c r="T24" s="6"/>
      <c r="U24" s="6"/>
      <c r="V24" s="6"/>
      <c r="W24" s="6"/>
    </row>
    <row r="25" spans="1:23" x14ac:dyDescent="0.2">
      <c r="A25" s="6"/>
      <c r="B25" s="6"/>
      <c r="C25" s="6"/>
      <c r="D25" s="6"/>
      <c r="E25" s="6"/>
      <c r="F25" s="6"/>
      <c r="G25" s="6"/>
      <c r="H25" s="6"/>
      <c r="I25" s="6"/>
      <c r="J25" s="6"/>
      <c r="K25" s="6"/>
      <c r="L25" s="6"/>
      <c r="M25" s="6"/>
      <c r="N25" s="6"/>
      <c r="O25" s="6"/>
      <c r="P25" s="6"/>
      <c r="Q25" s="6"/>
      <c r="R25" s="6"/>
      <c r="S25" s="6"/>
      <c r="T25" s="6"/>
      <c r="U25" s="6"/>
      <c r="V25" s="6"/>
      <c r="W25" s="6"/>
    </row>
    <row r="26" spans="1:23" x14ac:dyDescent="0.2">
      <c r="A26" s="6"/>
      <c r="B26" s="6"/>
      <c r="C26" s="6"/>
      <c r="D26" s="6"/>
      <c r="E26" s="6"/>
      <c r="F26" s="6"/>
      <c r="G26" s="6"/>
      <c r="H26" s="6"/>
      <c r="I26" s="6"/>
      <c r="J26" s="6"/>
      <c r="K26" s="6"/>
      <c r="L26" s="6"/>
      <c r="M26" s="6"/>
      <c r="N26" s="6"/>
      <c r="O26" s="6"/>
      <c r="P26" s="6"/>
      <c r="Q26" s="6"/>
      <c r="R26" s="6"/>
      <c r="S26" s="6"/>
      <c r="T26" s="6"/>
      <c r="U26" s="6"/>
      <c r="V26" s="6"/>
      <c r="W26" s="6"/>
    </row>
    <row r="27" spans="1:23" x14ac:dyDescent="0.2">
      <c r="A27" s="6"/>
      <c r="B27" s="6"/>
      <c r="C27" s="6"/>
      <c r="D27" s="6"/>
      <c r="E27" s="6"/>
      <c r="F27" s="6"/>
      <c r="G27" s="6"/>
      <c r="H27" s="6"/>
      <c r="I27" s="6"/>
      <c r="J27" s="6"/>
      <c r="K27" s="6"/>
      <c r="L27" s="6"/>
      <c r="M27" s="6"/>
      <c r="N27" s="6"/>
      <c r="O27" s="6"/>
      <c r="P27" s="6"/>
      <c r="Q27" s="6"/>
      <c r="R27" s="6"/>
      <c r="S27" s="6"/>
      <c r="T27" s="6"/>
      <c r="U27" s="6"/>
      <c r="V27" s="6"/>
      <c r="W27" s="6"/>
    </row>
    <row r="28" spans="1:23" x14ac:dyDescent="0.2">
      <c r="A28" s="6"/>
      <c r="B28" s="6"/>
      <c r="C28" s="6"/>
      <c r="D28" s="6"/>
      <c r="E28" s="6"/>
      <c r="F28" s="6"/>
      <c r="G28" s="6"/>
      <c r="H28" s="6"/>
      <c r="I28" s="6"/>
      <c r="J28" s="6"/>
      <c r="K28" s="6"/>
      <c r="L28" s="6"/>
      <c r="M28" s="6"/>
      <c r="N28" s="6"/>
      <c r="O28" s="6"/>
      <c r="P28" s="6"/>
      <c r="Q28" s="6"/>
      <c r="R28" s="6"/>
      <c r="S28" s="6"/>
      <c r="T28" s="6"/>
      <c r="U28" s="6"/>
      <c r="V28" s="6"/>
      <c r="W28" s="6"/>
    </row>
    <row r="29" spans="1:23" x14ac:dyDescent="0.2">
      <c r="A29" s="6"/>
      <c r="B29" s="6"/>
      <c r="C29" s="6"/>
      <c r="D29" s="6"/>
      <c r="E29" s="6"/>
      <c r="F29" s="6"/>
      <c r="G29" s="6"/>
      <c r="H29" s="6"/>
      <c r="I29" s="6"/>
      <c r="J29" s="6"/>
      <c r="K29" s="6"/>
      <c r="L29" s="6"/>
      <c r="M29" s="6"/>
      <c r="N29" s="6"/>
      <c r="O29" s="6"/>
      <c r="P29" s="6"/>
      <c r="Q29" s="6"/>
      <c r="R29" s="6"/>
      <c r="S29" s="6"/>
      <c r="T29" s="6"/>
      <c r="U29" s="6"/>
      <c r="V29" s="6"/>
      <c r="W29" s="6"/>
    </row>
    <row r="30" spans="1:23" x14ac:dyDescent="0.2">
      <c r="A30" s="6"/>
      <c r="B30" s="6"/>
      <c r="C30" s="6"/>
      <c r="D30" s="6"/>
      <c r="E30" s="6"/>
      <c r="F30" s="6"/>
      <c r="G30" s="6"/>
      <c r="H30" s="6"/>
      <c r="I30" s="6"/>
      <c r="J30" s="6"/>
      <c r="K30" s="6"/>
      <c r="L30" s="6"/>
      <c r="M30" s="6"/>
      <c r="N30" s="6"/>
      <c r="O30" s="6"/>
      <c r="P30" s="6"/>
      <c r="Q30" s="6"/>
      <c r="R30" s="6"/>
      <c r="S30" s="6"/>
      <c r="T30" s="6"/>
      <c r="U30" s="6"/>
      <c r="V30" s="6"/>
      <c r="W30" s="6"/>
    </row>
  </sheetData>
  <sheetProtection algorithmName="SHA-512" hashValue="7T2j2xEvE7pOImVf5O0E/8pH5RXJyHNw3V5FgvdjGBlyhfsNuAgMrRdnLr50uQk2QF4wmSWXBgbubyim8P/3iA==" saltValue="a0x7IBEuftyIoRh2cNAK1w==" spinCount="100000" sheet="1" objects="1" scenarios="1"/>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
  <sheetViews>
    <sheetView showGridLines="0" zoomScale="85" zoomScaleNormal="85" workbookViewId="0">
      <selection activeCell="E26" sqref="E26"/>
    </sheetView>
  </sheetViews>
  <sheetFormatPr baseColWidth="10" defaultColWidth="8.83203125" defaultRowHeight="15" x14ac:dyDescent="0.2"/>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3AEE-B2A6-42B8-9763-B8D560E15DC4}">
  <sheetPr>
    <tabColor theme="5" tint="-0.249977111117893"/>
  </sheetPr>
  <dimension ref="N1:AA51"/>
  <sheetViews>
    <sheetView showGridLines="0" showRowColHeaders="0" zoomScale="75" zoomScaleNormal="85" workbookViewId="0">
      <pane xSplit="24" ySplit="2" topLeftCell="Y3" activePane="bottomRight" state="frozen"/>
      <selection pane="topRight" activeCell="W1" sqref="W1"/>
      <selection pane="bottomLeft" activeCell="A3" sqref="A3"/>
      <selection pane="bottomRight" activeCell="Z28" sqref="Z28"/>
    </sheetView>
  </sheetViews>
  <sheetFormatPr baseColWidth="10" defaultColWidth="9.1640625" defaultRowHeight="16" x14ac:dyDescent="0.2"/>
  <cols>
    <col min="1" max="12" width="9.1640625" style="50"/>
    <col min="13" max="13" width="1.33203125" style="50" customWidth="1"/>
    <col min="14" max="14" width="0.6640625" style="50" customWidth="1"/>
    <col min="15" max="15" width="1.33203125" style="50" customWidth="1"/>
    <col min="16" max="16" width="28" style="52" customWidth="1"/>
    <col min="17" max="17" width="6.83203125" style="53" customWidth="1"/>
    <col min="18" max="18" width="6.6640625" style="53" customWidth="1"/>
    <col min="19" max="23" width="6.83203125" style="53" customWidth="1"/>
    <col min="24" max="24" width="7.5" style="53" customWidth="1"/>
    <col min="25" max="25" width="1.5" style="50" customWidth="1"/>
    <col min="26" max="26" width="13.1640625" style="54" customWidth="1"/>
    <col min="27" max="27" width="8.1640625" style="55" customWidth="1"/>
    <col min="28" max="16384" width="9.1640625" style="50"/>
  </cols>
  <sheetData>
    <row r="1" spans="14:27" x14ac:dyDescent="0.2">
      <c r="N1" s="51"/>
      <c r="P1" s="56" t="s">
        <v>133</v>
      </c>
      <c r="Q1" s="57" t="s">
        <v>135</v>
      </c>
    </row>
    <row r="2" spans="14:27" x14ac:dyDescent="0.2">
      <c r="N2" s="51"/>
      <c r="P2" s="49" t="s">
        <v>9</v>
      </c>
      <c r="Q2" s="48" t="s">
        <v>111</v>
      </c>
      <c r="R2" s="48" t="s">
        <v>258</v>
      </c>
      <c r="S2" s="48" t="s">
        <v>339</v>
      </c>
      <c r="T2" s="48" t="s">
        <v>389</v>
      </c>
      <c r="U2" s="48" t="s">
        <v>425</v>
      </c>
      <c r="V2" s="48" t="s">
        <v>462</v>
      </c>
      <c r="W2" s="48" t="s">
        <v>5682</v>
      </c>
      <c r="X2" s="48" t="s">
        <v>6584</v>
      </c>
      <c r="Z2" s="58" t="s">
        <v>131</v>
      </c>
      <c r="AA2" s="59" t="s">
        <v>6583</v>
      </c>
    </row>
    <row r="3" spans="14:27" x14ac:dyDescent="0.2">
      <c r="N3" s="51"/>
      <c r="P3" s="60" t="s">
        <v>1437</v>
      </c>
      <c r="Q3" s="48">
        <v>2</v>
      </c>
      <c r="R3" s="48"/>
      <c r="S3" s="48"/>
      <c r="T3" s="48"/>
      <c r="U3" s="48"/>
      <c r="V3" s="48"/>
      <c r="W3" s="48"/>
      <c r="X3" s="48">
        <v>2</v>
      </c>
      <c r="Z3" s="61" t="s">
        <v>73</v>
      </c>
      <c r="AA3" s="59">
        <v>20</v>
      </c>
    </row>
    <row r="4" spans="14:27" x14ac:dyDescent="0.2">
      <c r="N4" s="51"/>
      <c r="P4" s="60" t="s">
        <v>616</v>
      </c>
      <c r="Q4" s="48">
        <v>3</v>
      </c>
      <c r="R4" s="48">
        <v>2</v>
      </c>
      <c r="S4" s="48"/>
      <c r="T4" s="48"/>
      <c r="U4" s="48"/>
      <c r="V4" s="48"/>
      <c r="W4" s="48"/>
      <c r="X4" s="48">
        <v>5</v>
      </c>
      <c r="Z4" s="61" t="s">
        <v>168</v>
      </c>
      <c r="AA4" s="59">
        <v>3</v>
      </c>
    </row>
    <row r="5" spans="14:27" x14ac:dyDescent="0.2">
      <c r="N5" s="51"/>
      <c r="P5" s="60" t="s">
        <v>753</v>
      </c>
      <c r="Q5" s="48">
        <v>2</v>
      </c>
      <c r="R5" s="48">
        <v>1</v>
      </c>
      <c r="S5" s="48"/>
      <c r="T5" s="48">
        <v>4</v>
      </c>
      <c r="U5" s="48">
        <v>1</v>
      </c>
      <c r="V5" s="48"/>
      <c r="W5" s="48"/>
      <c r="X5" s="48">
        <v>8</v>
      </c>
      <c r="Z5" s="61" t="s">
        <v>58</v>
      </c>
      <c r="AA5" s="59">
        <v>104</v>
      </c>
    </row>
    <row r="6" spans="14:27" x14ac:dyDescent="0.2">
      <c r="N6" s="51"/>
      <c r="P6" s="60" t="s">
        <v>1476</v>
      </c>
      <c r="Q6" s="48"/>
      <c r="R6" s="48"/>
      <c r="S6" s="48"/>
      <c r="T6" s="48">
        <v>2</v>
      </c>
      <c r="U6" s="48">
        <v>4</v>
      </c>
      <c r="V6" s="48">
        <v>7</v>
      </c>
      <c r="W6" s="48">
        <v>4</v>
      </c>
      <c r="X6" s="48">
        <v>17</v>
      </c>
      <c r="Z6" s="61" t="s">
        <v>67</v>
      </c>
      <c r="AA6" s="59">
        <v>94</v>
      </c>
    </row>
    <row r="7" spans="14:27" x14ac:dyDescent="0.2">
      <c r="N7" s="51"/>
      <c r="P7" s="60" t="s">
        <v>2486</v>
      </c>
      <c r="Q7" s="48"/>
      <c r="R7" s="48"/>
      <c r="S7" s="48"/>
      <c r="T7" s="48">
        <v>3</v>
      </c>
      <c r="U7" s="48">
        <v>2</v>
      </c>
      <c r="V7" s="48">
        <v>3</v>
      </c>
      <c r="W7" s="48">
        <v>2</v>
      </c>
      <c r="X7" s="48">
        <v>10</v>
      </c>
      <c r="Z7" s="61" t="s">
        <v>75</v>
      </c>
      <c r="AA7" s="59">
        <v>21</v>
      </c>
    </row>
    <row r="8" spans="14:27" x14ac:dyDescent="0.2">
      <c r="N8" s="51"/>
      <c r="P8" s="60" t="s">
        <v>3933</v>
      </c>
      <c r="Q8" s="48"/>
      <c r="R8" s="48"/>
      <c r="S8" s="48"/>
      <c r="T8" s="48"/>
      <c r="U8" s="48">
        <v>1</v>
      </c>
      <c r="V8" s="48">
        <v>1</v>
      </c>
      <c r="W8" s="48"/>
      <c r="X8" s="48">
        <v>2</v>
      </c>
      <c r="Z8" s="61" t="s">
        <v>98</v>
      </c>
      <c r="AA8" s="59">
        <v>33</v>
      </c>
    </row>
    <row r="9" spans="14:27" x14ac:dyDescent="0.2">
      <c r="N9" s="51"/>
      <c r="P9" s="60" t="s">
        <v>1198</v>
      </c>
      <c r="Q9" s="48">
        <v>1</v>
      </c>
      <c r="R9" s="48">
        <v>1</v>
      </c>
      <c r="S9" s="48"/>
      <c r="T9" s="48"/>
      <c r="U9" s="48"/>
      <c r="V9" s="48"/>
      <c r="W9" s="48"/>
      <c r="X9" s="48">
        <v>2</v>
      </c>
      <c r="Z9" s="61" t="s">
        <v>53</v>
      </c>
      <c r="AA9" s="59">
        <v>24</v>
      </c>
    </row>
    <row r="10" spans="14:27" x14ac:dyDescent="0.2">
      <c r="N10" s="51"/>
      <c r="P10" s="60" t="s">
        <v>647</v>
      </c>
      <c r="Q10" s="48">
        <v>3</v>
      </c>
      <c r="R10" s="48"/>
      <c r="S10" s="48">
        <v>4</v>
      </c>
      <c r="T10" s="48">
        <v>1</v>
      </c>
      <c r="U10" s="48">
        <v>1</v>
      </c>
      <c r="V10" s="48">
        <v>1</v>
      </c>
      <c r="W10" s="48"/>
      <c r="X10" s="48">
        <v>10</v>
      </c>
      <c r="Z10" s="61" t="s">
        <v>155</v>
      </c>
      <c r="AA10" s="59">
        <v>51</v>
      </c>
    </row>
    <row r="11" spans="14:27" x14ac:dyDescent="0.2">
      <c r="N11" s="51"/>
      <c r="P11" s="60" t="s">
        <v>937</v>
      </c>
      <c r="Q11" s="48">
        <v>1</v>
      </c>
      <c r="R11" s="48">
        <v>2</v>
      </c>
      <c r="S11" s="48">
        <v>3</v>
      </c>
      <c r="T11" s="48">
        <v>2</v>
      </c>
      <c r="U11" s="48">
        <v>2</v>
      </c>
      <c r="V11" s="48">
        <v>3</v>
      </c>
      <c r="W11" s="48">
        <v>1</v>
      </c>
      <c r="X11" s="48">
        <v>14</v>
      </c>
      <c r="Z11" s="61" t="s">
        <v>320</v>
      </c>
      <c r="AA11" s="59">
        <v>7</v>
      </c>
    </row>
    <row r="12" spans="14:27" x14ac:dyDescent="0.2">
      <c r="N12" s="51"/>
      <c r="P12" s="60" t="s">
        <v>951</v>
      </c>
      <c r="Q12" s="48">
        <v>2</v>
      </c>
      <c r="R12" s="48">
        <v>1</v>
      </c>
      <c r="S12" s="48"/>
      <c r="T12" s="48">
        <v>1</v>
      </c>
      <c r="U12" s="48"/>
      <c r="V12" s="48"/>
      <c r="W12" s="48"/>
      <c r="X12" s="48">
        <v>4</v>
      </c>
      <c r="Z12" s="61" t="s">
        <v>154</v>
      </c>
      <c r="AA12" s="59">
        <v>53</v>
      </c>
    </row>
    <row r="13" spans="14:27" x14ac:dyDescent="0.2">
      <c r="N13" s="51"/>
      <c r="P13" s="60" t="s">
        <v>554</v>
      </c>
      <c r="Q13" s="48">
        <v>2</v>
      </c>
      <c r="R13" s="48">
        <v>2</v>
      </c>
      <c r="S13" s="48">
        <v>2</v>
      </c>
      <c r="T13" s="48">
        <v>1</v>
      </c>
      <c r="U13" s="48">
        <v>2</v>
      </c>
      <c r="V13" s="48">
        <v>2</v>
      </c>
      <c r="W13" s="48">
        <v>3</v>
      </c>
      <c r="X13" s="48">
        <v>14</v>
      </c>
      <c r="Z13" s="61" t="s">
        <v>6582</v>
      </c>
      <c r="AA13" s="59">
        <v>2</v>
      </c>
    </row>
    <row r="14" spans="14:27" x14ac:dyDescent="0.2">
      <c r="N14" s="51"/>
      <c r="P14" s="60" t="s">
        <v>3180</v>
      </c>
      <c r="Q14" s="48">
        <v>1</v>
      </c>
      <c r="R14" s="48"/>
      <c r="S14" s="48"/>
      <c r="T14" s="48"/>
      <c r="U14" s="48"/>
      <c r="V14" s="48"/>
      <c r="W14" s="48"/>
      <c r="X14" s="48">
        <v>1</v>
      </c>
      <c r="Z14" s="61" t="s">
        <v>90</v>
      </c>
      <c r="AA14" s="59">
        <v>19</v>
      </c>
    </row>
    <row r="15" spans="14:27" x14ac:dyDescent="0.2">
      <c r="N15" s="51"/>
      <c r="P15" s="60" t="s">
        <v>508</v>
      </c>
      <c r="Q15" s="48">
        <v>4</v>
      </c>
      <c r="R15" s="48"/>
      <c r="S15" s="48">
        <v>2</v>
      </c>
      <c r="T15" s="48">
        <v>3</v>
      </c>
      <c r="U15" s="48">
        <v>1</v>
      </c>
      <c r="V15" s="48">
        <v>3</v>
      </c>
      <c r="W15" s="48">
        <v>1</v>
      </c>
      <c r="X15" s="48">
        <v>14</v>
      </c>
      <c r="Z15" s="61" t="s">
        <v>72</v>
      </c>
      <c r="AA15" s="59">
        <v>30</v>
      </c>
    </row>
    <row r="16" spans="14:27" x14ac:dyDescent="0.2">
      <c r="N16" s="51"/>
      <c r="P16" s="60" t="s">
        <v>709</v>
      </c>
      <c r="Q16" s="48">
        <v>2</v>
      </c>
      <c r="R16" s="48">
        <v>2</v>
      </c>
      <c r="S16" s="48">
        <v>2</v>
      </c>
      <c r="T16" s="48">
        <v>2</v>
      </c>
      <c r="U16" s="48">
        <v>3</v>
      </c>
      <c r="V16" s="48">
        <v>3</v>
      </c>
      <c r="W16" s="48">
        <v>3</v>
      </c>
      <c r="X16" s="48">
        <v>17</v>
      </c>
      <c r="Z16" s="61" t="s">
        <v>369</v>
      </c>
      <c r="AA16" s="59">
        <v>35</v>
      </c>
    </row>
    <row r="17" spans="14:27" x14ac:dyDescent="0.2">
      <c r="N17" s="51"/>
      <c r="P17" s="60" t="s">
        <v>3761</v>
      </c>
      <c r="Q17" s="48">
        <v>1</v>
      </c>
      <c r="R17" s="48">
        <v>1</v>
      </c>
      <c r="S17" s="48"/>
      <c r="T17" s="48"/>
      <c r="U17" s="48"/>
      <c r="V17" s="48"/>
      <c r="W17" s="48"/>
      <c r="X17" s="48">
        <v>2</v>
      </c>
      <c r="Z17" s="61" t="s">
        <v>54</v>
      </c>
      <c r="AA17" s="59">
        <v>8</v>
      </c>
    </row>
    <row r="18" spans="14:27" x14ac:dyDescent="0.2">
      <c r="N18" s="51"/>
      <c r="P18" s="60" t="s">
        <v>601</v>
      </c>
      <c r="Q18" s="48">
        <v>3</v>
      </c>
      <c r="R18" s="48">
        <v>3</v>
      </c>
      <c r="S18" s="48">
        <v>1</v>
      </c>
      <c r="T18" s="48">
        <v>3</v>
      </c>
      <c r="U18" s="48">
        <v>2</v>
      </c>
      <c r="V18" s="48">
        <v>2</v>
      </c>
      <c r="W18" s="48">
        <v>2</v>
      </c>
      <c r="X18" s="48">
        <v>16</v>
      </c>
      <c r="Z18" s="61" t="s">
        <v>132</v>
      </c>
      <c r="AA18" s="59">
        <v>504</v>
      </c>
    </row>
    <row r="19" spans="14:27" x14ac:dyDescent="0.2">
      <c r="N19" s="51"/>
      <c r="P19" s="60" t="s">
        <v>4848</v>
      </c>
      <c r="Q19" s="48"/>
      <c r="R19" s="48"/>
      <c r="S19" s="48"/>
      <c r="T19" s="48"/>
      <c r="U19" s="48"/>
      <c r="V19" s="48">
        <v>1</v>
      </c>
      <c r="W19" s="48">
        <v>3</v>
      </c>
      <c r="X19" s="48">
        <v>4</v>
      </c>
    </row>
    <row r="20" spans="14:27" x14ac:dyDescent="0.2">
      <c r="N20" s="51"/>
      <c r="P20" s="60" t="s">
        <v>1966</v>
      </c>
      <c r="Q20" s="48"/>
      <c r="R20" s="48"/>
      <c r="S20" s="48">
        <v>1</v>
      </c>
      <c r="T20" s="48">
        <v>1</v>
      </c>
      <c r="U20" s="48"/>
      <c r="V20" s="48">
        <v>3</v>
      </c>
      <c r="W20" s="48">
        <v>1</v>
      </c>
      <c r="X20" s="48">
        <v>6</v>
      </c>
    </row>
    <row r="21" spans="14:27" x14ac:dyDescent="0.2">
      <c r="N21" s="51"/>
      <c r="P21" s="60" t="s">
        <v>908</v>
      </c>
      <c r="Q21" s="48">
        <v>2</v>
      </c>
      <c r="R21" s="48"/>
      <c r="S21" s="48">
        <v>2</v>
      </c>
      <c r="T21" s="48">
        <v>1</v>
      </c>
      <c r="U21" s="48">
        <v>1</v>
      </c>
      <c r="V21" s="48">
        <v>1</v>
      </c>
      <c r="W21" s="48">
        <v>1</v>
      </c>
      <c r="X21" s="48">
        <v>8</v>
      </c>
    </row>
    <row r="22" spans="14:27" x14ac:dyDescent="0.2">
      <c r="N22" s="51"/>
      <c r="P22" s="60" t="s">
        <v>584</v>
      </c>
      <c r="Q22" s="48">
        <v>5</v>
      </c>
      <c r="R22" s="48">
        <v>1</v>
      </c>
      <c r="S22" s="48">
        <v>3</v>
      </c>
      <c r="T22" s="48">
        <v>3</v>
      </c>
      <c r="U22" s="48"/>
      <c r="V22" s="48"/>
      <c r="W22" s="48"/>
      <c r="X22" s="48">
        <v>12</v>
      </c>
    </row>
    <row r="23" spans="14:27" x14ac:dyDescent="0.2">
      <c r="N23" s="51"/>
      <c r="P23" s="60" t="s">
        <v>3799</v>
      </c>
      <c r="Q23" s="48">
        <v>1</v>
      </c>
      <c r="R23" s="48"/>
      <c r="S23" s="48"/>
      <c r="T23" s="48"/>
      <c r="U23" s="48"/>
      <c r="V23" s="48"/>
      <c r="W23" s="48"/>
      <c r="X23" s="48">
        <v>1</v>
      </c>
    </row>
    <row r="24" spans="14:27" x14ac:dyDescent="0.2">
      <c r="N24" s="51"/>
      <c r="P24" s="60" t="s">
        <v>923</v>
      </c>
      <c r="Q24" s="48">
        <v>2</v>
      </c>
      <c r="R24" s="48">
        <v>2</v>
      </c>
      <c r="S24" s="48">
        <v>2</v>
      </c>
      <c r="T24" s="48">
        <v>7</v>
      </c>
      <c r="U24" s="48">
        <v>3</v>
      </c>
      <c r="V24" s="48">
        <v>5</v>
      </c>
      <c r="W24" s="48">
        <v>3</v>
      </c>
      <c r="X24" s="48">
        <v>24</v>
      </c>
    </row>
    <row r="25" spans="14:27" x14ac:dyDescent="0.2">
      <c r="N25" s="51"/>
      <c r="P25" s="60" t="s">
        <v>3604</v>
      </c>
      <c r="Q25" s="48">
        <v>1</v>
      </c>
      <c r="R25" s="48"/>
      <c r="S25" s="48"/>
      <c r="T25" s="48"/>
      <c r="U25" s="48"/>
      <c r="V25" s="48"/>
      <c r="W25" s="48"/>
      <c r="X25" s="48">
        <v>1</v>
      </c>
    </row>
    <row r="26" spans="14:27" x14ac:dyDescent="0.2">
      <c r="N26" s="51"/>
      <c r="P26" s="60" t="s">
        <v>524</v>
      </c>
      <c r="Q26" s="48">
        <v>3</v>
      </c>
      <c r="R26" s="48">
        <v>4</v>
      </c>
      <c r="S26" s="48">
        <v>4</v>
      </c>
      <c r="T26" s="48">
        <v>3</v>
      </c>
      <c r="U26" s="48">
        <v>1</v>
      </c>
      <c r="V26" s="48">
        <v>7</v>
      </c>
      <c r="W26" s="48">
        <v>1</v>
      </c>
      <c r="X26" s="48">
        <v>23</v>
      </c>
    </row>
    <row r="27" spans="14:27" x14ac:dyDescent="0.2">
      <c r="N27" s="51"/>
      <c r="P27" s="60" t="s">
        <v>1171</v>
      </c>
      <c r="Q27" s="48">
        <v>2</v>
      </c>
      <c r="R27" s="48">
        <v>3</v>
      </c>
      <c r="S27" s="48">
        <v>2</v>
      </c>
      <c r="T27" s="48">
        <v>2</v>
      </c>
      <c r="U27" s="48">
        <v>1</v>
      </c>
      <c r="V27" s="48">
        <v>2</v>
      </c>
      <c r="W27" s="48">
        <v>1</v>
      </c>
      <c r="X27" s="48">
        <v>13</v>
      </c>
    </row>
    <row r="28" spans="14:27" x14ac:dyDescent="0.2">
      <c r="N28" s="51"/>
      <c r="P28" s="60" t="s">
        <v>877</v>
      </c>
      <c r="Q28" s="48">
        <v>3</v>
      </c>
      <c r="R28" s="48">
        <v>2</v>
      </c>
      <c r="S28" s="48">
        <v>2</v>
      </c>
      <c r="T28" s="48">
        <v>2</v>
      </c>
      <c r="U28" s="48">
        <v>3</v>
      </c>
      <c r="V28" s="48">
        <v>4</v>
      </c>
      <c r="W28" s="48">
        <v>8</v>
      </c>
      <c r="X28" s="48">
        <v>24</v>
      </c>
    </row>
    <row r="29" spans="14:27" x14ac:dyDescent="0.2">
      <c r="N29" s="51"/>
      <c r="P29" s="60" t="s">
        <v>810</v>
      </c>
      <c r="Q29" s="48">
        <v>2</v>
      </c>
      <c r="R29" s="48">
        <v>1</v>
      </c>
      <c r="S29" s="48"/>
      <c r="T29" s="48"/>
      <c r="U29" s="48"/>
      <c r="V29" s="48"/>
      <c r="W29" s="48"/>
      <c r="X29" s="48">
        <v>3</v>
      </c>
    </row>
    <row r="30" spans="14:27" x14ac:dyDescent="0.2">
      <c r="N30" s="51"/>
      <c r="P30" s="60" t="s">
        <v>724</v>
      </c>
      <c r="Q30" s="48">
        <v>1</v>
      </c>
      <c r="R30" s="48">
        <v>1</v>
      </c>
      <c r="S30" s="48">
        <v>2</v>
      </c>
      <c r="T30" s="48">
        <v>4</v>
      </c>
      <c r="U30" s="48">
        <v>3</v>
      </c>
      <c r="V30" s="48">
        <v>3</v>
      </c>
      <c r="W30" s="48">
        <v>2</v>
      </c>
      <c r="X30" s="48">
        <v>16</v>
      </c>
    </row>
    <row r="31" spans="14:27" x14ac:dyDescent="0.2">
      <c r="N31" s="51"/>
      <c r="P31" s="60" t="s">
        <v>3907</v>
      </c>
      <c r="Q31" s="48"/>
      <c r="R31" s="48"/>
      <c r="S31" s="48"/>
      <c r="T31" s="48"/>
      <c r="U31" s="48">
        <v>3</v>
      </c>
      <c r="V31" s="48">
        <v>3</v>
      </c>
      <c r="W31" s="48">
        <v>3</v>
      </c>
      <c r="X31" s="48">
        <v>9</v>
      </c>
    </row>
    <row r="32" spans="14:27" x14ac:dyDescent="0.2">
      <c r="N32" s="51"/>
      <c r="P32" s="60" t="s">
        <v>6230</v>
      </c>
      <c r="Q32" s="48"/>
      <c r="R32" s="48"/>
      <c r="S32" s="48"/>
      <c r="T32" s="48"/>
      <c r="U32" s="48"/>
      <c r="V32" s="48"/>
      <c r="W32" s="48">
        <v>1</v>
      </c>
      <c r="X32" s="48">
        <v>1</v>
      </c>
    </row>
    <row r="33" spans="14:24" x14ac:dyDescent="0.2">
      <c r="N33" s="51"/>
      <c r="P33" s="60" t="s">
        <v>631</v>
      </c>
      <c r="Q33" s="48">
        <v>6</v>
      </c>
      <c r="R33" s="48">
        <v>8</v>
      </c>
      <c r="S33" s="48">
        <v>6</v>
      </c>
      <c r="T33" s="48">
        <v>3</v>
      </c>
      <c r="U33" s="48">
        <v>9</v>
      </c>
      <c r="V33" s="48">
        <v>10</v>
      </c>
      <c r="W33" s="48">
        <v>7</v>
      </c>
      <c r="X33" s="48">
        <v>49</v>
      </c>
    </row>
    <row r="34" spans="14:24" x14ac:dyDescent="0.2">
      <c r="N34" s="51"/>
      <c r="P34" s="60" t="s">
        <v>795</v>
      </c>
      <c r="Q34" s="48">
        <v>5</v>
      </c>
      <c r="R34" s="48">
        <v>13</v>
      </c>
      <c r="S34" s="48">
        <v>3</v>
      </c>
      <c r="T34" s="48">
        <v>5</v>
      </c>
      <c r="U34" s="48">
        <v>5</v>
      </c>
      <c r="V34" s="48">
        <v>1</v>
      </c>
      <c r="W34" s="48">
        <v>9</v>
      </c>
      <c r="X34" s="48">
        <v>41</v>
      </c>
    </row>
    <row r="35" spans="14:24" x14ac:dyDescent="0.2">
      <c r="N35" s="51"/>
      <c r="P35" s="60" t="s">
        <v>6016</v>
      </c>
      <c r="Q35" s="48"/>
      <c r="R35" s="48"/>
      <c r="S35" s="48"/>
      <c r="T35" s="48"/>
      <c r="U35" s="48"/>
      <c r="V35" s="48"/>
      <c r="W35" s="48">
        <v>1</v>
      </c>
      <c r="X35" s="48">
        <v>1</v>
      </c>
    </row>
    <row r="36" spans="14:24" x14ac:dyDescent="0.2">
      <c r="N36" s="51"/>
      <c r="P36" s="60" t="s">
        <v>4753</v>
      </c>
      <c r="Q36" s="48"/>
      <c r="R36" s="48"/>
      <c r="S36" s="48"/>
      <c r="T36" s="48"/>
      <c r="U36" s="48"/>
      <c r="V36" s="48">
        <v>1</v>
      </c>
      <c r="W36" s="48">
        <v>2</v>
      </c>
      <c r="X36" s="48">
        <v>3</v>
      </c>
    </row>
    <row r="37" spans="14:24" x14ac:dyDescent="0.2">
      <c r="N37" s="51"/>
      <c r="P37" s="60" t="s">
        <v>738</v>
      </c>
      <c r="Q37" s="48">
        <v>2</v>
      </c>
      <c r="R37" s="48">
        <v>2</v>
      </c>
      <c r="S37" s="48">
        <v>3</v>
      </c>
      <c r="T37" s="48">
        <v>1</v>
      </c>
      <c r="U37" s="48"/>
      <c r="V37" s="48"/>
      <c r="W37" s="48"/>
      <c r="X37" s="48">
        <v>8</v>
      </c>
    </row>
    <row r="38" spans="14:24" x14ac:dyDescent="0.2">
      <c r="N38" s="51"/>
      <c r="P38" s="60" t="s">
        <v>1184</v>
      </c>
      <c r="Q38" s="48">
        <v>1</v>
      </c>
      <c r="R38" s="48">
        <v>2</v>
      </c>
      <c r="S38" s="48"/>
      <c r="T38" s="48">
        <v>4</v>
      </c>
      <c r="U38" s="48">
        <v>1</v>
      </c>
      <c r="V38" s="48"/>
      <c r="W38" s="48"/>
      <c r="X38" s="48">
        <v>8</v>
      </c>
    </row>
    <row r="39" spans="14:24" x14ac:dyDescent="0.2">
      <c r="N39" s="51"/>
      <c r="P39" s="60" t="s">
        <v>781</v>
      </c>
      <c r="Q39" s="48"/>
      <c r="R39" s="48">
        <v>1</v>
      </c>
      <c r="S39" s="48">
        <v>2</v>
      </c>
      <c r="T39" s="48">
        <v>1</v>
      </c>
      <c r="U39" s="48">
        <v>2</v>
      </c>
      <c r="V39" s="48">
        <v>3</v>
      </c>
      <c r="W39" s="48">
        <v>1</v>
      </c>
      <c r="X39" s="48">
        <v>10</v>
      </c>
    </row>
    <row r="40" spans="14:24" x14ac:dyDescent="0.2">
      <c r="N40" s="51"/>
      <c r="P40" s="60" t="s">
        <v>4352</v>
      </c>
      <c r="Q40" s="48"/>
      <c r="R40" s="48"/>
      <c r="S40" s="48"/>
      <c r="T40" s="48"/>
      <c r="U40" s="48">
        <v>2</v>
      </c>
      <c r="V40" s="48">
        <v>3</v>
      </c>
      <c r="W40" s="48">
        <v>1</v>
      </c>
      <c r="X40" s="48">
        <v>6</v>
      </c>
    </row>
    <row r="41" spans="14:24" x14ac:dyDescent="0.2">
      <c r="N41" s="51"/>
      <c r="P41" s="60" t="s">
        <v>540</v>
      </c>
      <c r="Q41" s="48">
        <v>1</v>
      </c>
      <c r="R41" s="48">
        <v>4</v>
      </c>
      <c r="S41" s="48">
        <v>1</v>
      </c>
      <c r="T41" s="48">
        <v>1</v>
      </c>
      <c r="U41" s="48">
        <v>4</v>
      </c>
      <c r="V41" s="48">
        <v>3</v>
      </c>
      <c r="W41" s="48">
        <v>4</v>
      </c>
      <c r="X41" s="48">
        <v>18</v>
      </c>
    </row>
    <row r="42" spans="14:24" x14ac:dyDescent="0.2">
      <c r="N42" s="51"/>
      <c r="P42" s="60" t="s">
        <v>569</v>
      </c>
      <c r="Q42" s="48">
        <v>1</v>
      </c>
      <c r="R42" s="48"/>
      <c r="S42" s="48">
        <v>1</v>
      </c>
      <c r="T42" s="48">
        <v>3</v>
      </c>
      <c r="U42" s="48"/>
      <c r="V42" s="48"/>
      <c r="W42" s="48"/>
      <c r="X42" s="48">
        <v>5</v>
      </c>
    </row>
    <row r="43" spans="14:24" x14ac:dyDescent="0.2">
      <c r="N43" s="51"/>
      <c r="P43" s="60" t="s">
        <v>5334</v>
      </c>
      <c r="Q43" s="48"/>
      <c r="R43" s="48"/>
      <c r="S43" s="48"/>
      <c r="T43" s="48"/>
      <c r="U43" s="48"/>
      <c r="V43" s="48">
        <v>1</v>
      </c>
      <c r="W43" s="48">
        <v>3</v>
      </c>
      <c r="X43" s="48">
        <v>4</v>
      </c>
    </row>
    <row r="44" spans="14:24" x14ac:dyDescent="0.2">
      <c r="N44" s="51"/>
      <c r="P44" s="60" t="s">
        <v>1555</v>
      </c>
      <c r="Q44" s="48"/>
      <c r="R44" s="48">
        <v>2</v>
      </c>
      <c r="S44" s="48">
        <v>1</v>
      </c>
      <c r="T44" s="48">
        <v>1</v>
      </c>
      <c r="U44" s="48">
        <v>1</v>
      </c>
      <c r="V44" s="48">
        <v>1</v>
      </c>
      <c r="W44" s="48"/>
      <c r="X44" s="48">
        <v>6</v>
      </c>
    </row>
    <row r="45" spans="14:24" x14ac:dyDescent="0.2">
      <c r="N45" s="51"/>
      <c r="P45" s="60" t="s">
        <v>892</v>
      </c>
      <c r="Q45" s="48">
        <v>2</v>
      </c>
      <c r="R45" s="48">
        <v>1</v>
      </c>
      <c r="S45" s="48">
        <v>1</v>
      </c>
      <c r="T45" s="48">
        <v>3</v>
      </c>
      <c r="U45" s="48"/>
      <c r="V45" s="48">
        <v>3</v>
      </c>
      <c r="W45" s="48">
        <v>4</v>
      </c>
      <c r="X45" s="48">
        <v>14</v>
      </c>
    </row>
    <row r="46" spans="14:24" x14ac:dyDescent="0.2">
      <c r="N46" s="51"/>
      <c r="P46" s="60" t="s">
        <v>4387</v>
      </c>
      <c r="Q46" s="48"/>
      <c r="R46" s="48"/>
      <c r="S46" s="48"/>
      <c r="T46" s="48"/>
      <c r="U46" s="48">
        <v>1</v>
      </c>
      <c r="V46" s="48">
        <v>1</v>
      </c>
      <c r="W46" s="48"/>
      <c r="X46" s="48">
        <v>2</v>
      </c>
    </row>
    <row r="47" spans="14:24" x14ac:dyDescent="0.2">
      <c r="N47" s="51"/>
      <c r="P47" s="60" t="s">
        <v>1373</v>
      </c>
      <c r="Q47" s="48">
        <v>2</v>
      </c>
      <c r="R47" s="48">
        <v>11</v>
      </c>
      <c r="S47" s="48">
        <v>1</v>
      </c>
      <c r="T47" s="48">
        <v>3</v>
      </c>
      <c r="U47" s="48">
        <v>3</v>
      </c>
      <c r="V47" s="48">
        <v>4</v>
      </c>
      <c r="W47" s="48">
        <v>2</v>
      </c>
      <c r="X47" s="48">
        <v>26</v>
      </c>
    </row>
    <row r="48" spans="14:24" x14ac:dyDescent="0.2">
      <c r="N48" s="51"/>
      <c r="P48" s="60" t="s">
        <v>978</v>
      </c>
      <c r="Q48" s="48">
        <v>4</v>
      </c>
      <c r="R48" s="48">
        <v>4</v>
      </c>
      <c r="S48" s="48">
        <v>1</v>
      </c>
      <c r="T48" s="48">
        <v>2</v>
      </c>
      <c r="U48" s="48">
        <v>3</v>
      </c>
      <c r="V48" s="48">
        <v>4</v>
      </c>
      <c r="W48" s="48">
        <v>2</v>
      </c>
      <c r="X48" s="48">
        <v>20</v>
      </c>
    </row>
    <row r="49" spans="14:24" x14ac:dyDescent="0.2">
      <c r="N49" s="51"/>
      <c r="P49" s="60" t="s">
        <v>6584</v>
      </c>
      <c r="Q49" s="48">
        <v>73</v>
      </c>
      <c r="R49" s="48">
        <v>77</v>
      </c>
      <c r="S49" s="48">
        <v>52</v>
      </c>
      <c r="T49" s="48">
        <v>72</v>
      </c>
      <c r="U49" s="48">
        <v>65</v>
      </c>
      <c r="V49" s="48">
        <v>89</v>
      </c>
      <c r="W49" s="48">
        <v>76</v>
      </c>
      <c r="X49" s="48">
        <v>504</v>
      </c>
    </row>
    <row r="50" spans="14:24" x14ac:dyDescent="0.2">
      <c r="N50" s="51"/>
    </row>
    <row r="51" spans="14:24" x14ac:dyDescent="0.2">
      <c r="N51" s="5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6:C763"/>
  <sheetViews>
    <sheetView topLeftCell="A393" workbookViewId="0">
      <selection activeCell="J27" sqref="J27"/>
    </sheetView>
  </sheetViews>
  <sheetFormatPr baseColWidth="10" defaultColWidth="8.83203125" defaultRowHeight="15" x14ac:dyDescent="0.2"/>
  <cols>
    <col min="1" max="2" width="9.5" bestFit="1" customWidth="1"/>
  </cols>
  <sheetData>
    <row r="6" spans="1:2" x14ac:dyDescent="0.2">
      <c r="A6" t="s">
        <v>321</v>
      </c>
    </row>
    <row r="8" spans="1:2" x14ac:dyDescent="0.2">
      <c r="A8" s="2" t="s">
        <v>131</v>
      </c>
      <c r="B8" t="s">
        <v>133</v>
      </c>
    </row>
    <row r="9" spans="1:2" x14ac:dyDescent="0.2">
      <c r="A9" s="3" t="s">
        <v>111</v>
      </c>
      <c r="B9" s="62">
        <v>73</v>
      </c>
    </row>
    <row r="10" spans="1:2" x14ac:dyDescent="0.2">
      <c r="A10" s="3" t="s">
        <v>258</v>
      </c>
      <c r="B10" s="62">
        <v>77</v>
      </c>
    </row>
    <row r="11" spans="1:2" x14ac:dyDescent="0.2">
      <c r="A11" s="3" t="s">
        <v>339</v>
      </c>
      <c r="B11" s="62">
        <v>52</v>
      </c>
    </row>
    <row r="12" spans="1:2" x14ac:dyDescent="0.2">
      <c r="A12" s="3" t="s">
        <v>389</v>
      </c>
      <c r="B12" s="62">
        <v>72</v>
      </c>
    </row>
    <row r="13" spans="1:2" x14ac:dyDescent="0.2">
      <c r="A13" s="3" t="s">
        <v>425</v>
      </c>
      <c r="B13" s="62">
        <v>65</v>
      </c>
    </row>
    <row r="14" spans="1:2" x14ac:dyDescent="0.2">
      <c r="A14" s="3" t="s">
        <v>462</v>
      </c>
      <c r="B14" s="62">
        <v>89</v>
      </c>
    </row>
    <row r="15" spans="1:2" x14ac:dyDescent="0.2">
      <c r="A15" s="3" t="s">
        <v>5682</v>
      </c>
      <c r="B15" s="62">
        <v>76</v>
      </c>
    </row>
    <row r="16" spans="1:2" x14ac:dyDescent="0.2">
      <c r="A16" s="3" t="s">
        <v>132</v>
      </c>
      <c r="B16" s="62">
        <v>504</v>
      </c>
    </row>
    <row r="29" spans="1:2" x14ac:dyDescent="0.2">
      <c r="A29" t="s">
        <v>322</v>
      </c>
    </row>
    <row r="31" spans="1:2" x14ac:dyDescent="0.2">
      <c r="A31" s="2" t="s">
        <v>131</v>
      </c>
      <c r="B31" t="s">
        <v>133</v>
      </c>
    </row>
    <row r="32" spans="1:2" x14ac:dyDescent="0.2">
      <c r="A32" s="3" t="s">
        <v>585</v>
      </c>
      <c r="B32" s="62">
        <v>108</v>
      </c>
    </row>
    <row r="33" spans="1:2" x14ac:dyDescent="0.2">
      <c r="A33" s="3" t="s">
        <v>509</v>
      </c>
      <c r="B33" s="62">
        <v>205</v>
      </c>
    </row>
    <row r="34" spans="1:2" x14ac:dyDescent="0.2">
      <c r="A34" s="3" t="s">
        <v>541</v>
      </c>
      <c r="B34" s="62">
        <v>191</v>
      </c>
    </row>
    <row r="35" spans="1:2" x14ac:dyDescent="0.2">
      <c r="A35" s="3" t="s">
        <v>132</v>
      </c>
      <c r="B35" s="62">
        <v>504</v>
      </c>
    </row>
    <row r="47" spans="1:2" x14ac:dyDescent="0.2">
      <c r="A47" t="s">
        <v>323</v>
      </c>
    </row>
    <row r="49" spans="1:2" x14ac:dyDescent="0.2">
      <c r="A49" t="s">
        <v>133</v>
      </c>
    </row>
    <row r="50" spans="1:2" x14ac:dyDescent="0.2">
      <c r="A50" s="62">
        <v>504</v>
      </c>
    </row>
    <row r="60" spans="1:2" x14ac:dyDescent="0.2">
      <c r="A60" t="s">
        <v>324</v>
      </c>
    </row>
    <row r="62" spans="1:2" x14ac:dyDescent="0.2">
      <c r="A62" s="2" t="s">
        <v>131</v>
      </c>
      <c r="B62" t="s">
        <v>133</v>
      </c>
    </row>
    <row r="63" spans="1:2" x14ac:dyDescent="0.2">
      <c r="A63" s="3" t="s">
        <v>121</v>
      </c>
      <c r="B63" s="62">
        <v>54</v>
      </c>
    </row>
    <row r="64" spans="1:2" x14ac:dyDescent="0.2">
      <c r="A64" s="3" t="s">
        <v>50</v>
      </c>
      <c r="B64" s="62">
        <v>106</v>
      </c>
    </row>
    <row r="65" spans="1:2" x14ac:dyDescent="0.2">
      <c r="A65" s="3" t="s">
        <v>101</v>
      </c>
      <c r="B65" s="62">
        <v>17</v>
      </c>
    </row>
    <row r="66" spans="1:2" x14ac:dyDescent="0.2">
      <c r="A66" s="3" t="s">
        <v>118</v>
      </c>
      <c r="B66" s="62">
        <v>139</v>
      </c>
    </row>
    <row r="67" spans="1:2" x14ac:dyDescent="0.2">
      <c r="A67" s="3" t="s">
        <v>120</v>
      </c>
      <c r="B67" s="62">
        <v>34</v>
      </c>
    </row>
    <row r="68" spans="1:2" x14ac:dyDescent="0.2">
      <c r="A68" s="3" t="s">
        <v>119</v>
      </c>
      <c r="B68" s="62">
        <v>149</v>
      </c>
    </row>
    <row r="69" spans="1:2" x14ac:dyDescent="0.2">
      <c r="A69" s="3" t="s">
        <v>370</v>
      </c>
      <c r="B69" s="62">
        <v>3</v>
      </c>
    </row>
    <row r="70" spans="1:2" x14ac:dyDescent="0.2">
      <c r="A70" s="3" t="s">
        <v>371</v>
      </c>
      <c r="B70" s="62">
        <v>2</v>
      </c>
    </row>
    <row r="71" spans="1:2" x14ac:dyDescent="0.2">
      <c r="A71" s="3" t="s">
        <v>132</v>
      </c>
      <c r="B71" s="62">
        <v>504</v>
      </c>
    </row>
    <row r="85" spans="1:2" x14ac:dyDescent="0.2">
      <c r="A85" t="s">
        <v>325</v>
      </c>
    </row>
    <row r="87" spans="1:2" x14ac:dyDescent="0.2">
      <c r="A87" s="2" t="s">
        <v>131</v>
      </c>
      <c r="B87" t="s">
        <v>133</v>
      </c>
    </row>
    <row r="88" spans="1:2" x14ac:dyDescent="0.2">
      <c r="A88" s="3" t="s">
        <v>110</v>
      </c>
      <c r="B88" s="62">
        <v>435</v>
      </c>
    </row>
    <row r="89" spans="1:2" x14ac:dyDescent="0.2">
      <c r="A89" s="3" t="s">
        <v>109</v>
      </c>
      <c r="B89" s="62">
        <v>69</v>
      </c>
    </row>
    <row r="90" spans="1:2" x14ac:dyDescent="0.2">
      <c r="A90" s="3" t="s">
        <v>132</v>
      </c>
      <c r="B90" s="62">
        <v>504</v>
      </c>
    </row>
    <row r="98" spans="1:2" x14ac:dyDescent="0.2">
      <c r="A98" t="s">
        <v>326</v>
      </c>
    </row>
    <row r="100" spans="1:2" x14ac:dyDescent="0.2">
      <c r="A100" s="2" t="s">
        <v>131</v>
      </c>
      <c r="B100" t="s">
        <v>133</v>
      </c>
    </row>
    <row r="101" spans="1:2" x14ac:dyDescent="0.2">
      <c r="A101" s="3" t="s">
        <v>50</v>
      </c>
      <c r="B101" s="62">
        <v>106</v>
      </c>
    </row>
    <row r="102" spans="1:2" x14ac:dyDescent="0.2">
      <c r="A102" s="3" t="s">
        <v>262</v>
      </c>
      <c r="B102" s="62">
        <v>398</v>
      </c>
    </row>
    <row r="103" spans="1:2" x14ac:dyDescent="0.2">
      <c r="A103" s="3" t="s">
        <v>132</v>
      </c>
      <c r="B103" s="62">
        <v>504</v>
      </c>
    </row>
    <row r="117" spans="1:2" x14ac:dyDescent="0.2">
      <c r="A117" s="2" t="s">
        <v>131</v>
      </c>
      <c r="B117" t="s">
        <v>133</v>
      </c>
    </row>
    <row r="118" spans="1:2" x14ac:dyDescent="0.2">
      <c r="A118" s="3" t="s">
        <v>156</v>
      </c>
      <c r="B118" s="62">
        <v>429</v>
      </c>
    </row>
    <row r="119" spans="1:2" x14ac:dyDescent="0.2">
      <c r="A119" s="3" t="s">
        <v>6581</v>
      </c>
      <c r="B119" s="62">
        <v>75</v>
      </c>
    </row>
    <row r="120" spans="1:2" x14ac:dyDescent="0.2">
      <c r="A120" s="3" t="s">
        <v>132</v>
      </c>
      <c r="B120" s="62">
        <v>504</v>
      </c>
    </row>
    <row r="133" spans="1:2" x14ac:dyDescent="0.2">
      <c r="A133" s="2" t="s">
        <v>131</v>
      </c>
      <c r="B133" t="s">
        <v>133</v>
      </c>
    </row>
    <row r="134" spans="1:2" x14ac:dyDescent="0.2">
      <c r="A134" s="3" t="s">
        <v>54</v>
      </c>
      <c r="B134" s="62">
        <v>8</v>
      </c>
    </row>
    <row r="135" spans="1:2" x14ac:dyDescent="0.2">
      <c r="A135" s="3" t="s">
        <v>369</v>
      </c>
      <c r="B135" s="62">
        <v>35</v>
      </c>
    </row>
    <row r="136" spans="1:2" x14ac:dyDescent="0.2">
      <c r="A136" s="3" t="s">
        <v>72</v>
      </c>
      <c r="B136" s="62">
        <v>30</v>
      </c>
    </row>
    <row r="137" spans="1:2" x14ac:dyDescent="0.2">
      <c r="A137" s="3" t="s">
        <v>90</v>
      </c>
      <c r="B137" s="62">
        <v>19</v>
      </c>
    </row>
    <row r="138" spans="1:2" x14ac:dyDescent="0.2">
      <c r="A138" s="3" t="s">
        <v>6582</v>
      </c>
      <c r="B138" s="62">
        <v>2</v>
      </c>
    </row>
    <row r="139" spans="1:2" x14ac:dyDescent="0.2">
      <c r="A139" s="3" t="s">
        <v>154</v>
      </c>
      <c r="B139" s="62">
        <v>53</v>
      </c>
    </row>
    <row r="140" spans="1:2" x14ac:dyDescent="0.2">
      <c r="A140" s="3" t="s">
        <v>320</v>
      </c>
      <c r="B140" s="62">
        <v>7</v>
      </c>
    </row>
    <row r="141" spans="1:2" x14ac:dyDescent="0.2">
      <c r="A141" s="3" t="s">
        <v>155</v>
      </c>
      <c r="B141" s="62">
        <v>51</v>
      </c>
    </row>
    <row r="142" spans="1:2" x14ac:dyDescent="0.2">
      <c r="A142" s="3" t="s">
        <v>53</v>
      </c>
      <c r="B142" s="62">
        <v>24</v>
      </c>
    </row>
    <row r="143" spans="1:2" x14ac:dyDescent="0.2">
      <c r="A143" s="3" t="s">
        <v>98</v>
      </c>
      <c r="B143" s="62">
        <v>33</v>
      </c>
    </row>
    <row r="144" spans="1:2" x14ac:dyDescent="0.2">
      <c r="A144" s="3" t="s">
        <v>75</v>
      </c>
      <c r="B144" s="62">
        <v>21</v>
      </c>
    </row>
    <row r="145" spans="1:2" x14ac:dyDescent="0.2">
      <c r="A145" s="3" t="s">
        <v>67</v>
      </c>
      <c r="B145" s="62">
        <v>94</v>
      </c>
    </row>
    <row r="146" spans="1:2" x14ac:dyDescent="0.2">
      <c r="A146" s="3" t="s">
        <v>58</v>
      </c>
      <c r="B146" s="62">
        <v>104</v>
      </c>
    </row>
    <row r="147" spans="1:2" x14ac:dyDescent="0.2">
      <c r="A147" s="3" t="s">
        <v>168</v>
      </c>
      <c r="B147" s="62">
        <v>3</v>
      </c>
    </row>
    <row r="148" spans="1:2" x14ac:dyDescent="0.2">
      <c r="A148" s="3" t="s">
        <v>73</v>
      </c>
      <c r="B148" s="62">
        <v>20</v>
      </c>
    </row>
    <row r="149" spans="1:2" x14ac:dyDescent="0.2">
      <c r="A149" s="3" t="s">
        <v>132</v>
      </c>
      <c r="B149" s="62">
        <v>504</v>
      </c>
    </row>
    <row r="172" spans="1:2" x14ac:dyDescent="0.2">
      <c r="A172" s="2" t="s">
        <v>131</v>
      </c>
      <c r="B172" t="s">
        <v>133</v>
      </c>
    </row>
    <row r="173" spans="1:2" x14ac:dyDescent="0.2">
      <c r="A173" s="3" t="s">
        <v>92</v>
      </c>
      <c r="B173" s="62">
        <v>3</v>
      </c>
    </row>
    <row r="174" spans="1:2" x14ac:dyDescent="0.2">
      <c r="A174" s="3" t="s">
        <v>102</v>
      </c>
      <c r="B174" s="62">
        <v>3</v>
      </c>
    </row>
    <row r="175" spans="1:2" x14ac:dyDescent="0.2">
      <c r="A175" s="3" t="s">
        <v>55</v>
      </c>
      <c r="B175" s="62">
        <v>7</v>
      </c>
    </row>
    <row r="176" spans="1:2" x14ac:dyDescent="0.2">
      <c r="A176" s="3" t="s">
        <v>107</v>
      </c>
      <c r="B176" s="62">
        <v>3</v>
      </c>
    </row>
    <row r="177" spans="1:2" x14ac:dyDescent="0.2">
      <c r="A177" s="3" t="s">
        <v>70</v>
      </c>
      <c r="B177" s="62">
        <v>4</v>
      </c>
    </row>
    <row r="178" spans="1:2" x14ac:dyDescent="0.2">
      <c r="A178" s="3" t="s">
        <v>57</v>
      </c>
      <c r="B178" s="62">
        <v>1</v>
      </c>
    </row>
    <row r="179" spans="1:2" x14ac:dyDescent="0.2">
      <c r="A179" s="3" t="s">
        <v>56</v>
      </c>
      <c r="B179" s="62">
        <v>6</v>
      </c>
    </row>
    <row r="180" spans="1:2" x14ac:dyDescent="0.2">
      <c r="A180" s="3" t="s">
        <v>52</v>
      </c>
      <c r="B180" s="62">
        <v>1</v>
      </c>
    </row>
    <row r="181" spans="1:2" x14ac:dyDescent="0.2">
      <c r="A181" s="3" t="s">
        <v>62</v>
      </c>
      <c r="B181" s="62">
        <v>2</v>
      </c>
    </row>
    <row r="182" spans="1:2" x14ac:dyDescent="0.2">
      <c r="A182" s="3" t="s">
        <v>71</v>
      </c>
      <c r="B182" s="62">
        <v>2</v>
      </c>
    </row>
    <row r="183" spans="1:2" x14ac:dyDescent="0.2">
      <c r="A183" s="3" t="s">
        <v>80</v>
      </c>
      <c r="B183" s="62">
        <v>2</v>
      </c>
    </row>
    <row r="184" spans="1:2" x14ac:dyDescent="0.2">
      <c r="A184" s="3" t="s">
        <v>76</v>
      </c>
      <c r="B184" s="62">
        <v>1</v>
      </c>
    </row>
    <row r="185" spans="1:2" x14ac:dyDescent="0.2">
      <c r="A185" s="3" t="s">
        <v>87</v>
      </c>
      <c r="B185" s="62">
        <v>4</v>
      </c>
    </row>
    <row r="186" spans="1:2" x14ac:dyDescent="0.2">
      <c r="A186" s="3" t="s">
        <v>85</v>
      </c>
      <c r="B186" s="62">
        <v>2</v>
      </c>
    </row>
    <row r="187" spans="1:2" x14ac:dyDescent="0.2">
      <c r="A187" s="3" t="s">
        <v>143</v>
      </c>
      <c r="B187" s="62">
        <v>4</v>
      </c>
    </row>
    <row r="188" spans="1:2" x14ac:dyDescent="0.2">
      <c r="A188" s="3" t="s">
        <v>140</v>
      </c>
      <c r="B188" s="62">
        <v>127</v>
      </c>
    </row>
    <row r="189" spans="1:2" x14ac:dyDescent="0.2">
      <c r="A189" s="3" t="s">
        <v>141</v>
      </c>
      <c r="B189" s="62">
        <v>225</v>
      </c>
    </row>
    <row r="190" spans="1:2" x14ac:dyDescent="0.2">
      <c r="A190" s="3" t="s">
        <v>165</v>
      </c>
      <c r="B190" s="62">
        <v>2</v>
      </c>
    </row>
    <row r="191" spans="1:2" x14ac:dyDescent="0.2">
      <c r="A191" s="3" t="s">
        <v>139</v>
      </c>
      <c r="B191" s="62">
        <v>23</v>
      </c>
    </row>
    <row r="192" spans="1:2" x14ac:dyDescent="0.2">
      <c r="A192" s="3" t="s">
        <v>167</v>
      </c>
      <c r="B192" s="62">
        <v>2</v>
      </c>
    </row>
    <row r="193" spans="1:2" x14ac:dyDescent="0.2">
      <c r="A193" s="3" t="s">
        <v>159</v>
      </c>
      <c r="B193" s="62">
        <v>2</v>
      </c>
    </row>
    <row r="194" spans="1:2" x14ac:dyDescent="0.2">
      <c r="A194" s="3" t="s">
        <v>106</v>
      </c>
      <c r="B194" s="62">
        <v>54</v>
      </c>
    </row>
    <row r="195" spans="1:2" x14ac:dyDescent="0.2">
      <c r="A195" s="3" t="s">
        <v>144</v>
      </c>
      <c r="B195" s="62">
        <v>5</v>
      </c>
    </row>
    <row r="196" spans="1:2" x14ac:dyDescent="0.2">
      <c r="A196" s="3" t="s">
        <v>158</v>
      </c>
      <c r="B196" s="62">
        <v>9</v>
      </c>
    </row>
    <row r="197" spans="1:2" x14ac:dyDescent="0.2">
      <c r="A197" s="3" t="s">
        <v>157</v>
      </c>
      <c r="B197" s="62">
        <v>8</v>
      </c>
    </row>
    <row r="198" spans="1:2" x14ac:dyDescent="0.2">
      <c r="A198" s="3" t="s">
        <v>142</v>
      </c>
      <c r="B198" s="62">
        <v>2</v>
      </c>
    </row>
    <row r="199" spans="1:2" x14ac:dyDescent="0.2">
      <c r="A199" s="3" t="s">
        <v>132</v>
      </c>
      <c r="B199" s="62">
        <v>504</v>
      </c>
    </row>
    <row r="289" spans="1:2" x14ac:dyDescent="0.2">
      <c r="A289" s="2" t="s">
        <v>131</v>
      </c>
      <c r="B289" t="s">
        <v>133</v>
      </c>
    </row>
    <row r="290" spans="1:2" x14ac:dyDescent="0.2">
      <c r="A290" s="3" t="s">
        <v>162</v>
      </c>
      <c r="B290" s="62">
        <v>183</v>
      </c>
    </row>
    <row r="291" spans="1:2" x14ac:dyDescent="0.2">
      <c r="A291" s="3" t="s">
        <v>161</v>
      </c>
      <c r="B291" s="62">
        <v>291</v>
      </c>
    </row>
    <row r="292" spans="1:2" x14ac:dyDescent="0.2">
      <c r="A292" s="3" t="s">
        <v>147</v>
      </c>
      <c r="B292" s="62">
        <v>30</v>
      </c>
    </row>
    <row r="293" spans="1:2" x14ac:dyDescent="0.2">
      <c r="A293" s="3" t="s">
        <v>132</v>
      </c>
      <c r="B293" s="62">
        <v>504</v>
      </c>
    </row>
    <row r="306" spans="1:2" x14ac:dyDescent="0.2">
      <c r="A306" s="2" t="s">
        <v>131</v>
      </c>
      <c r="B306" t="s">
        <v>133</v>
      </c>
    </row>
    <row r="307" spans="1:2" x14ac:dyDescent="0.2">
      <c r="A307" s="3" t="s">
        <v>1248</v>
      </c>
      <c r="B307" s="62">
        <v>8</v>
      </c>
    </row>
    <row r="308" spans="1:2" x14ac:dyDescent="0.2">
      <c r="A308" s="3" t="s">
        <v>3966</v>
      </c>
      <c r="B308" s="62">
        <v>1</v>
      </c>
    </row>
    <row r="309" spans="1:2" x14ac:dyDescent="0.2">
      <c r="A309" s="3" t="s">
        <v>150</v>
      </c>
      <c r="B309" s="62">
        <v>63</v>
      </c>
    </row>
    <row r="310" spans="1:2" x14ac:dyDescent="0.2">
      <c r="A310" s="3" t="s">
        <v>149</v>
      </c>
      <c r="B310" s="62">
        <v>245</v>
      </c>
    </row>
    <row r="311" spans="1:2" x14ac:dyDescent="0.2">
      <c r="A311" s="3" t="s">
        <v>319</v>
      </c>
      <c r="B311" s="62">
        <v>10</v>
      </c>
    </row>
    <row r="312" spans="1:2" x14ac:dyDescent="0.2">
      <c r="A312" s="3" t="s">
        <v>536</v>
      </c>
      <c r="B312" s="62">
        <v>42</v>
      </c>
    </row>
    <row r="313" spans="1:2" x14ac:dyDescent="0.2">
      <c r="A313" s="3" t="s">
        <v>151</v>
      </c>
      <c r="B313" s="62">
        <v>130</v>
      </c>
    </row>
    <row r="314" spans="1:2" x14ac:dyDescent="0.2">
      <c r="A314" s="3" t="s">
        <v>146</v>
      </c>
      <c r="B314" s="62">
        <v>5</v>
      </c>
    </row>
    <row r="315" spans="1:2" x14ac:dyDescent="0.2">
      <c r="A315" s="3" t="s">
        <v>132</v>
      </c>
      <c r="B315" s="62">
        <v>504</v>
      </c>
    </row>
    <row r="328" spans="1:2" x14ac:dyDescent="0.2">
      <c r="A328" s="2" t="s">
        <v>131</v>
      </c>
      <c r="B328" t="s">
        <v>133</v>
      </c>
    </row>
    <row r="329" spans="1:2" x14ac:dyDescent="0.2">
      <c r="A329" s="3" t="s">
        <v>937</v>
      </c>
      <c r="B329" s="62">
        <v>14</v>
      </c>
    </row>
    <row r="330" spans="1:2" x14ac:dyDescent="0.2">
      <c r="A330" s="3" t="s">
        <v>951</v>
      </c>
      <c r="B330" s="62">
        <v>4</v>
      </c>
    </row>
    <row r="331" spans="1:2" x14ac:dyDescent="0.2">
      <c r="A331" s="3" t="s">
        <v>877</v>
      </c>
      <c r="B331" s="62">
        <v>24</v>
      </c>
    </row>
    <row r="332" spans="1:2" x14ac:dyDescent="0.2">
      <c r="A332" s="3" t="s">
        <v>978</v>
      </c>
      <c r="B332" s="62">
        <v>20</v>
      </c>
    </row>
    <row r="333" spans="1:2" x14ac:dyDescent="0.2">
      <c r="A333" s="3" t="s">
        <v>709</v>
      </c>
      <c r="B333" s="62">
        <v>17</v>
      </c>
    </row>
    <row r="334" spans="1:2" x14ac:dyDescent="0.2">
      <c r="A334" s="3" t="s">
        <v>601</v>
      </c>
      <c r="B334" s="62">
        <v>16</v>
      </c>
    </row>
    <row r="335" spans="1:2" x14ac:dyDescent="0.2">
      <c r="A335" s="3" t="s">
        <v>631</v>
      </c>
      <c r="B335" s="62">
        <v>49</v>
      </c>
    </row>
    <row r="336" spans="1:2" x14ac:dyDescent="0.2">
      <c r="A336" s="3" t="s">
        <v>738</v>
      </c>
      <c r="B336" s="62">
        <v>8</v>
      </c>
    </row>
    <row r="337" spans="1:2" x14ac:dyDescent="0.2">
      <c r="A337" s="3" t="s">
        <v>584</v>
      </c>
      <c r="B337" s="62">
        <v>12</v>
      </c>
    </row>
    <row r="338" spans="1:2" x14ac:dyDescent="0.2">
      <c r="A338" s="3" t="s">
        <v>569</v>
      </c>
      <c r="B338" s="62">
        <v>5</v>
      </c>
    </row>
    <row r="339" spans="1:2" x14ac:dyDescent="0.2">
      <c r="A339" s="3" t="s">
        <v>795</v>
      </c>
      <c r="B339" s="62">
        <v>41</v>
      </c>
    </row>
    <row r="340" spans="1:2" x14ac:dyDescent="0.2">
      <c r="A340" s="3" t="s">
        <v>540</v>
      </c>
      <c r="B340" s="62">
        <v>18</v>
      </c>
    </row>
    <row r="341" spans="1:2" x14ac:dyDescent="0.2">
      <c r="A341" s="3" t="s">
        <v>1171</v>
      </c>
      <c r="B341" s="62">
        <v>13</v>
      </c>
    </row>
    <row r="342" spans="1:2" x14ac:dyDescent="0.2">
      <c r="A342" s="3" t="s">
        <v>1184</v>
      </c>
      <c r="B342" s="62">
        <v>8</v>
      </c>
    </row>
    <row r="343" spans="1:2" x14ac:dyDescent="0.2">
      <c r="A343" s="3" t="s">
        <v>1198</v>
      </c>
      <c r="B343" s="62">
        <v>2</v>
      </c>
    </row>
    <row r="344" spans="1:2" x14ac:dyDescent="0.2">
      <c r="A344" s="3" t="s">
        <v>524</v>
      </c>
      <c r="B344" s="62">
        <v>23</v>
      </c>
    </row>
    <row r="345" spans="1:2" x14ac:dyDescent="0.2">
      <c r="A345" s="3" t="s">
        <v>892</v>
      </c>
      <c r="B345" s="62">
        <v>14</v>
      </c>
    </row>
    <row r="346" spans="1:2" x14ac:dyDescent="0.2">
      <c r="A346" s="3" t="s">
        <v>908</v>
      </c>
      <c r="B346" s="62">
        <v>8</v>
      </c>
    </row>
    <row r="347" spans="1:2" x14ac:dyDescent="0.2">
      <c r="A347" s="3" t="s">
        <v>616</v>
      </c>
      <c r="B347" s="62">
        <v>5</v>
      </c>
    </row>
    <row r="348" spans="1:2" x14ac:dyDescent="0.2">
      <c r="A348" s="3" t="s">
        <v>923</v>
      </c>
      <c r="B348" s="62">
        <v>24</v>
      </c>
    </row>
    <row r="349" spans="1:2" x14ac:dyDescent="0.2">
      <c r="A349" s="3" t="s">
        <v>554</v>
      </c>
      <c r="B349" s="62">
        <v>14</v>
      </c>
    </row>
    <row r="350" spans="1:2" x14ac:dyDescent="0.2">
      <c r="A350" s="3" t="s">
        <v>1373</v>
      </c>
      <c r="B350" s="62">
        <v>26</v>
      </c>
    </row>
    <row r="351" spans="1:2" x14ac:dyDescent="0.2">
      <c r="A351" s="3" t="s">
        <v>647</v>
      </c>
      <c r="B351" s="62">
        <v>10</v>
      </c>
    </row>
    <row r="352" spans="1:2" x14ac:dyDescent="0.2">
      <c r="A352" s="3" t="s">
        <v>1437</v>
      </c>
      <c r="B352" s="62">
        <v>2</v>
      </c>
    </row>
    <row r="353" spans="1:2" x14ac:dyDescent="0.2">
      <c r="A353" s="3" t="s">
        <v>753</v>
      </c>
      <c r="B353" s="62">
        <v>8</v>
      </c>
    </row>
    <row r="354" spans="1:2" x14ac:dyDescent="0.2">
      <c r="A354" s="3" t="s">
        <v>1476</v>
      </c>
      <c r="B354" s="62">
        <v>17</v>
      </c>
    </row>
    <row r="355" spans="1:2" x14ac:dyDescent="0.2">
      <c r="A355" s="3" t="s">
        <v>724</v>
      </c>
      <c r="B355" s="62">
        <v>16</v>
      </c>
    </row>
    <row r="356" spans="1:2" x14ac:dyDescent="0.2">
      <c r="A356" s="3" t="s">
        <v>1555</v>
      </c>
      <c r="B356" s="62">
        <v>6</v>
      </c>
    </row>
    <row r="357" spans="1:2" x14ac:dyDescent="0.2">
      <c r="A357" s="3" t="s">
        <v>508</v>
      </c>
      <c r="B357" s="62">
        <v>14</v>
      </c>
    </row>
    <row r="358" spans="1:2" x14ac:dyDescent="0.2">
      <c r="A358" s="3" t="s">
        <v>1966</v>
      </c>
      <c r="B358" s="62">
        <v>6</v>
      </c>
    </row>
    <row r="359" spans="1:2" x14ac:dyDescent="0.2">
      <c r="A359" s="3" t="s">
        <v>781</v>
      </c>
      <c r="B359" s="62">
        <v>10</v>
      </c>
    </row>
    <row r="360" spans="1:2" x14ac:dyDescent="0.2">
      <c r="A360" s="3" t="s">
        <v>2486</v>
      </c>
      <c r="B360" s="62">
        <v>10</v>
      </c>
    </row>
    <row r="361" spans="1:2" x14ac:dyDescent="0.2">
      <c r="A361" s="3" t="s">
        <v>3180</v>
      </c>
      <c r="B361" s="62">
        <v>1</v>
      </c>
    </row>
    <row r="362" spans="1:2" x14ac:dyDescent="0.2">
      <c r="A362" s="3" t="s">
        <v>810</v>
      </c>
      <c r="B362" s="62">
        <v>3</v>
      </c>
    </row>
    <row r="363" spans="1:2" x14ac:dyDescent="0.2">
      <c r="A363" s="3" t="s">
        <v>3604</v>
      </c>
      <c r="B363" s="62">
        <v>1</v>
      </c>
    </row>
    <row r="364" spans="1:2" x14ac:dyDescent="0.2">
      <c r="A364" s="3" t="s">
        <v>3761</v>
      </c>
      <c r="B364" s="62">
        <v>2</v>
      </c>
    </row>
    <row r="365" spans="1:2" x14ac:dyDescent="0.2">
      <c r="A365" s="3" t="s">
        <v>3799</v>
      </c>
      <c r="B365" s="62">
        <v>1</v>
      </c>
    </row>
    <row r="366" spans="1:2" x14ac:dyDescent="0.2">
      <c r="A366" s="3" t="s">
        <v>3907</v>
      </c>
      <c r="B366" s="62">
        <v>9</v>
      </c>
    </row>
    <row r="367" spans="1:2" x14ac:dyDescent="0.2">
      <c r="A367" s="3" t="s">
        <v>3933</v>
      </c>
      <c r="B367" s="62">
        <v>2</v>
      </c>
    </row>
    <row r="368" spans="1:2" x14ac:dyDescent="0.2">
      <c r="A368" s="3" t="s">
        <v>4352</v>
      </c>
      <c r="B368" s="62">
        <v>6</v>
      </c>
    </row>
    <row r="369" spans="1:2" x14ac:dyDescent="0.2">
      <c r="A369" s="3" t="s">
        <v>4387</v>
      </c>
      <c r="B369" s="62">
        <v>2</v>
      </c>
    </row>
    <row r="370" spans="1:2" x14ac:dyDescent="0.2">
      <c r="A370" s="3" t="s">
        <v>4753</v>
      </c>
      <c r="B370" s="62">
        <v>3</v>
      </c>
    </row>
    <row r="371" spans="1:2" x14ac:dyDescent="0.2">
      <c r="A371" s="3" t="s">
        <v>4848</v>
      </c>
      <c r="B371" s="62">
        <v>4</v>
      </c>
    </row>
    <row r="372" spans="1:2" x14ac:dyDescent="0.2">
      <c r="A372" s="3" t="s">
        <v>5334</v>
      </c>
      <c r="B372" s="62">
        <v>4</v>
      </c>
    </row>
    <row r="373" spans="1:2" x14ac:dyDescent="0.2">
      <c r="A373" s="3" t="s">
        <v>6016</v>
      </c>
      <c r="B373" s="62">
        <v>1</v>
      </c>
    </row>
    <row r="374" spans="1:2" x14ac:dyDescent="0.2">
      <c r="A374" s="3" t="s">
        <v>6230</v>
      </c>
      <c r="B374" s="62">
        <v>1</v>
      </c>
    </row>
    <row r="375" spans="1:2" x14ac:dyDescent="0.2">
      <c r="A375" s="3" t="s">
        <v>132</v>
      </c>
      <c r="B375" s="62">
        <v>504</v>
      </c>
    </row>
    <row r="417" spans="1:2" x14ac:dyDescent="0.2">
      <c r="A417" s="2" t="s">
        <v>131</v>
      </c>
      <c r="B417" t="s">
        <v>133</v>
      </c>
    </row>
    <row r="418" spans="1:2" x14ac:dyDescent="0.2">
      <c r="A418" s="3" t="s">
        <v>612</v>
      </c>
      <c r="B418" s="62">
        <v>4</v>
      </c>
    </row>
    <row r="419" spans="1:2" x14ac:dyDescent="0.2">
      <c r="A419" s="3" t="s">
        <v>597</v>
      </c>
      <c r="B419" s="62">
        <v>138</v>
      </c>
    </row>
    <row r="420" spans="1:2" x14ac:dyDescent="0.2">
      <c r="A420" s="3" t="s">
        <v>1016</v>
      </c>
      <c r="B420" s="62">
        <v>31</v>
      </c>
    </row>
    <row r="421" spans="1:2" x14ac:dyDescent="0.2">
      <c r="A421" s="3" t="s">
        <v>2197</v>
      </c>
      <c r="B421" s="62">
        <v>9</v>
      </c>
    </row>
    <row r="422" spans="1:2" x14ac:dyDescent="0.2">
      <c r="A422" s="3" t="s">
        <v>318</v>
      </c>
      <c r="B422" s="62">
        <v>28</v>
      </c>
    </row>
    <row r="423" spans="1:2" x14ac:dyDescent="0.2">
      <c r="A423" s="3" t="s">
        <v>148</v>
      </c>
      <c r="B423" s="62">
        <v>9</v>
      </c>
    </row>
    <row r="424" spans="1:2" x14ac:dyDescent="0.2">
      <c r="A424" s="3" t="s">
        <v>109</v>
      </c>
      <c r="B424" s="62">
        <v>69</v>
      </c>
    </row>
    <row r="425" spans="1:2" x14ac:dyDescent="0.2">
      <c r="A425" s="3" t="s">
        <v>1264</v>
      </c>
      <c r="B425" s="62">
        <v>12</v>
      </c>
    </row>
    <row r="426" spans="1:2" x14ac:dyDescent="0.2">
      <c r="A426" s="3" t="s">
        <v>145</v>
      </c>
      <c r="B426" s="62">
        <v>204</v>
      </c>
    </row>
    <row r="427" spans="1:2" x14ac:dyDescent="0.2">
      <c r="A427" s="3" t="s">
        <v>132</v>
      </c>
      <c r="B427" s="62">
        <v>504</v>
      </c>
    </row>
    <row r="443" spans="1:1" x14ac:dyDescent="0.2">
      <c r="A443" t="s">
        <v>133</v>
      </c>
    </row>
    <row r="444" spans="1:1" x14ac:dyDescent="0.2">
      <c r="A444" s="62">
        <v>504</v>
      </c>
    </row>
    <row r="562" spans="1:2" x14ac:dyDescent="0.2">
      <c r="A562" s="2" t="s">
        <v>131</v>
      </c>
      <c r="B562" t="s">
        <v>133</v>
      </c>
    </row>
    <row r="563" spans="1:2" x14ac:dyDescent="0.2">
      <c r="A563" s="3" t="s">
        <v>73</v>
      </c>
      <c r="B563" s="62">
        <v>20</v>
      </c>
    </row>
    <row r="564" spans="1:2" x14ac:dyDescent="0.2">
      <c r="A564" s="3" t="s">
        <v>6585</v>
      </c>
      <c r="B564" s="62">
        <v>3</v>
      </c>
    </row>
    <row r="565" spans="1:2" x14ac:dyDescent="0.2">
      <c r="A565" s="3" t="s">
        <v>58</v>
      </c>
      <c r="B565" s="62">
        <v>104</v>
      </c>
    </row>
    <row r="566" spans="1:2" x14ac:dyDescent="0.2">
      <c r="A566" s="3" t="s">
        <v>67</v>
      </c>
      <c r="B566" s="62">
        <v>94</v>
      </c>
    </row>
    <row r="567" spans="1:2" x14ac:dyDescent="0.2">
      <c r="A567" s="3" t="s">
        <v>75</v>
      </c>
      <c r="B567" s="62">
        <v>21</v>
      </c>
    </row>
    <row r="568" spans="1:2" x14ac:dyDescent="0.2">
      <c r="A568" s="3" t="s">
        <v>98</v>
      </c>
      <c r="B568" s="62">
        <v>33</v>
      </c>
    </row>
    <row r="569" spans="1:2" x14ac:dyDescent="0.2">
      <c r="A569" s="3" t="s">
        <v>53</v>
      </c>
      <c r="B569" s="62">
        <v>24</v>
      </c>
    </row>
    <row r="570" spans="1:2" x14ac:dyDescent="0.2">
      <c r="A570" s="3" t="s">
        <v>47</v>
      </c>
      <c r="B570" s="62">
        <v>111</v>
      </c>
    </row>
    <row r="571" spans="1:2" x14ac:dyDescent="0.2">
      <c r="A571" s="3" t="s">
        <v>6582</v>
      </c>
      <c r="B571" s="62">
        <v>2</v>
      </c>
    </row>
    <row r="572" spans="1:2" x14ac:dyDescent="0.2">
      <c r="A572" s="3" t="s">
        <v>90</v>
      </c>
      <c r="B572" s="62">
        <v>19</v>
      </c>
    </row>
    <row r="573" spans="1:2" x14ac:dyDescent="0.2">
      <c r="A573" s="3" t="s">
        <v>72</v>
      </c>
      <c r="B573" s="62">
        <v>30</v>
      </c>
    </row>
    <row r="574" spans="1:2" x14ac:dyDescent="0.2">
      <c r="A574" s="3" t="s">
        <v>369</v>
      </c>
      <c r="B574" s="62">
        <v>35</v>
      </c>
    </row>
    <row r="575" spans="1:2" x14ac:dyDescent="0.2">
      <c r="A575" s="3" t="s">
        <v>54</v>
      </c>
      <c r="B575" s="62">
        <v>8</v>
      </c>
    </row>
    <row r="576" spans="1:2" x14ac:dyDescent="0.2">
      <c r="A576" s="3" t="s">
        <v>132</v>
      </c>
      <c r="B576" s="62">
        <v>504</v>
      </c>
    </row>
    <row r="612" spans="1:3" x14ac:dyDescent="0.2">
      <c r="A612" s="7"/>
      <c r="B612" s="8"/>
      <c r="C612" s="9"/>
    </row>
    <row r="613" spans="1:3" x14ac:dyDescent="0.2">
      <c r="A613" s="10"/>
      <c r="B613" s="11"/>
      <c r="C613" s="12"/>
    </row>
    <row r="614" spans="1:3" x14ac:dyDescent="0.2">
      <c r="A614" s="10"/>
      <c r="B614" s="11"/>
      <c r="C614" s="12"/>
    </row>
    <row r="615" spans="1:3" x14ac:dyDescent="0.2">
      <c r="A615" s="10"/>
      <c r="B615" s="11"/>
      <c r="C615" s="12"/>
    </row>
    <row r="616" spans="1:3" x14ac:dyDescent="0.2">
      <c r="A616" s="10"/>
      <c r="B616" s="11"/>
      <c r="C616" s="12"/>
    </row>
    <row r="617" spans="1:3" x14ac:dyDescent="0.2">
      <c r="A617" s="10"/>
      <c r="B617" s="11"/>
      <c r="C617" s="12"/>
    </row>
    <row r="618" spans="1:3" x14ac:dyDescent="0.2">
      <c r="A618" s="10"/>
      <c r="B618" s="11"/>
      <c r="C618" s="12"/>
    </row>
    <row r="619" spans="1:3" x14ac:dyDescent="0.2">
      <c r="A619" s="10"/>
      <c r="B619" s="11"/>
      <c r="C619" s="12"/>
    </row>
    <row r="620" spans="1:3" x14ac:dyDescent="0.2">
      <c r="A620" s="10"/>
      <c r="B620" s="11"/>
      <c r="C620" s="12"/>
    </row>
    <row r="621" spans="1:3" x14ac:dyDescent="0.2">
      <c r="A621" s="10"/>
      <c r="B621" s="11"/>
      <c r="C621" s="12"/>
    </row>
    <row r="622" spans="1:3" x14ac:dyDescent="0.2">
      <c r="A622" s="10"/>
      <c r="B622" s="11"/>
      <c r="C622" s="12"/>
    </row>
    <row r="623" spans="1:3" x14ac:dyDescent="0.2">
      <c r="A623" s="10"/>
      <c r="B623" s="11"/>
      <c r="C623" s="12"/>
    </row>
    <row r="624" spans="1:3" x14ac:dyDescent="0.2">
      <c r="A624" s="10"/>
      <c r="B624" s="11"/>
      <c r="C624" s="12"/>
    </row>
    <row r="625" spans="1:3" x14ac:dyDescent="0.2">
      <c r="A625" s="10"/>
      <c r="B625" s="11"/>
      <c r="C625" s="12"/>
    </row>
    <row r="626" spans="1:3" x14ac:dyDescent="0.2">
      <c r="A626" s="10"/>
      <c r="B626" s="11"/>
      <c r="C626" s="12"/>
    </row>
    <row r="627" spans="1:3" x14ac:dyDescent="0.2">
      <c r="A627" s="10"/>
      <c r="B627" s="11"/>
      <c r="C627" s="12"/>
    </row>
    <row r="628" spans="1:3" x14ac:dyDescent="0.2">
      <c r="A628" s="10"/>
      <c r="B628" s="11"/>
      <c r="C628" s="12"/>
    </row>
    <row r="629" spans="1:3" x14ac:dyDescent="0.2">
      <c r="A629" s="13"/>
      <c r="B629" s="14"/>
      <c r="C629" s="15"/>
    </row>
    <row r="651" spans="1:2" x14ac:dyDescent="0.2">
      <c r="A651" s="2" t="s">
        <v>131</v>
      </c>
      <c r="B651" t="s">
        <v>133</v>
      </c>
    </row>
    <row r="652" spans="1:2" x14ac:dyDescent="0.2">
      <c r="A652" s="3" t="s">
        <v>937</v>
      </c>
      <c r="B652" s="62">
        <v>14</v>
      </c>
    </row>
    <row r="653" spans="1:2" x14ac:dyDescent="0.2">
      <c r="A653" s="3" t="s">
        <v>951</v>
      </c>
      <c r="B653" s="62">
        <v>4</v>
      </c>
    </row>
    <row r="654" spans="1:2" x14ac:dyDescent="0.2">
      <c r="A654" s="3" t="s">
        <v>877</v>
      </c>
      <c r="B654" s="62">
        <v>24</v>
      </c>
    </row>
    <row r="655" spans="1:2" x14ac:dyDescent="0.2">
      <c r="A655" s="3" t="s">
        <v>978</v>
      </c>
      <c r="B655" s="62">
        <v>20</v>
      </c>
    </row>
    <row r="656" spans="1:2" x14ac:dyDescent="0.2">
      <c r="A656" s="3" t="s">
        <v>709</v>
      </c>
      <c r="B656" s="62">
        <v>17</v>
      </c>
    </row>
    <row r="657" spans="1:2" x14ac:dyDescent="0.2">
      <c r="A657" s="3" t="s">
        <v>601</v>
      </c>
      <c r="B657" s="62">
        <v>16</v>
      </c>
    </row>
    <row r="658" spans="1:2" x14ac:dyDescent="0.2">
      <c r="A658" s="3" t="s">
        <v>631</v>
      </c>
      <c r="B658" s="62">
        <v>49</v>
      </c>
    </row>
    <row r="659" spans="1:2" x14ac:dyDescent="0.2">
      <c r="A659" s="3" t="s">
        <v>738</v>
      </c>
      <c r="B659" s="62">
        <v>8</v>
      </c>
    </row>
    <row r="660" spans="1:2" x14ac:dyDescent="0.2">
      <c r="A660" s="3" t="s">
        <v>584</v>
      </c>
      <c r="B660" s="62">
        <v>12</v>
      </c>
    </row>
    <row r="661" spans="1:2" x14ac:dyDescent="0.2">
      <c r="A661" s="3" t="s">
        <v>569</v>
      </c>
      <c r="B661" s="62">
        <v>5</v>
      </c>
    </row>
    <row r="662" spans="1:2" x14ac:dyDescent="0.2">
      <c r="A662" s="3" t="s">
        <v>795</v>
      </c>
      <c r="B662" s="62">
        <v>41</v>
      </c>
    </row>
    <row r="663" spans="1:2" x14ac:dyDescent="0.2">
      <c r="A663" s="3" t="s">
        <v>540</v>
      </c>
      <c r="B663" s="62">
        <v>18</v>
      </c>
    </row>
    <row r="664" spans="1:2" x14ac:dyDescent="0.2">
      <c r="A664" s="3" t="s">
        <v>1171</v>
      </c>
      <c r="B664" s="62">
        <v>13</v>
      </c>
    </row>
    <row r="665" spans="1:2" x14ac:dyDescent="0.2">
      <c r="A665" s="3" t="s">
        <v>1184</v>
      </c>
      <c r="B665" s="62">
        <v>8</v>
      </c>
    </row>
    <row r="666" spans="1:2" x14ac:dyDescent="0.2">
      <c r="A666" s="3" t="s">
        <v>1198</v>
      </c>
      <c r="B666" s="62">
        <v>2</v>
      </c>
    </row>
    <row r="667" spans="1:2" x14ac:dyDescent="0.2">
      <c r="A667" s="3" t="s">
        <v>524</v>
      </c>
      <c r="B667" s="62">
        <v>23</v>
      </c>
    </row>
    <row r="668" spans="1:2" x14ac:dyDescent="0.2">
      <c r="A668" s="3" t="s">
        <v>892</v>
      </c>
      <c r="B668" s="62">
        <v>14</v>
      </c>
    </row>
    <row r="669" spans="1:2" x14ac:dyDescent="0.2">
      <c r="A669" s="3" t="s">
        <v>908</v>
      </c>
      <c r="B669" s="62">
        <v>8</v>
      </c>
    </row>
    <row r="670" spans="1:2" x14ac:dyDescent="0.2">
      <c r="A670" s="3" t="s">
        <v>616</v>
      </c>
      <c r="B670" s="62">
        <v>5</v>
      </c>
    </row>
    <row r="671" spans="1:2" x14ac:dyDescent="0.2">
      <c r="A671" s="3" t="s">
        <v>923</v>
      </c>
      <c r="B671" s="62">
        <v>24</v>
      </c>
    </row>
    <row r="672" spans="1:2" x14ac:dyDescent="0.2">
      <c r="A672" s="3" t="s">
        <v>554</v>
      </c>
      <c r="B672" s="62">
        <v>14</v>
      </c>
    </row>
    <row r="673" spans="1:2" x14ac:dyDescent="0.2">
      <c r="A673" s="3" t="s">
        <v>1373</v>
      </c>
      <c r="B673" s="62">
        <v>26</v>
      </c>
    </row>
    <row r="674" spans="1:2" x14ac:dyDescent="0.2">
      <c r="A674" s="3" t="s">
        <v>647</v>
      </c>
      <c r="B674" s="62">
        <v>10</v>
      </c>
    </row>
    <row r="675" spans="1:2" x14ac:dyDescent="0.2">
      <c r="A675" s="3" t="s">
        <v>1437</v>
      </c>
      <c r="B675" s="62">
        <v>2</v>
      </c>
    </row>
    <row r="676" spans="1:2" x14ac:dyDescent="0.2">
      <c r="A676" s="3" t="s">
        <v>753</v>
      </c>
      <c r="B676" s="62">
        <v>8</v>
      </c>
    </row>
    <row r="677" spans="1:2" x14ac:dyDescent="0.2">
      <c r="A677" s="3" t="s">
        <v>1476</v>
      </c>
      <c r="B677" s="62">
        <v>17</v>
      </c>
    </row>
    <row r="678" spans="1:2" x14ac:dyDescent="0.2">
      <c r="A678" s="3" t="s">
        <v>724</v>
      </c>
      <c r="B678" s="62">
        <v>16</v>
      </c>
    </row>
    <row r="679" spans="1:2" x14ac:dyDescent="0.2">
      <c r="A679" s="3" t="s">
        <v>1555</v>
      </c>
      <c r="B679" s="62">
        <v>6</v>
      </c>
    </row>
    <row r="680" spans="1:2" x14ac:dyDescent="0.2">
      <c r="A680" s="3" t="s">
        <v>508</v>
      </c>
      <c r="B680" s="62">
        <v>14</v>
      </c>
    </row>
    <row r="681" spans="1:2" x14ac:dyDescent="0.2">
      <c r="A681" s="3" t="s">
        <v>1966</v>
      </c>
      <c r="B681" s="62">
        <v>6</v>
      </c>
    </row>
    <row r="682" spans="1:2" x14ac:dyDescent="0.2">
      <c r="A682" s="3" t="s">
        <v>781</v>
      </c>
      <c r="B682" s="62">
        <v>10</v>
      </c>
    </row>
    <row r="683" spans="1:2" x14ac:dyDescent="0.2">
      <c r="A683" s="3" t="s">
        <v>2486</v>
      </c>
      <c r="B683" s="62">
        <v>10</v>
      </c>
    </row>
    <row r="684" spans="1:2" x14ac:dyDescent="0.2">
      <c r="A684" s="3" t="s">
        <v>3180</v>
      </c>
      <c r="B684" s="62">
        <v>1</v>
      </c>
    </row>
    <row r="685" spans="1:2" x14ac:dyDescent="0.2">
      <c r="A685" s="3" t="s">
        <v>810</v>
      </c>
      <c r="B685" s="62">
        <v>3</v>
      </c>
    </row>
    <row r="686" spans="1:2" x14ac:dyDescent="0.2">
      <c r="A686" s="3" t="s">
        <v>3604</v>
      </c>
      <c r="B686" s="62">
        <v>1</v>
      </c>
    </row>
    <row r="687" spans="1:2" x14ac:dyDescent="0.2">
      <c r="A687" s="3" t="s">
        <v>3761</v>
      </c>
      <c r="B687" s="62">
        <v>2</v>
      </c>
    </row>
    <row r="688" spans="1:2" x14ac:dyDescent="0.2">
      <c r="A688" s="3" t="s">
        <v>3799</v>
      </c>
      <c r="B688" s="62">
        <v>1</v>
      </c>
    </row>
    <row r="689" spans="1:2" x14ac:dyDescent="0.2">
      <c r="A689" s="3" t="s">
        <v>3907</v>
      </c>
      <c r="B689" s="62">
        <v>9</v>
      </c>
    </row>
    <row r="690" spans="1:2" x14ac:dyDescent="0.2">
      <c r="A690" s="3" t="s">
        <v>3933</v>
      </c>
      <c r="B690" s="62">
        <v>2</v>
      </c>
    </row>
    <row r="691" spans="1:2" x14ac:dyDescent="0.2">
      <c r="A691" s="3" t="s">
        <v>4352</v>
      </c>
      <c r="B691" s="62">
        <v>6</v>
      </c>
    </row>
    <row r="692" spans="1:2" x14ac:dyDescent="0.2">
      <c r="A692" s="3" t="s">
        <v>4387</v>
      </c>
      <c r="B692" s="62">
        <v>2</v>
      </c>
    </row>
    <row r="693" spans="1:2" x14ac:dyDescent="0.2">
      <c r="A693" s="3" t="s">
        <v>4753</v>
      </c>
      <c r="B693" s="62">
        <v>3</v>
      </c>
    </row>
    <row r="694" spans="1:2" x14ac:dyDescent="0.2">
      <c r="A694" s="3" t="s">
        <v>4848</v>
      </c>
      <c r="B694" s="62">
        <v>4</v>
      </c>
    </row>
    <row r="695" spans="1:2" x14ac:dyDescent="0.2">
      <c r="A695" s="3" t="s">
        <v>5334</v>
      </c>
      <c r="B695" s="62">
        <v>4</v>
      </c>
    </row>
    <row r="696" spans="1:2" x14ac:dyDescent="0.2">
      <c r="A696" s="3" t="s">
        <v>6016</v>
      </c>
      <c r="B696" s="62">
        <v>1</v>
      </c>
    </row>
    <row r="697" spans="1:2" x14ac:dyDescent="0.2">
      <c r="A697" s="3" t="s">
        <v>6230</v>
      </c>
      <c r="B697" s="62">
        <v>1</v>
      </c>
    </row>
    <row r="698" spans="1:2" x14ac:dyDescent="0.2">
      <c r="A698" s="3" t="s">
        <v>132</v>
      </c>
      <c r="B698" s="62">
        <v>504</v>
      </c>
    </row>
    <row r="762" spans="1:1" x14ac:dyDescent="0.2">
      <c r="A762" t="s">
        <v>133</v>
      </c>
    </row>
    <row r="763" spans="1:1" x14ac:dyDescent="0.2">
      <c r="A763" s="62">
        <v>504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DF96-B744-4E73-984D-A2BDA68D9627}">
  <dimension ref="A3:B98"/>
  <sheetViews>
    <sheetView workbookViewId="0">
      <selection activeCell="J27" sqref="J27"/>
    </sheetView>
  </sheetViews>
  <sheetFormatPr baseColWidth="10" defaultColWidth="8.83203125" defaultRowHeight="15" x14ac:dyDescent="0.2"/>
  <cols>
    <col min="1" max="1" width="16.83203125" bestFit="1" customWidth="1"/>
    <col min="2" max="2" width="10.6640625" bestFit="1" customWidth="1"/>
    <col min="3" max="3" width="4" bestFit="1" customWidth="1"/>
    <col min="4" max="4" width="3.5" bestFit="1" customWidth="1"/>
    <col min="5" max="5" width="11.33203125" bestFit="1" customWidth="1"/>
    <col min="6" max="6" width="4.83203125" bestFit="1" customWidth="1"/>
    <col min="7" max="7" width="4" bestFit="1" customWidth="1"/>
    <col min="8" max="8" width="3.5" bestFit="1" customWidth="1"/>
    <col min="9" max="9" width="11.33203125" bestFit="1" customWidth="1"/>
  </cols>
  <sheetData>
    <row r="3" spans="1:2" x14ac:dyDescent="0.2">
      <c r="A3" s="2" t="s">
        <v>131</v>
      </c>
      <c r="B3" t="s">
        <v>133</v>
      </c>
    </row>
    <row r="4" spans="1:2" x14ac:dyDescent="0.2">
      <c r="A4" s="3" t="s">
        <v>111</v>
      </c>
      <c r="B4">
        <v>73</v>
      </c>
    </row>
    <row r="5" spans="1:2" x14ac:dyDescent="0.2">
      <c r="A5" s="3" t="s">
        <v>258</v>
      </c>
      <c r="B5">
        <v>77</v>
      </c>
    </row>
    <row r="6" spans="1:2" x14ac:dyDescent="0.2">
      <c r="A6" s="3" t="s">
        <v>339</v>
      </c>
      <c r="B6">
        <v>52</v>
      </c>
    </row>
    <row r="7" spans="1:2" x14ac:dyDescent="0.2">
      <c r="A7" s="3" t="s">
        <v>389</v>
      </c>
      <c r="B7">
        <v>72</v>
      </c>
    </row>
    <row r="8" spans="1:2" x14ac:dyDescent="0.2">
      <c r="A8" s="3" t="s">
        <v>425</v>
      </c>
      <c r="B8">
        <v>65</v>
      </c>
    </row>
    <row r="9" spans="1:2" x14ac:dyDescent="0.2">
      <c r="A9" s="3" t="s">
        <v>462</v>
      </c>
      <c r="B9">
        <v>89</v>
      </c>
    </row>
    <row r="10" spans="1:2" x14ac:dyDescent="0.2">
      <c r="A10" s="3" t="s">
        <v>5682</v>
      </c>
      <c r="B10">
        <v>76</v>
      </c>
    </row>
    <row r="11" spans="1:2" x14ac:dyDescent="0.2">
      <c r="A11" s="3" t="s">
        <v>132</v>
      </c>
      <c r="B11">
        <v>504</v>
      </c>
    </row>
    <row r="82" spans="1:2" x14ac:dyDescent="0.2">
      <c r="A82" s="2" t="s">
        <v>131</v>
      </c>
      <c r="B82" t="s">
        <v>133</v>
      </c>
    </row>
    <row r="83" spans="1:2" x14ac:dyDescent="0.2">
      <c r="A83" s="3" t="s">
        <v>73</v>
      </c>
      <c r="B83">
        <v>20</v>
      </c>
    </row>
    <row r="84" spans="1:2" x14ac:dyDescent="0.2">
      <c r="A84" s="3" t="s">
        <v>168</v>
      </c>
      <c r="B84">
        <v>3</v>
      </c>
    </row>
    <row r="85" spans="1:2" x14ac:dyDescent="0.2">
      <c r="A85" s="3" t="s">
        <v>58</v>
      </c>
      <c r="B85">
        <v>104</v>
      </c>
    </row>
    <row r="86" spans="1:2" x14ac:dyDescent="0.2">
      <c r="A86" s="3" t="s">
        <v>67</v>
      </c>
      <c r="B86">
        <v>94</v>
      </c>
    </row>
    <row r="87" spans="1:2" x14ac:dyDescent="0.2">
      <c r="A87" s="3" t="s">
        <v>75</v>
      </c>
      <c r="B87">
        <v>21</v>
      </c>
    </row>
    <row r="88" spans="1:2" x14ac:dyDescent="0.2">
      <c r="A88" s="3" t="s">
        <v>98</v>
      </c>
      <c r="B88">
        <v>33</v>
      </c>
    </row>
    <row r="89" spans="1:2" x14ac:dyDescent="0.2">
      <c r="A89" s="3" t="s">
        <v>53</v>
      </c>
      <c r="B89">
        <v>24</v>
      </c>
    </row>
    <row r="90" spans="1:2" x14ac:dyDescent="0.2">
      <c r="A90" s="3" t="s">
        <v>155</v>
      </c>
      <c r="B90">
        <v>51</v>
      </c>
    </row>
    <row r="91" spans="1:2" x14ac:dyDescent="0.2">
      <c r="A91" s="3" t="s">
        <v>320</v>
      </c>
      <c r="B91">
        <v>7</v>
      </c>
    </row>
    <row r="92" spans="1:2" x14ac:dyDescent="0.2">
      <c r="A92" s="3" t="s">
        <v>154</v>
      </c>
      <c r="B92">
        <v>53</v>
      </c>
    </row>
    <row r="93" spans="1:2" x14ac:dyDescent="0.2">
      <c r="A93" s="3" t="s">
        <v>6582</v>
      </c>
      <c r="B93">
        <v>2</v>
      </c>
    </row>
    <row r="94" spans="1:2" x14ac:dyDescent="0.2">
      <c r="A94" s="3" t="s">
        <v>90</v>
      </c>
      <c r="B94">
        <v>19</v>
      </c>
    </row>
    <row r="95" spans="1:2" x14ac:dyDescent="0.2">
      <c r="A95" s="3" t="s">
        <v>72</v>
      </c>
      <c r="B95">
        <v>30</v>
      </c>
    </row>
    <row r="96" spans="1:2" x14ac:dyDescent="0.2">
      <c r="A96" s="3" t="s">
        <v>369</v>
      </c>
      <c r="B96">
        <v>35</v>
      </c>
    </row>
    <row r="97" spans="1:2" x14ac:dyDescent="0.2">
      <c r="A97" s="3" t="s">
        <v>54</v>
      </c>
      <c r="B97">
        <v>8</v>
      </c>
    </row>
    <row r="98" spans="1:2" x14ac:dyDescent="0.2">
      <c r="A98" s="3" t="s">
        <v>132</v>
      </c>
      <c r="B98">
        <v>504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BM513"/>
  <sheetViews>
    <sheetView showGridLines="0" zoomScale="85" zoomScaleNormal="85" workbookViewId="0">
      <pane xSplit="7" ySplit="1" topLeftCell="H175" activePane="bottomRight" state="frozen"/>
      <selection pane="topRight" activeCell="H1" sqref="H1"/>
      <selection pane="bottomLeft" activeCell="A2" sqref="A2"/>
      <selection pane="bottomRight" activeCell="G517" sqref="G517"/>
    </sheetView>
  </sheetViews>
  <sheetFormatPr baseColWidth="10" defaultColWidth="8.83203125" defaultRowHeight="15" x14ac:dyDescent="0.2"/>
  <cols>
    <col min="1" max="1" width="8.83203125" style="16" bestFit="1" customWidth="1"/>
    <col min="2" max="2" width="9" style="16" bestFit="1" customWidth="1"/>
    <col min="3" max="3" width="12.5" style="16" bestFit="1" customWidth="1"/>
    <col min="4" max="4" width="16.1640625" bestFit="1" customWidth="1"/>
    <col min="5" max="5" width="14.6640625" bestFit="1" customWidth="1"/>
    <col min="6" max="6" width="9.33203125" bestFit="1" customWidth="1"/>
    <col min="7" max="7" width="6.83203125" bestFit="1" customWidth="1"/>
    <col min="8" max="8" width="17.33203125" bestFit="1" customWidth="1"/>
    <col min="9" max="9" width="10.5" bestFit="1" customWidth="1"/>
    <col min="10" max="10" width="28.5" bestFit="1" customWidth="1"/>
    <col min="11" max="11" width="15.5" bestFit="1" customWidth="1"/>
    <col min="12" max="12" width="16.83203125" bestFit="1" customWidth="1"/>
    <col min="13" max="13" width="21.5" bestFit="1" customWidth="1"/>
    <col min="14" max="14" width="26.33203125" bestFit="1" customWidth="1"/>
    <col min="15" max="15" width="9.83203125" bestFit="1" customWidth="1"/>
    <col min="16" max="16" width="17.83203125" bestFit="1" customWidth="1"/>
    <col min="17" max="17" width="18.33203125" bestFit="1" customWidth="1"/>
    <col min="18" max="18" width="17.1640625" bestFit="1" customWidth="1"/>
    <col min="19" max="19" width="34.5" bestFit="1" customWidth="1"/>
    <col min="20" max="20" width="29.83203125" bestFit="1" customWidth="1"/>
    <col min="21" max="21" width="22.1640625" bestFit="1" customWidth="1"/>
    <col min="22" max="22" width="20.6640625" bestFit="1" customWidth="1"/>
    <col min="23" max="23" width="48.83203125" bestFit="1" customWidth="1"/>
    <col min="24" max="24" width="21.1640625" bestFit="1" customWidth="1"/>
    <col min="25" max="25" width="14.5" bestFit="1" customWidth="1"/>
    <col min="26" max="26" width="15.5" bestFit="1" customWidth="1"/>
    <col min="27" max="27" width="34.5" bestFit="1" customWidth="1"/>
    <col min="28" max="28" width="29.83203125" bestFit="1" customWidth="1"/>
    <col min="29" max="29" width="14.83203125" bestFit="1" customWidth="1"/>
    <col min="30" max="30" width="40.83203125" bestFit="1" customWidth="1"/>
    <col min="31" max="31" width="17.83203125" bestFit="1" customWidth="1"/>
    <col min="32" max="32" width="96.6640625" bestFit="1" customWidth="1"/>
    <col min="33" max="33" width="159.5" bestFit="1" customWidth="1"/>
    <col min="34" max="34" width="26.1640625" bestFit="1" customWidth="1"/>
    <col min="35" max="35" width="26.33203125" bestFit="1" customWidth="1"/>
    <col min="36" max="36" width="22.5" bestFit="1" customWidth="1"/>
    <col min="37" max="37" width="38.33203125" bestFit="1" customWidth="1"/>
    <col min="38" max="38" width="15.5" bestFit="1" customWidth="1"/>
    <col min="39" max="40" width="14.33203125" style="4" bestFit="1" customWidth="1"/>
    <col min="41" max="42" width="12.5" style="4" bestFit="1" customWidth="1"/>
    <col min="43" max="43" width="23.5" style="4" bestFit="1" customWidth="1"/>
    <col min="44" max="44" width="26.33203125" style="4" bestFit="1" customWidth="1"/>
    <col min="45" max="45" width="18.1640625" style="4" bestFit="1" customWidth="1"/>
    <col min="46" max="46" width="18" style="4" bestFit="1" customWidth="1"/>
    <col min="47" max="47" width="18.5" style="4" bestFit="1" customWidth="1"/>
    <col min="48" max="48" width="26.83203125" style="4" bestFit="1" customWidth="1"/>
    <col min="49" max="49" width="15.5" bestFit="1" customWidth="1"/>
    <col min="50" max="50" width="16.1640625" bestFit="1" customWidth="1"/>
    <col min="51" max="51" width="14.5" bestFit="1" customWidth="1"/>
    <col min="52" max="52" width="9.5" style="16" bestFit="1" customWidth="1"/>
    <col min="53" max="53" width="20.5" bestFit="1" customWidth="1"/>
    <col min="54" max="54" width="18.33203125" bestFit="1" customWidth="1"/>
    <col min="55" max="55" width="13.5" bestFit="1" customWidth="1"/>
    <col min="56" max="56" width="14.1640625" bestFit="1" customWidth="1"/>
    <col min="57" max="57" width="22" bestFit="1" customWidth="1"/>
    <col min="58" max="58" width="18.6640625" bestFit="1" customWidth="1"/>
    <col min="59" max="59" width="10.83203125" bestFit="1" customWidth="1"/>
    <col min="60" max="60" width="17.5" style="17" bestFit="1" customWidth="1"/>
    <col min="61" max="61" width="18.5" style="17" bestFit="1" customWidth="1"/>
    <col min="62" max="62" width="14.33203125" bestFit="1" customWidth="1"/>
    <col min="63" max="63" width="15.5" bestFit="1" customWidth="1"/>
    <col min="64" max="64" width="23.33203125" bestFit="1" customWidth="1"/>
    <col min="65" max="65" width="19.6640625" style="4" bestFit="1" customWidth="1"/>
  </cols>
  <sheetData>
    <row r="1" spans="1:65" s="22" customFormat="1" x14ac:dyDescent="0.2">
      <c r="A1" s="21" t="s">
        <v>117</v>
      </c>
      <c r="B1" s="21" t="s">
        <v>0</v>
      </c>
      <c r="C1" s="21" t="s">
        <v>1</v>
      </c>
      <c r="D1" s="22" t="s">
        <v>2</v>
      </c>
      <c r="E1" s="22" t="s">
        <v>134</v>
      </c>
      <c r="F1" s="22" t="s">
        <v>135</v>
      </c>
      <c r="G1" s="22" t="s">
        <v>136</v>
      </c>
      <c r="H1" s="22" t="s">
        <v>137</v>
      </c>
      <c r="I1" s="22" t="s">
        <v>152</v>
      </c>
      <c r="J1" s="22" t="s">
        <v>153</v>
      </c>
      <c r="K1" s="22" t="s">
        <v>138</v>
      </c>
      <c r="L1" s="22" t="s">
        <v>13</v>
      </c>
      <c r="M1" s="22" t="s">
        <v>18</v>
      </c>
      <c r="N1" s="22" t="s">
        <v>160</v>
      </c>
      <c r="O1" s="22" t="s">
        <v>156</v>
      </c>
      <c r="P1" s="22" t="s">
        <v>124</v>
      </c>
      <c r="Q1" s="22" t="s">
        <v>125</v>
      </c>
      <c r="R1" s="22" t="s">
        <v>126</v>
      </c>
      <c r="S1" s="22" t="s">
        <v>9</v>
      </c>
      <c r="T1" s="22" t="s">
        <v>10</v>
      </c>
      <c r="U1" s="22" t="s">
        <v>3</v>
      </c>
      <c r="V1" s="22" t="s">
        <v>4</v>
      </c>
      <c r="W1" s="22" t="s">
        <v>5</v>
      </c>
      <c r="X1" s="22" t="s">
        <v>6</v>
      </c>
      <c r="Y1" s="22" t="s">
        <v>7</v>
      </c>
      <c r="Z1" s="22" t="s">
        <v>8</v>
      </c>
      <c r="AA1" s="22" t="s">
        <v>127</v>
      </c>
      <c r="AB1" s="22" t="s">
        <v>128</v>
      </c>
      <c r="AC1" s="22" t="s">
        <v>11</v>
      </c>
      <c r="AD1" s="22" t="s">
        <v>12</v>
      </c>
      <c r="AE1" s="22" t="s">
        <v>129</v>
      </c>
      <c r="AF1" s="22" t="s">
        <v>14</v>
      </c>
      <c r="AG1" s="22" t="s">
        <v>15</v>
      </c>
      <c r="AH1" s="22" t="s">
        <v>16</v>
      </c>
      <c r="AI1" s="22" t="s">
        <v>17</v>
      </c>
      <c r="AJ1" s="22" t="s">
        <v>130</v>
      </c>
      <c r="AK1" s="22" t="s">
        <v>262</v>
      </c>
      <c r="AL1" s="22" t="s">
        <v>19</v>
      </c>
      <c r="AM1" s="23" t="s">
        <v>20</v>
      </c>
      <c r="AN1" s="23" t="s">
        <v>21</v>
      </c>
      <c r="AO1" s="23" t="s">
        <v>22</v>
      </c>
      <c r="AP1" s="23" t="s">
        <v>23</v>
      </c>
      <c r="AQ1" s="23" t="s">
        <v>24</v>
      </c>
      <c r="AR1" s="23" t="s">
        <v>25</v>
      </c>
      <c r="AS1" s="23" t="s">
        <v>26</v>
      </c>
      <c r="AT1" s="23" t="s">
        <v>27</v>
      </c>
      <c r="AU1" s="23" t="s">
        <v>28</v>
      </c>
      <c r="AV1" s="23" t="s">
        <v>29</v>
      </c>
      <c r="AW1" s="22" t="s">
        <v>30</v>
      </c>
      <c r="AX1" s="22" t="s">
        <v>31</v>
      </c>
      <c r="AY1" s="22" t="s">
        <v>32</v>
      </c>
      <c r="AZ1" s="21" t="s">
        <v>33</v>
      </c>
      <c r="BA1" s="22" t="s">
        <v>34</v>
      </c>
      <c r="BB1" s="22" t="s">
        <v>35</v>
      </c>
      <c r="BC1" s="22" t="s">
        <v>36</v>
      </c>
      <c r="BD1" s="22" t="s">
        <v>37</v>
      </c>
      <c r="BE1" s="22" t="s">
        <v>38</v>
      </c>
      <c r="BF1" s="22" t="s">
        <v>39</v>
      </c>
      <c r="BG1" s="22" t="s">
        <v>40</v>
      </c>
      <c r="BH1" s="24" t="s">
        <v>41</v>
      </c>
      <c r="BI1" s="24" t="s">
        <v>42</v>
      </c>
      <c r="BJ1" s="22" t="s">
        <v>43</v>
      </c>
      <c r="BK1" s="22" t="s">
        <v>44</v>
      </c>
      <c r="BL1" s="22" t="s">
        <v>45</v>
      </c>
      <c r="BM1" s="23" t="s">
        <v>46</v>
      </c>
    </row>
    <row r="2" spans="1:65" s="1" customFormat="1" x14ac:dyDescent="0.2">
      <c r="A2" s="25">
        <v>1</v>
      </c>
      <c r="B2" s="26">
        <v>146</v>
      </c>
      <c r="C2" s="27" t="s">
        <v>503</v>
      </c>
      <c r="D2" s="28" t="s">
        <v>504</v>
      </c>
      <c r="E2" s="28" t="s">
        <v>244</v>
      </c>
      <c r="F2" s="28" t="s">
        <v>339</v>
      </c>
      <c r="G2" s="28">
        <v>2026</v>
      </c>
      <c r="H2" s="20" t="str">
        <f>VLOOKUP(U2,'[1]KODE TYPE standar'!$D:$U,17,0)</f>
        <v>AVANZA</v>
      </c>
      <c r="I2" s="20" t="str">
        <f>VLOOKUP(U2,'[1]KODE TYPE standar'!$D:$U,16,0)</f>
        <v>AVANZA</v>
      </c>
      <c r="J2" s="20" t="str">
        <f>VLOOKUP(U2,'[1]KODE TYPE standar'!$D:$U,18,0)</f>
        <v>AVANZA E M/T</v>
      </c>
      <c r="K2" s="27" t="s">
        <v>119</v>
      </c>
      <c r="L2" s="28" t="s">
        <v>110</v>
      </c>
      <c r="M2" s="28" t="s">
        <v>262</v>
      </c>
      <c r="N2" s="28" t="s">
        <v>140</v>
      </c>
      <c r="O2" s="28" t="s">
        <v>156</v>
      </c>
      <c r="P2" s="29" t="s">
        <v>149</v>
      </c>
      <c r="Q2" s="29" t="s">
        <v>161</v>
      </c>
      <c r="R2" s="29" t="s">
        <v>145</v>
      </c>
      <c r="S2" s="27" t="s">
        <v>508</v>
      </c>
      <c r="T2" s="30" t="s">
        <v>509</v>
      </c>
      <c r="U2" s="27" t="s">
        <v>386</v>
      </c>
      <c r="V2" s="27" t="s">
        <v>64</v>
      </c>
      <c r="W2" s="27" t="s">
        <v>65</v>
      </c>
      <c r="X2" s="27" t="s">
        <v>505</v>
      </c>
      <c r="Y2" s="27" t="s">
        <v>506</v>
      </c>
      <c r="Z2" s="27" t="s">
        <v>507</v>
      </c>
      <c r="AA2" s="27" t="s">
        <v>508</v>
      </c>
      <c r="AB2" s="30" t="s">
        <v>509</v>
      </c>
      <c r="AC2" s="30" t="s">
        <v>510</v>
      </c>
      <c r="AD2" s="28" t="s">
        <v>511</v>
      </c>
      <c r="AE2" s="28" t="s">
        <v>110</v>
      </c>
      <c r="AF2" s="28" t="s">
        <v>512</v>
      </c>
      <c r="AG2" s="28" t="s">
        <v>513</v>
      </c>
      <c r="AH2" s="28" t="s">
        <v>514</v>
      </c>
      <c r="AI2" s="28" t="s">
        <v>140</v>
      </c>
      <c r="AJ2" s="28" t="s">
        <v>262</v>
      </c>
      <c r="AK2" s="28" t="s">
        <v>89</v>
      </c>
      <c r="AL2" s="28"/>
      <c r="AM2" s="31">
        <v>246700000</v>
      </c>
      <c r="AN2" s="31">
        <v>189966518</v>
      </c>
      <c r="AO2" s="31">
        <v>33937500</v>
      </c>
      <c r="AP2" s="31">
        <v>21081696</v>
      </c>
      <c r="AQ2" s="31">
        <v>0</v>
      </c>
      <c r="AR2" s="31">
        <v>0</v>
      </c>
      <c r="AS2" s="31">
        <v>14285714</v>
      </c>
      <c r="AT2" s="31">
        <v>230700000</v>
      </c>
      <c r="AU2" s="31">
        <v>0</v>
      </c>
      <c r="AV2" s="31">
        <v>-16000000</v>
      </c>
      <c r="AW2" s="28" t="s">
        <v>251</v>
      </c>
      <c r="AX2" s="28" t="s">
        <v>251</v>
      </c>
      <c r="AY2" s="28" t="s">
        <v>83</v>
      </c>
      <c r="AZ2" s="28">
        <v>1</v>
      </c>
      <c r="BA2" s="28" t="s">
        <v>163</v>
      </c>
      <c r="BB2" s="28" t="s">
        <v>255</v>
      </c>
      <c r="BC2" s="28" t="s">
        <v>515</v>
      </c>
      <c r="BD2" s="28" t="s">
        <v>255</v>
      </c>
      <c r="BE2" s="28" t="s">
        <v>255</v>
      </c>
      <c r="BF2" s="28" t="s">
        <v>516</v>
      </c>
      <c r="BG2" s="28" t="s">
        <v>517</v>
      </c>
      <c r="BH2" s="28" t="s">
        <v>244</v>
      </c>
      <c r="BI2" s="28" t="s">
        <v>297</v>
      </c>
      <c r="BJ2" s="28" t="s">
        <v>518</v>
      </c>
      <c r="BK2" s="28" t="s">
        <v>237</v>
      </c>
      <c r="BL2" s="28" t="s">
        <v>519</v>
      </c>
      <c r="BM2" s="32">
        <v>0</v>
      </c>
    </row>
    <row r="3" spans="1:65" s="1" customFormat="1" x14ac:dyDescent="0.2">
      <c r="A3" s="33">
        <v>5</v>
      </c>
      <c r="B3" s="26">
        <v>146</v>
      </c>
      <c r="C3" s="27" t="s">
        <v>503</v>
      </c>
      <c r="D3" s="27" t="s">
        <v>520</v>
      </c>
      <c r="E3" s="27" t="s">
        <v>231</v>
      </c>
      <c r="F3" s="27" t="s">
        <v>258</v>
      </c>
      <c r="G3" s="28">
        <v>2026</v>
      </c>
      <c r="H3" s="20" t="str">
        <f>VLOOKUP(U3,'[1]KODE TYPE standar'!$D:$U,17,0)</f>
        <v>HIACE</v>
      </c>
      <c r="I3" s="20" t="str">
        <f>VLOOKUP(U3,'[1]KODE TYPE standar'!$D:$U,16,0)</f>
        <v>HIACE</v>
      </c>
      <c r="J3" s="20" t="str">
        <f>VLOOKUP(U3,'[1]KODE TYPE standar'!$D:$U,18,0)</f>
        <v>HIACE COMM</v>
      </c>
      <c r="K3" s="27" t="s">
        <v>119</v>
      </c>
      <c r="L3" s="27" t="s">
        <v>110</v>
      </c>
      <c r="M3" s="27" t="s">
        <v>262</v>
      </c>
      <c r="N3" s="27" t="s">
        <v>140</v>
      </c>
      <c r="O3" s="28" t="s">
        <v>156</v>
      </c>
      <c r="P3" s="29" t="s">
        <v>149</v>
      </c>
      <c r="Q3" s="29" t="s">
        <v>162</v>
      </c>
      <c r="R3" s="29" t="s">
        <v>145</v>
      </c>
      <c r="S3" s="27" t="s">
        <v>524</v>
      </c>
      <c r="T3" s="27" t="s">
        <v>509</v>
      </c>
      <c r="U3" s="27" t="s">
        <v>334</v>
      </c>
      <c r="V3" s="27" t="s">
        <v>99</v>
      </c>
      <c r="W3" s="27" t="s">
        <v>61</v>
      </c>
      <c r="X3" s="27" t="s">
        <v>521</v>
      </c>
      <c r="Y3" s="27" t="s">
        <v>522</v>
      </c>
      <c r="Z3" s="27" t="s">
        <v>523</v>
      </c>
      <c r="AA3" s="27" t="s">
        <v>524</v>
      </c>
      <c r="AB3" s="27" t="s">
        <v>509</v>
      </c>
      <c r="AC3" s="27" t="s">
        <v>525</v>
      </c>
      <c r="AD3" s="27" t="s">
        <v>526</v>
      </c>
      <c r="AE3" s="27" t="s">
        <v>110</v>
      </c>
      <c r="AF3" s="27" t="s">
        <v>526</v>
      </c>
      <c r="AG3" s="27" t="s">
        <v>527</v>
      </c>
      <c r="AH3" s="27" t="s">
        <v>528</v>
      </c>
      <c r="AI3" s="27" t="s">
        <v>140</v>
      </c>
      <c r="AJ3" s="27" t="s">
        <v>262</v>
      </c>
      <c r="AK3" s="27" t="s">
        <v>89</v>
      </c>
      <c r="AL3" s="27" t="s">
        <v>529</v>
      </c>
      <c r="AM3" s="34">
        <v>578100000</v>
      </c>
      <c r="AN3" s="34">
        <v>451520270</v>
      </c>
      <c r="AO3" s="34">
        <v>76912500</v>
      </c>
      <c r="AP3" s="34">
        <v>47685247</v>
      </c>
      <c r="AQ3" s="34">
        <v>0</v>
      </c>
      <c r="AR3" s="34">
        <v>0</v>
      </c>
      <c r="AS3" s="34">
        <v>18018018</v>
      </c>
      <c r="AT3" s="34">
        <v>558100000</v>
      </c>
      <c r="AU3" s="34">
        <v>0</v>
      </c>
      <c r="AV3" s="34">
        <v>-20000000</v>
      </c>
      <c r="AW3" s="27" t="s">
        <v>222</v>
      </c>
      <c r="AX3" s="27" t="s">
        <v>222</v>
      </c>
      <c r="AY3" s="27" t="s">
        <v>83</v>
      </c>
      <c r="AZ3" s="27">
        <v>1</v>
      </c>
      <c r="BA3" s="27"/>
      <c r="BB3" s="27" t="s">
        <v>221</v>
      </c>
      <c r="BC3" s="27" t="s">
        <v>530</v>
      </c>
      <c r="BD3" s="27" t="s">
        <v>219</v>
      </c>
      <c r="BE3" s="27" t="s">
        <v>219</v>
      </c>
      <c r="BF3" s="27" t="s">
        <v>531</v>
      </c>
      <c r="BG3" s="27" t="s">
        <v>532</v>
      </c>
      <c r="BH3" s="27" t="s">
        <v>231</v>
      </c>
      <c r="BI3" s="27" t="s">
        <v>265</v>
      </c>
      <c r="BJ3" s="27" t="s">
        <v>533</v>
      </c>
      <c r="BK3" s="27" t="s">
        <v>186</v>
      </c>
      <c r="BL3" s="27" t="s">
        <v>534</v>
      </c>
      <c r="BM3" s="35">
        <v>0</v>
      </c>
    </row>
    <row r="4" spans="1:65" s="1" customFormat="1" x14ac:dyDescent="0.2">
      <c r="A4" s="33">
        <v>8</v>
      </c>
      <c r="B4" s="26">
        <v>146</v>
      </c>
      <c r="C4" s="27" t="s">
        <v>503</v>
      </c>
      <c r="D4" s="27" t="s">
        <v>535</v>
      </c>
      <c r="E4" s="27" t="s">
        <v>238</v>
      </c>
      <c r="F4" s="27" t="s">
        <v>258</v>
      </c>
      <c r="G4" s="28">
        <v>2026</v>
      </c>
      <c r="H4" s="20" t="str">
        <f>VLOOKUP(U4,'[1]KODE TYPE standar'!$D:$U,17,0)</f>
        <v>CALYA</v>
      </c>
      <c r="I4" s="20" t="str">
        <f>VLOOKUP(U4,'[1]KODE TYPE standar'!$D:$U,16,0)</f>
        <v>CALYA</v>
      </c>
      <c r="J4" s="20" t="str">
        <f>VLOOKUP(U4,'[1]KODE TYPE standar'!$D:$U,18,0)</f>
        <v>CALYA G A/T</v>
      </c>
      <c r="K4" s="27" t="s">
        <v>120</v>
      </c>
      <c r="L4" s="27" t="s">
        <v>110</v>
      </c>
      <c r="M4" s="27" t="s">
        <v>262</v>
      </c>
      <c r="N4" s="27" t="s">
        <v>55</v>
      </c>
      <c r="O4" s="28" t="s">
        <v>6581</v>
      </c>
      <c r="P4" s="29" t="s">
        <v>536</v>
      </c>
      <c r="Q4" s="29" t="s">
        <v>161</v>
      </c>
      <c r="R4" s="29" t="s">
        <v>145</v>
      </c>
      <c r="S4" s="27" t="s">
        <v>540</v>
      </c>
      <c r="T4" s="27" t="s">
        <v>541</v>
      </c>
      <c r="U4" s="27" t="s">
        <v>88</v>
      </c>
      <c r="V4" s="27" t="s">
        <v>77</v>
      </c>
      <c r="W4" s="27" t="s">
        <v>78</v>
      </c>
      <c r="X4" s="27" t="s">
        <v>537</v>
      </c>
      <c r="Y4" s="27" t="s">
        <v>538</v>
      </c>
      <c r="Z4" s="27" t="s">
        <v>539</v>
      </c>
      <c r="AA4" s="27" t="s">
        <v>540</v>
      </c>
      <c r="AB4" s="27" t="s">
        <v>541</v>
      </c>
      <c r="AC4" s="27" t="s">
        <v>542</v>
      </c>
      <c r="AD4" s="27" t="s">
        <v>543</v>
      </c>
      <c r="AE4" s="27" t="s">
        <v>110</v>
      </c>
      <c r="AF4" s="27" t="s">
        <v>544</v>
      </c>
      <c r="AG4" s="27" t="s">
        <v>545</v>
      </c>
      <c r="AH4" s="27" t="s">
        <v>546</v>
      </c>
      <c r="AI4" s="27" t="s">
        <v>55</v>
      </c>
      <c r="AJ4" s="27" t="s">
        <v>262</v>
      </c>
      <c r="AK4" s="27" t="s">
        <v>423</v>
      </c>
      <c r="AL4" s="27"/>
      <c r="AM4" s="34">
        <v>196400000</v>
      </c>
      <c r="AN4" s="34">
        <v>150767857</v>
      </c>
      <c r="AO4" s="34">
        <v>27540000</v>
      </c>
      <c r="AP4" s="34">
        <v>16913571</v>
      </c>
      <c r="AQ4" s="34">
        <v>0</v>
      </c>
      <c r="AR4" s="34">
        <v>0</v>
      </c>
      <c r="AS4" s="34">
        <v>9821429</v>
      </c>
      <c r="AT4" s="34">
        <v>185400000</v>
      </c>
      <c r="AU4" s="34">
        <v>1000000</v>
      </c>
      <c r="AV4" s="34">
        <v>-11000000</v>
      </c>
      <c r="AW4" s="27"/>
      <c r="AX4" s="27"/>
      <c r="AY4" s="27" t="s">
        <v>83</v>
      </c>
      <c r="AZ4" s="27">
        <v>1</v>
      </c>
      <c r="BA4" s="27"/>
      <c r="BB4" s="27" t="s">
        <v>227</v>
      </c>
      <c r="BC4" s="27" t="s">
        <v>547</v>
      </c>
      <c r="BD4" s="27" t="s">
        <v>233</v>
      </c>
      <c r="BE4" s="27" t="s">
        <v>233</v>
      </c>
      <c r="BF4" s="27" t="s">
        <v>267</v>
      </c>
      <c r="BG4" s="27" t="s">
        <v>548</v>
      </c>
      <c r="BH4" s="27"/>
      <c r="BI4" s="27" t="s">
        <v>248</v>
      </c>
      <c r="BJ4" s="27" t="s">
        <v>354</v>
      </c>
      <c r="BK4" s="27" t="s">
        <v>237</v>
      </c>
      <c r="BL4" s="27" t="s">
        <v>549</v>
      </c>
      <c r="BM4" s="35">
        <v>0</v>
      </c>
    </row>
    <row r="5" spans="1:65" s="1" customFormat="1" x14ac:dyDescent="0.2">
      <c r="A5" s="33">
        <v>47</v>
      </c>
      <c r="B5" s="26">
        <v>146</v>
      </c>
      <c r="C5" s="36" t="s">
        <v>503</v>
      </c>
      <c r="D5" s="27" t="s">
        <v>550</v>
      </c>
      <c r="E5" s="27" t="s">
        <v>404</v>
      </c>
      <c r="F5" s="27" t="s">
        <v>389</v>
      </c>
      <c r="G5" s="28">
        <v>2026</v>
      </c>
      <c r="H5" s="20" t="str">
        <f>VLOOKUP(U5,'[1]KODE TYPE standar'!$D:$U,17,0)</f>
        <v>AVANZA</v>
      </c>
      <c r="I5" s="20" t="str">
        <f>VLOOKUP(U5,'[1]KODE TYPE standar'!$D:$U,16,0)</f>
        <v>AVANZA</v>
      </c>
      <c r="J5" s="20" t="str">
        <f>VLOOKUP(U5,'[1]KODE TYPE standar'!$D:$U,18,0)</f>
        <v>AVANZA E A/T</v>
      </c>
      <c r="K5" s="27" t="s">
        <v>118</v>
      </c>
      <c r="L5" s="27" t="s">
        <v>110</v>
      </c>
      <c r="M5" s="27" t="s">
        <v>262</v>
      </c>
      <c r="N5" s="27" t="s">
        <v>140</v>
      </c>
      <c r="O5" s="28" t="s">
        <v>156</v>
      </c>
      <c r="P5" s="29" t="s">
        <v>319</v>
      </c>
      <c r="Q5" s="29" t="s">
        <v>161</v>
      </c>
      <c r="R5" s="29" t="s">
        <v>145</v>
      </c>
      <c r="S5" s="27" t="s">
        <v>554</v>
      </c>
      <c r="T5" s="27" t="s">
        <v>509</v>
      </c>
      <c r="U5" s="27" t="s">
        <v>328</v>
      </c>
      <c r="V5" s="27" t="s">
        <v>60</v>
      </c>
      <c r="W5" s="27" t="s">
        <v>61</v>
      </c>
      <c r="X5" s="27" t="s">
        <v>551</v>
      </c>
      <c r="Y5" s="27" t="s">
        <v>552</v>
      </c>
      <c r="Z5" s="27" t="s">
        <v>553</v>
      </c>
      <c r="AA5" s="27" t="s">
        <v>554</v>
      </c>
      <c r="AB5" s="27" t="s">
        <v>509</v>
      </c>
      <c r="AC5" s="27" t="s">
        <v>555</v>
      </c>
      <c r="AD5" s="27" t="s">
        <v>556</v>
      </c>
      <c r="AE5" s="27" t="s">
        <v>110</v>
      </c>
      <c r="AF5" s="27" t="s">
        <v>557</v>
      </c>
      <c r="AG5" s="27" t="s">
        <v>558</v>
      </c>
      <c r="AH5" s="27" t="s">
        <v>559</v>
      </c>
      <c r="AI5" s="27" t="s">
        <v>140</v>
      </c>
      <c r="AJ5" s="27" t="s">
        <v>262</v>
      </c>
      <c r="AK5" s="27" t="s">
        <v>63</v>
      </c>
      <c r="AL5" s="27"/>
      <c r="AM5" s="34">
        <v>261700000</v>
      </c>
      <c r="AN5" s="34">
        <v>201685268</v>
      </c>
      <c r="AO5" s="34">
        <v>35812500</v>
      </c>
      <c r="AP5" s="34">
        <v>22595089</v>
      </c>
      <c r="AQ5" s="34">
        <v>0</v>
      </c>
      <c r="AR5" s="34">
        <v>0</v>
      </c>
      <c r="AS5" s="34">
        <v>13392857</v>
      </c>
      <c r="AT5" s="34">
        <v>246700000</v>
      </c>
      <c r="AU5" s="34">
        <v>0</v>
      </c>
      <c r="AV5" s="34">
        <v>-15000000</v>
      </c>
      <c r="AW5" s="27" t="s">
        <v>392</v>
      </c>
      <c r="AX5" s="27" t="s">
        <v>392</v>
      </c>
      <c r="AY5" s="27" t="s">
        <v>83</v>
      </c>
      <c r="AZ5" s="27">
        <v>1</v>
      </c>
      <c r="BA5" s="27" t="s">
        <v>560</v>
      </c>
      <c r="BB5" s="27" t="s">
        <v>398</v>
      </c>
      <c r="BC5" s="27" t="s">
        <v>561</v>
      </c>
      <c r="BD5" s="27" t="s">
        <v>365</v>
      </c>
      <c r="BE5" s="27" t="s">
        <v>365</v>
      </c>
      <c r="BF5" s="27" t="s">
        <v>562</v>
      </c>
      <c r="BG5" s="27" t="s">
        <v>563</v>
      </c>
      <c r="BH5" s="27" t="s">
        <v>404</v>
      </c>
      <c r="BI5" s="27" t="s">
        <v>405</v>
      </c>
      <c r="BJ5" s="27" t="s">
        <v>372</v>
      </c>
      <c r="BK5" s="27" t="s">
        <v>394</v>
      </c>
      <c r="BL5" s="27" t="s">
        <v>564</v>
      </c>
      <c r="BM5" s="35">
        <v>0</v>
      </c>
    </row>
    <row r="6" spans="1:65" s="1" customFormat="1" x14ac:dyDescent="0.2">
      <c r="A6" s="33">
        <v>57</v>
      </c>
      <c r="B6" s="26">
        <v>146</v>
      </c>
      <c r="C6" s="36" t="s">
        <v>503</v>
      </c>
      <c r="D6" s="27" t="s">
        <v>565</v>
      </c>
      <c r="E6" s="27" t="s">
        <v>303</v>
      </c>
      <c r="F6" s="27" t="s">
        <v>389</v>
      </c>
      <c r="G6" s="28">
        <v>2026</v>
      </c>
      <c r="H6" s="20" t="str">
        <f>VLOOKUP(U6,'[1]KODE TYPE standar'!$D:$U,17,0)</f>
        <v>HIACE</v>
      </c>
      <c r="I6" s="20" t="str">
        <f>VLOOKUP(U6,'[1]KODE TYPE standar'!$D:$U,16,0)</f>
        <v>HIACE</v>
      </c>
      <c r="J6" s="20" t="str">
        <f>VLOOKUP(U6,'[1]KODE TYPE standar'!$D:$U,18,0)</f>
        <v>HIACE PREMIO</v>
      </c>
      <c r="K6" s="27" t="s">
        <v>118</v>
      </c>
      <c r="L6" s="27" t="s">
        <v>110</v>
      </c>
      <c r="M6" s="27" t="s">
        <v>262</v>
      </c>
      <c r="N6" s="27" t="s">
        <v>106</v>
      </c>
      <c r="O6" s="28" t="s">
        <v>156</v>
      </c>
      <c r="P6" s="29" t="s">
        <v>149</v>
      </c>
      <c r="Q6" s="29" t="s">
        <v>161</v>
      </c>
      <c r="R6" s="29" t="s">
        <v>145</v>
      </c>
      <c r="S6" s="27" t="s">
        <v>569</v>
      </c>
      <c r="T6" s="27" t="s">
        <v>509</v>
      </c>
      <c r="U6" s="27" t="s">
        <v>173</v>
      </c>
      <c r="V6" s="27" t="s">
        <v>99</v>
      </c>
      <c r="W6" s="27" t="s">
        <v>61</v>
      </c>
      <c r="X6" s="27" t="s">
        <v>566</v>
      </c>
      <c r="Y6" s="27" t="s">
        <v>567</v>
      </c>
      <c r="Z6" s="27" t="s">
        <v>568</v>
      </c>
      <c r="AA6" s="27" t="s">
        <v>569</v>
      </c>
      <c r="AB6" s="27" t="s">
        <v>509</v>
      </c>
      <c r="AC6" s="27" t="s">
        <v>570</v>
      </c>
      <c r="AD6" s="27" t="s">
        <v>571</v>
      </c>
      <c r="AE6" s="27" t="s">
        <v>110</v>
      </c>
      <c r="AF6" s="27" t="s">
        <v>571</v>
      </c>
      <c r="AG6" s="27" t="s">
        <v>572</v>
      </c>
      <c r="AH6" s="27" t="s">
        <v>573</v>
      </c>
      <c r="AI6" s="27" t="s">
        <v>106</v>
      </c>
      <c r="AJ6" s="27" t="s">
        <v>262</v>
      </c>
      <c r="AK6" s="27" t="s">
        <v>63</v>
      </c>
      <c r="AL6" s="27"/>
      <c r="AM6" s="34">
        <v>678400000</v>
      </c>
      <c r="AN6" s="34">
        <v>525133929</v>
      </c>
      <c r="AO6" s="34">
        <v>90250000</v>
      </c>
      <c r="AP6" s="34">
        <v>60337500</v>
      </c>
      <c r="AQ6" s="34">
        <v>0</v>
      </c>
      <c r="AR6" s="34">
        <v>0</v>
      </c>
      <c r="AS6" s="34">
        <v>22321429</v>
      </c>
      <c r="AT6" s="34">
        <v>653400000</v>
      </c>
      <c r="AU6" s="34">
        <v>0</v>
      </c>
      <c r="AV6" s="34">
        <v>-25000000</v>
      </c>
      <c r="AW6" s="27" t="s">
        <v>298</v>
      </c>
      <c r="AX6" s="27" t="s">
        <v>298</v>
      </c>
      <c r="AY6" s="27" t="s">
        <v>83</v>
      </c>
      <c r="AZ6" s="27">
        <v>1</v>
      </c>
      <c r="BA6" s="27" t="s">
        <v>574</v>
      </c>
      <c r="BB6" s="27" t="s">
        <v>341</v>
      </c>
      <c r="BC6" s="27" t="s">
        <v>575</v>
      </c>
      <c r="BD6" s="27" t="s">
        <v>238</v>
      </c>
      <c r="BE6" s="27" t="s">
        <v>238</v>
      </c>
      <c r="BF6" s="27" t="s">
        <v>576</v>
      </c>
      <c r="BG6" s="27" t="s">
        <v>577</v>
      </c>
      <c r="BH6" s="27" t="s">
        <v>303</v>
      </c>
      <c r="BI6" s="27" t="s">
        <v>360</v>
      </c>
      <c r="BJ6" s="27" t="s">
        <v>578</v>
      </c>
      <c r="BK6" s="27" t="s">
        <v>273</v>
      </c>
      <c r="BL6" s="27" t="s">
        <v>579</v>
      </c>
      <c r="BM6" s="35">
        <v>0</v>
      </c>
    </row>
    <row r="7" spans="1:65" s="1" customFormat="1" x14ac:dyDescent="0.2">
      <c r="A7" s="33">
        <v>43</v>
      </c>
      <c r="B7" s="26">
        <v>146</v>
      </c>
      <c r="C7" s="27" t="s">
        <v>503</v>
      </c>
      <c r="D7" s="27" t="s">
        <v>580</v>
      </c>
      <c r="E7" s="27" t="s">
        <v>190</v>
      </c>
      <c r="F7" s="27" t="s">
        <v>111</v>
      </c>
      <c r="G7" s="28">
        <v>2026</v>
      </c>
      <c r="H7" s="20" t="str">
        <f>VLOOKUP(U7,'[1]KODE TYPE standar'!$D:$U,17,0)</f>
        <v>AVANZA</v>
      </c>
      <c r="I7" s="20" t="str">
        <f>VLOOKUP(U7,'[1]KODE TYPE standar'!$D:$U,16,0)</f>
        <v>AVANZA</v>
      </c>
      <c r="J7" s="20" t="str">
        <f>VLOOKUP(U7,'[1]KODE TYPE standar'!$D:$U,18,0)</f>
        <v>AVANZA G M/T</v>
      </c>
      <c r="K7" s="27" t="s">
        <v>50</v>
      </c>
      <c r="L7" s="27" t="s">
        <v>110</v>
      </c>
      <c r="M7" s="27" t="s">
        <v>50</v>
      </c>
      <c r="N7" s="27" t="s">
        <v>144</v>
      </c>
      <c r="O7" s="28" t="s">
        <v>6581</v>
      </c>
      <c r="P7" s="29" t="s">
        <v>151</v>
      </c>
      <c r="Q7" s="29" t="s">
        <v>161</v>
      </c>
      <c r="R7" s="29" t="s">
        <v>597</v>
      </c>
      <c r="S7" s="27" t="s">
        <v>584</v>
      </c>
      <c r="T7" s="27" t="s">
        <v>585</v>
      </c>
      <c r="U7" s="27" t="s">
        <v>59</v>
      </c>
      <c r="V7" s="27" t="s">
        <v>77</v>
      </c>
      <c r="W7" s="27" t="s">
        <v>78</v>
      </c>
      <c r="X7" s="27" t="s">
        <v>581</v>
      </c>
      <c r="Y7" s="27" t="s">
        <v>582</v>
      </c>
      <c r="Z7" s="27" t="s">
        <v>583</v>
      </c>
      <c r="AA7" s="27" t="s">
        <v>584</v>
      </c>
      <c r="AB7" s="27" t="s">
        <v>585</v>
      </c>
      <c r="AC7" s="27" t="s">
        <v>586</v>
      </c>
      <c r="AD7" s="27" t="s">
        <v>587</v>
      </c>
      <c r="AE7" s="27" t="s">
        <v>110</v>
      </c>
      <c r="AF7" s="27" t="s">
        <v>587</v>
      </c>
      <c r="AG7" s="27" t="s">
        <v>588</v>
      </c>
      <c r="AH7" s="27" t="s">
        <v>589</v>
      </c>
      <c r="AI7" s="27" t="s">
        <v>144</v>
      </c>
      <c r="AJ7" s="27" t="s">
        <v>50</v>
      </c>
      <c r="AK7" s="27" t="s">
        <v>50</v>
      </c>
      <c r="AL7" s="27" t="s">
        <v>590</v>
      </c>
      <c r="AM7" s="34">
        <v>269700000</v>
      </c>
      <c r="AN7" s="34">
        <v>207667411</v>
      </c>
      <c r="AO7" s="34">
        <v>37112500</v>
      </c>
      <c r="AP7" s="34">
        <v>22777232</v>
      </c>
      <c r="AQ7" s="34">
        <v>0</v>
      </c>
      <c r="AR7" s="34">
        <v>0</v>
      </c>
      <c r="AS7" s="34">
        <v>17857143</v>
      </c>
      <c r="AT7" s="34">
        <v>249700000</v>
      </c>
      <c r="AU7" s="34">
        <v>0</v>
      </c>
      <c r="AV7" s="34">
        <v>-20000000</v>
      </c>
      <c r="AW7" s="27" t="s">
        <v>197</v>
      </c>
      <c r="AX7" s="27" t="s">
        <v>197</v>
      </c>
      <c r="AY7" s="27" t="s">
        <v>83</v>
      </c>
      <c r="AZ7" s="27">
        <v>1</v>
      </c>
      <c r="BA7" s="27" t="s">
        <v>163</v>
      </c>
      <c r="BB7" s="27" t="s">
        <v>216</v>
      </c>
      <c r="BC7" s="27" t="s">
        <v>591</v>
      </c>
      <c r="BD7" s="27" t="s">
        <v>216</v>
      </c>
      <c r="BE7" s="27" t="s">
        <v>216</v>
      </c>
      <c r="BF7" s="27" t="s">
        <v>592</v>
      </c>
      <c r="BG7" s="27" t="s">
        <v>593</v>
      </c>
      <c r="BH7" s="27" t="s">
        <v>190</v>
      </c>
      <c r="BI7" s="27" t="s">
        <v>235</v>
      </c>
      <c r="BJ7" s="27" t="s">
        <v>594</v>
      </c>
      <c r="BK7" s="27" t="s">
        <v>206</v>
      </c>
      <c r="BL7" s="27" t="s">
        <v>595</v>
      </c>
      <c r="BM7" s="35">
        <v>0</v>
      </c>
    </row>
    <row r="8" spans="1:65" s="1" customFormat="1" x14ac:dyDescent="0.2">
      <c r="A8" s="33">
        <v>72</v>
      </c>
      <c r="B8" s="26">
        <v>146</v>
      </c>
      <c r="C8" s="36" t="s">
        <v>503</v>
      </c>
      <c r="D8" s="27" t="s">
        <v>596</v>
      </c>
      <c r="E8" s="27" t="s">
        <v>303</v>
      </c>
      <c r="F8" s="27" t="s">
        <v>389</v>
      </c>
      <c r="G8" s="28">
        <v>2026</v>
      </c>
      <c r="H8" s="20" t="str">
        <f>VLOOKUP(U8,'[1]KODE TYPE standar'!$D:$U,17,0)</f>
        <v>INV REBORN</v>
      </c>
      <c r="I8" s="20" t="str">
        <f>VLOOKUP(U8,'[1]KODE TYPE standar'!$D:$U,16,0)</f>
        <v>INNOVA</v>
      </c>
      <c r="J8" s="20" t="str">
        <f>VLOOKUP(U8,'[1]KODE TYPE standar'!$D:$U,18,0)</f>
        <v>INNOVA G A/T DIESEL</v>
      </c>
      <c r="K8" s="27" t="s">
        <v>50</v>
      </c>
      <c r="L8" s="27" t="s">
        <v>110</v>
      </c>
      <c r="M8" s="27" t="s">
        <v>50</v>
      </c>
      <c r="N8" s="27" t="s">
        <v>141</v>
      </c>
      <c r="O8" s="28" t="s">
        <v>156</v>
      </c>
      <c r="P8" s="29" t="s">
        <v>149</v>
      </c>
      <c r="Q8" s="29" t="s">
        <v>161</v>
      </c>
      <c r="R8" s="29" t="s">
        <v>597</v>
      </c>
      <c r="S8" s="27" t="s">
        <v>601</v>
      </c>
      <c r="T8" s="27" t="s">
        <v>509</v>
      </c>
      <c r="U8" s="27" t="s">
        <v>192</v>
      </c>
      <c r="V8" s="27" t="s">
        <v>283</v>
      </c>
      <c r="W8" s="27" t="s">
        <v>284</v>
      </c>
      <c r="X8" s="27" t="s">
        <v>598</v>
      </c>
      <c r="Y8" s="27" t="s">
        <v>599</v>
      </c>
      <c r="Z8" s="27" t="s">
        <v>600</v>
      </c>
      <c r="AA8" s="27" t="s">
        <v>601</v>
      </c>
      <c r="AB8" s="27" t="s">
        <v>509</v>
      </c>
      <c r="AC8" s="27" t="s">
        <v>602</v>
      </c>
      <c r="AD8" s="27" t="s">
        <v>603</v>
      </c>
      <c r="AE8" s="27" t="s">
        <v>110</v>
      </c>
      <c r="AF8" s="27" t="s">
        <v>603</v>
      </c>
      <c r="AG8" s="27" t="s">
        <v>604</v>
      </c>
      <c r="AH8" s="27" t="s">
        <v>605</v>
      </c>
      <c r="AI8" s="27" t="s">
        <v>141</v>
      </c>
      <c r="AJ8" s="27" t="s">
        <v>50</v>
      </c>
      <c r="AK8" s="27" t="s">
        <v>50</v>
      </c>
      <c r="AL8" s="27"/>
      <c r="AM8" s="34">
        <v>442100000</v>
      </c>
      <c r="AN8" s="34">
        <v>342622768</v>
      </c>
      <c r="AO8" s="34">
        <v>58362500</v>
      </c>
      <c r="AP8" s="34">
        <v>38864732</v>
      </c>
      <c r="AQ8" s="34">
        <v>0</v>
      </c>
      <c r="AR8" s="34">
        <v>0</v>
      </c>
      <c r="AS8" s="34">
        <v>18750000</v>
      </c>
      <c r="AT8" s="34">
        <v>421100000</v>
      </c>
      <c r="AU8" s="34">
        <v>0</v>
      </c>
      <c r="AV8" s="34">
        <v>-21000000</v>
      </c>
      <c r="AW8" s="27" t="s">
        <v>394</v>
      </c>
      <c r="AX8" s="27" t="s">
        <v>394</v>
      </c>
      <c r="AY8" s="27" t="s">
        <v>83</v>
      </c>
      <c r="AZ8" s="27">
        <v>1</v>
      </c>
      <c r="BA8" s="27" t="s">
        <v>163</v>
      </c>
      <c r="BB8" s="27" t="s">
        <v>348</v>
      </c>
      <c r="BC8" s="27" t="s">
        <v>606</v>
      </c>
      <c r="BD8" s="27" t="s">
        <v>348</v>
      </c>
      <c r="BE8" s="27" t="s">
        <v>348</v>
      </c>
      <c r="BF8" s="27" t="s">
        <v>607</v>
      </c>
      <c r="BG8" s="27" t="s">
        <v>608</v>
      </c>
      <c r="BH8" s="27" t="s">
        <v>303</v>
      </c>
      <c r="BI8" s="27" t="s">
        <v>360</v>
      </c>
      <c r="BJ8" s="27" t="s">
        <v>609</v>
      </c>
      <c r="BK8" s="27" t="s">
        <v>358</v>
      </c>
      <c r="BL8" s="27" t="s">
        <v>610</v>
      </c>
      <c r="BM8" s="35">
        <v>0</v>
      </c>
    </row>
    <row r="9" spans="1:65" s="1" customFormat="1" x14ac:dyDescent="0.2">
      <c r="A9" s="33">
        <v>42</v>
      </c>
      <c r="B9" s="26">
        <v>146</v>
      </c>
      <c r="C9" s="27" t="s">
        <v>503</v>
      </c>
      <c r="D9" s="27" t="s">
        <v>611</v>
      </c>
      <c r="E9" s="27" t="s">
        <v>210</v>
      </c>
      <c r="F9" s="27" t="s">
        <v>258</v>
      </c>
      <c r="G9" s="28">
        <v>2026</v>
      </c>
      <c r="H9" s="20" t="str">
        <f>VLOOKUP(U9,'[1]KODE TYPE standar'!$D:$U,17,0)</f>
        <v>INV ZENIX HYBRID</v>
      </c>
      <c r="I9" s="20" t="str">
        <f>VLOOKUP(U9,'[1]KODE TYPE standar'!$D:$U,16,0)</f>
        <v>INNOVA</v>
      </c>
      <c r="J9" s="20" t="str">
        <f>VLOOKUP(U9,'[1]KODE TYPE standar'!$D:$U,18,0)</f>
        <v>INNOVA ZENIX G A/T HIYBRID</v>
      </c>
      <c r="K9" s="27" t="s">
        <v>119</v>
      </c>
      <c r="L9" s="27" t="s">
        <v>110</v>
      </c>
      <c r="M9" s="27" t="s">
        <v>262</v>
      </c>
      <c r="N9" s="27" t="s">
        <v>141</v>
      </c>
      <c r="O9" s="28" t="s">
        <v>156</v>
      </c>
      <c r="P9" s="29" t="s">
        <v>149</v>
      </c>
      <c r="Q9" s="29" t="s">
        <v>161</v>
      </c>
      <c r="R9" s="29" t="s">
        <v>612</v>
      </c>
      <c r="S9" s="27" t="s">
        <v>616</v>
      </c>
      <c r="T9" s="27" t="s">
        <v>585</v>
      </c>
      <c r="U9" s="27" t="s">
        <v>388</v>
      </c>
      <c r="V9" s="27" t="s">
        <v>48</v>
      </c>
      <c r="W9" s="27" t="s">
        <v>49</v>
      </c>
      <c r="X9" s="27" t="s">
        <v>613</v>
      </c>
      <c r="Y9" s="27" t="s">
        <v>614</v>
      </c>
      <c r="Z9" s="27" t="s">
        <v>615</v>
      </c>
      <c r="AA9" s="27" t="s">
        <v>616</v>
      </c>
      <c r="AB9" s="27" t="s">
        <v>585</v>
      </c>
      <c r="AC9" s="27" t="s">
        <v>617</v>
      </c>
      <c r="AD9" s="27" t="s">
        <v>618</v>
      </c>
      <c r="AE9" s="27" t="s">
        <v>110</v>
      </c>
      <c r="AF9" s="27" t="s">
        <v>618</v>
      </c>
      <c r="AG9" s="27" t="s">
        <v>619</v>
      </c>
      <c r="AH9" s="27" t="s">
        <v>620</v>
      </c>
      <c r="AI9" s="27" t="s">
        <v>141</v>
      </c>
      <c r="AJ9" s="27" t="s">
        <v>262</v>
      </c>
      <c r="AK9" s="27" t="s">
        <v>89</v>
      </c>
      <c r="AL9" s="27" t="s">
        <v>621</v>
      </c>
      <c r="AM9" s="34">
        <v>476600000</v>
      </c>
      <c r="AN9" s="34">
        <v>369799107</v>
      </c>
      <c r="AO9" s="34">
        <v>62425000</v>
      </c>
      <c r="AP9" s="34">
        <v>41697321</v>
      </c>
      <c r="AQ9" s="34">
        <v>0</v>
      </c>
      <c r="AR9" s="34">
        <v>0</v>
      </c>
      <c r="AS9" s="34">
        <v>22321429</v>
      </c>
      <c r="AT9" s="34">
        <v>451600000</v>
      </c>
      <c r="AU9" s="34">
        <v>0</v>
      </c>
      <c r="AV9" s="34">
        <v>-25000000</v>
      </c>
      <c r="AW9" s="27" t="s">
        <v>235</v>
      </c>
      <c r="AX9" s="27" t="s">
        <v>235</v>
      </c>
      <c r="AY9" s="27" t="s">
        <v>83</v>
      </c>
      <c r="AZ9" s="27">
        <v>1</v>
      </c>
      <c r="BA9" s="27" t="s">
        <v>163</v>
      </c>
      <c r="BB9" s="27" t="s">
        <v>213</v>
      </c>
      <c r="BC9" s="27" t="s">
        <v>622</v>
      </c>
      <c r="BD9" s="27" t="s">
        <v>210</v>
      </c>
      <c r="BE9" s="27" t="s">
        <v>210</v>
      </c>
      <c r="BF9" s="27" t="s">
        <v>623</v>
      </c>
      <c r="BG9" s="27" t="s">
        <v>624</v>
      </c>
      <c r="BH9" s="27" t="s">
        <v>210</v>
      </c>
      <c r="BI9" s="27" t="s">
        <v>266</v>
      </c>
      <c r="BJ9" s="27" t="s">
        <v>625</v>
      </c>
      <c r="BK9" s="27" t="s">
        <v>210</v>
      </c>
      <c r="BL9" s="27" t="s">
        <v>626</v>
      </c>
      <c r="BM9" s="35">
        <v>0</v>
      </c>
    </row>
    <row r="10" spans="1:65" s="1" customFormat="1" x14ac:dyDescent="0.2">
      <c r="A10" s="33">
        <v>64</v>
      </c>
      <c r="B10" s="26">
        <v>146</v>
      </c>
      <c r="C10" s="27" t="s">
        <v>503</v>
      </c>
      <c r="D10" s="27" t="s">
        <v>627</v>
      </c>
      <c r="E10" s="27" t="s">
        <v>216</v>
      </c>
      <c r="F10" s="27" t="s">
        <v>111</v>
      </c>
      <c r="G10" s="28">
        <v>2026</v>
      </c>
      <c r="H10" s="20" t="str">
        <f>VLOOKUP(U10,'[1]KODE TYPE standar'!$D:$U,17,0)</f>
        <v>INV REBORN</v>
      </c>
      <c r="I10" s="20" t="str">
        <f>VLOOKUP(U10,'[1]KODE TYPE standar'!$D:$U,16,0)</f>
        <v>INNOVA</v>
      </c>
      <c r="J10" s="20" t="str">
        <f>VLOOKUP(U10,'[1]KODE TYPE standar'!$D:$U,18,0)</f>
        <v>INNOVA G A/T DIESEL</v>
      </c>
      <c r="K10" s="27" t="s">
        <v>121</v>
      </c>
      <c r="L10" s="27" t="s">
        <v>110</v>
      </c>
      <c r="M10" s="27" t="s">
        <v>262</v>
      </c>
      <c r="N10" s="27" t="s">
        <v>141</v>
      </c>
      <c r="O10" s="28" t="s">
        <v>156</v>
      </c>
      <c r="P10" s="29" t="s">
        <v>536</v>
      </c>
      <c r="Q10" s="29" t="s">
        <v>161</v>
      </c>
      <c r="R10" s="29" t="s">
        <v>145</v>
      </c>
      <c r="S10" s="27" t="s">
        <v>631</v>
      </c>
      <c r="T10" s="27" t="s">
        <v>541</v>
      </c>
      <c r="U10" s="27" t="s">
        <v>192</v>
      </c>
      <c r="V10" s="27" t="s">
        <v>48</v>
      </c>
      <c r="W10" s="27" t="s">
        <v>49</v>
      </c>
      <c r="X10" s="27" t="s">
        <v>628</v>
      </c>
      <c r="Y10" s="27" t="s">
        <v>629</v>
      </c>
      <c r="Z10" s="27" t="s">
        <v>630</v>
      </c>
      <c r="AA10" s="27" t="s">
        <v>631</v>
      </c>
      <c r="AB10" s="27" t="s">
        <v>541</v>
      </c>
      <c r="AC10" s="27" t="s">
        <v>632</v>
      </c>
      <c r="AD10" s="27" t="s">
        <v>633</v>
      </c>
      <c r="AE10" s="27" t="s">
        <v>110</v>
      </c>
      <c r="AF10" s="27" t="s">
        <v>634</v>
      </c>
      <c r="AG10" s="27" t="s">
        <v>635</v>
      </c>
      <c r="AH10" s="27" t="s">
        <v>636</v>
      </c>
      <c r="AI10" s="27" t="s">
        <v>141</v>
      </c>
      <c r="AJ10" s="27" t="s">
        <v>262</v>
      </c>
      <c r="AK10" s="27" t="s">
        <v>104</v>
      </c>
      <c r="AL10" s="27" t="s">
        <v>637</v>
      </c>
      <c r="AM10" s="34">
        <v>442100000</v>
      </c>
      <c r="AN10" s="34">
        <v>342845982</v>
      </c>
      <c r="AO10" s="34">
        <v>58112500</v>
      </c>
      <c r="AP10" s="34">
        <v>39059496</v>
      </c>
      <c r="AQ10" s="34">
        <v>0</v>
      </c>
      <c r="AR10" s="34">
        <v>0</v>
      </c>
      <c r="AS10" s="34">
        <v>17350179</v>
      </c>
      <c r="AT10" s="34">
        <v>422667800</v>
      </c>
      <c r="AU10" s="34">
        <v>0</v>
      </c>
      <c r="AV10" s="34">
        <v>-23932200</v>
      </c>
      <c r="AW10" s="27" t="s">
        <v>190</v>
      </c>
      <c r="AX10" s="27" t="s">
        <v>190</v>
      </c>
      <c r="AY10" s="27" t="s">
        <v>83</v>
      </c>
      <c r="AZ10" s="27">
        <v>1</v>
      </c>
      <c r="BA10" s="27"/>
      <c r="BB10" s="27" t="s">
        <v>204</v>
      </c>
      <c r="BC10" s="27" t="s">
        <v>638</v>
      </c>
      <c r="BD10" s="27" t="s">
        <v>191</v>
      </c>
      <c r="BE10" s="27" t="s">
        <v>191</v>
      </c>
      <c r="BF10" s="27" t="s">
        <v>639</v>
      </c>
      <c r="BG10" s="27" t="s">
        <v>640</v>
      </c>
      <c r="BH10" s="27" t="s">
        <v>216</v>
      </c>
      <c r="BI10" s="27" t="s">
        <v>228</v>
      </c>
      <c r="BJ10" s="27" t="s">
        <v>641</v>
      </c>
      <c r="BK10" s="27" t="s">
        <v>225</v>
      </c>
      <c r="BL10" s="27" t="s">
        <v>642</v>
      </c>
      <c r="BM10" s="35">
        <v>0</v>
      </c>
    </row>
    <row r="11" spans="1:65" s="1" customFormat="1" x14ac:dyDescent="0.2">
      <c r="A11" s="33">
        <v>94</v>
      </c>
      <c r="B11" s="26">
        <v>146</v>
      </c>
      <c r="C11" s="36" t="s">
        <v>503</v>
      </c>
      <c r="D11" s="27" t="s">
        <v>643</v>
      </c>
      <c r="E11" s="27" t="s">
        <v>360</v>
      </c>
      <c r="F11" s="27" t="s">
        <v>389</v>
      </c>
      <c r="G11" s="28">
        <v>2026</v>
      </c>
      <c r="H11" s="20" t="str">
        <f>VLOOKUP(U11,'[1]KODE TYPE standar'!$D:$U,17,0)</f>
        <v>VELOZ</v>
      </c>
      <c r="I11" s="20" t="str">
        <f>VLOOKUP(U11,'[1]KODE TYPE standar'!$D:$U,16,0)</f>
        <v>VELOZ</v>
      </c>
      <c r="J11" s="20" t="str">
        <f>VLOOKUP(U11,'[1]KODE TYPE standar'!$D:$U,18,0)</f>
        <v>VELOZ Q AT HYBRID</v>
      </c>
      <c r="K11" s="27" t="s">
        <v>118</v>
      </c>
      <c r="L11" s="27" t="s">
        <v>110</v>
      </c>
      <c r="M11" s="27" t="s">
        <v>262</v>
      </c>
      <c r="N11" s="27" t="s">
        <v>139</v>
      </c>
      <c r="O11" s="28" t="s">
        <v>156</v>
      </c>
      <c r="P11" s="29" t="s">
        <v>149</v>
      </c>
      <c r="Q11" s="29" t="s">
        <v>161</v>
      </c>
      <c r="R11" s="29" t="s">
        <v>597</v>
      </c>
      <c r="S11" s="27" t="s">
        <v>647</v>
      </c>
      <c r="T11" s="27" t="s">
        <v>509</v>
      </c>
      <c r="U11" s="27" t="s">
        <v>337</v>
      </c>
      <c r="V11" s="27" t="s">
        <v>51</v>
      </c>
      <c r="W11" s="27" t="s">
        <v>286</v>
      </c>
      <c r="X11" s="27" t="s">
        <v>644</v>
      </c>
      <c r="Y11" s="27" t="s">
        <v>645</v>
      </c>
      <c r="Z11" s="27" t="s">
        <v>646</v>
      </c>
      <c r="AA11" s="27" t="s">
        <v>647</v>
      </c>
      <c r="AB11" s="27" t="s">
        <v>509</v>
      </c>
      <c r="AC11" s="27" t="s">
        <v>648</v>
      </c>
      <c r="AD11" s="27" t="s">
        <v>649</v>
      </c>
      <c r="AE11" s="27" t="s">
        <v>110</v>
      </c>
      <c r="AF11" s="27" t="s">
        <v>649</v>
      </c>
      <c r="AG11" s="27" t="s">
        <v>650</v>
      </c>
      <c r="AH11" s="27" t="s">
        <v>651</v>
      </c>
      <c r="AI11" s="27" t="s">
        <v>139</v>
      </c>
      <c r="AJ11" s="27" t="s">
        <v>262</v>
      </c>
      <c r="AK11" s="27" t="s">
        <v>63</v>
      </c>
      <c r="AL11" s="27"/>
      <c r="AM11" s="34">
        <v>326500000</v>
      </c>
      <c r="AN11" s="34">
        <v>252310268</v>
      </c>
      <c r="AO11" s="34">
        <v>43912500</v>
      </c>
      <c r="AP11" s="34">
        <v>30277232</v>
      </c>
      <c r="AQ11" s="34">
        <v>0</v>
      </c>
      <c r="AR11" s="34">
        <v>0</v>
      </c>
      <c r="AS11" s="34">
        <v>0</v>
      </c>
      <c r="AT11" s="34">
        <v>326500000</v>
      </c>
      <c r="AU11" s="34">
        <v>0</v>
      </c>
      <c r="AV11" s="34">
        <v>0</v>
      </c>
      <c r="AW11" s="27" t="s">
        <v>392</v>
      </c>
      <c r="AX11" s="27" t="s">
        <v>392</v>
      </c>
      <c r="AY11" s="27" t="s">
        <v>83</v>
      </c>
      <c r="AZ11" s="27">
        <v>1</v>
      </c>
      <c r="BA11" s="27" t="s">
        <v>163</v>
      </c>
      <c r="BB11" s="27" t="s">
        <v>360</v>
      </c>
      <c r="BC11" s="27" t="s">
        <v>652</v>
      </c>
      <c r="BD11" s="27" t="s">
        <v>347</v>
      </c>
      <c r="BE11" s="27" t="s">
        <v>347</v>
      </c>
      <c r="BF11" s="27" t="s">
        <v>653</v>
      </c>
      <c r="BG11" s="27" t="s">
        <v>654</v>
      </c>
      <c r="BH11" s="27" t="s">
        <v>360</v>
      </c>
      <c r="BI11" s="27" t="s">
        <v>411</v>
      </c>
      <c r="BJ11" s="27" t="s">
        <v>655</v>
      </c>
      <c r="BK11" s="27" t="s">
        <v>393</v>
      </c>
      <c r="BL11" s="27" t="s">
        <v>656</v>
      </c>
      <c r="BM11" s="35">
        <v>0</v>
      </c>
    </row>
    <row r="12" spans="1:65" s="1" customFormat="1" x14ac:dyDescent="0.2">
      <c r="A12" s="25">
        <v>59</v>
      </c>
      <c r="B12" s="26">
        <v>146</v>
      </c>
      <c r="C12" s="27" t="s">
        <v>503</v>
      </c>
      <c r="D12" s="28" t="s">
        <v>657</v>
      </c>
      <c r="E12" s="28" t="s">
        <v>244</v>
      </c>
      <c r="F12" s="28" t="s">
        <v>339</v>
      </c>
      <c r="G12" s="28">
        <v>2026</v>
      </c>
      <c r="H12" s="20" t="str">
        <f>VLOOKUP(U12,'[1]KODE TYPE standar'!$D:$U,17,0)</f>
        <v>CALYA</v>
      </c>
      <c r="I12" s="20" t="str">
        <f>VLOOKUP(U12,'[1]KODE TYPE standar'!$D:$U,16,0)</f>
        <v>CALYA</v>
      </c>
      <c r="J12" s="20" t="str">
        <f>VLOOKUP(U12,'[1]KODE TYPE standar'!$D:$U,18,0)</f>
        <v>CALYA G M/T</v>
      </c>
      <c r="K12" s="27" t="s">
        <v>119</v>
      </c>
      <c r="L12" s="28" t="s">
        <v>110</v>
      </c>
      <c r="M12" s="28" t="s">
        <v>262</v>
      </c>
      <c r="N12" s="28" t="s">
        <v>141</v>
      </c>
      <c r="O12" s="28" t="s">
        <v>156</v>
      </c>
      <c r="P12" s="29" t="s">
        <v>149</v>
      </c>
      <c r="Q12" s="29" t="s">
        <v>161</v>
      </c>
      <c r="R12" s="29" t="s">
        <v>145</v>
      </c>
      <c r="S12" s="27" t="s">
        <v>647</v>
      </c>
      <c r="T12" s="30" t="s">
        <v>509</v>
      </c>
      <c r="U12" s="27" t="s">
        <v>268</v>
      </c>
      <c r="V12" s="27" t="s">
        <v>68</v>
      </c>
      <c r="W12" s="27" t="s">
        <v>69</v>
      </c>
      <c r="X12" s="27" t="s">
        <v>658</v>
      </c>
      <c r="Y12" s="27" t="s">
        <v>659</v>
      </c>
      <c r="Z12" s="27" t="s">
        <v>646</v>
      </c>
      <c r="AA12" s="27" t="s">
        <v>647</v>
      </c>
      <c r="AB12" s="30" t="s">
        <v>509</v>
      </c>
      <c r="AC12" s="30" t="s">
        <v>660</v>
      </c>
      <c r="AD12" s="28" t="s">
        <v>661</v>
      </c>
      <c r="AE12" s="28" t="s">
        <v>110</v>
      </c>
      <c r="AF12" s="28" t="s">
        <v>661</v>
      </c>
      <c r="AG12" s="28" t="s">
        <v>662</v>
      </c>
      <c r="AH12" s="28" t="s">
        <v>170</v>
      </c>
      <c r="AI12" s="28" t="s">
        <v>141</v>
      </c>
      <c r="AJ12" s="28" t="s">
        <v>262</v>
      </c>
      <c r="AK12" s="28" t="s">
        <v>89</v>
      </c>
      <c r="AL12" s="28"/>
      <c r="AM12" s="31">
        <v>181900000</v>
      </c>
      <c r="AN12" s="31">
        <v>139341518</v>
      </c>
      <c r="AO12" s="31">
        <v>25837500</v>
      </c>
      <c r="AP12" s="31">
        <v>15542410</v>
      </c>
      <c r="AQ12" s="31">
        <v>0</v>
      </c>
      <c r="AR12" s="31">
        <v>0</v>
      </c>
      <c r="AS12" s="31">
        <v>9821429</v>
      </c>
      <c r="AT12" s="31">
        <v>170900000</v>
      </c>
      <c r="AU12" s="31">
        <v>0</v>
      </c>
      <c r="AV12" s="31">
        <v>-11000000</v>
      </c>
      <c r="AW12" s="28" t="s">
        <v>251</v>
      </c>
      <c r="AX12" s="28" t="s">
        <v>251</v>
      </c>
      <c r="AY12" s="28" t="s">
        <v>83</v>
      </c>
      <c r="AZ12" s="28">
        <v>1</v>
      </c>
      <c r="BA12" s="28"/>
      <c r="BB12" s="28" t="s">
        <v>242</v>
      </c>
      <c r="BC12" s="28" t="s">
        <v>663</v>
      </c>
      <c r="BD12" s="28" t="s">
        <v>252</v>
      </c>
      <c r="BE12" s="28" t="s">
        <v>252</v>
      </c>
      <c r="BF12" s="28" t="s">
        <v>664</v>
      </c>
      <c r="BG12" s="28" t="s">
        <v>665</v>
      </c>
      <c r="BH12" s="28" t="s">
        <v>244</v>
      </c>
      <c r="BI12" s="28" t="s">
        <v>297</v>
      </c>
      <c r="BJ12" s="28" t="s">
        <v>666</v>
      </c>
      <c r="BK12" s="28" t="s">
        <v>252</v>
      </c>
      <c r="BL12" s="28" t="s">
        <v>667</v>
      </c>
      <c r="BM12" s="32">
        <v>0</v>
      </c>
    </row>
    <row r="13" spans="1:65" s="1" customFormat="1" x14ac:dyDescent="0.2">
      <c r="A13" s="33">
        <v>60</v>
      </c>
      <c r="B13" s="26">
        <v>146</v>
      </c>
      <c r="C13" s="27" t="s">
        <v>503</v>
      </c>
      <c r="D13" s="27" t="s">
        <v>668</v>
      </c>
      <c r="E13" s="27" t="s">
        <v>234</v>
      </c>
      <c r="F13" s="27" t="s">
        <v>258</v>
      </c>
      <c r="G13" s="28">
        <v>2026</v>
      </c>
      <c r="H13" s="20" t="str">
        <f>VLOOKUP(U13,'[1]KODE TYPE standar'!$D:$U,17,0)</f>
        <v>INV ZENIX GAS</v>
      </c>
      <c r="I13" s="20" t="str">
        <f>VLOOKUP(U13,'[1]KODE TYPE standar'!$D:$U,16,0)</f>
        <v>INNOVA</v>
      </c>
      <c r="J13" s="20" t="str">
        <f>VLOOKUP(U13,'[1]KODE TYPE standar'!$D:$U,18,0)</f>
        <v>INNOVA ZENIX V A/T</v>
      </c>
      <c r="K13" s="27" t="s">
        <v>119</v>
      </c>
      <c r="L13" s="27" t="s">
        <v>110</v>
      </c>
      <c r="M13" s="27" t="s">
        <v>262</v>
      </c>
      <c r="N13" s="27" t="s">
        <v>139</v>
      </c>
      <c r="O13" s="28" t="s">
        <v>156</v>
      </c>
      <c r="P13" s="29" t="s">
        <v>149</v>
      </c>
      <c r="Q13" s="29" t="s">
        <v>162</v>
      </c>
      <c r="R13" s="29" t="s">
        <v>148</v>
      </c>
      <c r="S13" s="27" t="s">
        <v>631</v>
      </c>
      <c r="T13" s="27" t="s">
        <v>541</v>
      </c>
      <c r="U13" s="27" t="s">
        <v>491</v>
      </c>
      <c r="V13" s="27" t="s">
        <v>51</v>
      </c>
      <c r="W13" s="27" t="s">
        <v>86</v>
      </c>
      <c r="X13" s="27" t="s">
        <v>669</v>
      </c>
      <c r="Y13" s="27" t="s">
        <v>670</v>
      </c>
      <c r="Z13" s="27" t="s">
        <v>630</v>
      </c>
      <c r="AA13" s="27" t="s">
        <v>631</v>
      </c>
      <c r="AB13" s="27" t="s">
        <v>541</v>
      </c>
      <c r="AC13" s="27" t="s">
        <v>671</v>
      </c>
      <c r="AD13" s="27" t="s">
        <v>672</v>
      </c>
      <c r="AE13" s="27" t="s">
        <v>110</v>
      </c>
      <c r="AF13" s="27" t="s">
        <v>672</v>
      </c>
      <c r="AG13" s="27" t="s">
        <v>673</v>
      </c>
      <c r="AH13" s="27" t="s">
        <v>674</v>
      </c>
      <c r="AI13" s="27" t="s">
        <v>139</v>
      </c>
      <c r="AJ13" s="27" t="s">
        <v>262</v>
      </c>
      <c r="AK13" s="27" t="s">
        <v>89</v>
      </c>
      <c r="AL13" s="27" t="s">
        <v>675</v>
      </c>
      <c r="AM13" s="34">
        <v>488300000</v>
      </c>
      <c r="AN13" s="34">
        <v>378939732</v>
      </c>
      <c r="AO13" s="34">
        <v>63887500</v>
      </c>
      <c r="AP13" s="34">
        <v>42794196</v>
      </c>
      <c r="AQ13" s="34">
        <v>0</v>
      </c>
      <c r="AR13" s="34">
        <v>0</v>
      </c>
      <c r="AS13" s="34">
        <v>22321429</v>
      </c>
      <c r="AT13" s="34">
        <v>463300000</v>
      </c>
      <c r="AU13" s="34">
        <v>0</v>
      </c>
      <c r="AV13" s="34">
        <v>-25000000</v>
      </c>
      <c r="AW13" s="27" t="s">
        <v>215</v>
      </c>
      <c r="AX13" s="27" t="s">
        <v>215</v>
      </c>
      <c r="AY13" s="27" t="s">
        <v>83</v>
      </c>
      <c r="AZ13" s="27">
        <v>1</v>
      </c>
      <c r="BA13" s="27"/>
      <c r="BB13" s="27" t="s">
        <v>190</v>
      </c>
      <c r="BC13" s="27" t="s">
        <v>676</v>
      </c>
      <c r="BD13" s="27" t="s">
        <v>216</v>
      </c>
      <c r="BE13" s="27" t="s">
        <v>216</v>
      </c>
      <c r="BF13" s="27" t="s">
        <v>677</v>
      </c>
      <c r="BG13" s="27" t="s">
        <v>678</v>
      </c>
      <c r="BH13" s="27" t="s">
        <v>234</v>
      </c>
      <c r="BI13" s="27" t="s">
        <v>255</v>
      </c>
      <c r="BJ13" s="27" t="s">
        <v>679</v>
      </c>
      <c r="BK13" s="27" t="s">
        <v>221</v>
      </c>
      <c r="BL13" s="27" t="s">
        <v>680</v>
      </c>
      <c r="BM13" s="35">
        <v>0</v>
      </c>
    </row>
    <row r="14" spans="1:65" s="1" customFormat="1" x14ac:dyDescent="0.2">
      <c r="A14" s="33">
        <v>119</v>
      </c>
      <c r="B14" s="26">
        <v>146</v>
      </c>
      <c r="C14" s="36" t="s">
        <v>503</v>
      </c>
      <c r="D14" s="27" t="s">
        <v>681</v>
      </c>
      <c r="E14" s="27" t="s">
        <v>368</v>
      </c>
      <c r="F14" s="27" t="s">
        <v>389</v>
      </c>
      <c r="G14" s="28">
        <v>2026</v>
      </c>
      <c r="H14" s="20" t="str">
        <f>VLOOKUP(U14,'[1]KODE TYPE standar'!$D:$U,17,0)</f>
        <v>INV ZENIX HYBRID</v>
      </c>
      <c r="I14" s="20" t="str">
        <f>VLOOKUP(U14,'[1]KODE TYPE standar'!$D:$U,16,0)</f>
        <v>INNOVA</v>
      </c>
      <c r="J14" s="20" t="str">
        <f>VLOOKUP(U14,'[1]KODE TYPE standar'!$D:$U,18,0)</f>
        <v>INNOVA ZENIX V A/T HYBRID</v>
      </c>
      <c r="K14" s="27" t="s">
        <v>119</v>
      </c>
      <c r="L14" s="27" t="s">
        <v>110</v>
      </c>
      <c r="M14" s="27" t="s">
        <v>262</v>
      </c>
      <c r="N14" s="27" t="s">
        <v>141</v>
      </c>
      <c r="O14" s="28" t="s">
        <v>156</v>
      </c>
      <c r="P14" s="29" t="s">
        <v>150</v>
      </c>
      <c r="Q14" s="29" t="s">
        <v>162</v>
      </c>
      <c r="R14" s="29" t="s">
        <v>145</v>
      </c>
      <c r="S14" s="27" t="s">
        <v>524</v>
      </c>
      <c r="T14" s="27" t="s">
        <v>509</v>
      </c>
      <c r="U14" s="27" t="s">
        <v>175</v>
      </c>
      <c r="V14" s="27" t="s">
        <v>48</v>
      </c>
      <c r="W14" s="27" t="s">
        <v>49</v>
      </c>
      <c r="X14" s="27" t="s">
        <v>682</v>
      </c>
      <c r="Y14" s="27" t="s">
        <v>683</v>
      </c>
      <c r="Z14" s="27" t="s">
        <v>523</v>
      </c>
      <c r="AA14" s="27" t="s">
        <v>524</v>
      </c>
      <c r="AB14" s="27" t="s">
        <v>509</v>
      </c>
      <c r="AC14" s="27" t="s">
        <v>684</v>
      </c>
      <c r="AD14" s="27" t="s">
        <v>685</v>
      </c>
      <c r="AE14" s="27" t="s">
        <v>110</v>
      </c>
      <c r="AF14" s="27" t="s">
        <v>686</v>
      </c>
      <c r="AG14" s="27" t="s">
        <v>687</v>
      </c>
      <c r="AH14" s="27" t="s">
        <v>688</v>
      </c>
      <c r="AI14" s="27" t="s">
        <v>141</v>
      </c>
      <c r="AJ14" s="27" t="s">
        <v>262</v>
      </c>
      <c r="AK14" s="27" t="s">
        <v>89</v>
      </c>
      <c r="AL14" s="27"/>
      <c r="AM14" s="34">
        <v>551900000</v>
      </c>
      <c r="AN14" s="34">
        <v>428404018</v>
      </c>
      <c r="AO14" s="34">
        <v>72087500</v>
      </c>
      <c r="AP14" s="34">
        <v>49158482</v>
      </c>
      <c r="AQ14" s="34">
        <v>0</v>
      </c>
      <c r="AR14" s="34">
        <v>0</v>
      </c>
      <c r="AS14" s="34">
        <v>18750000</v>
      </c>
      <c r="AT14" s="34">
        <v>530900000</v>
      </c>
      <c r="AU14" s="34">
        <v>0</v>
      </c>
      <c r="AV14" s="34">
        <v>-21000000</v>
      </c>
      <c r="AW14" s="27" t="s">
        <v>368</v>
      </c>
      <c r="AX14" s="27" t="s">
        <v>368</v>
      </c>
      <c r="AY14" s="27" t="s">
        <v>83</v>
      </c>
      <c r="AZ14" s="27">
        <v>1</v>
      </c>
      <c r="BA14" s="27" t="s">
        <v>689</v>
      </c>
      <c r="BB14" s="27" t="s">
        <v>255</v>
      </c>
      <c r="BC14" s="27" t="s">
        <v>690</v>
      </c>
      <c r="BD14" s="27" t="s">
        <v>294</v>
      </c>
      <c r="BE14" s="27" t="s">
        <v>294</v>
      </c>
      <c r="BF14" s="27" t="s">
        <v>691</v>
      </c>
      <c r="BG14" s="27" t="s">
        <v>692</v>
      </c>
      <c r="BH14" s="27" t="s">
        <v>368</v>
      </c>
      <c r="BI14" s="27" t="s">
        <v>367</v>
      </c>
      <c r="BJ14" s="27" t="s">
        <v>693</v>
      </c>
      <c r="BK14" s="27" t="s">
        <v>211</v>
      </c>
      <c r="BL14" s="27" t="s">
        <v>694</v>
      </c>
      <c r="BM14" s="35">
        <v>0</v>
      </c>
    </row>
    <row r="15" spans="1:65" s="1" customFormat="1" x14ac:dyDescent="0.2">
      <c r="A15" s="33">
        <v>93</v>
      </c>
      <c r="B15" s="26">
        <v>146</v>
      </c>
      <c r="C15" s="27" t="s">
        <v>503</v>
      </c>
      <c r="D15" s="27" t="s">
        <v>695</v>
      </c>
      <c r="E15" s="27" t="s">
        <v>182</v>
      </c>
      <c r="F15" s="27" t="s">
        <v>111</v>
      </c>
      <c r="G15" s="28">
        <v>2026</v>
      </c>
      <c r="H15" s="20" t="str">
        <f>VLOOKUP(U15,'[1]KODE TYPE standar'!$D:$U,17,0)</f>
        <v>INV ZENIX HYBRID</v>
      </c>
      <c r="I15" s="20" t="str">
        <f>VLOOKUP(U15,'[1]KODE TYPE standar'!$D:$U,16,0)</f>
        <v>INNOVA</v>
      </c>
      <c r="J15" s="20" t="str">
        <f>VLOOKUP(U15,'[1]KODE TYPE standar'!$D:$U,18,0)</f>
        <v>INNOVA ZENIX Q A/T HYBRID</v>
      </c>
      <c r="K15" s="27" t="s">
        <v>50</v>
      </c>
      <c r="L15" s="27" t="s">
        <v>110</v>
      </c>
      <c r="M15" s="27" t="s">
        <v>50</v>
      </c>
      <c r="N15" s="27" t="s">
        <v>141</v>
      </c>
      <c r="O15" s="28" t="s">
        <v>156</v>
      </c>
      <c r="P15" s="29" t="s">
        <v>149</v>
      </c>
      <c r="Q15" s="29" t="s">
        <v>162</v>
      </c>
      <c r="R15" s="29" t="s">
        <v>145</v>
      </c>
      <c r="S15" s="27" t="s">
        <v>524</v>
      </c>
      <c r="T15" s="27" t="s">
        <v>541</v>
      </c>
      <c r="U15" s="27" t="s">
        <v>208</v>
      </c>
      <c r="V15" s="27" t="s">
        <v>51</v>
      </c>
      <c r="W15" s="27" t="s">
        <v>86</v>
      </c>
      <c r="X15" s="27" t="s">
        <v>696</v>
      </c>
      <c r="Y15" s="27" t="s">
        <v>697</v>
      </c>
      <c r="Z15" s="27" t="s">
        <v>523</v>
      </c>
      <c r="AA15" s="27" t="s">
        <v>524</v>
      </c>
      <c r="AB15" s="27" t="s">
        <v>541</v>
      </c>
      <c r="AC15" s="27" t="s">
        <v>684</v>
      </c>
      <c r="AD15" s="27" t="s">
        <v>685</v>
      </c>
      <c r="AE15" s="27" t="s">
        <v>110</v>
      </c>
      <c r="AF15" s="27" t="s">
        <v>685</v>
      </c>
      <c r="AG15" s="27" t="s">
        <v>687</v>
      </c>
      <c r="AH15" s="27" t="s">
        <v>688</v>
      </c>
      <c r="AI15" s="27" t="s">
        <v>141</v>
      </c>
      <c r="AJ15" s="27" t="s">
        <v>50</v>
      </c>
      <c r="AK15" s="27" t="s">
        <v>50</v>
      </c>
      <c r="AL15" s="27" t="s">
        <v>698</v>
      </c>
      <c r="AM15" s="34">
        <v>630000000</v>
      </c>
      <c r="AN15" s="34">
        <v>489642857</v>
      </c>
      <c r="AO15" s="34">
        <v>81600000</v>
      </c>
      <c r="AP15" s="34">
        <v>56078571</v>
      </c>
      <c r="AQ15" s="34">
        <v>0</v>
      </c>
      <c r="AR15" s="34">
        <v>0</v>
      </c>
      <c r="AS15" s="34">
        <v>22321429</v>
      </c>
      <c r="AT15" s="34">
        <v>605000000</v>
      </c>
      <c r="AU15" s="34">
        <v>0</v>
      </c>
      <c r="AV15" s="34">
        <v>-25000000</v>
      </c>
      <c r="AW15" s="27" t="s">
        <v>198</v>
      </c>
      <c r="AX15" s="27" t="s">
        <v>198</v>
      </c>
      <c r="AY15" s="27" t="s">
        <v>83</v>
      </c>
      <c r="AZ15" s="27">
        <v>1</v>
      </c>
      <c r="BA15" s="27"/>
      <c r="BB15" s="27" t="s">
        <v>212</v>
      </c>
      <c r="BC15" s="27" t="s">
        <v>699</v>
      </c>
      <c r="BD15" s="27" t="s">
        <v>212</v>
      </c>
      <c r="BE15" s="27" t="s">
        <v>212</v>
      </c>
      <c r="BF15" s="27" t="s">
        <v>700</v>
      </c>
      <c r="BG15" s="27" t="s">
        <v>701</v>
      </c>
      <c r="BH15" s="27" t="s">
        <v>182</v>
      </c>
      <c r="BI15" s="27" t="s">
        <v>702</v>
      </c>
      <c r="BJ15" s="27" t="s">
        <v>703</v>
      </c>
      <c r="BK15" s="27" t="s">
        <v>187</v>
      </c>
      <c r="BL15" s="27" t="s">
        <v>704</v>
      </c>
      <c r="BM15" s="35">
        <v>0</v>
      </c>
    </row>
    <row r="16" spans="1:65" s="1" customFormat="1" x14ac:dyDescent="0.2">
      <c r="A16" s="33">
        <v>120</v>
      </c>
      <c r="B16" s="26">
        <v>146</v>
      </c>
      <c r="C16" s="36" t="s">
        <v>503</v>
      </c>
      <c r="D16" s="27" t="s">
        <v>705</v>
      </c>
      <c r="E16" s="27" t="s">
        <v>303</v>
      </c>
      <c r="F16" s="27" t="s">
        <v>389</v>
      </c>
      <c r="G16" s="28">
        <v>2026</v>
      </c>
      <c r="H16" s="20" t="str">
        <f>VLOOKUP(U16,'[1]KODE TYPE standar'!$D:$U,17,0)</f>
        <v>AVANZA</v>
      </c>
      <c r="I16" s="20" t="str">
        <f>VLOOKUP(U16,'[1]KODE TYPE standar'!$D:$U,16,0)</f>
        <v>AVANZA</v>
      </c>
      <c r="J16" s="20" t="str">
        <f>VLOOKUP(U16,'[1]KODE TYPE standar'!$D:$U,18,0)</f>
        <v>AVANZA G A/T</v>
      </c>
      <c r="K16" s="27" t="s">
        <v>120</v>
      </c>
      <c r="L16" s="27" t="s">
        <v>110</v>
      </c>
      <c r="M16" s="27" t="s">
        <v>262</v>
      </c>
      <c r="N16" s="27" t="s">
        <v>158</v>
      </c>
      <c r="O16" s="28" t="s">
        <v>6581</v>
      </c>
      <c r="P16" s="29" t="s">
        <v>149</v>
      </c>
      <c r="Q16" s="29" t="s">
        <v>161</v>
      </c>
      <c r="R16" s="29" t="s">
        <v>145</v>
      </c>
      <c r="S16" s="27" t="s">
        <v>709</v>
      </c>
      <c r="T16" s="27" t="s">
        <v>585</v>
      </c>
      <c r="U16" s="27" t="s">
        <v>329</v>
      </c>
      <c r="V16" s="27" t="s">
        <v>64</v>
      </c>
      <c r="W16" s="27" t="s">
        <v>65</v>
      </c>
      <c r="X16" s="27" t="s">
        <v>706</v>
      </c>
      <c r="Y16" s="27" t="s">
        <v>707</v>
      </c>
      <c r="Z16" s="27" t="s">
        <v>708</v>
      </c>
      <c r="AA16" s="27" t="s">
        <v>709</v>
      </c>
      <c r="AB16" s="27" t="s">
        <v>585</v>
      </c>
      <c r="AC16" s="27" t="s">
        <v>710</v>
      </c>
      <c r="AD16" s="27" t="s">
        <v>711</v>
      </c>
      <c r="AE16" s="27" t="s">
        <v>110</v>
      </c>
      <c r="AF16" s="27" t="s">
        <v>712</v>
      </c>
      <c r="AG16" s="27" t="s">
        <v>713</v>
      </c>
      <c r="AH16" s="27" t="s">
        <v>714</v>
      </c>
      <c r="AI16" s="27" t="s">
        <v>158</v>
      </c>
      <c r="AJ16" s="27" t="s">
        <v>262</v>
      </c>
      <c r="AK16" s="27" t="s">
        <v>423</v>
      </c>
      <c r="AL16" s="27"/>
      <c r="AM16" s="34">
        <v>284500000</v>
      </c>
      <c r="AN16" s="34">
        <v>219185268</v>
      </c>
      <c r="AO16" s="34">
        <v>39012500</v>
      </c>
      <c r="AP16" s="34">
        <v>24695089</v>
      </c>
      <c r="AQ16" s="34">
        <v>0</v>
      </c>
      <c r="AR16" s="34">
        <v>0</v>
      </c>
      <c r="AS16" s="34">
        <v>13392857</v>
      </c>
      <c r="AT16" s="34">
        <v>269500000</v>
      </c>
      <c r="AU16" s="34">
        <v>0</v>
      </c>
      <c r="AV16" s="34">
        <v>-15000000</v>
      </c>
      <c r="AW16" s="27" t="s">
        <v>308</v>
      </c>
      <c r="AX16" s="27" t="s">
        <v>308</v>
      </c>
      <c r="AY16" s="27" t="s">
        <v>83</v>
      </c>
      <c r="AZ16" s="27">
        <v>1</v>
      </c>
      <c r="BA16" s="27" t="s">
        <v>163</v>
      </c>
      <c r="BB16" s="27" t="s">
        <v>348</v>
      </c>
      <c r="BC16" s="27" t="s">
        <v>715</v>
      </c>
      <c r="BD16" s="27" t="s">
        <v>271</v>
      </c>
      <c r="BE16" s="27" t="s">
        <v>271</v>
      </c>
      <c r="BF16" s="27" t="s">
        <v>716</v>
      </c>
      <c r="BG16" s="27" t="s">
        <v>717</v>
      </c>
      <c r="BH16" s="27" t="s">
        <v>303</v>
      </c>
      <c r="BI16" s="27" t="s">
        <v>360</v>
      </c>
      <c r="BJ16" s="27" t="s">
        <v>718</v>
      </c>
      <c r="BK16" s="27" t="s">
        <v>397</v>
      </c>
      <c r="BL16" s="27" t="s">
        <v>719</v>
      </c>
      <c r="BM16" s="35">
        <v>0</v>
      </c>
    </row>
    <row r="17" spans="1:65" s="1" customFormat="1" x14ac:dyDescent="0.2">
      <c r="A17" s="25">
        <v>82</v>
      </c>
      <c r="B17" s="26">
        <v>146</v>
      </c>
      <c r="C17" s="27" t="s">
        <v>503</v>
      </c>
      <c r="D17" s="28" t="s">
        <v>720</v>
      </c>
      <c r="E17" s="28" t="s">
        <v>313</v>
      </c>
      <c r="F17" s="28" t="s">
        <v>339</v>
      </c>
      <c r="G17" s="28">
        <v>2026</v>
      </c>
      <c r="H17" s="20" t="str">
        <f>VLOOKUP(U17,'[1]KODE TYPE standar'!$D:$U,17,0)</f>
        <v>HILUX</v>
      </c>
      <c r="I17" s="20" t="str">
        <f>VLOOKUP(U17,'[1]KODE TYPE standar'!$D:$U,16,0)</f>
        <v>HILUX</v>
      </c>
      <c r="J17" s="20" t="str">
        <f>VLOOKUP(U17,'[1]KODE TYPE standar'!$D:$U,18,0)</f>
        <v>HILUX DC V A/T DIESEL</v>
      </c>
      <c r="K17" s="27" t="s">
        <v>119</v>
      </c>
      <c r="L17" s="28" t="s">
        <v>110</v>
      </c>
      <c r="M17" s="28" t="s">
        <v>262</v>
      </c>
      <c r="N17" s="28" t="s">
        <v>143</v>
      </c>
      <c r="O17" s="28" t="s">
        <v>6581</v>
      </c>
      <c r="P17" s="29" t="s">
        <v>151</v>
      </c>
      <c r="Q17" s="29" t="s">
        <v>162</v>
      </c>
      <c r="R17" s="29" t="s">
        <v>145</v>
      </c>
      <c r="S17" s="28" t="s">
        <v>724</v>
      </c>
      <c r="T17" s="28" t="s">
        <v>541</v>
      </c>
      <c r="U17" s="27" t="s">
        <v>113</v>
      </c>
      <c r="V17" s="27" t="s">
        <v>48</v>
      </c>
      <c r="W17" s="27" t="s">
        <v>49</v>
      </c>
      <c r="X17" s="28" t="s">
        <v>721</v>
      </c>
      <c r="Y17" s="27" t="s">
        <v>722</v>
      </c>
      <c r="Z17" s="28" t="s">
        <v>723</v>
      </c>
      <c r="AA17" s="28" t="s">
        <v>724</v>
      </c>
      <c r="AB17" s="28" t="s">
        <v>541</v>
      </c>
      <c r="AC17" s="28" t="s">
        <v>725</v>
      </c>
      <c r="AD17" s="28" t="s">
        <v>726</v>
      </c>
      <c r="AE17" s="28" t="s">
        <v>110</v>
      </c>
      <c r="AF17" s="28" t="s">
        <v>726</v>
      </c>
      <c r="AG17" s="28" t="s">
        <v>727</v>
      </c>
      <c r="AH17" s="28" t="s">
        <v>728</v>
      </c>
      <c r="AI17" s="28" t="s">
        <v>143</v>
      </c>
      <c r="AJ17" s="28" t="s">
        <v>262</v>
      </c>
      <c r="AK17" s="28" t="s">
        <v>89</v>
      </c>
      <c r="AL17" s="28"/>
      <c r="AM17" s="31">
        <v>545800000</v>
      </c>
      <c r="AN17" s="31">
        <v>421169643</v>
      </c>
      <c r="AO17" s="31">
        <v>74090000</v>
      </c>
      <c r="AP17" s="31">
        <v>47754642</v>
      </c>
      <c r="AQ17" s="31">
        <v>0</v>
      </c>
      <c r="AR17" s="31">
        <v>0</v>
      </c>
      <c r="AS17" s="31">
        <v>23214286</v>
      </c>
      <c r="AT17" s="31">
        <v>519800000</v>
      </c>
      <c r="AU17" s="31">
        <v>94010000</v>
      </c>
      <c r="AV17" s="31">
        <v>-26000000</v>
      </c>
      <c r="AW17" s="28"/>
      <c r="AX17" s="28"/>
      <c r="AY17" s="28" t="s">
        <v>83</v>
      </c>
      <c r="AZ17" s="28">
        <v>1</v>
      </c>
      <c r="BA17" s="28"/>
      <c r="BB17" s="28" t="s">
        <v>263</v>
      </c>
      <c r="BC17" s="28" t="s">
        <v>729</v>
      </c>
      <c r="BD17" s="28" t="s">
        <v>273</v>
      </c>
      <c r="BE17" s="28" t="s">
        <v>273</v>
      </c>
      <c r="BF17" s="28" t="s">
        <v>730</v>
      </c>
      <c r="BG17" s="28" t="s">
        <v>731</v>
      </c>
      <c r="BH17" s="28"/>
      <c r="BI17" s="28" t="s">
        <v>290</v>
      </c>
      <c r="BJ17" s="28" t="s">
        <v>732</v>
      </c>
      <c r="BK17" s="28" t="s">
        <v>313</v>
      </c>
      <c r="BL17" s="28" t="s">
        <v>733</v>
      </c>
      <c r="BM17" s="32">
        <v>0</v>
      </c>
    </row>
    <row r="18" spans="1:65" s="1" customFormat="1" x14ac:dyDescent="0.2">
      <c r="A18" s="25">
        <v>84</v>
      </c>
      <c r="B18" s="26">
        <v>146</v>
      </c>
      <c r="C18" s="27" t="s">
        <v>503</v>
      </c>
      <c r="D18" s="28" t="s">
        <v>734</v>
      </c>
      <c r="E18" s="28" t="s">
        <v>259</v>
      </c>
      <c r="F18" s="28" t="s">
        <v>339</v>
      </c>
      <c r="G18" s="28">
        <v>2026</v>
      </c>
      <c r="H18" s="20" t="str">
        <f>VLOOKUP(U18,'[1]KODE TYPE standar'!$D:$U,17,0)</f>
        <v>AVANZA</v>
      </c>
      <c r="I18" s="20" t="str">
        <f>VLOOKUP(U18,'[1]KODE TYPE standar'!$D:$U,16,0)</f>
        <v>AVANZA</v>
      </c>
      <c r="J18" s="20" t="str">
        <f>VLOOKUP(U18,'[1]KODE TYPE standar'!$D:$U,18,0)</f>
        <v>AVANZA G A/T</v>
      </c>
      <c r="K18" s="27" t="s">
        <v>119</v>
      </c>
      <c r="L18" s="28" t="s">
        <v>110</v>
      </c>
      <c r="M18" s="28" t="s">
        <v>262</v>
      </c>
      <c r="N18" s="28" t="s">
        <v>141</v>
      </c>
      <c r="O18" s="28" t="s">
        <v>156</v>
      </c>
      <c r="P18" s="29" t="s">
        <v>149</v>
      </c>
      <c r="Q18" s="29" t="s">
        <v>162</v>
      </c>
      <c r="R18" s="29" t="s">
        <v>597</v>
      </c>
      <c r="S18" s="27" t="s">
        <v>738</v>
      </c>
      <c r="T18" s="30" t="s">
        <v>585</v>
      </c>
      <c r="U18" s="27" t="s">
        <v>66</v>
      </c>
      <c r="V18" s="27" t="s">
        <v>269</v>
      </c>
      <c r="W18" s="27" t="s">
        <v>270</v>
      </c>
      <c r="X18" s="27" t="s">
        <v>735</v>
      </c>
      <c r="Y18" s="27" t="s">
        <v>736</v>
      </c>
      <c r="Z18" s="27" t="s">
        <v>737</v>
      </c>
      <c r="AA18" s="27" t="s">
        <v>738</v>
      </c>
      <c r="AB18" s="30" t="s">
        <v>585</v>
      </c>
      <c r="AC18" s="30" t="s">
        <v>739</v>
      </c>
      <c r="AD18" s="28" t="s">
        <v>740</v>
      </c>
      <c r="AE18" s="28" t="s">
        <v>110</v>
      </c>
      <c r="AF18" s="28" t="s">
        <v>740</v>
      </c>
      <c r="AG18" s="28" t="s">
        <v>741</v>
      </c>
      <c r="AH18" s="28" t="s">
        <v>742</v>
      </c>
      <c r="AI18" s="28" t="s">
        <v>141</v>
      </c>
      <c r="AJ18" s="28" t="s">
        <v>262</v>
      </c>
      <c r="AK18" s="28" t="s">
        <v>89</v>
      </c>
      <c r="AL18" s="28" t="s">
        <v>743</v>
      </c>
      <c r="AM18" s="31">
        <v>284500000</v>
      </c>
      <c r="AN18" s="31">
        <v>219497768</v>
      </c>
      <c r="AO18" s="31">
        <v>38662500</v>
      </c>
      <c r="AP18" s="31">
        <v>24732589</v>
      </c>
      <c r="AQ18" s="31">
        <v>0</v>
      </c>
      <c r="AR18" s="31">
        <v>0</v>
      </c>
      <c r="AS18" s="31">
        <v>13392857</v>
      </c>
      <c r="AT18" s="31">
        <v>269500000</v>
      </c>
      <c r="AU18" s="31">
        <v>0</v>
      </c>
      <c r="AV18" s="31">
        <v>-15000000</v>
      </c>
      <c r="AW18" s="28" t="s">
        <v>252</v>
      </c>
      <c r="AX18" s="28" t="s">
        <v>252</v>
      </c>
      <c r="AY18" s="28" t="s">
        <v>83</v>
      </c>
      <c r="AZ18" s="28">
        <v>1</v>
      </c>
      <c r="BA18" s="28" t="s">
        <v>163</v>
      </c>
      <c r="BB18" s="28" t="s">
        <v>215</v>
      </c>
      <c r="BC18" s="28" t="s">
        <v>744</v>
      </c>
      <c r="BD18" s="28" t="s">
        <v>215</v>
      </c>
      <c r="BE18" s="28" t="s">
        <v>215</v>
      </c>
      <c r="BF18" s="28" t="s">
        <v>745</v>
      </c>
      <c r="BG18" s="28" t="s">
        <v>746</v>
      </c>
      <c r="BH18" s="28" t="s">
        <v>259</v>
      </c>
      <c r="BI18" s="28" t="s">
        <v>271</v>
      </c>
      <c r="BJ18" s="28" t="s">
        <v>747</v>
      </c>
      <c r="BK18" s="28" t="s">
        <v>341</v>
      </c>
      <c r="BL18" s="28" t="s">
        <v>748</v>
      </c>
      <c r="BM18" s="32">
        <v>0</v>
      </c>
    </row>
    <row r="19" spans="1:65" s="1" customFormat="1" x14ac:dyDescent="0.2">
      <c r="A19" s="33">
        <v>103</v>
      </c>
      <c r="B19" s="26">
        <v>146</v>
      </c>
      <c r="C19" s="27" t="s">
        <v>503</v>
      </c>
      <c r="D19" s="27" t="s">
        <v>749</v>
      </c>
      <c r="E19" s="27" t="s">
        <v>195</v>
      </c>
      <c r="F19" s="27" t="s">
        <v>111</v>
      </c>
      <c r="G19" s="28">
        <v>2026</v>
      </c>
      <c r="H19" s="20" t="str">
        <f>VLOOKUP(U19,'[1]KODE TYPE standar'!$D:$U,17,0)</f>
        <v>AVANZA</v>
      </c>
      <c r="I19" s="20" t="str">
        <f>VLOOKUP(U19,'[1]KODE TYPE standar'!$D:$U,16,0)</f>
        <v>AVANZA</v>
      </c>
      <c r="J19" s="20" t="str">
        <f>VLOOKUP(U19,'[1]KODE TYPE standar'!$D:$U,18,0)</f>
        <v>AVANZA G A/T</v>
      </c>
      <c r="K19" s="27" t="s">
        <v>121</v>
      </c>
      <c r="L19" s="27" t="s">
        <v>110</v>
      </c>
      <c r="M19" s="27" t="s">
        <v>262</v>
      </c>
      <c r="N19" s="27" t="s">
        <v>141</v>
      </c>
      <c r="O19" s="28" t="s">
        <v>156</v>
      </c>
      <c r="P19" s="29" t="s">
        <v>146</v>
      </c>
      <c r="Q19" s="29" t="s">
        <v>147</v>
      </c>
      <c r="R19" s="29" t="s">
        <v>612</v>
      </c>
      <c r="S19" s="27" t="s">
        <v>753</v>
      </c>
      <c r="T19" s="27" t="s">
        <v>541</v>
      </c>
      <c r="U19" s="27" t="s">
        <v>66</v>
      </c>
      <c r="V19" s="27" t="s">
        <v>64</v>
      </c>
      <c r="W19" s="27" t="s">
        <v>65</v>
      </c>
      <c r="X19" s="27" t="s">
        <v>750</v>
      </c>
      <c r="Y19" s="27" t="s">
        <v>751</v>
      </c>
      <c r="Z19" s="27" t="s">
        <v>752</v>
      </c>
      <c r="AA19" s="27" t="s">
        <v>753</v>
      </c>
      <c r="AB19" s="27" t="s">
        <v>541</v>
      </c>
      <c r="AC19" s="27" t="s">
        <v>754</v>
      </c>
      <c r="AD19" s="27" t="s">
        <v>755</v>
      </c>
      <c r="AE19" s="27" t="s">
        <v>110</v>
      </c>
      <c r="AF19" s="27" t="s">
        <v>755</v>
      </c>
      <c r="AG19" s="27" t="s">
        <v>756</v>
      </c>
      <c r="AH19" s="27" t="s">
        <v>757</v>
      </c>
      <c r="AI19" s="27" t="s">
        <v>141</v>
      </c>
      <c r="AJ19" s="27" t="s">
        <v>262</v>
      </c>
      <c r="AK19" s="27" t="s">
        <v>104</v>
      </c>
      <c r="AL19" s="27" t="s">
        <v>758</v>
      </c>
      <c r="AM19" s="34">
        <v>284500000</v>
      </c>
      <c r="AN19" s="34">
        <v>219720982</v>
      </c>
      <c r="AO19" s="34">
        <v>38412500</v>
      </c>
      <c r="AP19" s="34">
        <v>24116517</v>
      </c>
      <c r="AQ19" s="34">
        <v>0</v>
      </c>
      <c r="AR19" s="34">
        <v>0</v>
      </c>
      <c r="AS19" s="34">
        <v>18750000</v>
      </c>
      <c r="AT19" s="34">
        <v>263500000</v>
      </c>
      <c r="AU19" s="34">
        <v>0</v>
      </c>
      <c r="AV19" s="34">
        <v>-21000000</v>
      </c>
      <c r="AW19" s="27" t="s">
        <v>199</v>
      </c>
      <c r="AX19" s="27" t="s">
        <v>199</v>
      </c>
      <c r="AY19" s="27" t="s">
        <v>83</v>
      </c>
      <c r="AZ19" s="27">
        <v>1</v>
      </c>
      <c r="BA19" s="27"/>
      <c r="BB19" s="27" t="s">
        <v>217</v>
      </c>
      <c r="BC19" s="27" t="s">
        <v>759</v>
      </c>
      <c r="BD19" s="27" t="s">
        <v>183</v>
      </c>
      <c r="BE19" s="27" t="s">
        <v>183</v>
      </c>
      <c r="BF19" s="27" t="s">
        <v>760</v>
      </c>
      <c r="BG19" s="27" t="s">
        <v>761</v>
      </c>
      <c r="BH19" s="27" t="s">
        <v>195</v>
      </c>
      <c r="BI19" s="27" t="s">
        <v>215</v>
      </c>
      <c r="BJ19" s="27" t="s">
        <v>762</v>
      </c>
      <c r="BK19" s="27" t="s">
        <v>217</v>
      </c>
      <c r="BL19" s="27" t="s">
        <v>763</v>
      </c>
      <c r="BM19" s="35">
        <v>0</v>
      </c>
    </row>
    <row r="20" spans="1:65" s="1" customFormat="1" x14ac:dyDescent="0.2">
      <c r="A20" s="25">
        <v>85</v>
      </c>
      <c r="B20" s="26">
        <v>146</v>
      </c>
      <c r="C20" s="27" t="s">
        <v>503</v>
      </c>
      <c r="D20" s="28" t="s">
        <v>764</v>
      </c>
      <c r="E20" s="28" t="s">
        <v>242</v>
      </c>
      <c r="F20" s="28" t="s">
        <v>339</v>
      </c>
      <c r="G20" s="28">
        <v>2026</v>
      </c>
      <c r="H20" s="20" t="str">
        <f>VLOOKUP(U20,'[1]KODE TYPE standar'!$D:$U,17,0)</f>
        <v>HILUX</v>
      </c>
      <c r="I20" s="20" t="str">
        <f>VLOOKUP(U20,'[1]KODE TYPE standar'!$D:$U,16,0)</f>
        <v>HILUX</v>
      </c>
      <c r="J20" s="20" t="str">
        <f>VLOOKUP(U20,'[1]KODE TYPE standar'!$D:$U,18,0)</f>
        <v>RANGGA-HILUX PU DIESEL A/T</v>
      </c>
      <c r="K20" s="27" t="s">
        <v>50</v>
      </c>
      <c r="L20" s="28" t="s">
        <v>110</v>
      </c>
      <c r="M20" s="28" t="s">
        <v>50</v>
      </c>
      <c r="N20" s="28" t="s">
        <v>76</v>
      </c>
      <c r="O20" s="28" t="s">
        <v>6581</v>
      </c>
      <c r="P20" s="29" t="s">
        <v>149</v>
      </c>
      <c r="Q20" s="29" t="s">
        <v>162</v>
      </c>
      <c r="R20" s="29" t="s">
        <v>145</v>
      </c>
      <c r="S20" s="28" t="s">
        <v>524</v>
      </c>
      <c r="T20" s="28" t="s">
        <v>509</v>
      </c>
      <c r="U20" s="27" t="s">
        <v>486</v>
      </c>
      <c r="V20" s="27" t="s">
        <v>99</v>
      </c>
      <c r="W20" s="27" t="s">
        <v>61</v>
      </c>
      <c r="X20" s="27" t="s">
        <v>765</v>
      </c>
      <c r="Y20" s="27" t="s">
        <v>766</v>
      </c>
      <c r="Z20" s="28" t="s">
        <v>523</v>
      </c>
      <c r="AA20" s="28" t="s">
        <v>524</v>
      </c>
      <c r="AB20" s="28" t="s">
        <v>509</v>
      </c>
      <c r="AC20" s="28" t="s">
        <v>767</v>
      </c>
      <c r="AD20" s="28" t="s">
        <v>768</v>
      </c>
      <c r="AE20" s="28" t="s">
        <v>110</v>
      </c>
      <c r="AF20" s="28" t="s">
        <v>769</v>
      </c>
      <c r="AG20" s="28" t="s">
        <v>770</v>
      </c>
      <c r="AH20" s="28" t="s">
        <v>356</v>
      </c>
      <c r="AI20" s="28" t="s">
        <v>76</v>
      </c>
      <c r="AJ20" s="28" t="s">
        <v>50</v>
      </c>
      <c r="AK20" s="28" t="s">
        <v>50</v>
      </c>
      <c r="AL20" s="28" t="s">
        <v>771</v>
      </c>
      <c r="AM20" s="31">
        <v>309600000</v>
      </c>
      <c r="AN20" s="31">
        <v>241310811</v>
      </c>
      <c r="AO20" s="31">
        <v>41745000</v>
      </c>
      <c r="AP20" s="31">
        <v>25454099</v>
      </c>
      <c r="AQ20" s="31">
        <v>0</v>
      </c>
      <c r="AR20" s="31">
        <v>0</v>
      </c>
      <c r="AS20" s="31">
        <v>9909910</v>
      </c>
      <c r="AT20" s="31">
        <v>298600000</v>
      </c>
      <c r="AU20" s="31">
        <v>203600000</v>
      </c>
      <c r="AV20" s="31">
        <v>-11000000</v>
      </c>
      <c r="AW20" s="28"/>
      <c r="AX20" s="28"/>
      <c r="AY20" s="28" t="s">
        <v>83</v>
      </c>
      <c r="AZ20" s="28">
        <v>1</v>
      </c>
      <c r="BA20" s="28"/>
      <c r="BB20" s="28" t="s">
        <v>254</v>
      </c>
      <c r="BC20" s="28" t="s">
        <v>772</v>
      </c>
      <c r="BD20" s="28" t="s">
        <v>254</v>
      </c>
      <c r="BE20" s="28" t="s">
        <v>254</v>
      </c>
      <c r="BF20" s="28" t="s">
        <v>773</v>
      </c>
      <c r="BG20" s="28" t="s">
        <v>774</v>
      </c>
      <c r="BH20" s="28" t="s">
        <v>242</v>
      </c>
      <c r="BI20" s="28" t="s">
        <v>349</v>
      </c>
      <c r="BJ20" s="28" t="s">
        <v>775</v>
      </c>
      <c r="BK20" s="28" t="s">
        <v>228</v>
      </c>
      <c r="BL20" s="28" t="s">
        <v>776</v>
      </c>
      <c r="BM20" s="32">
        <v>0</v>
      </c>
    </row>
    <row r="21" spans="1:65" s="1" customFormat="1" x14ac:dyDescent="0.2">
      <c r="A21" s="25">
        <v>89</v>
      </c>
      <c r="B21" s="26">
        <v>146</v>
      </c>
      <c r="C21" s="27" t="s">
        <v>503</v>
      </c>
      <c r="D21" s="28" t="s">
        <v>777</v>
      </c>
      <c r="E21" s="28" t="s">
        <v>313</v>
      </c>
      <c r="F21" s="28" t="s">
        <v>339</v>
      </c>
      <c r="G21" s="28">
        <v>2026</v>
      </c>
      <c r="H21" s="20" t="str">
        <f>VLOOKUP(U21,'[1]KODE TYPE standar'!$D:$U,17,0)</f>
        <v>AVANZA</v>
      </c>
      <c r="I21" s="20" t="str">
        <f>VLOOKUP(U21,'[1]KODE TYPE standar'!$D:$U,16,0)</f>
        <v>AVANZA</v>
      </c>
      <c r="J21" s="20" t="str">
        <f>VLOOKUP(U21,'[1]KODE TYPE standar'!$D:$U,18,0)</f>
        <v>AVANZA E M/T</v>
      </c>
      <c r="K21" s="27" t="s">
        <v>118</v>
      </c>
      <c r="L21" s="28" t="s">
        <v>110</v>
      </c>
      <c r="M21" s="28" t="s">
        <v>262</v>
      </c>
      <c r="N21" s="28" t="s">
        <v>140</v>
      </c>
      <c r="O21" s="28" t="s">
        <v>156</v>
      </c>
      <c r="P21" s="29" t="s">
        <v>149</v>
      </c>
      <c r="Q21" s="29" t="s">
        <v>161</v>
      </c>
      <c r="R21" s="29" t="s">
        <v>597</v>
      </c>
      <c r="S21" s="28" t="s">
        <v>781</v>
      </c>
      <c r="T21" s="28" t="s">
        <v>585</v>
      </c>
      <c r="U21" s="27" t="s">
        <v>386</v>
      </c>
      <c r="V21" s="27" t="s">
        <v>64</v>
      </c>
      <c r="W21" s="27" t="s">
        <v>65</v>
      </c>
      <c r="X21" s="28" t="s">
        <v>778</v>
      </c>
      <c r="Y21" s="27" t="s">
        <v>779</v>
      </c>
      <c r="Z21" s="28" t="s">
        <v>780</v>
      </c>
      <c r="AA21" s="28" t="s">
        <v>781</v>
      </c>
      <c r="AB21" s="28" t="s">
        <v>585</v>
      </c>
      <c r="AC21" s="28" t="s">
        <v>782</v>
      </c>
      <c r="AD21" s="28" t="s">
        <v>783</v>
      </c>
      <c r="AE21" s="28" t="s">
        <v>110</v>
      </c>
      <c r="AF21" s="28" t="s">
        <v>784</v>
      </c>
      <c r="AG21" s="28" t="s">
        <v>785</v>
      </c>
      <c r="AH21" s="28" t="s">
        <v>528</v>
      </c>
      <c r="AI21" s="28" t="s">
        <v>140</v>
      </c>
      <c r="AJ21" s="28" t="s">
        <v>262</v>
      </c>
      <c r="AK21" s="28" t="s">
        <v>63</v>
      </c>
      <c r="AL21" s="28"/>
      <c r="AM21" s="31">
        <v>246700000</v>
      </c>
      <c r="AN21" s="31">
        <v>189966518</v>
      </c>
      <c r="AO21" s="31">
        <v>33937500</v>
      </c>
      <c r="AP21" s="31">
        <v>21081696</v>
      </c>
      <c r="AQ21" s="31">
        <v>0</v>
      </c>
      <c r="AR21" s="31">
        <v>0</v>
      </c>
      <c r="AS21" s="31">
        <v>14285714</v>
      </c>
      <c r="AT21" s="31">
        <v>230700000</v>
      </c>
      <c r="AU21" s="31">
        <v>4500000</v>
      </c>
      <c r="AV21" s="31">
        <v>-16000000</v>
      </c>
      <c r="AW21" s="28"/>
      <c r="AX21" s="28"/>
      <c r="AY21" s="28" t="s">
        <v>83</v>
      </c>
      <c r="AZ21" s="28">
        <v>1</v>
      </c>
      <c r="BA21" s="28" t="s">
        <v>163</v>
      </c>
      <c r="BB21" s="28" t="s">
        <v>274</v>
      </c>
      <c r="BC21" s="28" t="s">
        <v>786</v>
      </c>
      <c r="BD21" s="28" t="s">
        <v>259</v>
      </c>
      <c r="BE21" s="28" t="s">
        <v>259</v>
      </c>
      <c r="BF21" s="28" t="s">
        <v>787</v>
      </c>
      <c r="BG21" s="28" t="s">
        <v>788</v>
      </c>
      <c r="BH21" s="28"/>
      <c r="BI21" s="28" t="s">
        <v>290</v>
      </c>
      <c r="BJ21" s="28" t="s">
        <v>789</v>
      </c>
      <c r="BK21" s="28" t="s">
        <v>230</v>
      </c>
      <c r="BL21" s="28" t="s">
        <v>790</v>
      </c>
      <c r="BM21" s="32">
        <v>0</v>
      </c>
    </row>
    <row r="22" spans="1:65" s="1" customFormat="1" x14ac:dyDescent="0.2">
      <c r="A22" s="33">
        <v>118</v>
      </c>
      <c r="B22" s="26">
        <v>146</v>
      </c>
      <c r="C22" s="27" t="s">
        <v>503</v>
      </c>
      <c r="D22" s="27" t="s">
        <v>791</v>
      </c>
      <c r="E22" s="27" t="s">
        <v>213</v>
      </c>
      <c r="F22" s="27" t="s">
        <v>111</v>
      </c>
      <c r="G22" s="28">
        <v>2026</v>
      </c>
      <c r="H22" s="20" t="str">
        <f>VLOOKUP(U22,'[1]KODE TYPE standar'!$D:$U,17,0)</f>
        <v>INV ZENIX HYBRID</v>
      </c>
      <c r="I22" s="20" t="str">
        <f>VLOOKUP(U22,'[1]KODE TYPE standar'!$D:$U,16,0)</f>
        <v>INNOVA</v>
      </c>
      <c r="J22" s="20" t="str">
        <f>VLOOKUP(U22,'[1]KODE TYPE standar'!$D:$U,18,0)</f>
        <v>INNOVA ZENIX Q A/T HYBRID</v>
      </c>
      <c r="K22" s="27" t="s">
        <v>119</v>
      </c>
      <c r="L22" s="27" t="s">
        <v>110</v>
      </c>
      <c r="M22" s="27" t="s">
        <v>262</v>
      </c>
      <c r="N22" s="27" t="s">
        <v>143</v>
      </c>
      <c r="O22" s="28" t="s">
        <v>6581</v>
      </c>
      <c r="P22" s="29" t="s">
        <v>149</v>
      </c>
      <c r="Q22" s="29" t="s">
        <v>147</v>
      </c>
      <c r="R22" s="29" t="s">
        <v>145</v>
      </c>
      <c r="S22" s="27" t="s">
        <v>795</v>
      </c>
      <c r="T22" s="27" t="s">
        <v>509</v>
      </c>
      <c r="U22" s="27" t="s">
        <v>94</v>
      </c>
      <c r="V22" s="27" t="s">
        <v>77</v>
      </c>
      <c r="W22" s="27" t="s">
        <v>78</v>
      </c>
      <c r="X22" s="27" t="s">
        <v>792</v>
      </c>
      <c r="Y22" s="27" t="s">
        <v>793</v>
      </c>
      <c r="Z22" s="27" t="s">
        <v>794</v>
      </c>
      <c r="AA22" s="27" t="s">
        <v>795</v>
      </c>
      <c r="AB22" s="27" t="s">
        <v>509</v>
      </c>
      <c r="AC22" s="27" t="s">
        <v>796</v>
      </c>
      <c r="AD22" s="27" t="s">
        <v>797</v>
      </c>
      <c r="AE22" s="27" t="s">
        <v>110</v>
      </c>
      <c r="AF22" s="27" t="s">
        <v>797</v>
      </c>
      <c r="AG22" s="27" t="s">
        <v>798</v>
      </c>
      <c r="AH22" s="27" t="s">
        <v>799</v>
      </c>
      <c r="AI22" s="27" t="s">
        <v>143</v>
      </c>
      <c r="AJ22" s="27" t="s">
        <v>262</v>
      </c>
      <c r="AK22" s="27" t="s">
        <v>89</v>
      </c>
      <c r="AL22" s="27"/>
      <c r="AM22" s="34">
        <v>627100000</v>
      </c>
      <c r="AN22" s="34">
        <v>486886161</v>
      </c>
      <c r="AO22" s="34">
        <v>81787500</v>
      </c>
      <c r="AP22" s="34">
        <v>52533482</v>
      </c>
      <c r="AQ22" s="34">
        <v>0</v>
      </c>
      <c r="AR22" s="34">
        <v>0</v>
      </c>
      <c r="AS22" s="34">
        <v>49107143</v>
      </c>
      <c r="AT22" s="34">
        <v>572100000</v>
      </c>
      <c r="AU22" s="34">
        <v>64670000</v>
      </c>
      <c r="AV22" s="34">
        <v>-55000000</v>
      </c>
      <c r="AW22" s="27"/>
      <c r="AX22" s="27"/>
      <c r="AY22" s="27" t="s">
        <v>83</v>
      </c>
      <c r="AZ22" s="27">
        <v>1</v>
      </c>
      <c r="BA22" s="27"/>
      <c r="BB22" s="27" t="s">
        <v>206</v>
      </c>
      <c r="BC22" s="27" t="s">
        <v>800</v>
      </c>
      <c r="BD22" s="27" t="s">
        <v>204</v>
      </c>
      <c r="BE22" s="27" t="s">
        <v>204</v>
      </c>
      <c r="BF22" s="27" t="s">
        <v>801</v>
      </c>
      <c r="BG22" s="27" t="s">
        <v>802</v>
      </c>
      <c r="BH22" s="27"/>
      <c r="BI22" s="27" t="s">
        <v>232</v>
      </c>
      <c r="BJ22" s="27" t="s">
        <v>803</v>
      </c>
      <c r="BK22" s="27" t="s">
        <v>804</v>
      </c>
      <c r="BL22" s="27" t="s">
        <v>805</v>
      </c>
      <c r="BM22" s="35">
        <v>0</v>
      </c>
    </row>
    <row r="23" spans="1:65" s="1" customFormat="1" x14ac:dyDescent="0.2">
      <c r="A23" s="33">
        <v>118</v>
      </c>
      <c r="B23" s="26">
        <v>146</v>
      </c>
      <c r="C23" s="27" t="s">
        <v>503</v>
      </c>
      <c r="D23" s="27" t="s">
        <v>806</v>
      </c>
      <c r="E23" s="27" t="s">
        <v>222</v>
      </c>
      <c r="F23" s="27" t="s">
        <v>258</v>
      </c>
      <c r="G23" s="28">
        <v>2026</v>
      </c>
      <c r="H23" s="20" t="str">
        <f>VLOOKUP(U23,'[1]KODE TYPE standar'!$D:$U,17,0)</f>
        <v>FORTUNER</v>
      </c>
      <c r="I23" s="20" t="str">
        <f>VLOOKUP(U23,'[1]KODE TYPE standar'!$D:$U,16,0)</f>
        <v>FORTUNER</v>
      </c>
      <c r="J23" s="20" t="str">
        <f>VLOOKUP(U23,'[1]KODE TYPE standar'!$D:$U,18,0)</f>
        <v>FORTUNER 4X2 VRZ A/T DIESEL</v>
      </c>
      <c r="K23" s="27" t="s">
        <v>120</v>
      </c>
      <c r="L23" s="27" t="s">
        <v>110</v>
      </c>
      <c r="M23" s="27" t="s">
        <v>262</v>
      </c>
      <c r="N23" s="27" t="s">
        <v>141</v>
      </c>
      <c r="O23" s="28" t="s">
        <v>156</v>
      </c>
      <c r="P23" s="29" t="s">
        <v>149</v>
      </c>
      <c r="Q23" s="29" t="s">
        <v>162</v>
      </c>
      <c r="R23" s="29" t="s">
        <v>145</v>
      </c>
      <c r="S23" s="27" t="s">
        <v>810</v>
      </c>
      <c r="T23" s="27" t="s">
        <v>541</v>
      </c>
      <c r="U23" s="27" t="s">
        <v>123</v>
      </c>
      <c r="V23" s="27" t="s">
        <v>114</v>
      </c>
      <c r="W23" s="27" t="s">
        <v>115</v>
      </c>
      <c r="X23" s="27" t="s">
        <v>807</v>
      </c>
      <c r="Y23" s="27" t="s">
        <v>808</v>
      </c>
      <c r="Z23" s="27" t="s">
        <v>809</v>
      </c>
      <c r="AA23" s="27" t="s">
        <v>810</v>
      </c>
      <c r="AB23" s="27" t="s">
        <v>541</v>
      </c>
      <c r="AC23" s="27" t="s">
        <v>811</v>
      </c>
      <c r="AD23" s="27" t="s">
        <v>812</v>
      </c>
      <c r="AE23" s="27" t="s">
        <v>110</v>
      </c>
      <c r="AF23" s="27" t="s">
        <v>813</v>
      </c>
      <c r="AG23" s="27" t="s">
        <v>814</v>
      </c>
      <c r="AH23" s="27" t="s">
        <v>815</v>
      </c>
      <c r="AI23" s="27" t="s">
        <v>141</v>
      </c>
      <c r="AJ23" s="27" t="s">
        <v>262</v>
      </c>
      <c r="AK23" s="27" t="s">
        <v>816</v>
      </c>
      <c r="AL23" s="27"/>
      <c r="AM23" s="34">
        <v>684700000</v>
      </c>
      <c r="AN23" s="34">
        <v>532377232</v>
      </c>
      <c r="AO23" s="34">
        <v>88437500</v>
      </c>
      <c r="AP23" s="34">
        <v>57456696</v>
      </c>
      <c r="AQ23" s="34">
        <v>0</v>
      </c>
      <c r="AR23" s="34">
        <v>0</v>
      </c>
      <c r="AS23" s="34">
        <v>53571429</v>
      </c>
      <c r="AT23" s="34">
        <v>624700000</v>
      </c>
      <c r="AU23" s="34">
        <v>0</v>
      </c>
      <c r="AV23" s="34">
        <v>-60000000</v>
      </c>
      <c r="AW23" s="27" t="s">
        <v>222</v>
      </c>
      <c r="AX23" s="27" t="s">
        <v>222</v>
      </c>
      <c r="AY23" s="27" t="s">
        <v>83</v>
      </c>
      <c r="AZ23" s="27">
        <v>1</v>
      </c>
      <c r="BA23" s="27"/>
      <c r="BB23" s="27" t="s">
        <v>261</v>
      </c>
      <c r="BC23" s="27" t="s">
        <v>817</v>
      </c>
      <c r="BD23" s="27" t="s">
        <v>818</v>
      </c>
      <c r="BE23" s="27" t="s">
        <v>818</v>
      </c>
      <c r="BF23" s="27" t="s">
        <v>819</v>
      </c>
      <c r="BG23" s="27" t="s">
        <v>820</v>
      </c>
      <c r="BH23" s="27" t="s">
        <v>222</v>
      </c>
      <c r="BI23" s="27" t="s">
        <v>273</v>
      </c>
      <c r="BJ23" s="27" t="s">
        <v>821</v>
      </c>
      <c r="BK23" s="27" t="s">
        <v>822</v>
      </c>
      <c r="BL23" s="27" t="s">
        <v>823</v>
      </c>
      <c r="BM23" s="35">
        <v>0</v>
      </c>
    </row>
    <row r="24" spans="1:65" s="1" customFormat="1" x14ac:dyDescent="0.2">
      <c r="A24" s="33">
        <v>181</v>
      </c>
      <c r="B24" s="26">
        <v>146</v>
      </c>
      <c r="C24" s="36" t="s">
        <v>503</v>
      </c>
      <c r="D24" s="27" t="s">
        <v>824</v>
      </c>
      <c r="E24" s="27" t="s">
        <v>298</v>
      </c>
      <c r="F24" s="27" t="s">
        <v>389</v>
      </c>
      <c r="G24" s="28">
        <v>2026</v>
      </c>
      <c r="H24" s="20" t="str">
        <f>VLOOKUP(U24,'[1]KODE TYPE standar'!$D:$U,17,0)</f>
        <v>CALYA</v>
      </c>
      <c r="I24" s="20" t="str">
        <f>VLOOKUP(U24,'[1]KODE TYPE standar'!$D:$U,16,0)</f>
        <v>CALYA</v>
      </c>
      <c r="J24" s="20" t="str">
        <f>VLOOKUP(U24,'[1]KODE TYPE standar'!$D:$U,18,0)</f>
        <v>CALYA G M/T</v>
      </c>
      <c r="K24" s="27" t="s">
        <v>121</v>
      </c>
      <c r="L24" s="27" t="s">
        <v>110</v>
      </c>
      <c r="M24" s="27" t="s">
        <v>262</v>
      </c>
      <c r="N24" s="27" t="s">
        <v>140</v>
      </c>
      <c r="O24" s="28" t="s">
        <v>156</v>
      </c>
      <c r="P24" s="29" t="s">
        <v>151</v>
      </c>
      <c r="Q24" s="29" t="s">
        <v>161</v>
      </c>
      <c r="R24" s="29" t="s">
        <v>145</v>
      </c>
      <c r="S24" s="27" t="s">
        <v>724</v>
      </c>
      <c r="T24" s="27" t="s">
        <v>541</v>
      </c>
      <c r="U24" s="27" t="s">
        <v>268</v>
      </c>
      <c r="V24" s="27" t="s">
        <v>269</v>
      </c>
      <c r="W24" s="27" t="s">
        <v>270</v>
      </c>
      <c r="X24" s="27" t="s">
        <v>825</v>
      </c>
      <c r="Y24" s="27" t="s">
        <v>826</v>
      </c>
      <c r="Z24" s="27" t="s">
        <v>723</v>
      </c>
      <c r="AA24" s="27" t="s">
        <v>724</v>
      </c>
      <c r="AB24" s="27" t="s">
        <v>541</v>
      </c>
      <c r="AC24" s="27" t="s">
        <v>827</v>
      </c>
      <c r="AD24" s="27" t="s">
        <v>828</v>
      </c>
      <c r="AE24" s="27" t="s">
        <v>110</v>
      </c>
      <c r="AF24" s="27" t="s">
        <v>829</v>
      </c>
      <c r="AG24" s="27" t="s">
        <v>830</v>
      </c>
      <c r="AH24" s="27" t="s">
        <v>559</v>
      </c>
      <c r="AI24" s="27" t="s">
        <v>140</v>
      </c>
      <c r="AJ24" s="27" t="s">
        <v>262</v>
      </c>
      <c r="AK24" s="27" t="s">
        <v>104</v>
      </c>
      <c r="AL24" s="27" t="s">
        <v>831</v>
      </c>
      <c r="AM24" s="34">
        <v>181900000</v>
      </c>
      <c r="AN24" s="34">
        <v>139341518</v>
      </c>
      <c r="AO24" s="34">
        <v>25837500</v>
      </c>
      <c r="AP24" s="34">
        <v>15649553</v>
      </c>
      <c r="AQ24" s="34">
        <v>0</v>
      </c>
      <c r="AR24" s="34">
        <v>0</v>
      </c>
      <c r="AS24" s="34">
        <v>8928571</v>
      </c>
      <c r="AT24" s="34">
        <v>171900000</v>
      </c>
      <c r="AU24" s="34">
        <v>0</v>
      </c>
      <c r="AV24" s="34">
        <v>-10000000</v>
      </c>
      <c r="AW24" s="27" t="s">
        <v>404</v>
      </c>
      <c r="AX24" s="27" t="s">
        <v>404</v>
      </c>
      <c r="AY24" s="27" t="s">
        <v>83</v>
      </c>
      <c r="AZ24" s="27">
        <v>1</v>
      </c>
      <c r="BA24" s="27"/>
      <c r="BB24" s="27" t="s">
        <v>397</v>
      </c>
      <c r="BC24" s="27" t="s">
        <v>832</v>
      </c>
      <c r="BD24" s="27" t="s">
        <v>351</v>
      </c>
      <c r="BE24" s="27" t="s">
        <v>351</v>
      </c>
      <c r="BF24" s="27" t="s">
        <v>833</v>
      </c>
      <c r="BG24" s="27" t="s">
        <v>834</v>
      </c>
      <c r="BH24" s="27" t="s">
        <v>298</v>
      </c>
      <c r="BI24" s="27" t="s">
        <v>342</v>
      </c>
      <c r="BJ24" s="27" t="s">
        <v>835</v>
      </c>
      <c r="BK24" s="27" t="s">
        <v>237</v>
      </c>
      <c r="BL24" s="27" t="s">
        <v>836</v>
      </c>
      <c r="BM24" s="35">
        <v>0</v>
      </c>
    </row>
    <row r="25" spans="1:65" s="1" customFormat="1" x14ac:dyDescent="0.2">
      <c r="A25" s="25">
        <v>132</v>
      </c>
      <c r="B25" s="26">
        <v>146</v>
      </c>
      <c r="C25" s="27" t="s">
        <v>503</v>
      </c>
      <c r="D25" s="28" t="s">
        <v>837</v>
      </c>
      <c r="E25" s="28" t="s">
        <v>246</v>
      </c>
      <c r="F25" s="28" t="s">
        <v>339</v>
      </c>
      <c r="G25" s="28">
        <v>2026</v>
      </c>
      <c r="H25" s="20" t="str">
        <f>VLOOKUP(U25,'[1]KODE TYPE standar'!$D:$U,17,0)</f>
        <v>AGYA</v>
      </c>
      <c r="I25" s="20" t="str">
        <f>VLOOKUP(U25,'[1]KODE TYPE standar'!$D:$U,16,0)</f>
        <v>AGYA</v>
      </c>
      <c r="J25" s="20" t="str">
        <f>VLOOKUP(U25,'[1]KODE TYPE standar'!$D:$U,18,0)</f>
        <v>AGYA G A/T</v>
      </c>
      <c r="K25" s="27" t="s">
        <v>118</v>
      </c>
      <c r="L25" s="28" t="s">
        <v>110</v>
      </c>
      <c r="M25" s="28" t="s">
        <v>262</v>
      </c>
      <c r="N25" s="28" t="s">
        <v>140</v>
      </c>
      <c r="O25" s="28" t="s">
        <v>156</v>
      </c>
      <c r="P25" s="29" t="s">
        <v>149</v>
      </c>
      <c r="Q25" s="29" t="s">
        <v>161</v>
      </c>
      <c r="R25" s="29" t="s">
        <v>145</v>
      </c>
      <c r="S25" s="27" t="s">
        <v>631</v>
      </c>
      <c r="T25" s="28" t="s">
        <v>541</v>
      </c>
      <c r="U25" s="27" t="s">
        <v>74</v>
      </c>
      <c r="V25" s="27" t="s">
        <v>376</v>
      </c>
      <c r="W25" s="27" t="s">
        <v>377</v>
      </c>
      <c r="X25" s="27" t="s">
        <v>838</v>
      </c>
      <c r="Y25" s="27" t="s">
        <v>839</v>
      </c>
      <c r="Z25" s="27" t="s">
        <v>630</v>
      </c>
      <c r="AA25" s="27" t="s">
        <v>631</v>
      </c>
      <c r="AB25" s="28" t="s">
        <v>541</v>
      </c>
      <c r="AC25" s="28" t="s">
        <v>840</v>
      </c>
      <c r="AD25" s="28" t="s">
        <v>841</v>
      </c>
      <c r="AE25" s="28" t="s">
        <v>110</v>
      </c>
      <c r="AF25" s="28" t="s">
        <v>842</v>
      </c>
      <c r="AG25" s="28" t="s">
        <v>843</v>
      </c>
      <c r="AH25" s="28" t="s">
        <v>844</v>
      </c>
      <c r="AI25" s="28" t="s">
        <v>140</v>
      </c>
      <c r="AJ25" s="28" t="s">
        <v>262</v>
      </c>
      <c r="AK25" s="28" t="s">
        <v>63</v>
      </c>
      <c r="AL25" s="28"/>
      <c r="AM25" s="31">
        <v>200500000</v>
      </c>
      <c r="AN25" s="31">
        <v>153872768</v>
      </c>
      <c r="AO25" s="31">
        <v>28162500</v>
      </c>
      <c r="AP25" s="31">
        <v>17286160</v>
      </c>
      <c r="AQ25" s="31">
        <v>0</v>
      </c>
      <c r="AR25" s="31">
        <v>0</v>
      </c>
      <c r="AS25" s="31">
        <v>9821429</v>
      </c>
      <c r="AT25" s="31">
        <v>189500000</v>
      </c>
      <c r="AU25" s="31">
        <v>0</v>
      </c>
      <c r="AV25" s="31">
        <v>-11000000</v>
      </c>
      <c r="AW25" s="28" t="s">
        <v>244</v>
      </c>
      <c r="AX25" s="28" t="s">
        <v>244</v>
      </c>
      <c r="AY25" s="28" t="s">
        <v>83</v>
      </c>
      <c r="AZ25" s="28">
        <v>1</v>
      </c>
      <c r="BA25" s="28"/>
      <c r="BB25" s="28" t="s">
        <v>254</v>
      </c>
      <c r="BC25" s="28" t="s">
        <v>845</v>
      </c>
      <c r="BD25" s="28" t="s">
        <v>254</v>
      </c>
      <c r="BE25" s="28" t="s">
        <v>254</v>
      </c>
      <c r="BF25" s="28" t="s">
        <v>846</v>
      </c>
      <c r="BG25" s="28" t="s">
        <v>847</v>
      </c>
      <c r="BH25" s="28" t="s">
        <v>246</v>
      </c>
      <c r="BI25" s="28" t="s">
        <v>277</v>
      </c>
      <c r="BJ25" s="28" t="s">
        <v>848</v>
      </c>
      <c r="BK25" s="28" t="s">
        <v>263</v>
      </c>
      <c r="BL25" s="28" t="s">
        <v>849</v>
      </c>
      <c r="BM25" s="32">
        <v>0</v>
      </c>
    </row>
    <row r="26" spans="1:65" s="1" customFormat="1" x14ac:dyDescent="0.2">
      <c r="A26" s="33">
        <v>217</v>
      </c>
      <c r="B26" s="26">
        <v>146</v>
      </c>
      <c r="C26" s="36" t="s">
        <v>503</v>
      </c>
      <c r="D26" s="27" t="s">
        <v>850</v>
      </c>
      <c r="E26" s="27" t="s">
        <v>282</v>
      </c>
      <c r="F26" s="27" t="s">
        <v>389</v>
      </c>
      <c r="G26" s="28">
        <v>2026</v>
      </c>
      <c r="H26" s="20" t="str">
        <f>VLOOKUP(U26,'[1]KODE TYPE standar'!$D:$U,17,0)</f>
        <v>FORTUNER</v>
      </c>
      <c r="I26" s="20" t="str">
        <f>VLOOKUP(U26,'[1]KODE TYPE standar'!$D:$U,16,0)</f>
        <v>FORTUNER</v>
      </c>
      <c r="J26" s="20" t="str">
        <f>VLOOKUP(U26,'[1]KODE TYPE standar'!$D:$U,18,0)</f>
        <v>FORTUNER 4X2 VRZ A/T DIESEL</v>
      </c>
      <c r="K26" s="27" t="s">
        <v>119</v>
      </c>
      <c r="L26" s="27" t="s">
        <v>110</v>
      </c>
      <c r="M26" s="27" t="s">
        <v>262</v>
      </c>
      <c r="N26" s="27" t="s">
        <v>139</v>
      </c>
      <c r="O26" s="28" t="s">
        <v>156</v>
      </c>
      <c r="P26" s="29" t="s">
        <v>149</v>
      </c>
      <c r="Q26" s="29" t="s">
        <v>161</v>
      </c>
      <c r="R26" s="29" t="s">
        <v>145</v>
      </c>
      <c r="S26" s="27" t="s">
        <v>631</v>
      </c>
      <c r="T26" s="27" t="s">
        <v>541</v>
      </c>
      <c r="U26" s="27" t="s">
        <v>122</v>
      </c>
      <c r="V26" s="27" t="s">
        <v>48</v>
      </c>
      <c r="W26" s="27" t="s">
        <v>49</v>
      </c>
      <c r="X26" s="27" t="s">
        <v>851</v>
      </c>
      <c r="Y26" s="27" t="s">
        <v>852</v>
      </c>
      <c r="Z26" s="27" t="s">
        <v>630</v>
      </c>
      <c r="AA26" s="27" t="s">
        <v>631</v>
      </c>
      <c r="AB26" s="27" t="s">
        <v>541</v>
      </c>
      <c r="AC26" s="27" t="s">
        <v>853</v>
      </c>
      <c r="AD26" s="27" t="s">
        <v>854</v>
      </c>
      <c r="AE26" s="27" t="s">
        <v>110</v>
      </c>
      <c r="AF26" s="27" t="s">
        <v>854</v>
      </c>
      <c r="AG26" s="27" t="s">
        <v>855</v>
      </c>
      <c r="AH26" s="27" t="s">
        <v>651</v>
      </c>
      <c r="AI26" s="27" t="s">
        <v>139</v>
      </c>
      <c r="AJ26" s="27" t="s">
        <v>262</v>
      </c>
      <c r="AK26" s="27" t="s">
        <v>89</v>
      </c>
      <c r="AL26" s="27"/>
      <c r="AM26" s="34">
        <v>679700000</v>
      </c>
      <c r="AN26" s="34">
        <v>528247768</v>
      </c>
      <c r="AO26" s="34">
        <v>88062500</v>
      </c>
      <c r="AP26" s="34">
        <v>60550446</v>
      </c>
      <c r="AQ26" s="34">
        <v>0</v>
      </c>
      <c r="AR26" s="34">
        <v>0</v>
      </c>
      <c r="AS26" s="34">
        <v>23660714</v>
      </c>
      <c r="AT26" s="34">
        <v>653200000</v>
      </c>
      <c r="AU26" s="34">
        <v>0</v>
      </c>
      <c r="AV26" s="34">
        <v>-31000000</v>
      </c>
      <c r="AW26" s="27" t="s">
        <v>398</v>
      </c>
      <c r="AX26" s="27" t="s">
        <v>398</v>
      </c>
      <c r="AY26" s="27" t="s">
        <v>83</v>
      </c>
      <c r="AZ26" s="27">
        <v>1</v>
      </c>
      <c r="BA26" s="27"/>
      <c r="BB26" s="27" t="s">
        <v>313</v>
      </c>
      <c r="BC26" s="27" t="s">
        <v>856</v>
      </c>
      <c r="BD26" s="27" t="s">
        <v>297</v>
      </c>
      <c r="BE26" s="27" t="s">
        <v>297</v>
      </c>
      <c r="BF26" s="27" t="s">
        <v>857</v>
      </c>
      <c r="BG26" s="27" t="s">
        <v>858</v>
      </c>
      <c r="BH26" s="27" t="s">
        <v>282</v>
      </c>
      <c r="BI26" s="27" t="s">
        <v>366</v>
      </c>
      <c r="BJ26" s="27" t="s">
        <v>859</v>
      </c>
      <c r="BK26" s="27" t="s">
        <v>308</v>
      </c>
      <c r="BL26" s="27" t="s">
        <v>860</v>
      </c>
      <c r="BM26" s="35">
        <v>0</v>
      </c>
    </row>
    <row r="27" spans="1:65" s="1" customFormat="1" x14ac:dyDescent="0.2">
      <c r="A27" s="25">
        <v>156</v>
      </c>
      <c r="B27" s="26">
        <v>146</v>
      </c>
      <c r="C27" s="27" t="s">
        <v>503</v>
      </c>
      <c r="D27" s="28" t="s">
        <v>861</v>
      </c>
      <c r="E27" s="28" t="s">
        <v>313</v>
      </c>
      <c r="F27" s="28" t="s">
        <v>339</v>
      </c>
      <c r="G27" s="28">
        <v>2026</v>
      </c>
      <c r="H27" s="20" t="str">
        <f>VLOOKUP(U27,'[1]KODE TYPE standar'!$D:$U,17,0)</f>
        <v>INV ZENIX HYBRID</v>
      </c>
      <c r="I27" s="20" t="str">
        <f>VLOOKUP(U27,'[1]KODE TYPE standar'!$D:$U,16,0)</f>
        <v>INNOVA</v>
      </c>
      <c r="J27" s="20" t="str">
        <f>VLOOKUP(U27,'[1]KODE TYPE standar'!$D:$U,18,0)</f>
        <v>INNOVA ZENIX G A/T HIYBRID</v>
      </c>
      <c r="K27" s="27" t="s">
        <v>370</v>
      </c>
      <c r="L27" s="28" t="s">
        <v>110</v>
      </c>
      <c r="M27" s="28" t="s">
        <v>262</v>
      </c>
      <c r="N27" s="28" t="s">
        <v>85</v>
      </c>
      <c r="O27" s="28" t="s">
        <v>6581</v>
      </c>
      <c r="P27" s="29" t="s">
        <v>151</v>
      </c>
      <c r="Q27" s="29" t="s">
        <v>147</v>
      </c>
      <c r="R27" s="29" t="s">
        <v>318</v>
      </c>
      <c r="S27" s="28" t="s">
        <v>795</v>
      </c>
      <c r="T27" s="28" t="s">
        <v>509</v>
      </c>
      <c r="U27" s="27" t="s">
        <v>209</v>
      </c>
      <c r="V27" s="27" t="s">
        <v>51</v>
      </c>
      <c r="W27" s="27" t="s">
        <v>86</v>
      </c>
      <c r="X27" s="28" t="s">
        <v>862</v>
      </c>
      <c r="Y27" s="27" t="s">
        <v>863</v>
      </c>
      <c r="Z27" s="28" t="s">
        <v>794</v>
      </c>
      <c r="AA27" s="28" t="s">
        <v>795</v>
      </c>
      <c r="AB27" s="28" t="s">
        <v>509</v>
      </c>
      <c r="AC27" s="28" t="s">
        <v>864</v>
      </c>
      <c r="AD27" s="28" t="s">
        <v>865</v>
      </c>
      <c r="AE27" s="28" t="s">
        <v>110</v>
      </c>
      <c r="AF27" s="28" t="s">
        <v>866</v>
      </c>
      <c r="AG27" s="28" t="s">
        <v>867</v>
      </c>
      <c r="AH27" s="28" t="s">
        <v>483</v>
      </c>
      <c r="AI27" s="28" t="s">
        <v>85</v>
      </c>
      <c r="AJ27" s="28" t="s">
        <v>262</v>
      </c>
      <c r="AK27" s="28" t="s">
        <v>357</v>
      </c>
      <c r="AL27" s="28"/>
      <c r="AM27" s="31">
        <v>477300000</v>
      </c>
      <c r="AN27" s="31">
        <v>371046875</v>
      </c>
      <c r="AO27" s="31">
        <v>61727500</v>
      </c>
      <c r="AP27" s="31">
        <v>42275625</v>
      </c>
      <c r="AQ27" s="31">
        <v>0</v>
      </c>
      <c r="AR27" s="31">
        <v>0</v>
      </c>
      <c r="AS27" s="31">
        <v>18750000</v>
      </c>
      <c r="AT27" s="31">
        <v>456300000</v>
      </c>
      <c r="AU27" s="31">
        <v>4000000</v>
      </c>
      <c r="AV27" s="31">
        <v>-21000000</v>
      </c>
      <c r="AW27" s="28"/>
      <c r="AX27" s="28"/>
      <c r="AY27" s="28" t="s">
        <v>83</v>
      </c>
      <c r="AZ27" s="28">
        <v>1</v>
      </c>
      <c r="BA27" s="28"/>
      <c r="BB27" s="28" t="s">
        <v>313</v>
      </c>
      <c r="BC27" s="28" t="s">
        <v>868</v>
      </c>
      <c r="BD27" s="28" t="s">
        <v>294</v>
      </c>
      <c r="BE27" s="28" t="s">
        <v>294</v>
      </c>
      <c r="BF27" s="28" t="s">
        <v>869</v>
      </c>
      <c r="BG27" s="28" t="s">
        <v>870</v>
      </c>
      <c r="BH27" s="28"/>
      <c r="BI27" s="28" t="s">
        <v>290</v>
      </c>
      <c r="BJ27" s="28" t="s">
        <v>871</v>
      </c>
      <c r="BK27" s="28" t="s">
        <v>255</v>
      </c>
      <c r="BL27" s="28" t="s">
        <v>872</v>
      </c>
      <c r="BM27" s="32">
        <v>0</v>
      </c>
    </row>
    <row r="28" spans="1:65" s="1" customFormat="1" x14ac:dyDescent="0.2">
      <c r="A28" s="33">
        <v>186</v>
      </c>
      <c r="B28" s="26">
        <v>146</v>
      </c>
      <c r="C28" s="27" t="s">
        <v>503</v>
      </c>
      <c r="D28" s="27" t="s">
        <v>873</v>
      </c>
      <c r="E28" s="27" t="s">
        <v>203</v>
      </c>
      <c r="F28" s="27" t="s">
        <v>111</v>
      </c>
      <c r="G28" s="28">
        <v>2026</v>
      </c>
      <c r="H28" s="20" t="str">
        <f>VLOOKUP(U28,'[1]KODE TYPE standar'!$D:$U,17,0)</f>
        <v>AGYA</v>
      </c>
      <c r="I28" s="20" t="str">
        <f>VLOOKUP(U28,'[1]KODE TYPE standar'!$D:$U,16,0)</f>
        <v>AGYA</v>
      </c>
      <c r="J28" s="20" t="str">
        <f>VLOOKUP(U28,'[1]KODE TYPE standar'!$D:$U,18,0)</f>
        <v>AGYA G A/T</v>
      </c>
      <c r="K28" s="27" t="s">
        <v>50</v>
      </c>
      <c r="L28" s="27" t="s">
        <v>110</v>
      </c>
      <c r="M28" s="27" t="s">
        <v>50</v>
      </c>
      <c r="N28" s="27" t="s">
        <v>140</v>
      </c>
      <c r="O28" s="28" t="s">
        <v>156</v>
      </c>
      <c r="P28" s="29" t="s">
        <v>149</v>
      </c>
      <c r="Q28" s="29" t="s">
        <v>161</v>
      </c>
      <c r="R28" s="29" t="s">
        <v>145</v>
      </c>
      <c r="S28" s="27" t="s">
        <v>877</v>
      </c>
      <c r="T28" s="27" t="s">
        <v>585</v>
      </c>
      <c r="U28" s="27" t="s">
        <v>74</v>
      </c>
      <c r="V28" s="27" t="s">
        <v>269</v>
      </c>
      <c r="W28" s="27" t="s">
        <v>81</v>
      </c>
      <c r="X28" s="27" t="s">
        <v>874</v>
      </c>
      <c r="Y28" s="27" t="s">
        <v>875</v>
      </c>
      <c r="Z28" s="27" t="s">
        <v>876</v>
      </c>
      <c r="AA28" s="27" t="s">
        <v>877</v>
      </c>
      <c r="AB28" s="27" t="s">
        <v>585</v>
      </c>
      <c r="AC28" s="27" t="s">
        <v>878</v>
      </c>
      <c r="AD28" s="27" t="s">
        <v>879</v>
      </c>
      <c r="AE28" s="27" t="s">
        <v>110</v>
      </c>
      <c r="AF28" s="27" t="s">
        <v>879</v>
      </c>
      <c r="AG28" s="27" t="s">
        <v>880</v>
      </c>
      <c r="AH28" s="27" t="s">
        <v>881</v>
      </c>
      <c r="AI28" s="27" t="s">
        <v>140</v>
      </c>
      <c r="AJ28" s="27" t="s">
        <v>50</v>
      </c>
      <c r="AK28" s="27" t="s">
        <v>50</v>
      </c>
      <c r="AL28" s="27" t="s">
        <v>882</v>
      </c>
      <c r="AM28" s="34">
        <v>200500000</v>
      </c>
      <c r="AN28" s="34">
        <v>154095982</v>
      </c>
      <c r="AO28" s="34">
        <v>27912500</v>
      </c>
      <c r="AP28" s="34">
        <v>16723660</v>
      </c>
      <c r="AQ28" s="34">
        <v>0</v>
      </c>
      <c r="AR28" s="34">
        <v>0</v>
      </c>
      <c r="AS28" s="34">
        <v>14732143</v>
      </c>
      <c r="AT28" s="34">
        <v>184000000</v>
      </c>
      <c r="AU28" s="34">
        <v>0</v>
      </c>
      <c r="AV28" s="34">
        <v>-16500000</v>
      </c>
      <c r="AW28" s="27" t="s">
        <v>190</v>
      </c>
      <c r="AX28" s="27" t="s">
        <v>190</v>
      </c>
      <c r="AY28" s="27" t="s">
        <v>83</v>
      </c>
      <c r="AZ28" s="27">
        <v>1</v>
      </c>
      <c r="BA28" s="27"/>
      <c r="BB28" s="27" t="s">
        <v>203</v>
      </c>
      <c r="BC28" s="27" t="s">
        <v>883</v>
      </c>
      <c r="BD28" s="27" t="s">
        <v>203</v>
      </c>
      <c r="BE28" s="27" t="s">
        <v>203</v>
      </c>
      <c r="BF28" s="27" t="s">
        <v>884</v>
      </c>
      <c r="BG28" s="27" t="s">
        <v>885</v>
      </c>
      <c r="BH28" s="27" t="s">
        <v>203</v>
      </c>
      <c r="BI28" s="27" t="s">
        <v>199</v>
      </c>
      <c r="BJ28" s="27" t="s">
        <v>886</v>
      </c>
      <c r="BK28" s="27" t="s">
        <v>189</v>
      </c>
      <c r="BL28" s="27" t="s">
        <v>887</v>
      </c>
      <c r="BM28" s="35">
        <v>0</v>
      </c>
    </row>
    <row r="29" spans="1:65" s="1" customFormat="1" x14ac:dyDescent="0.2">
      <c r="A29" s="33">
        <v>191</v>
      </c>
      <c r="B29" s="26">
        <v>146</v>
      </c>
      <c r="C29" s="27" t="s">
        <v>503</v>
      </c>
      <c r="D29" s="27" t="s">
        <v>888</v>
      </c>
      <c r="E29" s="27" t="s">
        <v>199</v>
      </c>
      <c r="F29" s="27" t="s">
        <v>111</v>
      </c>
      <c r="G29" s="28">
        <v>2026</v>
      </c>
      <c r="H29" s="20" t="str">
        <f>VLOOKUP(U29,'[1]KODE TYPE standar'!$D:$U,17,0)</f>
        <v>CALYA</v>
      </c>
      <c r="I29" s="20" t="str">
        <f>VLOOKUP(U29,'[1]KODE TYPE standar'!$D:$U,16,0)</f>
        <v>CALYA</v>
      </c>
      <c r="J29" s="20" t="str">
        <f>VLOOKUP(U29,'[1]KODE TYPE standar'!$D:$U,18,0)</f>
        <v>CALYA G A/T</v>
      </c>
      <c r="K29" s="27" t="s">
        <v>119</v>
      </c>
      <c r="L29" s="27" t="s">
        <v>110</v>
      </c>
      <c r="M29" s="27" t="s">
        <v>262</v>
      </c>
      <c r="N29" s="27" t="s">
        <v>106</v>
      </c>
      <c r="O29" s="28" t="s">
        <v>156</v>
      </c>
      <c r="P29" s="29" t="s">
        <v>151</v>
      </c>
      <c r="Q29" s="29" t="s">
        <v>161</v>
      </c>
      <c r="R29" s="29" t="s">
        <v>597</v>
      </c>
      <c r="S29" s="27" t="s">
        <v>892</v>
      </c>
      <c r="T29" s="27" t="s">
        <v>541</v>
      </c>
      <c r="U29" s="27" t="s">
        <v>88</v>
      </c>
      <c r="V29" s="27" t="s">
        <v>68</v>
      </c>
      <c r="W29" s="27" t="s">
        <v>69</v>
      </c>
      <c r="X29" s="27" t="s">
        <v>889</v>
      </c>
      <c r="Y29" s="27" t="s">
        <v>890</v>
      </c>
      <c r="Z29" s="27" t="s">
        <v>891</v>
      </c>
      <c r="AA29" s="27" t="s">
        <v>892</v>
      </c>
      <c r="AB29" s="27" t="s">
        <v>541</v>
      </c>
      <c r="AC29" s="27" t="s">
        <v>893</v>
      </c>
      <c r="AD29" s="27" t="s">
        <v>894</v>
      </c>
      <c r="AE29" s="27" t="s">
        <v>110</v>
      </c>
      <c r="AF29" s="27" t="s">
        <v>895</v>
      </c>
      <c r="AG29" s="27" t="s">
        <v>896</v>
      </c>
      <c r="AH29" s="27" t="s">
        <v>573</v>
      </c>
      <c r="AI29" s="27" t="s">
        <v>106</v>
      </c>
      <c r="AJ29" s="27" t="s">
        <v>262</v>
      </c>
      <c r="AK29" s="27" t="s">
        <v>89</v>
      </c>
      <c r="AL29" s="27" t="s">
        <v>897</v>
      </c>
      <c r="AM29" s="34">
        <v>196400000</v>
      </c>
      <c r="AN29" s="34">
        <v>150892857</v>
      </c>
      <c r="AO29" s="34">
        <v>27400000</v>
      </c>
      <c r="AP29" s="34">
        <v>16392857</v>
      </c>
      <c r="AQ29" s="34">
        <v>0</v>
      </c>
      <c r="AR29" s="34">
        <v>0</v>
      </c>
      <c r="AS29" s="34">
        <v>14285714</v>
      </c>
      <c r="AT29" s="34">
        <v>180400000</v>
      </c>
      <c r="AU29" s="34">
        <v>0</v>
      </c>
      <c r="AV29" s="34">
        <v>-16000000</v>
      </c>
      <c r="AW29" s="27"/>
      <c r="AX29" s="27"/>
      <c r="AY29" s="27" t="s">
        <v>83</v>
      </c>
      <c r="AZ29" s="27">
        <v>1</v>
      </c>
      <c r="BA29" s="27"/>
      <c r="BB29" s="27" t="s">
        <v>194</v>
      </c>
      <c r="BC29" s="27" t="s">
        <v>898</v>
      </c>
      <c r="BD29" s="27" t="s">
        <v>217</v>
      </c>
      <c r="BE29" s="27" t="s">
        <v>217</v>
      </c>
      <c r="BF29" s="27" t="s">
        <v>899</v>
      </c>
      <c r="BG29" s="27" t="s">
        <v>900</v>
      </c>
      <c r="BH29" s="27" t="s">
        <v>199</v>
      </c>
      <c r="BI29" s="27" t="s">
        <v>227</v>
      </c>
      <c r="BJ29" s="27" t="s">
        <v>901</v>
      </c>
      <c r="BK29" s="27" t="s">
        <v>902</v>
      </c>
      <c r="BL29" s="27" t="s">
        <v>903</v>
      </c>
      <c r="BM29" s="35">
        <v>0</v>
      </c>
    </row>
    <row r="30" spans="1:65" s="1" customFormat="1" x14ac:dyDescent="0.2">
      <c r="A30" s="25">
        <v>168</v>
      </c>
      <c r="B30" s="26">
        <v>146</v>
      </c>
      <c r="C30" s="27" t="s">
        <v>503</v>
      </c>
      <c r="D30" s="28" t="s">
        <v>904</v>
      </c>
      <c r="E30" s="28" t="s">
        <v>271</v>
      </c>
      <c r="F30" s="28" t="s">
        <v>339</v>
      </c>
      <c r="G30" s="28">
        <v>2026</v>
      </c>
      <c r="H30" s="20" t="str">
        <f>VLOOKUP(U30,'[1]KODE TYPE standar'!$D:$U,17,0)</f>
        <v>AVANZA</v>
      </c>
      <c r="I30" s="20" t="str">
        <f>VLOOKUP(U30,'[1]KODE TYPE standar'!$D:$U,16,0)</f>
        <v>AVANZA</v>
      </c>
      <c r="J30" s="20" t="str">
        <f>VLOOKUP(U30,'[1]KODE TYPE standar'!$D:$U,18,0)</f>
        <v>AVANZA G M/T</v>
      </c>
      <c r="K30" s="27" t="s">
        <v>121</v>
      </c>
      <c r="L30" s="28" t="s">
        <v>110</v>
      </c>
      <c r="M30" s="28" t="s">
        <v>262</v>
      </c>
      <c r="N30" s="28" t="s">
        <v>139</v>
      </c>
      <c r="O30" s="28" t="s">
        <v>156</v>
      </c>
      <c r="P30" s="29" t="s">
        <v>151</v>
      </c>
      <c r="Q30" s="29" t="s">
        <v>161</v>
      </c>
      <c r="R30" s="29" t="s">
        <v>597</v>
      </c>
      <c r="S30" s="27" t="s">
        <v>908</v>
      </c>
      <c r="T30" s="30" t="s">
        <v>509</v>
      </c>
      <c r="U30" s="27" t="s">
        <v>59</v>
      </c>
      <c r="V30" s="27" t="s">
        <v>64</v>
      </c>
      <c r="W30" s="27" t="s">
        <v>65</v>
      </c>
      <c r="X30" s="27" t="s">
        <v>905</v>
      </c>
      <c r="Y30" s="27" t="s">
        <v>906</v>
      </c>
      <c r="Z30" s="27" t="s">
        <v>907</v>
      </c>
      <c r="AA30" s="27" t="s">
        <v>908</v>
      </c>
      <c r="AB30" s="30" t="s">
        <v>509</v>
      </c>
      <c r="AC30" s="30" t="s">
        <v>909</v>
      </c>
      <c r="AD30" s="28" t="s">
        <v>910</v>
      </c>
      <c r="AE30" s="28" t="s">
        <v>110</v>
      </c>
      <c r="AF30" s="28" t="s">
        <v>911</v>
      </c>
      <c r="AG30" s="28" t="s">
        <v>912</v>
      </c>
      <c r="AH30" s="28" t="s">
        <v>913</v>
      </c>
      <c r="AI30" s="28" t="s">
        <v>139</v>
      </c>
      <c r="AJ30" s="28" t="s">
        <v>262</v>
      </c>
      <c r="AK30" s="28" t="s">
        <v>104</v>
      </c>
      <c r="AL30" s="28"/>
      <c r="AM30" s="31">
        <v>269700000</v>
      </c>
      <c r="AN30" s="31">
        <v>207935268</v>
      </c>
      <c r="AO30" s="31">
        <v>36812500</v>
      </c>
      <c r="AP30" s="31">
        <v>23345089</v>
      </c>
      <c r="AQ30" s="31">
        <v>0</v>
      </c>
      <c r="AR30" s="31">
        <v>0</v>
      </c>
      <c r="AS30" s="31">
        <v>13392857</v>
      </c>
      <c r="AT30" s="31">
        <v>254700000</v>
      </c>
      <c r="AU30" s="31">
        <v>5000000</v>
      </c>
      <c r="AV30" s="31">
        <v>-15000000</v>
      </c>
      <c r="AW30" s="28" t="s">
        <v>271</v>
      </c>
      <c r="AX30" s="28" t="s">
        <v>271</v>
      </c>
      <c r="AY30" s="28" t="s">
        <v>83</v>
      </c>
      <c r="AZ30" s="28">
        <v>1</v>
      </c>
      <c r="BA30" s="28" t="s">
        <v>914</v>
      </c>
      <c r="BB30" s="28" t="s">
        <v>210</v>
      </c>
      <c r="BC30" s="28" t="s">
        <v>915</v>
      </c>
      <c r="BD30" s="28" t="s">
        <v>210</v>
      </c>
      <c r="BE30" s="28" t="s">
        <v>210</v>
      </c>
      <c r="BF30" s="28" t="s">
        <v>307</v>
      </c>
      <c r="BG30" s="28" t="s">
        <v>916</v>
      </c>
      <c r="BH30" s="28" t="s">
        <v>271</v>
      </c>
      <c r="BI30" s="28" t="s">
        <v>353</v>
      </c>
      <c r="BJ30" s="28" t="s">
        <v>917</v>
      </c>
      <c r="BK30" s="28" t="s">
        <v>219</v>
      </c>
      <c r="BL30" s="28" t="s">
        <v>918</v>
      </c>
      <c r="BM30" s="32">
        <v>0</v>
      </c>
    </row>
    <row r="31" spans="1:65" s="1" customFormat="1" x14ac:dyDescent="0.2">
      <c r="A31" s="25">
        <v>170</v>
      </c>
      <c r="B31" s="26">
        <v>146</v>
      </c>
      <c r="C31" s="27" t="s">
        <v>503</v>
      </c>
      <c r="D31" s="28" t="s">
        <v>919</v>
      </c>
      <c r="E31" s="28" t="s">
        <v>255</v>
      </c>
      <c r="F31" s="28" t="s">
        <v>339</v>
      </c>
      <c r="G31" s="28">
        <v>2026</v>
      </c>
      <c r="H31" s="20" t="str">
        <f>VLOOKUP(U31,'[1]KODE TYPE standar'!$D:$U,17,0)</f>
        <v>VELOZ</v>
      </c>
      <c r="I31" s="20" t="str">
        <f>VLOOKUP(U31,'[1]KODE TYPE standar'!$D:$U,16,0)</f>
        <v>VELOZ</v>
      </c>
      <c r="J31" s="20" t="str">
        <f>VLOOKUP(U31,'[1]KODE TYPE standar'!$D:$U,18,0)</f>
        <v>VELOZ V AT HYBRID</v>
      </c>
      <c r="K31" s="27" t="s">
        <v>50</v>
      </c>
      <c r="L31" s="28" t="s">
        <v>110</v>
      </c>
      <c r="M31" s="28" t="s">
        <v>50</v>
      </c>
      <c r="N31" s="28" t="s">
        <v>106</v>
      </c>
      <c r="O31" s="28" t="s">
        <v>156</v>
      </c>
      <c r="P31" s="29" t="s">
        <v>151</v>
      </c>
      <c r="Q31" s="29" t="s">
        <v>162</v>
      </c>
      <c r="R31" s="29" t="s">
        <v>145</v>
      </c>
      <c r="S31" s="27" t="s">
        <v>923</v>
      </c>
      <c r="T31" s="30" t="s">
        <v>541</v>
      </c>
      <c r="U31" s="27" t="s">
        <v>327</v>
      </c>
      <c r="V31" s="27" t="s">
        <v>64</v>
      </c>
      <c r="W31" s="27" t="s">
        <v>65</v>
      </c>
      <c r="X31" s="27" t="s">
        <v>920</v>
      </c>
      <c r="Y31" s="27" t="s">
        <v>921</v>
      </c>
      <c r="Z31" s="27" t="s">
        <v>922</v>
      </c>
      <c r="AA31" s="27" t="s">
        <v>923</v>
      </c>
      <c r="AB31" s="30" t="s">
        <v>541</v>
      </c>
      <c r="AC31" s="30" t="s">
        <v>924</v>
      </c>
      <c r="AD31" s="28" t="s">
        <v>925</v>
      </c>
      <c r="AE31" s="28" t="s">
        <v>110</v>
      </c>
      <c r="AF31" s="28" t="s">
        <v>925</v>
      </c>
      <c r="AG31" s="28" t="s">
        <v>926</v>
      </c>
      <c r="AH31" s="28" t="s">
        <v>927</v>
      </c>
      <c r="AI31" s="28" t="s">
        <v>106</v>
      </c>
      <c r="AJ31" s="28" t="s">
        <v>50</v>
      </c>
      <c r="AK31" s="28" t="s">
        <v>50</v>
      </c>
      <c r="AL31" s="28"/>
      <c r="AM31" s="31">
        <v>303000000</v>
      </c>
      <c r="AN31" s="31">
        <v>233950893</v>
      </c>
      <c r="AO31" s="31">
        <v>40975000</v>
      </c>
      <c r="AP31" s="31">
        <v>28074107</v>
      </c>
      <c r="AQ31" s="31">
        <v>0</v>
      </c>
      <c r="AR31" s="31">
        <v>0</v>
      </c>
      <c r="AS31" s="31">
        <v>0</v>
      </c>
      <c r="AT31" s="31">
        <v>303000000</v>
      </c>
      <c r="AU31" s="31">
        <v>0</v>
      </c>
      <c r="AV31" s="31">
        <v>0</v>
      </c>
      <c r="AW31" s="28" t="s">
        <v>248</v>
      </c>
      <c r="AX31" s="28" t="s">
        <v>248</v>
      </c>
      <c r="AY31" s="28" t="s">
        <v>83</v>
      </c>
      <c r="AZ31" s="28">
        <v>1</v>
      </c>
      <c r="BA31" s="28"/>
      <c r="BB31" s="28" t="s">
        <v>255</v>
      </c>
      <c r="BC31" s="28" t="s">
        <v>928</v>
      </c>
      <c r="BD31" s="28" t="s">
        <v>255</v>
      </c>
      <c r="BE31" s="28" t="s">
        <v>255</v>
      </c>
      <c r="BF31" s="28" t="s">
        <v>929</v>
      </c>
      <c r="BG31" s="28" t="s">
        <v>930</v>
      </c>
      <c r="BH31" s="28" t="s">
        <v>255</v>
      </c>
      <c r="BI31" s="28" t="s">
        <v>299</v>
      </c>
      <c r="BJ31" s="28" t="s">
        <v>931</v>
      </c>
      <c r="BK31" s="28" t="s">
        <v>242</v>
      </c>
      <c r="BL31" s="28" t="s">
        <v>932</v>
      </c>
      <c r="BM31" s="32">
        <v>0</v>
      </c>
    </row>
    <row r="32" spans="1:65" s="1" customFormat="1" x14ac:dyDescent="0.2">
      <c r="A32" s="33">
        <v>247</v>
      </c>
      <c r="B32" s="26">
        <v>146</v>
      </c>
      <c r="C32" s="36" t="s">
        <v>503</v>
      </c>
      <c r="D32" s="27" t="s">
        <v>933</v>
      </c>
      <c r="E32" s="27" t="s">
        <v>393</v>
      </c>
      <c r="F32" s="27" t="s">
        <v>389</v>
      </c>
      <c r="G32" s="28">
        <v>2026</v>
      </c>
      <c r="H32" s="20" t="str">
        <f>VLOOKUP(U32,'[1]KODE TYPE standar'!$D:$U,17,0)</f>
        <v>INV REBORN</v>
      </c>
      <c r="I32" s="20" t="str">
        <f>VLOOKUP(U32,'[1]KODE TYPE standar'!$D:$U,16,0)</f>
        <v>INNOVA</v>
      </c>
      <c r="J32" s="20" t="str">
        <f>VLOOKUP(U32,'[1]KODE TYPE standar'!$D:$U,18,0)</f>
        <v>INNOVA G A/T DIESEL</v>
      </c>
      <c r="K32" s="27" t="s">
        <v>120</v>
      </c>
      <c r="L32" s="27" t="s">
        <v>110</v>
      </c>
      <c r="M32" s="27" t="s">
        <v>262</v>
      </c>
      <c r="N32" s="27" t="s">
        <v>141</v>
      </c>
      <c r="O32" s="28" t="s">
        <v>156</v>
      </c>
      <c r="P32" s="29" t="s">
        <v>151</v>
      </c>
      <c r="Q32" s="29" t="s">
        <v>161</v>
      </c>
      <c r="R32" s="29" t="s">
        <v>145</v>
      </c>
      <c r="S32" s="27" t="s">
        <v>937</v>
      </c>
      <c r="T32" s="27" t="s">
        <v>541</v>
      </c>
      <c r="U32" s="27" t="s">
        <v>192</v>
      </c>
      <c r="V32" s="27" t="s">
        <v>283</v>
      </c>
      <c r="W32" s="27" t="s">
        <v>284</v>
      </c>
      <c r="X32" s="27" t="s">
        <v>934</v>
      </c>
      <c r="Y32" s="27" t="s">
        <v>935</v>
      </c>
      <c r="Z32" s="27" t="s">
        <v>936</v>
      </c>
      <c r="AA32" s="27" t="s">
        <v>937</v>
      </c>
      <c r="AB32" s="27" t="s">
        <v>541</v>
      </c>
      <c r="AC32" s="27" t="s">
        <v>938</v>
      </c>
      <c r="AD32" s="27" t="s">
        <v>939</v>
      </c>
      <c r="AE32" s="27" t="s">
        <v>110</v>
      </c>
      <c r="AF32" s="27" t="s">
        <v>939</v>
      </c>
      <c r="AG32" s="27" t="s">
        <v>940</v>
      </c>
      <c r="AH32" s="27" t="s">
        <v>941</v>
      </c>
      <c r="AI32" s="27" t="s">
        <v>141</v>
      </c>
      <c r="AJ32" s="27" t="s">
        <v>262</v>
      </c>
      <c r="AK32" s="27" t="s">
        <v>423</v>
      </c>
      <c r="AL32" s="27"/>
      <c r="AM32" s="34">
        <v>442100000</v>
      </c>
      <c r="AN32" s="34">
        <v>342622768</v>
      </c>
      <c r="AO32" s="34">
        <v>58362500</v>
      </c>
      <c r="AP32" s="34">
        <v>38864732</v>
      </c>
      <c r="AQ32" s="34">
        <v>0</v>
      </c>
      <c r="AR32" s="34">
        <v>0</v>
      </c>
      <c r="AS32" s="34">
        <v>18750000</v>
      </c>
      <c r="AT32" s="34">
        <v>421100000</v>
      </c>
      <c r="AU32" s="34">
        <v>3000000</v>
      </c>
      <c r="AV32" s="34">
        <v>-21000000</v>
      </c>
      <c r="AW32" s="27"/>
      <c r="AX32" s="27"/>
      <c r="AY32" s="27" t="s">
        <v>83</v>
      </c>
      <c r="AZ32" s="27">
        <v>1</v>
      </c>
      <c r="BA32" s="27"/>
      <c r="BB32" s="27" t="s">
        <v>228</v>
      </c>
      <c r="BC32" s="27" t="s">
        <v>942</v>
      </c>
      <c r="BD32" s="27" t="s">
        <v>227</v>
      </c>
      <c r="BE32" s="27" t="s">
        <v>227</v>
      </c>
      <c r="BF32" s="27" t="s">
        <v>943</v>
      </c>
      <c r="BG32" s="27" t="s">
        <v>944</v>
      </c>
      <c r="BH32" s="27" t="s">
        <v>393</v>
      </c>
      <c r="BI32" s="27" t="s">
        <v>403</v>
      </c>
      <c r="BJ32" s="27" t="s">
        <v>945</v>
      </c>
      <c r="BK32" s="27" t="s">
        <v>395</v>
      </c>
      <c r="BL32" s="27" t="s">
        <v>946</v>
      </c>
      <c r="BM32" s="35">
        <v>0</v>
      </c>
    </row>
    <row r="33" spans="1:65" s="1" customFormat="1" x14ac:dyDescent="0.2">
      <c r="A33" s="33">
        <v>195</v>
      </c>
      <c r="B33" s="26">
        <v>146</v>
      </c>
      <c r="C33" s="27" t="s">
        <v>503</v>
      </c>
      <c r="D33" s="27" t="s">
        <v>947</v>
      </c>
      <c r="E33" s="27" t="s">
        <v>191</v>
      </c>
      <c r="F33" s="27" t="s">
        <v>111</v>
      </c>
      <c r="G33" s="28">
        <v>2026</v>
      </c>
      <c r="H33" s="20" t="str">
        <f>VLOOKUP(U33,'[1]KODE TYPE standar'!$D:$U,17,0)</f>
        <v>INV REBORN</v>
      </c>
      <c r="I33" s="20" t="str">
        <f>VLOOKUP(U33,'[1]KODE TYPE standar'!$D:$U,16,0)</f>
        <v>INNOVA</v>
      </c>
      <c r="J33" s="20" t="str">
        <f>VLOOKUP(U33,'[1]KODE TYPE standar'!$D:$U,18,0)</f>
        <v>INNOVA G A/T DIESEL</v>
      </c>
      <c r="K33" s="27" t="s">
        <v>118</v>
      </c>
      <c r="L33" s="27" t="s">
        <v>110</v>
      </c>
      <c r="M33" s="27" t="s">
        <v>262</v>
      </c>
      <c r="N33" s="27" t="s">
        <v>70</v>
      </c>
      <c r="O33" s="28" t="s">
        <v>6581</v>
      </c>
      <c r="P33" s="29" t="s">
        <v>149</v>
      </c>
      <c r="Q33" s="29" t="s">
        <v>161</v>
      </c>
      <c r="R33" s="29" t="s">
        <v>597</v>
      </c>
      <c r="S33" s="27" t="s">
        <v>951</v>
      </c>
      <c r="T33" s="27" t="s">
        <v>541</v>
      </c>
      <c r="U33" s="27" t="s">
        <v>192</v>
      </c>
      <c r="V33" s="27" t="s">
        <v>77</v>
      </c>
      <c r="W33" s="27" t="s">
        <v>78</v>
      </c>
      <c r="X33" s="27" t="s">
        <v>948</v>
      </c>
      <c r="Y33" s="27" t="s">
        <v>949</v>
      </c>
      <c r="Z33" s="27" t="s">
        <v>950</v>
      </c>
      <c r="AA33" s="27" t="s">
        <v>951</v>
      </c>
      <c r="AB33" s="27" t="s">
        <v>541</v>
      </c>
      <c r="AC33" s="27" t="s">
        <v>952</v>
      </c>
      <c r="AD33" s="27" t="s">
        <v>953</v>
      </c>
      <c r="AE33" s="27" t="s">
        <v>110</v>
      </c>
      <c r="AF33" s="27" t="s">
        <v>953</v>
      </c>
      <c r="AG33" s="27" t="s">
        <v>954</v>
      </c>
      <c r="AH33" s="27" t="s">
        <v>166</v>
      </c>
      <c r="AI33" s="27" t="s">
        <v>70</v>
      </c>
      <c r="AJ33" s="27" t="s">
        <v>262</v>
      </c>
      <c r="AK33" s="27" t="s">
        <v>63</v>
      </c>
      <c r="AL33" s="27" t="s">
        <v>955</v>
      </c>
      <c r="AM33" s="34">
        <v>438700000</v>
      </c>
      <c r="AN33" s="34">
        <v>340515625</v>
      </c>
      <c r="AO33" s="34">
        <v>57322500</v>
      </c>
      <c r="AP33" s="34">
        <v>38183303</v>
      </c>
      <c r="AQ33" s="34">
        <v>0</v>
      </c>
      <c r="AR33" s="34">
        <v>0</v>
      </c>
      <c r="AS33" s="34">
        <v>22321429</v>
      </c>
      <c r="AT33" s="34">
        <v>413700000</v>
      </c>
      <c r="AU33" s="34">
        <v>0</v>
      </c>
      <c r="AV33" s="34">
        <v>-25000000</v>
      </c>
      <c r="AW33" s="27" t="s">
        <v>206</v>
      </c>
      <c r="AX33" s="27" t="s">
        <v>206</v>
      </c>
      <c r="AY33" s="27" t="s">
        <v>83</v>
      </c>
      <c r="AZ33" s="27">
        <v>1</v>
      </c>
      <c r="BA33" s="27"/>
      <c r="BB33" s="27" t="s">
        <v>207</v>
      </c>
      <c r="BC33" s="27" t="s">
        <v>956</v>
      </c>
      <c r="BD33" s="27" t="s">
        <v>207</v>
      </c>
      <c r="BE33" s="27" t="s">
        <v>207</v>
      </c>
      <c r="BF33" s="27" t="s">
        <v>957</v>
      </c>
      <c r="BG33" s="27" t="s">
        <v>958</v>
      </c>
      <c r="BH33" s="27" t="s">
        <v>191</v>
      </c>
      <c r="BI33" s="27" t="s">
        <v>230</v>
      </c>
      <c r="BJ33" s="27" t="s">
        <v>959</v>
      </c>
      <c r="BK33" s="27" t="s">
        <v>194</v>
      </c>
      <c r="BL33" s="27" t="s">
        <v>960</v>
      </c>
      <c r="BM33" s="35">
        <v>0</v>
      </c>
    </row>
    <row r="34" spans="1:65" s="1" customFormat="1" x14ac:dyDescent="0.2">
      <c r="A34" s="25">
        <v>172</v>
      </c>
      <c r="B34" s="26">
        <v>146</v>
      </c>
      <c r="C34" s="27" t="s">
        <v>503</v>
      </c>
      <c r="D34" s="28" t="s">
        <v>961</v>
      </c>
      <c r="E34" s="28" t="s">
        <v>242</v>
      </c>
      <c r="F34" s="28" t="s">
        <v>339</v>
      </c>
      <c r="G34" s="28">
        <v>2026</v>
      </c>
      <c r="H34" s="20" t="str">
        <f>VLOOKUP(U34,'[1]KODE TYPE standar'!$D:$U,17,0)</f>
        <v>HIACE</v>
      </c>
      <c r="I34" s="20" t="str">
        <f>VLOOKUP(U34,'[1]KODE TYPE standar'!$D:$U,16,0)</f>
        <v>HIACE</v>
      </c>
      <c r="J34" s="20" t="str">
        <f>VLOOKUP(U34,'[1]KODE TYPE standar'!$D:$U,18,0)</f>
        <v>HIACE COMM</v>
      </c>
      <c r="K34" s="27" t="s">
        <v>119</v>
      </c>
      <c r="L34" s="28" t="s">
        <v>110</v>
      </c>
      <c r="M34" s="28" t="s">
        <v>262</v>
      </c>
      <c r="N34" s="28" t="s">
        <v>141</v>
      </c>
      <c r="O34" s="28" t="s">
        <v>156</v>
      </c>
      <c r="P34" s="29" t="s">
        <v>150</v>
      </c>
      <c r="Q34" s="29" t="s">
        <v>162</v>
      </c>
      <c r="R34" s="29" t="s">
        <v>145</v>
      </c>
      <c r="S34" s="28" t="s">
        <v>877</v>
      </c>
      <c r="T34" s="28" t="s">
        <v>585</v>
      </c>
      <c r="U34" s="27" t="s">
        <v>334</v>
      </c>
      <c r="V34" s="27" t="s">
        <v>99</v>
      </c>
      <c r="W34" s="27" t="s">
        <v>61</v>
      </c>
      <c r="X34" s="27" t="s">
        <v>962</v>
      </c>
      <c r="Y34" s="27" t="s">
        <v>963</v>
      </c>
      <c r="Z34" s="28" t="s">
        <v>876</v>
      </c>
      <c r="AA34" s="28" t="s">
        <v>877</v>
      </c>
      <c r="AB34" s="28" t="s">
        <v>585</v>
      </c>
      <c r="AC34" s="28" t="s">
        <v>964</v>
      </c>
      <c r="AD34" s="28" t="s">
        <v>965</v>
      </c>
      <c r="AE34" s="28" t="s">
        <v>110</v>
      </c>
      <c r="AF34" s="28" t="s">
        <v>966</v>
      </c>
      <c r="AG34" s="28" t="s">
        <v>967</v>
      </c>
      <c r="AH34" s="28" t="s">
        <v>757</v>
      </c>
      <c r="AI34" s="28" t="s">
        <v>141</v>
      </c>
      <c r="AJ34" s="28" t="s">
        <v>262</v>
      </c>
      <c r="AK34" s="28" t="s">
        <v>89</v>
      </c>
      <c r="AL34" s="28" t="s">
        <v>968</v>
      </c>
      <c r="AM34" s="31">
        <v>578100000</v>
      </c>
      <c r="AN34" s="31">
        <v>450799550</v>
      </c>
      <c r="AO34" s="31">
        <v>77712500</v>
      </c>
      <c r="AP34" s="31">
        <v>45326689</v>
      </c>
      <c r="AQ34" s="31">
        <v>0</v>
      </c>
      <c r="AR34" s="31">
        <v>0</v>
      </c>
      <c r="AS34" s="31">
        <v>38738739</v>
      </c>
      <c r="AT34" s="31">
        <v>535100000</v>
      </c>
      <c r="AU34" s="31">
        <v>0</v>
      </c>
      <c r="AV34" s="31">
        <v>-43000000</v>
      </c>
      <c r="AW34" s="28" t="s">
        <v>273</v>
      </c>
      <c r="AX34" s="28" t="s">
        <v>273</v>
      </c>
      <c r="AY34" s="28" t="s">
        <v>83</v>
      </c>
      <c r="AZ34" s="28">
        <v>1</v>
      </c>
      <c r="BA34" s="28"/>
      <c r="BB34" s="28" t="s">
        <v>274</v>
      </c>
      <c r="BC34" s="28" t="s">
        <v>969</v>
      </c>
      <c r="BD34" s="28" t="s">
        <v>274</v>
      </c>
      <c r="BE34" s="28" t="s">
        <v>274</v>
      </c>
      <c r="BF34" s="28" t="s">
        <v>970</v>
      </c>
      <c r="BG34" s="28" t="s">
        <v>971</v>
      </c>
      <c r="BH34" s="28" t="s">
        <v>242</v>
      </c>
      <c r="BI34" s="28" t="s">
        <v>349</v>
      </c>
      <c r="BJ34" s="28" t="s">
        <v>972</v>
      </c>
      <c r="BK34" s="28" t="s">
        <v>212</v>
      </c>
      <c r="BL34" s="28" t="s">
        <v>973</v>
      </c>
      <c r="BM34" s="32">
        <v>0</v>
      </c>
    </row>
    <row r="35" spans="1:65" s="1" customFormat="1" x14ac:dyDescent="0.2">
      <c r="A35" s="25">
        <v>174</v>
      </c>
      <c r="B35" s="26">
        <v>146</v>
      </c>
      <c r="C35" s="27" t="s">
        <v>503</v>
      </c>
      <c r="D35" s="28" t="s">
        <v>974</v>
      </c>
      <c r="E35" s="28" t="s">
        <v>252</v>
      </c>
      <c r="F35" s="28" t="s">
        <v>339</v>
      </c>
      <c r="G35" s="28">
        <v>2026</v>
      </c>
      <c r="H35" s="20" t="str">
        <f>VLOOKUP(U35,'[1]KODE TYPE standar'!$D:$U,17,0)</f>
        <v>AVANZA</v>
      </c>
      <c r="I35" s="20" t="str">
        <f>VLOOKUP(U35,'[1]KODE TYPE standar'!$D:$U,16,0)</f>
        <v>AVANZA</v>
      </c>
      <c r="J35" s="20" t="str">
        <f>VLOOKUP(U35,'[1]KODE TYPE standar'!$D:$U,18,0)</f>
        <v>AVANZA G M/T</v>
      </c>
      <c r="K35" s="27" t="s">
        <v>119</v>
      </c>
      <c r="L35" s="28" t="s">
        <v>110</v>
      </c>
      <c r="M35" s="28" t="s">
        <v>262</v>
      </c>
      <c r="N35" s="28" t="s">
        <v>140</v>
      </c>
      <c r="O35" s="28" t="s">
        <v>156</v>
      </c>
      <c r="P35" s="29" t="s">
        <v>151</v>
      </c>
      <c r="Q35" s="29" t="s">
        <v>161</v>
      </c>
      <c r="R35" s="29" t="s">
        <v>145</v>
      </c>
      <c r="S35" s="27" t="s">
        <v>978</v>
      </c>
      <c r="T35" s="30" t="s">
        <v>541</v>
      </c>
      <c r="U35" s="27" t="s">
        <v>59</v>
      </c>
      <c r="V35" s="27" t="s">
        <v>60</v>
      </c>
      <c r="W35" s="27" t="s">
        <v>61</v>
      </c>
      <c r="X35" s="27" t="s">
        <v>975</v>
      </c>
      <c r="Y35" s="27" t="s">
        <v>976</v>
      </c>
      <c r="Z35" s="27" t="s">
        <v>977</v>
      </c>
      <c r="AA35" s="27" t="s">
        <v>978</v>
      </c>
      <c r="AB35" s="30" t="s">
        <v>541</v>
      </c>
      <c r="AC35" s="30" t="s">
        <v>979</v>
      </c>
      <c r="AD35" s="28" t="s">
        <v>980</v>
      </c>
      <c r="AE35" s="28" t="s">
        <v>110</v>
      </c>
      <c r="AF35" s="28" t="s">
        <v>980</v>
      </c>
      <c r="AG35" s="28" t="s">
        <v>981</v>
      </c>
      <c r="AH35" s="28" t="s">
        <v>982</v>
      </c>
      <c r="AI35" s="28" t="s">
        <v>140</v>
      </c>
      <c r="AJ35" s="28" t="s">
        <v>262</v>
      </c>
      <c r="AK35" s="28" t="s">
        <v>89</v>
      </c>
      <c r="AL35" s="28" t="s">
        <v>983</v>
      </c>
      <c r="AM35" s="31">
        <v>269700000</v>
      </c>
      <c r="AN35" s="31">
        <v>207935268</v>
      </c>
      <c r="AO35" s="31">
        <v>36812500</v>
      </c>
      <c r="AP35" s="31">
        <v>23237946</v>
      </c>
      <c r="AQ35" s="31">
        <v>0</v>
      </c>
      <c r="AR35" s="31">
        <v>0</v>
      </c>
      <c r="AS35" s="31">
        <v>14285714</v>
      </c>
      <c r="AT35" s="31">
        <v>253700000</v>
      </c>
      <c r="AU35" s="31">
        <v>0</v>
      </c>
      <c r="AV35" s="31">
        <v>-16000000</v>
      </c>
      <c r="AW35" s="28" t="s">
        <v>246</v>
      </c>
      <c r="AX35" s="28" t="s">
        <v>246</v>
      </c>
      <c r="AY35" s="28" t="s">
        <v>83</v>
      </c>
      <c r="AZ35" s="28">
        <v>1</v>
      </c>
      <c r="BA35" s="28" t="s">
        <v>163</v>
      </c>
      <c r="BB35" s="28" t="s">
        <v>228</v>
      </c>
      <c r="BC35" s="28" t="s">
        <v>984</v>
      </c>
      <c r="BD35" s="28" t="s">
        <v>237</v>
      </c>
      <c r="BE35" s="28" t="s">
        <v>237</v>
      </c>
      <c r="BF35" s="28" t="s">
        <v>985</v>
      </c>
      <c r="BG35" s="28" t="s">
        <v>986</v>
      </c>
      <c r="BH35" s="28" t="s">
        <v>252</v>
      </c>
      <c r="BI35" s="28" t="s">
        <v>350</v>
      </c>
      <c r="BJ35" s="28" t="s">
        <v>987</v>
      </c>
      <c r="BK35" s="28" t="s">
        <v>274</v>
      </c>
      <c r="BL35" s="28" t="s">
        <v>988</v>
      </c>
      <c r="BM35" s="32">
        <v>0</v>
      </c>
    </row>
    <row r="36" spans="1:65" s="1" customFormat="1" x14ac:dyDescent="0.2">
      <c r="A36" s="33">
        <v>205</v>
      </c>
      <c r="B36" s="26">
        <v>146</v>
      </c>
      <c r="C36" s="27" t="s">
        <v>503</v>
      </c>
      <c r="D36" s="27" t="s">
        <v>989</v>
      </c>
      <c r="E36" s="27" t="s">
        <v>182</v>
      </c>
      <c r="F36" s="27" t="s">
        <v>111</v>
      </c>
      <c r="G36" s="28">
        <v>2026</v>
      </c>
      <c r="H36" s="20" t="str">
        <f>VLOOKUP(U36,'[1]KODE TYPE standar'!$D:$U,17,0)</f>
        <v>HIACE</v>
      </c>
      <c r="I36" s="20" t="str">
        <f>VLOOKUP(U36,'[1]KODE TYPE standar'!$D:$U,16,0)</f>
        <v>HIACE</v>
      </c>
      <c r="J36" s="20" t="str">
        <f>VLOOKUP(U36,'[1]KODE TYPE standar'!$D:$U,18,0)</f>
        <v>HIACE COMM</v>
      </c>
      <c r="K36" s="27" t="s">
        <v>119</v>
      </c>
      <c r="L36" s="27" t="s">
        <v>110</v>
      </c>
      <c r="M36" s="27" t="s">
        <v>262</v>
      </c>
      <c r="N36" s="27" t="s">
        <v>141</v>
      </c>
      <c r="O36" s="28" t="s">
        <v>156</v>
      </c>
      <c r="P36" s="29" t="s">
        <v>536</v>
      </c>
      <c r="Q36" s="29" t="s">
        <v>161</v>
      </c>
      <c r="R36" s="29" t="s">
        <v>145</v>
      </c>
      <c r="S36" s="27" t="s">
        <v>937</v>
      </c>
      <c r="T36" s="27" t="s">
        <v>541</v>
      </c>
      <c r="U36" s="27" t="s">
        <v>334</v>
      </c>
      <c r="V36" s="27" t="s">
        <v>99</v>
      </c>
      <c r="W36" s="27" t="s">
        <v>61</v>
      </c>
      <c r="X36" s="27" t="s">
        <v>990</v>
      </c>
      <c r="Y36" s="27" t="s">
        <v>991</v>
      </c>
      <c r="Z36" s="27" t="s">
        <v>936</v>
      </c>
      <c r="AA36" s="27" t="s">
        <v>937</v>
      </c>
      <c r="AB36" s="27" t="s">
        <v>541</v>
      </c>
      <c r="AC36" s="27" t="s">
        <v>992</v>
      </c>
      <c r="AD36" s="27" t="s">
        <v>993</v>
      </c>
      <c r="AE36" s="27" t="s">
        <v>110</v>
      </c>
      <c r="AF36" s="27" t="s">
        <v>994</v>
      </c>
      <c r="AG36" s="27" t="s">
        <v>995</v>
      </c>
      <c r="AH36" s="27" t="s">
        <v>996</v>
      </c>
      <c r="AI36" s="27" t="s">
        <v>141</v>
      </c>
      <c r="AJ36" s="27" t="s">
        <v>262</v>
      </c>
      <c r="AK36" s="27" t="s">
        <v>89</v>
      </c>
      <c r="AL36" s="27" t="s">
        <v>997</v>
      </c>
      <c r="AM36" s="34">
        <v>578100000</v>
      </c>
      <c r="AN36" s="34">
        <v>451520270</v>
      </c>
      <c r="AO36" s="34">
        <v>76912500</v>
      </c>
      <c r="AP36" s="34">
        <v>45728040</v>
      </c>
      <c r="AQ36" s="34">
        <v>0</v>
      </c>
      <c r="AR36" s="34">
        <v>0</v>
      </c>
      <c r="AS36" s="34">
        <v>35810811</v>
      </c>
      <c r="AT36" s="34">
        <v>538350000</v>
      </c>
      <c r="AU36" s="34">
        <v>0</v>
      </c>
      <c r="AV36" s="34">
        <v>-39750000</v>
      </c>
      <c r="AW36" s="27" t="s">
        <v>183</v>
      </c>
      <c r="AX36" s="27" t="s">
        <v>183</v>
      </c>
      <c r="AY36" s="27" t="s">
        <v>83</v>
      </c>
      <c r="AZ36" s="27">
        <v>1</v>
      </c>
      <c r="BA36" s="27"/>
      <c r="BB36" s="27" t="s">
        <v>203</v>
      </c>
      <c r="BC36" s="27" t="s">
        <v>998</v>
      </c>
      <c r="BD36" s="27" t="s">
        <v>212</v>
      </c>
      <c r="BE36" s="27" t="s">
        <v>212</v>
      </c>
      <c r="BF36" s="27" t="s">
        <v>999</v>
      </c>
      <c r="BG36" s="27" t="s">
        <v>1000</v>
      </c>
      <c r="BH36" s="27" t="s">
        <v>182</v>
      </c>
      <c r="BI36" s="27" t="s">
        <v>229</v>
      </c>
      <c r="BJ36" s="27" t="s">
        <v>1001</v>
      </c>
      <c r="BK36" s="27" t="s">
        <v>187</v>
      </c>
      <c r="BL36" s="27" t="s">
        <v>1002</v>
      </c>
      <c r="BM36" s="35">
        <v>0</v>
      </c>
    </row>
    <row r="37" spans="1:65" s="1" customFormat="1" x14ac:dyDescent="0.2">
      <c r="A37" s="33">
        <v>204</v>
      </c>
      <c r="B37" s="26">
        <v>146</v>
      </c>
      <c r="C37" s="27" t="s">
        <v>503</v>
      </c>
      <c r="D37" s="27" t="s">
        <v>1003</v>
      </c>
      <c r="E37" s="27" t="s">
        <v>238</v>
      </c>
      <c r="F37" s="27" t="s">
        <v>258</v>
      </c>
      <c r="G37" s="28">
        <v>2026</v>
      </c>
      <c r="H37" s="20" t="str">
        <f>VLOOKUP(U37,'[1]KODE TYPE standar'!$D:$U,17,0)</f>
        <v>INV ZENIX HYBRID</v>
      </c>
      <c r="I37" s="20" t="str">
        <f>VLOOKUP(U37,'[1]KODE TYPE standar'!$D:$U,16,0)</f>
        <v>INNOVA</v>
      </c>
      <c r="J37" s="20" t="str">
        <f>VLOOKUP(U37,'[1]KODE TYPE standar'!$D:$U,18,0)</f>
        <v>INNOVA ZENIX Q A/T HYBRID</v>
      </c>
      <c r="K37" s="27" t="s">
        <v>119</v>
      </c>
      <c r="L37" s="27" t="s">
        <v>110</v>
      </c>
      <c r="M37" s="27" t="s">
        <v>262</v>
      </c>
      <c r="N37" s="27" t="s">
        <v>139</v>
      </c>
      <c r="O37" s="28" t="s">
        <v>156</v>
      </c>
      <c r="P37" s="29" t="s">
        <v>149</v>
      </c>
      <c r="Q37" s="29" t="s">
        <v>161</v>
      </c>
      <c r="R37" s="29" t="s">
        <v>145</v>
      </c>
      <c r="S37" s="27" t="s">
        <v>709</v>
      </c>
      <c r="T37" s="27" t="s">
        <v>585</v>
      </c>
      <c r="U37" s="27" t="s">
        <v>174</v>
      </c>
      <c r="V37" s="27" t="s">
        <v>48</v>
      </c>
      <c r="W37" s="27" t="s">
        <v>49</v>
      </c>
      <c r="X37" s="27" t="s">
        <v>1004</v>
      </c>
      <c r="Y37" s="27" t="s">
        <v>1005</v>
      </c>
      <c r="Z37" s="27" t="s">
        <v>708</v>
      </c>
      <c r="AA37" s="27" t="s">
        <v>709</v>
      </c>
      <c r="AB37" s="27" t="s">
        <v>585</v>
      </c>
      <c r="AC37" s="27" t="s">
        <v>1006</v>
      </c>
      <c r="AD37" s="27" t="s">
        <v>1007</v>
      </c>
      <c r="AE37" s="27" t="s">
        <v>110</v>
      </c>
      <c r="AF37" s="27" t="s">
        <v>1008</v>
      </c>
      <c r="AG37" s="27" t="s">
        <v>1009</v>
      </c>
      <c r="AH37" s="27" t="s">
        <v>913</v>
      </c>
      <c r="AI37" s="27" t="s">
        <v>139</v>
      </c>
      <c r="AJ37" s="27" t="s">
        <v>262</v>
      </c>
      <c r="AK37" s="27" t="s">
        <v>89</v>
      </c>
      <c r="AL37" s="27"/>
      <c r="AM37" s="34">
        <v>627100000</v>
      </c>
      <c r="AN37" s="34">
        <v>487377232</v>
      </c>
      <c r="AO37" s="34">
        <v>81237500</v>
      </c>
      <c r="AP37" s="34">
        <v>56235267</v>
      </c>
      <c r="AQ37" s="34">
        <v>0</v>
      </c>
      <c r="AR37" s="34">
        <v>0</v>
      </c>
      <c r="AS37" s="34">
        <v>18750000</v>
      </c>
      <c r="AT37" s="34">
        <v>606100000</v>
      </c>
      <c r="AU37" s="34">
        <v>245297750</v>
      </c>
      <c r="AV37" s="34">
        <v>-21000000</v>
      </c>
      <c r="AW37" s="27"/>
      <c r="AX37" s="27"/>
      <c r="AY37" s="27" t="s">
        <v>83</v>
      </c>
      <c r="AZ37" s="27">
        <v>1</v>
      </c>
      <c r="BA37" s="27" t="s">
        <v>163</v>
      </c>
      <c r="BB37" s="27" t="s">
        <v>224</v>
      </c>
      <c r="BC37" s="27" t="s">
        <v>1010</v>
      </c>
      <c r="BD37" s="27" t="s">
        <v>222</v>
      </c>
      <c r="BE37" s="27" t="s">
        <v>222</v>
      </c>
      <c r="BF37" s="27" t="s">
        <v>1011</v>
      </c>
      <c r="BG37" s="27" t="s">
        <v>1012</v>
      </c>
      <c r="BH37" s="27"/>
      <c r="BI37" s="27" t="s">
        <v>248</v>
      </c>
      <c r="BJ37" s="27" t="s">
        <v>1013</v>
      </c>
      <c r="BK37" s="27" t="s">
        <v>219</v>
      </c>
      <c r="BL37" s="27" t="s">
        <v>1014</v>
      </c>
      <c r="BM37" s="35">
        <v>0</v>
      </c>
    </row>
    <row r="38" spans="1:65" s="1" customFormat="1" x14ac:dyDescent="0.2">
      <c r="A38" s="33">
        <v>211</v>
      </c>
      <c r="B38" s="26">
        <v>146</v>
      </c>
      <c r="C38" s="27" t="s">
        <v>503</v>
      </c>
      <c r="D38" s="27" t="s">
        <v>1015</v>
      </c>
      <c r="E38" s="27" t="s">
        <v>238</v>
      </c>
      <c r="F38" s="27" t="s">
        <v>258</v>
      </c>
      <c r="G38" s="28">
        <v>2026</v>
      </c>
      <c r="H38" s="20" t="str">
        <f>VLOOKUP(U38,'[1]KODE TYPE standar'!$D:$U,17,0)</f>
        <v>INV REBORN</v>
      </c>
      <c r="I38" s="20" t="str">
        <f>VLOOKUP(U38,'[1]KODE TYPE standar'!$D:$U,16,0)</f>
        <v>INNOVA</v>
      </c>
      <c r="J38" s="20" t="str">
        <f>VLOOKUP(U38,'[1]KODE TYPE standar'!$D:$U,18,0)</f>
        <v>INNOVA G A/T DIESEL</v>
      </c>
      <c r="K38" s="27" t="s">
        <v>101</v>
      </c>
      <c r="L38" s="27" t="s">
        <v>110</v>
      </c>
      <c r="M38" s="27" t="s">
        <v>262</v>
      </c>
      <c r="N38" s="27" t="s">
        <v>141</v>
      </c>
      <c r="O38" s="28" t="s">
        <v>156</v>
      </c>
      <c r="P38" s="29" t="s">
        <v>319</v>
      </c>
      <c r="Q38" s="29" t="s">
        <v>162</v>
      </c>
      <c r="R38" s="29" t="s">
        <v>1016</v>
      </c>
      <c r="S38" s="27" t="s">
        <v>877</v>
      </c>
      <c r="T38" s="27" t="s">
        <v>585</v>
      </c>
      <c r="U38" s="27" t="s">
        <v>192</v>
      </c>
      <c r="V38" s="27" t="s">
        <v>283</v>
      </c>
      <c r="W38" s="27" t="s">
        <v>284</v>
      </c>
      <c r="X38" s="27" t="s">
        <v>1017</v>
      </c>
      <c r="Y38" s="27" t="s">
        <v>1018</v>
      </c>
      <c r="Z38" s="27" t="s">
        <v>876</v>
      </c>
      <c r="AA38" s="27" t="s">
        <v>877</v>
      </c>
      <c r="AB38" s="27" t="s">
        <v>585</v>
      </c>
      <c r="AC38" s="27" t="s">
        <v>1019</v>
      </c>
      <c r="AD38" s="27" t="s">
        <v>1020</v>
      </c>
      <c r="AE38" s="27" t="s">
        <v>110</v>
      </c>
      <c r="AF38" s="27" t="s">
        <v>1020</v>
      </c>
      <c r="AG38" s="27" t="s">
        <v>1021</v>
      </c>
      <c r="AH38" s="27" t="s">
        <v>1022</v>
      </c>
      <c r="AI38" s="27" t="s">
        <v>141</v>
      </c>
      <c r="AJ38" s="27" t="s">
        <v>262</v>
      </c>
      <c r="AK38" s="27" t="s">
        <v>103</v>
      </c>
      <c r="AL38" s="27"/>
      <c r="AM38" s="34">
        <v>442100000</v>
      </c>
      <c r="AN38" s="34">
        <v>342845982</v>
      </c>
      <c r="AO38" s="34">
        <v>58112500</v>
      </c>
      <c r="AP38" s="34">
        <v>38998660</v>
      </c>
      <c r="AQ38" s="34">
        <v>0</v>
      </c>
      <c r="AR38" s="34">
        <v>0</v>
      </c>
      <c r="AS38" s="34">
        <v>17857143</v>
      </c>
      <c r="AT38" s="34">
        <v>422100000</v>
      </c>
      <c r="AU38" s="34">
        <v>7962010</v>
      </c>
      <c r="AV38" s="34">
        <v>-20000000</v>
      </c>
      <c r="AW38" s="27"/>
      <c r="AX38" s="27"/>
      <c r="AY38" s="27" t="s">
        <v>83</v>
      </c>
      <c r="AZ38" s="27">
        <v>1</v>
      </c>
      <c r="BA38" s="27"/>
      <c r="BB38" s="27" t="s">
        <v>219</v>
      </c>
      <c r="BC38" s="27" t="s">
        <v>1023</v>
      </c>
      <c r="BD38" s="27" t="s">
        <v>278</v>
      </c>
      <c r="BE38" s="27" t="s">
        <v>278</v>
      </c>
      <c r="BF38" s="27" t="s">
        <v>1024</v>
      </c>
      <c r="BG38" s="27" t="s">
        <v>1025</v>
      </c>
      <c r="BH38" s="27"/>
      <c r="BI38" s="27" t="s">
        <v>248</v>
      </c>
      <c r="BJ38" s="27" t="s">
        <v>1026</v>
      </c>
      <c r="BK38" s="27" t="s">
        <v>199</v>
      </c>
      <c r="BL38" s="27" t="s">
        <v>1027</v>
      </c>
      <c r="BM38" s="35">
        <v>0</v>
      </c>
    </row>
    <row r="39" spans="1:65" s="1" customFormat="1" x14ac:dyDescent="0.2">
      <c r="A39" s="33">
        <v>262</v>
      </c>
      <c r="B39" s="26">
        <v>146</v>
      </c>
      <c r="C39" s="27" t="s">
        <v>503</v>
      </c>
      <c r="D39" s="27" t="s">
        <v>1028</v>
      </c>
      <c r="E39" s="27" t="s">
        <v>238</v>
      </c>
      <c r="F39" s="27" t="s">
        <v>258</v>
      </c>
      <c r="G39" s="28">
        <v>2026</v>
      </c>
      <c r="H39" s="20" t="str">
        <f>VLOOKUP(U39,'[1]KODE TYPE standar'!$D:$U,17,0)</f>
        <v>HIACE</v>
      </c>
      <c r="I39" s="20" t="str">
        <f>VLOOKUP(U39,'[1]KODE TYPE standar'!$D:$U,16,0)</f>
        <v>HIACE</v>
      </c>
      <c r="J39" s="20" t="str">
        <f>VLOOKUP(U39,'[1]KODE TYPE standar'!$D:$U,18,0)</f>
        <v>HIACE COMM</v>
      </c>
      <c r="K39" s="27" t="s">
        <v>119</v>
      </c>
      <c r="L39" s="27" t="s">
        <v>110</v>
      </c>
      <c r="M39" s="27" t="s">
        <v>262</v>
      </c>
      <c r="N39" s="27" t="s">
        <v>140</v>
      </c>
      <c r="O39" s="28" t="s">
        <v>156</v>
      </c>
      <c r="P39" s="29" t="s">
        <v>149</v>
      </c>
      <c r="Q39" s="29" t="s">
        <v>161</v>
      </c>
      <c r="R39" s="29" t="s">
        <v>597</v>
      </c>
      <c r="S39" s="27" t="s">
        <v>601</v>
      </c>
      <c r="T39" s="27" t="s">
        <v>509</v>
      </c>
      <c r="U39" s="27" t="s">
        <v>334</v>
      </c>
      <c r="V39" s="27" t="s">
        <v>99</v>
      </c>
      <c r="W39" s="27" t="s">
        <v>61</v>
      </c>
      <c r="X39" s="27" t="s">
        <v>1029</v>
      </c>
      <c r="Y39" s="27" t="s">
        <v>1030</v>
      </c>
      <c r="Z39" s="27" t="s">
        <v>600</v>
      </c>
      <c r="AA39" s="27" t="s">
        <v>601</v>
      </c>
      <c r="AB39" s="27" t="s">
        <v>509</v>
      </c>
      <c r="AC39" s="27" t="s">
        <v>1031</v>
      </c>
      <c r="AD39" s="27" t="s">
        <v>1032</v>
      </c>
      <c r="AE39" s="27" t="s">
        <v>110</v>
      </c>
      <c r="AF39" s="27" t="s">
        <v>1033</v>
      </c>
      <c r="AG39" s="27" t="s">
        <v>1034</v>
      </c>
      <c r="AH39" s="27" t="s">
        <v>1035</v>
      </c>
      <c r="AI39" s="27" t="s">
        <v>140</v>
      </c>
      <c r="AJ39" s="27" t="s">
        <v>262</v>
      </c>
      <c r="AK39" s="27" t="s">
        <v>89</v>
      </c>
      <c r="AL39" s="27"/>
      <c r="AM39" s="34">
        <v>578100000</v>
      </c>
      <c r="AN39" s="34">
        <v>451520270</v>
      </c>
      <c r="AO39" s="34">
        <v>76912500</v>
      </c>
      <c r="AP39" s="34">
        <v>45703265</v>
      </c>
      <c r="AQ39" s="34">
        <v>0</v>
      </c>
      <c r="AR39" s="34">
        <v>0</v>
      </c>
      <c r="AS39" s="34">
        <v>36036036</v>
      </c>
      <c r="AT39" s="34">
        <v>538100000</v>
      </c>
      <c r="AU39" s="34">
        <v>0</v>
      </c>
      <c r="AV39" s="34">
        <v>-40000000</v>
      </c>
      <c r="AW39" s="27"/>
      <c r="AX39" s="27"/>
      <c r="AY39" s="27" t="s">
        <v>83</v>
      </c>
      <c r="AZ39" s="27">
        <v>1</v>
      </c>
      <c r="BA39" s="27" t="s">
        <v>163</v>
      </c>
      <c r="BB39" s="27" t="s">
        <v>228</v>
      </c>
      <c r="BC39" s="27" t="s">
        <v>1036</v>
      </c>
      <c r="BD39" s="27" t="s">
        <v>237</v>
      </c>
      <c r="BE39" s="27" t="s">
        <v>237</v>
      </c>
      <c r="BF39" s="27" t="s">
        <v>1037</v>
      </c>
      <c r="BG39" s="27" t="s">
        <v>1038</v>
      </c>
      <c r="BH39" s="27"/>
      <c r="BI39" s="27" t="s">
        <v>248</v>
      </c>
      <c r="BJ39" s="27" t="s">
        <v>1039</v>
      </c>
      <c r="BK39" s="27" t="s">
        <v>216</v>
      </c>
      <c r="BL39" s="27" t="s">
        <v>1040</v>
      </c>
      <c r="BM39" s="35">
        <v>0</v>
      </c>
    </row>
    <row r="40" spans="1:65" s="1" customFormat="1" x14ac:dyDescent="0.2">
      <c r="A40" s="33">
        <v>268</v>
      </c>
      <c r="B40" s="26">
        <v>146</v>
      </c>
      <c r="C40" s="27" t="s">
        <v>503</v>
      </c>
      <c r="D40" s="27" t="s">
        <v>1041</v>
      </c>
      <c r="E40" s="27" t="s">
        <v>221</v>
      </c>
      <c r="F40" s="27" t="s">
        <v>258</v>
      </c>
      <c r="G40" s="28">
        <v>2026</v>
      </c>
      <c r="H40" s="20" t="str">
        <f>VLOOKUP(U40,'[1]KODE TYPE standar'!$D:$U,17,0)</f>
        <v>AVANZA</v>
      </c>
      <c r="I40" s="20" t="str">
        <f>VLOOKUP(U40,'[1]KODE TYPE standar'!$D:$U,16,0)</f>
        <v>AVANZA</v>
      </c>
      <c r="J40" s="20" t="str">
        <f>VLOOKUP(U40,'[1]KODE TYPE standar'!$D:$U,18,0)</f>
        <v>AVANZA E A/T</v>
      </c>
      <c r="K40" s="27" t="s">
        <v>119</v>
      </c>
      <c r="L40" s="27" t="s">
        <v>109</v>
      </c>
      <c r="M40" s="27" t="s">
        <v>262</v>
      </c>
      <c r="N40" s="27" t="s">
        <v>141</v>
      </c>
      <c r="O40" s="28" t="s">
        <v>156</v>
      </c>
      <c r="P40" s="29" t="s">
        <v>149</v>
      </c>
      <c r="Q40" s="29" t="s">
        <v>162</v>
      </c>
      <c r="R40" s="29" t="s">
        <v>109</v>
      </c>
      <c r="S40" s="27" t="s">
        <v>631</v>
      </c>
      <c r="T40" s="27" t="s">
        <v>541</v>
      </c>
      <c r="U40" s="27" t="s">
        <v>84</v>
      </c>
      <c r="V40" s="27" t="s">
        <v>64</v>
      </c>
      <c r="W40" s="27" t="s">
        <v>65</v>
      </c>
      <c r="X40" s="27" t="s">
        <v>1042</v>
      </c>
      <c r="Y40" s="27" t="s">
        <v>1043</v>
      </c>
      <c r="Z40" s="27" t="s">
        <v>630</v>
      </c>
      <c r="AA40" s="27" t="s">
        <v>631</v>
      </c>
      <c r="AB40" s="27" t="s">
        <v>541</v>
      </c>
      <c r="AC40" s="27" t="s">
        <v>1044</v>
      </c>
      <c r="AD40" s="27" t="s">
        <v>1045</v>
      </c>
      <c r="AE40" s="27" t="s">
        <v>109</v>
      </c>
      <c r="AF40" s="27" t="s">
        <v>1046</v>
      </c>
      <c r="AG40" s="27" t="s">
        <v>1047</v>
      </c>
      <c r="AH40" s="27" t="s">
        <v>688</v>
      </c>
      <c r="AI40" s="27" t="s">
        <v>141</v>
      </c>
      <c r="AJ40" s="27" t="s">
        <v>262</v>
      </c>
      <c r="AK40" s="27" t="s">
        <v>89</v>
      </c>
      <c r="AL40" s="27" t="s">
        <v>1048</v>
      </c>
      <c r="AM40" s="34">
        <v>261700000</v>
      </c>
      <c r="AN40" s="34">
        <v>201908482</v>
      </c>
      <c r="AO40" s="34">
        <v>35562500</v>
      </c>
      <c r="AP40" s="34">
        <v>22086160</v>
      </c>
      <c r="AQ40" s="34">
        <v>0</v>
      </c>
      <c r="AR40" s="34">
        <v>0</v>
      </c>
      <c r="AS40" s="34">
        <v>17857143</v>
      </c>
      <c r="AT40" s="34">
        <v>241700000</v>
      </c>
      <c r="AU40" s="34">
        <v>0</v>
      </c>
      <c r="AV40" s="34">
        <v>-20000000</v>
      </c>
      <c r="AW40" s="27" t="s">
        <v>235</v>
      </c>
      <c r="AX40" s="27" t="s">
        <v>235</v>
      </c>
      <c r="AY40" s="27" t="s">
        <v>83</v>
      </c>
      <c r="AZ40" s="27">
        <v>1</v>
      </c>
      <c r="BA40" s="27"/>
      <c r="BB40" s="27" t="s">
        <v>213</v>
      </c>
      <c r="BC40" s="27" t="s">
        <v>1049</v>
      </c>
      <c r="BD40" s="27" t="s">
        <v>213</v>
      </c>
      <c r="BE40" s="27" t="s">
        <v>213</v>
      </c>
      <c r="BF40" s="27" t="s">
        <v>1050</v>
      </c>
      <c r="BG40" s="27" t="s">
        <v>1051</v>
      </c>
      <c r="BH40" s="27" t="s">
        <v>221</v>
      </c>
      <c r="BI40" s="27" t="s">
        <v>246</v>
      </c>
      <c r="BJ40" s="27" t="s">
        <v>1052</v>
      </c>
      <c r="BK40" s="27" t="s">
        <v>216</v>
      </c>
      <c r="BL40" s="27" t="s">
        <v>1053</v>
      </c>
      <c r="BM40" s="35">
        <v>0</v>
      </c>
    </row>
    <row r="41" spans="1:65" s="1" customFormat="1" x14ac:dyDescent="0.2">
      <c r="A41" s="33">
        <v>229</v>
      </c>
      <c r="B41" s="26">
        <v>146</v>
      </c>
      <c r="C41" s="27" t="s">
        <v>503</v>
      </c>
      <c r="D41" s="27" t="s">
        <v>1054</v>
      </c>
      <c r="E41" s="27" t="s">
        <v>213</v>
      </c>
      <c r="F41" s="27" t="s">
        <v>111</v>
      </c>
      <c r="G41" s="28">
        <v>2026</v>
      </c>
      <c r="H41" s="20" t="str">
        <f>VLOOKUP(U41,'[1]KODE TYPE standar'!$D:$U,17,0)</f>
        <v>INV REBORN</v>
      </c>
      <c r="I41" s="20" t="str">
        <f>VLOOKUP(U41,'[1]KODE TYPE standar'!$D:$U,16,0)</f>
        <v>INNOVA</v>
      </c>
      <c r="J41" s="20" t="str">
        <f>VLOOKUP(U41,'[1]KODE TYPE standar'!$D:$U,18,0)</f>
        <v>INNOVA G A/T DIESEL</v>
      </c>
      <c r="K41" s="27" t="s">
        <v>119</v>
      </c>
      <c r="L41" s="27" t="s">
        <v>109</v>
      </c>
      <c r="M41" s="27" t="s">
        <v>262</v>
      </c>
      <c r="N41" s="27" t="s">
        <v>141</v>
      </c>
      <c r="O41" s="28" t="s">
        <v>156</v>
      </c>
      <c r="P41" s="29" t="s">
        <v>149</v>
      </c>
      <c r="Q41" s="29" t="s">
        <v>147</v>
      </c>
      <c r="R41" s="29" t="s">
        <v>109</v>
      </c>
      <c r="S41" s="27" t="s">
        <v>631</v>
      </c>
      <c r="T41" s="27" t="s">
        <v>541</v>
      </c>
      <c r="U41" s="27" t="s">
        <v>192</v>
      </c>
      <c r="V41" s="27" t="s">
        <v>48</v>
      </c>
      <c r="W41" s="27" t="s">
        <v>49</v>
      </c>
      <c r="X41" s="27" t="s">
        <v>1055</v>
      </c>
      <c r="Y41" s="27" t="s">
        <v>1056</v>
      </c>
      <c r="Z41" s="27" t="s">
        <v>630</v>
      </c>
      <c r="AA41" s="27" t="s">
        <v>631</v>
      </c>
      <c r="AB41" s="27" t="s">
        <v>541</v>
      </c>
      <c r="AC41" s="27" t="s">
        <v>1057</v>
      </c>
      <c r="AD41" s="27" t="s">
        <v>1045</v>
      </c>
      <c r="AE41" s="27" t="s">
        <v>109</v>
      </c>
      <c r="AF41" s="27" t="s">
        <v>1045</v>
      </c>
      <c r="AG41" s="27" t="s">
        <v>1058</v>
      </c>
      <c r="AH41" s="27" t="s">
        <v>688</v>
      </c>
      <c r="AI41" s="27" t="s">
        <v>141</v>
      </c>
      <c r="AJ41" s="27" t="s">
        <v>262</v>
      </c>
      <c r="AK41" s="27" t="s">
        <v>89</v>
      </c>
      <c r="AL41" s="27"/>
      <c r="AM41" s="34">
        <v>442100000</v>
      </c>
      <c r="AN41" s="34">
        <v>342845982</v>
      </c>
      <c r="AO41" s="34">
        <v>58112500</v>
      </c>
      <c r="AP41" s="34">
        <v>38462946</v>
      </c>
      <c r="AQ41" s="34">
        <v>0</v>
      </c>
      <c r="AR41" s="34">
        <v>0</v>
      </c>
      <c r="AS41" s="34">
        <v>22321429</v>
      </c>
      <c r="AT41" s="34">
        <v>417100000</v>
      </c>
      <c r="AU41" s="34">
        <v>0</v>
      </c>
      <c r="AV41" s="34">
        <v>-25000000</v>
      </c>
      <c r="AW41" s="27"/>
      <c r="AX41" s="27"/>
      <c r="AY41" s="27" t="s">
        <v>83</v>
      </c>
      <c r="AZ41" s="27">
        <v>1</v>
      </c>
      <c r="BA41" s="27" t="s">
        <v>1059</v>
      </c>
      <c r="BB41" s="27" t="s">
        <v>213</v>
      </c>
      <c r="BC41" s="27" t="s">
        <v>1060</v>
      </c>
      <c r="BD41" s="27" t="s">
        <v>197</v>
      </c>
      <c r="BE41" s="27" t="s">
        <v>197</v>
      </c>
      <c r="BF41" s="27" t="s">
        <v>1061</v>
      </c>
      <c r="BG41" s="27" t="s">
        <v>1062</v>
      </c>
      <c r="BH41" s="27"/>
      <c r="BI41" s="27" t="s">
        <v>232</v>
      </c>
      <c r="BJ41" s="27" t="s">
        <v>1063</v>
      </c>
      <c r="BK41" s="27" t="s">
        <v>216</v>
      </c>
      <c r="BL41" s="27" t="s">
        <v>1064</v>
      </c>
      <c r="BM41" s="35">
        <v>0</v>
      </c>
    </row>
    <row r="42" spans="1:65" s="1" customFormat="1" x14ac:dyDescent="0.2">
      <c r="A42" s="33">
        <v>269</v>
      </c>
      <c r="B42" s="26">
        <v>146</v>
      </c>
      <c r="C42" s="27" t="s">
        <v>503</v>
      </c>
      <c r="D42" s="27" t="s">
        <v>1065</v>
      </c>
      <c r="E42" s="27" t="s">
        <v>231</v>
      </c>
      <c r="F42" s="27" t="s">
        <v>258</v>
      </c>
      <c r="G42" s="28">
        <v>2026</v>
      </c>
      <c r="H42" s="20" t="str">
        <f>VLOOKUP(U42,'[1]KODE TYPE standar'!$D:$U,17,0)</f>
        <v>AVANZA</v>
      </c>
      <c r="I42" s="20" t="str">
        <f>VLOOKUP(U42,'[1]KODE TYPE standar'!$D:$U,16,0)</f>
        <v>AVANZA</v>
      </c>
      <c r="J42" s="20" t="str">
        <f>VLOOKUP(U42,'[1]KODE TYPE standar'!$D:$U,18,0)</f>
        <v>AVANZA G A/T</v>
      </c>
      <c r="K42" s="27" t="s">
        <v>121</v>
      </c>
      <c r="L42" s="27" t="s">
        <v>109</v>
      </c>
      <c r="M42" s="27" t="s">
        <v>262</v>
      </c>
      <c r="N42" s="27" t="s">
        <v>141</v>
      </c>
      <c r="O42" s="28" t="s">
        <v>156</v>
      </c>
      <c r="P42" s="29" t="s">
        <v>149</v>
      </c>
      <c r="Q42" s="29" t="s">
        <v>162</v>
      </c>
      <c r="R42" s="29" t="s">
        <v>109</v>
      </c>
      <c r="S42" s="27" t="s">
        <v>738</v>
      </c>
      <c r="T42" s="27" t="s">
        <v>585</v>
      </c>
      <c r="U42" s="27" t="s">
        <v>66</v>
      </c>
      <c r="V42" s="27" t="s">
        <v>64</v>
      </c>
      <c r="W42" s="27" t="s">
        <v>65</v>
      </c>
      <c r="X42" s="27" t="s">
        <v>1066</v>
      </c>
      <c r="Y42" s="27" t="s">
        <v>1067</v>
      </c>
      <c r="Z42" s="27" t="s">
        <v>737</v>
      </c>
      <c r="AA42" s="27" t="s">
        <v>738</v>
      </c>
      <c r="AB42" s="27" t="s">
        <v>585</v>
      </c>
      <c r="AC42" s="27" t="s">
        <v>1068</v>
      </c>
      <c r="AD42" s="27" t="s">
        <v>1069</v>
      </c>
      <c r="AE42" s="27" t="s">
        <v>109</v>
      </c>
      <c r="AF42" s="27" t="s">
        <v>1070</v>
      </c>
      <c r="AG42" s="27" t="s">
        <v>1071</v>
      </c>
      <c r="AH42" s="27" t="s">
        <v>620</v>
      </c>
      <c r="AI42" s="27" t="s">
        <v>141</v>
      </c>
      <c r="AJ42" s="27" t="s">
        <v>262</v>
      </c>
      <c r="AK42" s="27" t="s">
        <v>104</v>
      </c>
      <c r="AL42" s="27" t="s">
        <v>1072</v>
      </c>
      <c r="AM42" s="34">
        <v>284500000</v>
      </c>
      <c r="AN42" s="34">
        <v>219720982</v>
      </c>
      <c r="AO42" s="34">
        <v>38412500</v>
      </c>
      <c r="AP42" s="34">
        <v>24652232</v>
      </c>
      <c r="AQ42" s="34">
        <v>0</v>
      </c>
      <c r="AR42" s="34">
        <v>0</v>
      </c>
      <c r="AS42" s="34">
        <v>14285714</v>
      </c>
      <c r="AT42" s="34">
        <v>268500000</v>
      </c>
      <c r="AU42" s="34">
        <v>0</v>
      </c>
      <c r="AV42" s="34">
        <v>-16000000</v>
      </c>
      <c r="AW42" s="27" t="s">
        <v>222</v>
      </c>
      <c r="AX42" s="27" t="s">
        <v>222</v>
      </c>
      <c r="AY42" s="27" t="s">
        <v>83</v>
      </c>
      <c r="AZ42" s="27">
        <v>1</v>
      </c>
      <c r="BA42" s="27" t="s">
        <v>1073</v>
      </c>
      <c r="BB42" s="27" t="s">
        <v>235</v>
      </c>
      <c r="BC42" s="27" t="s">
        <v>1074</v>
      </c>
      <c r="BD42" s="27" t="s">
        <v>234</v>
      </c>
      <c r="BE42" s="27" t="s">
        <v>234</v>
      </c>
      <c r="BF42" s="27" t="s">
        <v>1075</v>
      </c>
      <c r="BG42" s="27" t="s">
        <v>1076</v>
      </c>
      <c r="BH42" s="27" t="s">
        <v>231</v>
      </c>
      <c r="BI42" s="27" t="s">
        <v>265</v>
      </c>
      <c r="BJ42" s="27" t="s">
        <v>1077</v>
      </c>
      <c r="BK42" s="27" t="s">
        <v>219</v>
      </c>
      <c r="BL42" s="27" t="s">
        <v>1078</v>
      </c>
      <c r="BM42" s="35">
        <v>0</v>
      </c>
    </row>
    <row r="43" spans="1:65" s="1" customFormat="1" x14ac:dyDescent="0.2">
      <c r="A43" s="33">
        <v>291</v>
      </c>
      <c r="B43" s="26">
        <v>146</v>
      </c>
      <c r="C43" s="36" t="s">
        <v>503</v>
      </c>
      <c r="D43" s="27" t="s">
        <v>1079</v>
      </c>
      <c r="E43" s="27" t="s">
        <v>366</v>
      </c>
      <c r="F43" s="27" t="s">
        <v>389</v>
      </c>
      <c r="G43" s="28">
        <v>2026</v>
      </c>
      <c r="H43" s="20" t="str">
        <f>VLOOKUP(U43,'[1]KODE TYPE standar'!$D:$U,17,0)</f>
        <v>YARIS</v>
      </c>
      <c r="I43" s="20" t="str">
        <f>VLOOKUP(U43,'[1]KODE TYPE standar'!$D:$U,16,0)</f>
        <v>YARIS</v>
      </c>
      <c r="J43" s="20" t="str">
        <f>VLOOKUP(U43,'[1]KODE TYPE standar'!$D:$U,18,0)</f>
        <v>YARIS CROSS G A/T</v>
      </c>
      <c r="K43" s="27" t="s">
        <v>50</v>
      </c>
      <c r="L43" s="27" t="s">
        <v>109</v>
      </c>
      <c r="M43" s="27" t="s">
        <v>50</v>
      </c>
      <c r="N43" s="27" t="s">
        <v>106</v>
      </c>
      <c r="O43" s="28" t="s">
        <v>156</v>
      </c>
      <c r="P43" s="29" t="s">
        <v>149</v>
      </c>
      <c r="Q43" s="29" t="s">
        <v>161</v>
      </c>
      <c r="R43" s="29" t="s">
        <v>109</v>
      </c>
      <c r="S43" s="27" t="s">
        <v>601</v>
      </c>
      <c r="T43" s="27" t="s">
        <v>509</v>
      </c>
      <c r="U43" s="27" t="s">
        <v>1080</v>
      </c>
      <c r="V43" s="27" t="s">
        <v>48</v>
      </c>
      <c r="W43" s="27" t="s">
        <v>49</v>
      </c>
      <c r="X43" s="27" t="s">
        <v>1081</v>
      </c>
      <c r="Y43" s="27" t="s">
        <v>1082</v>
      </c>
      <c r="Z43" s="27" t="s">
        <v>600</v>
      </c>
      <c r="AA43" s="27" t="s">
        <v>601</v>
      </c>
      <c r="AB43" s="27" t="s">
        <v>509</v>
      </c>
      <c r="AC43" s="27" t="s">
        <v>1083</v>
      </c>
      <c r="AD43" s="27" t="s">
        <v>1084</v>
      </c>
      <c r="AE43" s="27" t="s">
        <v>109</v>
      </c>
      <c r="AF43" s="27" t="s">
        <v>1085</v>
      </c>
      <c r="AG43" s="27" t="s">
        <v>1086</v>
      </c>
      <c r="AH43" s="27" t="s">
        <v>1087</v>
      </c>
      <c r="AI43" s="27" t="s">
        <v>106</v>
      </c>
      <c r="AJ43" s="27" t="s">
        <v>50</v>
      </c>
      <c r="AK43" s="27" t="s">
        <v>50</v>
      </c>
      <c r="AL43" s="27"/>
      <c r="AM43" s="34">
        <v>375400000</v>
      </c>
      <c r="AN43" s="34">
        <v>290513393</v>
      </c>
      <c r="AO43" s="34">
        <v>50025000</v>
      </c>
      <c r="AP43" s="34">
        <v>32718750</v>
      </c>
      <c r="AQ43" s="34">
        <v>0</v>
      </c>
      <c r="AR43" s="34">
        <v>0</v>
      </c>
      <c r="AS43" s="34">
        <v>17857143</v>
      </c>
      <c r="AT43" s="34">
        <v>355400000</v>
      </c>
      <c r="AU43" s="34">
        <v>0</v>
      </c>
      <c r="AV43" s="34">
        <v>-20000000</v>
      </c>
      <c r="AW43" s="27"/>
      <c r="AX43" s="27"/>
      <c r="AY43" s="27" t="s">
        <v>83</v>
      </c>
      <c r="AZ43" s="27">
        <v>1</v>
      </c>
      <c r="BA43" s="27" t="s">
        <v>1088</v>
      </c>
      <c r="BB43" s="27" t="s">
        <v>182</v>
      </c>
      <c r="BC43" s="27" t="s">
        <v>1089</v>
      </c>
      <c r="BD43" s="27" t="s">
        <v>187</v>
      </c>
      <c r="BE43" s="27" t="s">
        <v>187</v>
      </c>
      <c r="BF43" s="27" t="s">
        <v>1090</v>
      </c>
      <c r="BG43" s="27" t="s">
        <v>1091</v>
      </c>
      <c r="BH43" s="27" t="s">
        <v>366</v>
      </c>
      <c r="BI43" s="27" t="s">
        <v>396</v>
      </c>
      <c r="BJ43" s="27" t="s">
        <v>1092</v>
      </c>
      <c r="BK43" s="27" t="s">
        <v>391</v>
      </c>
      <c r="BL43" s="27" t="s">
        <v>1093</v>
      </c>
      <c r="BM43" s="35">
        <v>0</v>
      </c>
    </row>
    <row r="44" spans="1:65" s="1" customFormat="1" x14ac:dyDescent="0.2">
      <c r="A44" s="33">
        <v>302</v>
      </c>
      <c r="B44" s="26">
        <v>146</v>
      </c>
      <c r="C44" s="36" t="s">
        <v>503</v>
      </c>
      <c r="D44" s="27" t="s">
        <v>1094</v>
      </c>
      <c r="E44" s="27" t="s">
        <v>391</v>
      </c>
      <c r="F44" s="27" t="s">
        <v>389</v>
      </c>
      <c r="G44" s="28">
        <v>2026</v>
      </c>
      <c r="H44" s="20" t="str">
        <f>VLOOKUP(U44,'[1]KODE TYPE standar'!$D:$U,17,0)</f>
        <v>LANDCRUISER</v>
      </c>
      <c r="I44" s="20" t="str">
        <f>VLOOKUP(U44,'[1]KODE TYPE standar'!$D:$U,16,0)</f>
        <v>LANDCRUISER</v>
      </c>
      <c r="J44" s="20" t="str">
        <f>VLOOKUP(U44,'[1]KODE TYPE standar'!$D:$U,18,0)</f>
        <v>LANDCRUISER</v>
      </c>
      <c r="K44" s="27" t="s">
        <v>50</v>
      </c>
      <c r="L44" s="27" t="s">
        <v>109</v>
      </c>
      <c r="M44" s="27" t="s">
        <v>50</v>
      </c>
      <c r="N44" s="27" t="s">
        <v>70</v>
      </c>
      <c r="O44" s="28" t="s">
        <v>6581</v>
      </c>
      <c r="P44" s="29" t="s">
        <v>149</v>
      </c>
      <c r="Q44" s="29" t="s">
        <v>161</v>
      </c>
      <c r="R44" s="29" t="s">
        <v>109</v>
      </c>
      <c r="S44" s="27" t="s">
        <v>584</v>
      </c>
      <c r="T44" s="27" t="s">
        <v>585</v>
      </c>
      <c r="U44" s="27" t="s">
        <v>1095</v>
      </c>
      <c r="V44" s="27" t="s">
        <v>48</v>
      </c>
      <c r="W44" s="27" t="s">
        <v>49</v>
      </c>
      <c r="X44" s="27" t="s">
        <v>1096</v>
      </c>
      <c r="Y44" s="27" t="s">
        <v>1097</v>
      </c>
      <c r="Z44" s="27" t="s">
        <v>583</v>
      </c>
      <c r="AA44" s="27" t="s">
        <v>584</v>
      </c>
      <c r="AB44" s="27" t="s">
        <v>585</v>
      </c>
      <c r="AC44" s="27" t="s">
        <v>1098</v>
      </c>
      <c r="AD44" s="27" t="s">
        <v>1099</v>
      </c>
      <c r="AE44" s="27" t="s">
        <v>109</v>
      </c>
      <c r="AF44" s="27" t="s">
        <v>1100</v>
      </c>
      <c r="AG44" s="27" t="s">
        <v>1101</v>
      </c>
      <c r="AH44" s="27" t="s">
        <v>306</v>
      </c>
      <c r="AI44" s="27" t="s">
        <v>70</v>
      </c>
      <c r="AJ44" s="27" t="s">
        <v>50</v>
      </c>
      <c r="AK44" s="27" t="s">
        <v>50</v>
      </c>
      <c r="AL44" s="27"/>
      <c r="AM44" s="34">
        <v>2635400000</v>
      </c>
      <c r="AN44" s="34">
        <v>2056187500</v>
      </c>
      <c r="AO44" s="34">
        <v>332470000</v>
      </c>
      <c r="AP44" s="34">
        <v>244385357</v>
      </c>
      <c r="AQ44" s="34">
        <v>0</v>
      </c>
      <c r="AR44" s="34">
        <v>0</v>
      </c>
      <c r="AS44" s="34">
        <v>19642857</v>
      </c>
      <c r="AT44" s="34">
        <v>2613400000</v>
      </c>
      <c r="AU44" s="34">
        <v>0</v>
      </c>
      <c r="AV44" s="34">
        <v>-22000000</v>
      </c>
      <c r="AW44" s="27" t="s">
        <v>399</v>
      </c>
      <c r="AX44" s="27" t="s">
        <v>399</v>
      </c>
      <c r="AY44" s="27" t="s">
        <v>83</v>
      </c>
      <c r="AZ44" s="27">
        <v>1</v>
      </c>
      <c r="BA44" s="27"/>
      <c r="BB44" s="27" t="s">
        <v>393</v>
      </c>
      <c r="BC44" s="27" t="s">
        <v>1102</v>
      </c>
      <c r="BD44" s="27" t="s">
        <v>395</v>
      </c>
      <c r="BE44" s="27" t="s">
        <v>395</v>
      </c>
      <c r="BF44" s="27" t="s">
        <v>1103</v>
      </c>
      <c r="BG44" s="27" t="s">
        <v>1104</v>
      </c>
      <c r="BH44" s="27" t="s">
        <v>391</v>
      </c>
      <c r="BI44" s="27" t="s">
        <v>406</v>
      </c>
      <c r="BJ44" s="27" t="s">
        <v>1105</v>
      </c>
      <c r="BK44" s="27" t="s">
        <v>360</v>
      </c>
      <c r="BL44" s="27" t="s">
        <v>1106</v>
      </c>
      <c r="BM44" s="35">
        <v>0</v>
      </c>
    </row>
    <row r="45" spans="1:65" s="1" customFormat="1" x14ac:dyDescent="0.2">
      <c r="A45" s="33">
        <v>242</v>
      </c>
      <c r="B45" s="26">
        <v>146</v>
      </c>
      <c r="C45" s="27" t="s">
        <v>503</v>
      </c>
      <c r="D45" s="27" t="s">
        <v>1107</v>
      </c>
      <c r="E45" s="27" t="s">
        <v>186</v>
      </c>
      <c r="F45" s="27" t="s">
        <v>111</v>
      </c>
      <c r="G45" s="28">
        <v>2026</v>
      </c>
      <c r="H45" s="20" t="str">
        <f>VLOOKUP(U45,'[1]KODE TYPE standar'!$D:$U,17,0)</f>
        <v>AVANZA</v>
      </c>
      <c r="I45" s="20" t="str">
        <f>VLOOKUP(U45,'[1]KODE TYPE standar'!$D:$U,16,0)</f>
        <v>AVANZA</v>
      </c>
      <c r="J45" s="20" t="str">
        <f>VLOOKUP(U45,'[1]KODE TYPE standar'!$D:$U,18,0)</f>
        <v>AVANZA G M/T</v>
      </c>
      <c r="K45" s="27" t="s">
        <v>118</v>
      </c>
      <c r="L45" s="27" t="s">
        <v>110</v>
      </c>
      <c r="M45" s="27" t="s">
        <v>262</v>
      </c>
      <c r="N45" s="27" t="s">
        <v>141</v>
      </c>
      <c r="O45" s="28" t="s">
        <v>156</v>
      </c>
      <c r="P45" s="29" t="s">
        <v>151</v>
      </c>
      <c r="Q45" s="29" t="s">
        <v>161</v>
      </c>
      <c r="R45" s="29" t="s">
        <v>145</v>
      </c>
      <c r="S45" s="27" t="s">
        <v>584</v>
      </c>
      <c r="T45" s="27" t="s">
        <v>585</v>
      </c>
      <c r="U45" s="27" t="s">
        <v>59</v>
      </c>
      <c r="V45" s="27" t="s">
        <v>64</v>
      </c>
      <c r="W45" s="27" t="s">
        <v>65</v>
      </c>
      <c r="X45" s="27" t="s">
        <v>1108</v>
      </c>
      <c r="Y45" s="27" t="s">
        <v>1109</v>
      </c>
      <c r="Z45" s="27" t="s">
        <v>583</v>
      </c>
      <c r="AA45" s="27" t="s">
        <v>584</v>
      </c>
      <c r="AB45" s="27" t="s">
        <v>585</v>
      </c>
      <c r="AC45" s="27" t="s">
        <v>1110</v>
      </c>
      <c r="AD45" s="27" t="s">
        <v>1111</v>
      </c>
      <c r="AE45" s="27" t="s">
        <v>110</v>
      </c>
      <c r="AF45" s="27" t="s">
        <v>1111</v>
      </c>
      <c r="AG45" s="27" t="s">
        <v>1112</v>
      </c>
      <c r="AH45" s="27" t="s">
        <v>605</v>
      </c>
      <c r="AI45" s="27" t="s">
        <v>141</v>
      </c>
      <c r="AJ45" s="27" t="s">
        <v>262</v>
      </c>
      <c r="AK45" s="27" t="s">
        <v>63</v>
      </c>
      <c r="AL45" s="27" t="s">
        <v>1113</v>
      </c>
      <c r="AM45" s="34">
        <v>269700000</v>
      </c>
      <c r="AN45" s="34">
        <v>208158482</v>
      </c>
      <c r="AO45" s="34">
        <v>36562500</v>
      </c>
      <c r="AP45" s="34">
        <v>22836160</v>
      </c>
      <c r="AQ45" s="34">
        <v>0</v>
      </c>
      <c r="AR45" s="34">
        <v>0</v>
      </c>
      <c r="AS45" s="34">
        <v>17857143</v>
      </c>
      <c r="AT45" s="34">
        <v>249700000</v>
      </c>
      <c r="AU45" s="34">
        <v>0</v>
      </c>
      <c r="AV45" s="34">
        <v>-20000000</v>
      </c>
      <c r="AW45" s="27" t="s">
        <v>213</v>
      </c>
      <c r="AX45" s="27" t="s">
        <v>213</v>
      </c>
      <c r="AY45" s="27" t="s">
        <v>83</v>
      </c>
      <c r="AZ45" s="27">
        <v>1</v>
      </c>
      <c r="BA45" s="27" t="s">
        <v>163</v>
      </c>
      <c r="BB45" s="27" t="s">
        <v>186</v>
      </c>
      <c r="BC45" s="27" t="s">
        <v>1114</v>
      </c>
      <c r="BD45" s="27" t="s">
        <v>204</v>
      </c>
      <c r="BE45" s="27" t="s">
        <v>204</v>
      </c>
      <c r="BF45" s="27" t="s">
        <v>1115</v>
      </c>
      <c r="BG45" s="27" t="s">
        <v>1116</v>
      </c>
      <c r="BH45" s="27" t="s">
        <v>186</v>
      </c>
      <c r="BI45" s="27" t="s">
        <v>237</v>
      </c>
      <c r="BJ45" s="27" t="s">
        <v>1117</v>
      </c>
      <c r="BK45" s="27" t="s">
        <v>187</v>
      </c>
      <c r="BL45" s="27" t="s">
        <v>1118</v>
      </c>
      <c r="BM45" s="35">
        <v>0</v>
      </c>
    </row>
    <row r="46" spans="1:65" s="1" customFormat="1" x14ac:dyDescent="0.2">
      <c r="A46" s="33">
        <v>305</v>
      </c>
      <c r="B46" s="26">
        <v>146</v>
      </c>
      <c r="C46" s="36" t="s">
        <v>503</v>
      </c>
      <c r="D46" s="27" t="s">
        <v>1119</v>
      </c>
      <c r="E46" s="27" t="s">
        <v>395</v>
      </c>
      <c r="F46" s="27" t="s">
        <v>389</v>
      </c>
      <c r="G46" s="28">
        <v>2026</v>
      </c>
      <c r="H46" s="20" t="str">
        <f>VLOOKUP(U46,'[1]KODE TYPE standar'!$D:$U,17,0)</f>
        <v>CALYA</v>
      </c>
      <c r="I46" s="20" t="str">
        <f>VLOOKUP(U46,'[1]KODE TYPE standar'!$D:$U,16,0)</f>
        <v>CALYA</v>
      </c>
      <c r="J46" s="20" t="str">
        <f>VLOOKUP(U46,'[1]KODE TYPE standar'!$D:$U,18,0)</f>
        <v>CALYA G M/T</v>
      </c>
      <c r="K46" s="27" t="s">
        <v>120</v>
      </c>
      <c r="L46" s="27" t="s">
        <v>110</v>
      </c>
      <c r="M46" s="27" t="s">
        <v>262</v>
      </c>
      <c r="N46" s="27" t="s">
        <v>140</v>
      </c>
      <c r="O46" s="28" t="s">
        <v>156</v>
      </c>
      <c r="P46" s="29" t="s">
        <v>149</v>
      </c>
      <c r="Q46" s="29" t="s">
        <v>161</v>
      </c>
      <c r="R46" s="29" t="s">
        <v>597</v>
      </c>
      <c r="S46" s="27" t="s">
        <v>569</v>
      </c>
      <c r="T46" s="27" t="s">
        <v>509</v>
      </c>
      <c r="U46" s="27" t="s">
        <v>268</v>
      </c>
      <c r="V46" s="27" t="s">
        <v>96</v>
      </c>
      <c r="W46" s="27" t="s">
        <v>97</v>
      </c>
      <c r="X46" s="27" t="s">
        <v>1120</v>
      </c>
      <c r="Y46" s="27" t="s">
        <v>1121</v>
      </c>
      <c r="Z46" s="27" t="s">
        <v>568</v>
      </c>
      <c r="AA46" s="27" t="s">
        <v>569</v>
      </c>
      <c r="AB46" s="27" t="s">
        <v>509</v>
      </c>
      <c r="AC46" s="27" t="s">
        <v>1122</v>
      </c>
      <c r="AD46" s="27" t="s">
        <v>1123</v>
      </c>
      <c r="AE46" s="27" t="s">
        <v>110</v>
      </c>
      <c r="AF46" s="27" t="s">
        <v>1124</v>
      </c>
      <c r="AG46" s="27" t="s">
        <v>1125</v>
      </c>
      <c r="AH46" s="27" t="s">
        <v>514</v>
      </c>
      <c r="AI46" s="27" t="s">
        <v>140</v>
      </c>
      <c r="AJ46" s="27" t="s">
        <v>262</v>
      </c>
      <c r="AK46" s="27" t="s">
        <v>423</v>
      </c>
      <c r="AL46" s="27"/>
      <c r="AM46" s="34">
        <v>181900000</v>
      </c>
      <c r="AN46" s="34">
        <v>139341518</v>
      </c>
      <c r="AO46" s="34">
        <v>25837500</v>
      </c>
      <c r="AP46" s="34">
        <v>15649553</v>
      </c>
      <c r="AQ46" s="34">
        <v>0</v>
      </c>
      <c r="AR46" s="34">
        <v>0</v>
      </c>
      <c r="AS46" s="34">
        <v>8928571</v>
      </c>
      <c r="AT46" s="34">
        <v>171900000</v>
      </c>
      <c r="AU46" s="34">
        <v>1000000</v>
      </c>
      <c r="AV46" s="34">
        <v>-10000000</v>
      </c>
      <c r="AW46" s="27" t="s">
        <v>393</v>
      </c>
      <c r="AX46" s="27" t="s">
        <v>393</v>
      </c>
      <c r="AY46" s="27" t="s">
        <v>83</v>
      </c>
      <c r="AZ46" s="27">
        <v>1</v>
      </c>
      <c r="BA46" s="27" t="s">
        <v>163</v>
      </c>
      <c r="BB46" s="27" t="s">
        <v>398</v>
      </c>
      <c r="BC46" s="27" t="s">
        <v>1126</v>
      </c>
      <c r="BD46" s="27" t="s">
        <v>271</v>
      </c>
      <c r="BE46" s="27" t="s">
        <v>271</v>
      </c>
      <c r="BF46" s="27" t="s">
        <v>1127</v>
      </c>
      <c r="BG46" s="27" t="s">
        <v>1128</v>
      </c>
      <c r="BH46" s="27" t="s">
        <v>395</v>
      </c>
      <c r="BI46" s="27" t="s">
        <v>407</v>
      </c>
      <c r="BJ46" s="27" t="s">
        <v>1129</v>
      </c>
      <c r="BK46" s="27" t="s">
        <v>404</v>
      </c>
      <c r="BL46" s="27" t="s">
        <v>1130</v>
      </c>
      <c r="BM46" s="35">
        <v>0</v>
      </c>
    </row>
    <row r="47" spans="1:65" s="1" customFormat="1" x14ac:dyDescent="0.2">
      <c r="A47" s="33">
        <v>288</v>
      </c>
      <c r="B47" s="26">
        <v>146</v>
      </c>
      <c r="C47" s="27" t="s">
        <v>503</v>
      </c>
      <c r="D47" s="27" t="s">
        <v>1131</v>
      </c>
      <c r="E47" s="27" t="s">
        <v>238</v>
      </c>
      <c r="F47" s="27" t="s">
        <v>258</v>
      </c>
      <c r="G47" s="28">
        <v>2026</v>
      </c>
      <c r="H47" s="20" t="str">
        <f>VLOOKUP(U47,'[1]KODE TYPE standar'!$D:$U,17,0)</f>
        <v>AVANZA</v>
      </c>
      <c r="I47" s="20" t="str">
        <f>VLOOKUP(U47,'[1]KODE TYPE standar'!$D:$U,16,0)</f>
        <v>AVANZA</v>
      </c>
      <c r="J47" s="20" t="str">
        <f>VLOOKUP(U47,'[1]KODE TYPE standar'!$D:$U,18,0)</f>
        <v>AVANZA G M/T</v>
      </c>
      <c r="K47" s="27" t="s">
        <v>118</v>
      </c>
      <c r="L47" s="27" t="s">
        <v>110</v>
      </c>
      <c r="M47" s="27" t="s">
        <v>262</v>
      </c>
      <c r="N47" s="27" t="s">
        <v>144</v>
      </c>
      <c r="O47" s="28" t="s">
        <v>6581</v>
      </c>
      <c r="P47" s="29" t="s">
        <v>151</v>
      </c>
      <c r="Q47" s="29" t="s">
        <v>161</v>
      </c>
      <c r="R47" s="29" t="s">
        <v>145</v>
      </c>
      <c r="S47" s="27" t="s">
        <v>795</v>
      </c>
      <c r="T47" s="27" t="s">
        <v>509</v>
      </c>
      <c r="U47" s="27" t="s">
        <v>59</v>
      </c>
      <c r="V47" s="27" t="s">
        <v>64</v>
      </c>
      <c r="W47" s="27" t="s">
        <v>65</v>
      </c>
      <c r="X47" s="27" t="s">
        <v>1132</v>
      </c>
      <c r="Y47" s="27" t="s">
        <v>1133</v>
      </c>
      <c r="Z47" s="27" t="s">
        <v>794</v>
      </c>
      <c r="AA47" s="27" t="s">
        <v>795</v>
      </c>
      <c r="AB47" s="27" t="s">
        <v>509</v>
      </c>
      <c r="AC47" s="27" t="s">
        <v>1134</v>
      </c>
      <c r="AD47" s="27" t="s">
        <v>1135</v>
      </c>
      <c r="AE47" s="27" t="s">
        <v>110</v>
      </c>
      <c r="AF47" s="27" t="s">
        <v>1135</v>
      </c>
      <c r="AG47" s="27" t="s">
        <v>1136</v>
      </c>
      <c r="AH47" s="27" t="s">
        <v>1137</v>
      </c>
      <c r="AI47" s="27" t="s">
        <v>144</v>
      </c>
      <c r="AJ47" s="27" t="s">
        <v>262</v>
      </c>
      <c r="AK47" s="27" t="s">
        <v>63</v>
      </c>
      <c r="AL47" s="27"/>
      <c r="AM47" s="34">
        <v>269700000</v>
      </c>
      <c r="AN47" s="34">
        <v>203013393</v>
      </c>
      <c r="AO47" s="34">
        <v>42325000</v>
      </c>
      <c r="AP47" s="34">
        <v>22647321</v>
      </c>
      <c r="AQ47" s="34">
        <v>0</v>
      </c>
      <c r="AR47" s="34">
        <v>0</v>
      </c>
      <c r="AS47" s="34">
        <v>14285714</v>
      </c>
      <c r="AT47" s="34">
        <v>253700000</v>
      </c>
      <c r="AU47" s="34">
        <v>16020000</v>
      </c>
      <c r="AV47" s="34">
        <v>-16000000</v>
      </c>
      <c r="AW47" s="27"/>
      <c r="AX47" s="27"/>
      <c r="AY47" s="27" t="s">
        <v>83</v>
      </c>
      <c r="AZ47" s="27">
        <v>1</v>
      </c>
      <c r="BA47" s="27"/>
      <c r="BB47" s="27" t="s">
        <v>238</v>
      </c>
      <c r="BC47" s="27" t="s">
        <v>1138</v>
      </c>
      <c r="BD47" s="27" t="s">
        <v>238</v>
      </c>
      <c r="BE47" s="27" t="s">
        <v>238</v>
      </c>
      <c r="BF47" s="27" t="s">
        <v>1139</v>
      </c>
      <c r="BG47" s="27" t="s">
        <v>1140</v>
      </c>
      <c r="BH47" s="27"/>
      <c r="BI47" s="27" t="s">
        <v>248</v>
      </c>
      <c r="BJ47" s="27" t="s">
        <v>1141</v>
      </c>
      <c r="BK47" s="27" t="s">
        <v>224</v>
      </c>
      <c r="BL47" s="27" t="s">
        <v>1142</v>
      </c>
      <c r="BM47" s="35">
        <v>0</v>
      </c>
    </row>
    <row r="48" spans="1:65" s="1" customFormat="1" x14ac:dyDescent="0.2">
      <c r="A48" s="33">
        <v>289</v>
      </c>
      <c r="B48" s="26">
        <v>146</v>
      </c>
      <c r="C48" s="27" t="s">
        <v>503</v>
      </c>
      <c r="D48" s="27" t="s">
        <v>1143</v>
      </c>
      <c r="E48" s="27" t="s">
        <v>221</v>
      </c>
      <c r="F48" s="27" t="s">
        <v>258</v>
      </c>
      <c r="G48" s="28">
        <v>2026</v>
      </c>
      <c r="H48" s="20" t="str">
        <f>VLOOKUP(U48,'[1]KODE TYPE standar'!$D:$U,17,0)</f>
        <v>FORTUNER</v>
      </c>
      <c r="I48" s="20" t="str">
        <f>VLOOKUP(U48,'[1]KODE TYPE standar'!$D:$U,16,0)</f>
        <v>FORTUNER</v>
      </c>
      <c r="J48" s="20" t="str">
        <f>VLOOKUP(U48,'[1]KODE TYPE standar'!$D:$U,18,0)</f>
        <v>FORTUNER 4X2 VRZ A/T DIESEL</v>
      </c>
      <c r="K48" s="27" t="s">
        <v>119</v>
      </c>
      <c r="L48" s="27" t="s">
        <v>110</v>
      </c>
      <c r="M48" s="27" t="s">
        <v>262</v>
      </c>
      <c r="N48" s="27" t="s">
        <v>141</v>
      </c>
      <c r="O48" s="28" t="s">
        <v>156</v>
      </c>
      <c r="P48" s="29" t="s">
        <v>149</v>
      </c>
      <c r="Q48" s="29" t="s">
        <v>162</v>
      </c>
      <c r="R48" s="29" t="s">
        <v>318</v>
      </c>
      <c r="S48" s="27" t="s">
        <v>540</v>
      </c>
      <c r="T48" s="27" t="s">
        <v>541</v>
      </c>
      <c r="U48" s="27" t="s">
        <v>279</v>
      </c>
      <c r="V48" s="27" t="s">
        <v>51</v>
      </c>
      <c r="W48" s="27" t="s">
        <v>86</v>
      </c>
      <c r="X48" s="27" t="s">
        <v>1144</v>
      </c>
      <c r="Y48" s="27" t="s">
        <v>1145</v>
      </c>
      <c r="Z48" s="27" t="s">
        <v>539</v>
      </c>
      <c r="AA48" s="27" t="s">
        <v>540</v>
      </c>
      <c r="AB48" s="27" t="s">
        <v>541</v>
      </c>
      <c r="AC48" s="27" t="s">
        <v>1146</v>
      </c>
      <c r="AD48" s="27" t="s">
        <v>1147</v>
      </c>
      <c r="AE48" s="27" t="s">
        <v>110</v>
      </c>
      <c r="AF48" s="27" t="s">
        <v>1147</v>
      </c>
      <c r="AG48" s="27" t="s">
        <v>1148</v>
      </c>
      <c r="AH48" s="27" t="s">
        <v>1149</v>
      </c>
      <c r="AI48" s="27" t="s">
        <v>141</v>
      </c>
      <c r="AJ48" s="27" t="s">
        <v>262</v>
      </c>
      <c r="AK48" s="27" t="s">
        <v>89</v>
      </c>
      <c r="AL48" s="27" t="s">
        <v>1150</v>
      </c>
      <c r="AM48" s="34">
        <v>682700000</v>
      </c>
      <c r="AN48" s="34">
        <v>530814732</v>
      </c>
      <c r="AO48" s="34">
        <v>88187500</v>
      </c>
      <c r="AP48" s="34">
        <v>60483482</v>
      </c>
      <c r="AQ48" s="34">
        <v>0</v>
      </c>
      <c r="AR48" s="34">
        <v>0</v>
      </c>
      <c r="AS48" s="34">
        <v>26785714</v>
      </c>
      <c r="AT48" s="34">
        <v>652700000</v>
      </c>
      <c r="AU48" s="34">
        <v>0</v>
      </c>
      <c r="AV48" s="34">
        <v>-30000000</v>
      </c>
      <c r="AW48" s="27" t="s">
        <v>218</v>
      </c>
      <c r="AX48" s="27" t="s">
        <v>218</v>
      </c>
      <c r="AY48" s="27" t="s">
        <v>83</v>
      </c>
      <c r="AZ48" s="27">
        <v>1</v>
      </c>
      <c r="BA48" s="27"/>
      <c r="BB48" s="27" t="s">
        <v>229</v>
      </c>
      <c r="BC48" s="27" t="s">
        <v>1151</v>
      </c>
      <c r="BD48" s="27" t="s">
        <v>278</v>
      </c>
      <c r="BE48" s="27" t="s">
        <v>278</v>
      </c>
      <c r="BF48" s="27" t="s">
        <v>1152</v>
      </c>
      <c r="BG48" s="27" t="s">
        <v>1153</v>
      </c>
      <c r="BH48" s="27" t="s">
        <v>221</v>
      </c>
      <c r="BI48" s="27" t="s">
        <v>246</v>
      </c>
      <c r="BJ48" s="27" t="s">
        <v>1154</v>
      </c>
      <c r="BK48" s="27" t="s">
        <v>207</v>
      </c>
      <c r="BL48" s="27" t="s">
        <v>1155</v>
      </c>
      <c r="BM48" s="35">
        <v>0</v>
      </c>
    </row>
    <row r="49" spans="1:65" s="1" customFormat="1" x14ac:dyDescent="0.2">
      <c r="A49" s="33">
        <v>250</v>
      </c>
      <c r="B49" s="26">
        <v>146</v>
      </c>
      <c r="C49" s="27" t="s">
        <v>503</v>
      </c>
      <c r="D49" s="27" t="s">
        <v>1156</v>
      </c>
      <c r="E49" s="27" t="s">
        <v>213</v>
      </c>
      <c r="F49" s="27" t="s">
        <v>111</v>
      </c>
      <c r="G49" s="28">
        <v>2026</v>
      </c>
      <c r="H49" s="20" t="str">
        <f>VLOOKUP(U49,'[1]KODE TYPE standar'!$D:$U,17,0)</f>
        <v>HIACE</v>
      </c>
      <c r="I49" s="20" t="str">
        <f>VLOOKUP(U49,'[1]KODE TYPE standar'!$D:$U,16,0)</f>
        <v>HIACE</v>
      </c>
      <c r="J49" s="20" t="str">
        <f>VLOOKUP(U49,'[1]KODE TYPE standar'!$D:$U,18,0)</f>
        <v>HIACE COMM</v>
      </c>
      <c r="K49" s="27" t="s">
        <v>119</v>
      </c>
      <c r="L49" s="27" t="s">
        <v>110</v>
      </c>
      <c r="M49" s="27" t="s">
        <v>262</v>
      </c>
      <c r="N49" s="27" t="s">
        <v>140</v>
      </c>
      <c r="O49" s="28" t="s">
        <v>156</v>
      </c>
      <c r="P49" s="29" t="s">
        <v>151</v>
      </c>
      <c r="Q49" s="29" t="s">
        <v>161</v>
      </c>
      <c r="R49" s="29" t="s">
        <v>145</v>
      </c>
      <c r="S49" s="27" t="s">
        <v>584</v>
      </c>
      <c r="T49" s="27" t="s">
        <v>585</v>
      </c>
      <c r="U49" s="27" t="s">
        <v>334</v>
      </c>
      <c r="V49" s="27" t="s">
        <v>99</v>
      </c>
      <c r="W49" s="27" t="s">
        <v>61</v>
      </c>
      <c r="X49" s="27" t="s">
        <v>1157</v>
      </c>
      <c r="Y49" s="27" t="s">
        <v>1158</v>
      </c>
      <c r="Z49" s="27" t="s">
        <v>583</v>
      </c>
      <c r="AA49" s="27" t="s">
        <v>584</v>
      </c>
      <c r="AB49" s="27" t="s">
        <v>585</v>
      </c>
      <c r="AC49" s="27" t="s">
        <v>1159</v>
      </c>
      <c r="AD49" s="27" t="s">
        <v>1160</v>
      </c>
      <c r="AE49" s="27" t="s">
        <v>110</v>
      </c>
      <c r="AF49" s="27" t="s">
        <v>1160</v>
      </c>
      <c r="AG49" s="27" t="s">
        <v>1161</v>
      </c>
      <c r="AH49" s="27" t="s">
        <v>844</v>
      </c>
      <c r="AI49" s="27" t="s">
        <v>140</v>
      </c>
      <c r="AJ49" s="27" t="s">
        <v>262</v>
      </c>
      <c r="AK49" s="27" t="s">
        <v>89</v>
      </c>
      <c r="AL49" s="27"/>
      <c r="AM49" s="34">
        <v>578100000</v>
      </c>
      <c r="AN49" s="34">
        <v>451520270</v>
      </c>
      <c r="AO49" s="34">
        <v>76912500</v>
      </c>
      <c r="AP49" s="34">
        <v>45703265</v>
      </c>
      <c r="AQ49" s="34">
        <v>0</v>
      </c>
      <c r="AR49" s="34">
        <v>0</v>
      </c>
      <c r="AS49" s="34">
        <v>36036036</v>
      </c>
      <c r="AT49" s="34">
        <v>538100000</v>
      </c>
      <c r="AU49" s="34">
        <v>53000000</v>
      </c>
      <c r="AV49" s="34">
        <v>-40000000</v>
      </c>
      <c r="AW49" s="27"/>
      <c r="AX49" s="27"/>
      <c r="AY49" s="27" t="s">
        <v>83</v>
      </c>
      <c r="AZ49" s="27">
        <v>1</v>
      </c>
      <c r="BA49" s="27" t="s">
        <v>163</v>
      </c>
      <c r="BB49" s="27" t="s">
        <v>191</v>
      </c>
      <c r="BC49" s="27" t="s">
        <v>1162</v>
      </c>
      <c r="BD49" s="27" t="s">
        <v>225</v>
      </c>
      <c r="BE49" s="27" t="s">
        <v>225</v>
      </c>
      <c r="BF49" s="27" t="s">
        <v>1163</v>
      </c>
      <c r="BG49" s="27" t="s">
        <v>1164</v>
      </c>
      <c r="BH49" s="27"/>
      <c r="BI49" s="27" t="s">
        <v>232</v>
      </c>
      <c r="BJ49" s="27" t="s">
        <v>1165</v>
      </c>
      <c r="BK49" s="27" t="s">
        <v>195</v>
      </c>
      <c r="BL49" s="27" t="s">
        <v>1166</v>
      </c>
      <c r="BM49" s="35">
        <v>0</v>
      </c>
    </row>
    <row r="50" spans="1:65" s="1" customFormat="1" x14ac:dyDescent="0.2">
      <c r="A50" s="33">
        <v>253</v>
      </c>
      <c r="B50" s="26">
        <v>146</v>
      </c>
      <c r="C50" s="27" t="s">
        <v>503</v>
      </c>
      <c r="D50" s="27" t="s">
        <v>1167</v>
      </c>
      <c r="E50" s="27" t="s">
        <v>197</v>
      </c>
      <c r="F50" s="27" t="s">
        <v>111</v>
      </c>
      <c r="G50" s="28">
        <v>2026</v>
      </c>
      <c r="H50" s="20" t="str">
        <f>VLOOKUP(U50,'[1]KODE TYPE standar'!$D:$U,17,0)</f>
        <v>RUSH</v>
      </c>
      <c r="I50" s="20" t="str">
        <f>VLOOKUP(U50,'[1]KODE TYPE standar'!$D:$U,16,0)</f>
        <v>RUSH</v>
      </c>
      <c r="J50" s="20" t="str">
        <f>VLOOKUP(U50,'[1]KODE TYPE standar'!$D:$U,18,0)</f>
        <v>RUSH S A/T</v>
      </c>
      <c r="K50" s="27" t="s">
        <v>119</v>
      </c>
      <c r="L50" s="27" t="s">
        <v>110</v>
      </c>
      <c r="M50" s="27" t="s">
        <v>262</v>
      </c>
      <c r="N50" s="27" t="s">
        <v>141</v>
      </c>
      <c r="O50" s="28" t="s">
        <v>156</v>
      </c>
      <c r="P50" s="29" t="s">
        <v>151</v>
      </c>
      <c r="Q50" s="29" t="s">
        <v>161</v>
      </c>
      <c r="R50" s="29" t="s">
        <v>145</v>
      </c>
      <c r="S50" s="27" t="s">
        <v>1171</v>
      </c>
      <c r="T50" s="27" t="s">
        <v>509</v>
      </c>
      <c r="U50" s="27" t="s">
        <v>116</v>
      </c>
      <c r="V50" s="27" t="s">
        <v>64</v>
      </c>
      <c r="W50" s="27" t="s">
        <v>65</v>
      </c>
      <c r="X50" s="27" t="s">
        <v>1168</v>
      </c>
      <c r="Y50" s="27" t="s">
        <v>1169</v>
      </c>
      <c r="Z50" s="27" t="s">
        <v>1170</v>
      </c>
      <c r="AA50" s="27" t="s">
        <v>1171</v>
      </c>
      <c r="AB50" s="27" t="s">
        <v>509</v>
      </c>
      <c r="AC50" s="27" t="s">
        <v>1172</v>
      </c>
      <c r="AD50" s="27" t="s">
        <v>1173</v>
      </c>
      <c r="AE50" s="27" t="s">
        <v>110</v>
      </c>
      <c r="AF50" s="27" t="s">
        <v>1173</v>
      </c>
      <c r="AG50" s="27" t="s">
        <v>1174</v>
      </c>
      <c r="AH50" s="27" t="s">
        <v>636</v>
      </c>
      <c r="AI50" s="27" t="s">
        <v>141</v>
      </c>
      <c r="AJ50" s="27" t="s">
        <v>262</v>
      </c>
      <c r="AK50" s="27" t="s">
        <v>89</v>
      </c>
      <c r="AL50" s="27" t="s">
        <v>1175</v>
      </c>
      <c r="AM50" s="34">
        <v>322100000</v>
      </c>
      <c r="AN50" s="34">
        <v>249095982</v>
      </c>
      <c r="AO50" s="34">
        <v>43112500</v>
      </c>
      <c r="AP50" s="34">
        <v>27748660</v>
      </c>
      <c r="AQ50" s="34">
        <v>0</v>
      </c>
      <c r="AR50" s="34">
        <v>0</v>
      </c>
      <c r="AS50" s="34">
        <v>17857143</v>
      </c>
      <c r="AT50" s="34">
        <v>302100000</v>
      </c>
      <c r="AU50" s="34">
        <v>0</v>
      </c>
      <c r="AV50" s="34">
        <v>-20000000</v>
      </c>
      <c r="AW50" s="27"/>
      <c r="AX50" s="27"/>
      <c r="AY50" s="27" t="s">
        <v>83</v>
      </c>
      <c r="AZ50" s="27">
        <v>1</v>
      </c>
      <c r="BA50" s="27"/>
      <c r="BB50" s="27" t="s">
        <v>186</v>
      </c>
      <c r="BC50" s="27" t="s">
        <v>1176</v>
      </c>
      <c r="BD50" s="27" t="s">
        <v>186</v>
      </c>
      <c r="BE50" s="27" t="s">
        <v>186</v>
      </c>
      <c r="BF50" s="27" t="s">
        <v>1177</v>
      </c>
      <c r="BG50" s="27" t="s">
        <v>1178</v>
      </c>
      <c r="BH50" s="27"/>
      <c r="BI50" s="27" t="s">
        <v>223</v>
      </c>
      <c r="BJ50" s="27" t="s">
        <v>240</v>
      </c>
      <c r="BK50" s="27" t="s">
        <v>216</v>
      </c>
      <c r="BL50" s="27" t="s">
        <v>1179</v>
      </c>
      <c r="BM50" s="35">
        <v>0</v>
      </c>
    </row>
    <row r="51" spans="1:65" s="1" customFormat="1" x14ac:dyDescent="0.2">
      <c r="A51" s="33">
        <v>302</v>
      </c>
      <c r="B51" s="26">
        <v>146</v>
      </c>
      <c r="C51" s="27" t="s">
        <v>503</v>
      </c>
      <c r="D51" s="27" t="s">
        <v>1180</v>
      </c>
      <c r="E51" s="27" t="s">
        <v>237</v>
      </c>
      <c r="F51" s="27" t="s">
        <v>258</v>
      </c>
      <c r="G51" s="28">
        <v>2026</v>
      </c>
      <c r="H51" s="20" t="str">
        <f>VLOOKUP(U51,'[1]KODE TYPE standar'!$D:$U,17,0)</f>
        <v>CALYA</v>
      </c>
      <c r="I51" s="20" t="str">
        <f>VLOOKUP(U51,'[1]KODE TYPE standar'!$D:$U,16,0)</f>
        <v>CALYA</v>
      </c>
      <c r="J51" s="20" t="str">
        <f>VLOOKUP(U51,'[1]KODE TYPE standar'!$D:$U,18,0)</f>
        <v>CALYA G M/T</v>
      </c>
      <c r="K51" s="27" t="s">
        <v>118</v>
      </c>
      <c r="L51" s="27" t="s">
        <v>110</v>
      </c>
      <c r="M51" s="27" t="s">
        <v>262</v>
      </c>
      <c r="N51" s="27" t="s">
        <v>141</v>
      </c>
      <c r="O51" s="28" t="s">
        <v>156</v>
      </c>
      <c r="P51" s="29" t="s">
        <v>149</v>
      </c>
      <c r="Q51" s="29" t="s">
        <v>161</v>
      </c>
      <c r="R51" s="29" t="s">
        <v>597</v>
      </c>
      <c r="S51" s="27" t="s">
        <v>1184</v>
      </c>
      <c r="T51" s="27" t="s">
        <v>585</v>
      </c>
      <c r="U51" s="27" t="s">
        <v>268</v>
      </c>
      <c r="V51" s="27" t="s">
        <v>77</v>
      </c>
      <c r="W51" s="27" t="s">
        <v>78</v>
      </c>
      <c r="X51" s="27" t="s">
        <v>1181</v>
      </c>
      <c r="Y51" s="27" t="s">
        <v>1182</v>
      </c>
      <c r="Z51" s="27" t="s">
        <v>1183</v>
      </c>
      <c r="AA51" s="27" t="s">
        <v>1184</v>
      </c>
      <c r="AB51" s="27" t="s">
        <v>585</v>
      </c>
      <c r="AC51" s="27" t="s">
        <v>1185</v>
      </c>
      <c r="AD51" s="27" t="s">
        <v>1186</v>
      </c>
      <c r="AE51" s="27" t="s">
        <v>110</v>
      </c>
      <c r="AF51" s="27" t="s">
        <v>1187</v>
      </c>
      <c r="AG51" s="27" t="s">
        <v>1188</v>
      </c>
      <c r="AH51" s="27" t="s">
        <v>815</v>
      </c>
      <c r="AI51" s="27" t="s">
        <v>141</v>
      </c>
      <c r="AJ51" s="27" t="s">
        <v>262</v>
      </c>
      <c r="AK51" s="27" t="s">
        <v>63</v>
      </c>
      <c r="AL51" s="27"/>
      <c r="AM51" s="34">
        <v>181900000</v>
      </c>
      <c r="AN51" s="34">
        <v>139564732</v>
      </c>
      <c r="AO51" s="34">
        <v>25587500</v>
      </c>
      <c r="AP51" s="34">
        <v>15569196</v>
      </c>
      <c r="AQ51" s="34">
        <v>0</v>
      </c>
      <c r="AR51" s="34">
        <v>0</v>
      </c>
      <c r="AS51" s="34">
        <v>9821429</v>
      </c>
      <c r="AT51" s="34">
        <v>170900000</v>
      </c>
      <c r="AU51" s="34">
        <v>1400000</v>
      </c>
      <c r="AV51" s="34">
        <v>-11000000</v>
      </c>
      <c r="AW51" s="27"/>
      <c r="AX51" s="27"/>
      <c r="AY51" s="27" t="s">
        <v>83</v>
      </c>
      <c r="AZ51" s="27">
        <v>1</v>
      </c>
      <c r="BA51" s="27" t="s">
        <v>163</v>
      </c>
      <c r="BB51" s="27" t="s">
        <v>237</v>
      </c>
      <c r="BC51" s="27" t="s">
        <v>1189</v>
      </c>
      <c r="BD51" s="27" t="s">
        <v>222</v>
      </c>
      <c r="BE51" s="27" t="s">
        <v>222</v>
      </c>
      <c r="BF51" s="27" t="s">
        <v>1190</v>
      </c>
      <c r="BG51" s="27" t="s">
        <v>1191</v>
      </c>
      <c r="BH51" s="27"/>
      <c r="BI51" s="27" t="s">
        <v>246</v>
      </c>
      <c r="BJ51" s="27" t="s">
        <v>1192</v>
      </c>
      <c r="BK51" s="27" t="s">
        <v>234</v>
      </c>
      <c r="BL51" s="27" t="s">
        <v>1193</v>
      </c>
      <c r="BM51" s="35">
        <v>0</v>
      </c>
    </row>
    <row r="52" spans="1:65" s="1" customFormat="1" x14ac:dyDescent="0.2">
      <c r="A52" s="33">
        <v>258</v>
      </c>
      <c r="B52" s="26">
        <v>146</v>
      </c>
      <c r="C52" s="27" t="s">
        <v>503</v>
      </c>
      <c r="D52" s="27" t="s">
        <v>1194</v>
      </c>
      <c r="E52" s="27" t="s">
        <v>197</v>
      </c>
      <c r="F52" s="27" t="s">
        <v>111</v>
      </c>
      <c r="G52" s="28">
        <v>2026</v>
      </c>
      <c r="H52" s="20" t="str">
        <f>VLOOKUP(U52,'[1]KODE TYPE standar'!$D:$U,17,0)</f>
        <v>AVANZA</v>
      </c>
      <c r="I52" s="20" t="str">
        <f>VLOOKUP(U52,'[1]KODE TYPE standar'!$D:$U,16,0)</f>
        <v>AVANZA</v>
      </c>
      <c r="J52" s="20" t="str">
        <f>VLOOKUP(U52,'[1]KODE TYPE standar'!$D:$U,18,0)</f>
        <v>AVANZA G A/T</v>
      </c>
      <c r="K52" s="27" t="s">
        <v>118</v>
      </c>
      <c r="L52" s="27" t="s">
        <v>110</v>
      </c>
      <c r="M52" s="27" t="s">
        <v>262</v>
      </c>
      <c r="N52" s="27" t="s">
        <v>141</v>
      </c>
      <c r="O52" s="28" t="s">
        <v>156</v>
      </c>
      <c r="P52" s="29" t="s">
        <v>150</v>
      </c>
      <c r="Q52" s="29" t="s">
        <v>161</v>
      </c>
      <c r="R52" s="29" t="s">
        <v>145</v>
      </c>
      <c r="S52" s="27" t="s">
        <v>1198</v>
      </c>
      <c r="T52" s="27" t="s">
        <v>585</v>
      </c>
      <c r="U52" s="27" t="s">
        <v>66</v>
      </c>
      <c r="V52" s="27" t="s">
        <v>60</v>
      </c>
      <c r="W52" s="27" t="s">
        <v>61</v>
      </c>
      <c r="X52" s="27" t="s">
        <v>1195</v>
      </c>
      <c r="Y52" s="27" t="s">
        <v>1196</v>
      </c>
      <c r="Z52" s="27" t="s">
        <v>1197</v>
      </c>
      <c r="AA52" s="27" t="s">
        <v>1198</v>
      </c>
      <c r="AB52" s="27" t="s">
        <v>585</v>
      </c>
      <c r="AC52" s="27" t="s">
        <v>1199</v>
      </c>
      <c r="AD52" s="27" t="s">
        <v>1200</v>
      </c>
      <c r="AE52" s="27" t="s">
        <v>110</v>
      </c>
      <c r="AF52" s="27" t="s">
        <v>1200</v>
      </c>
      <c r="AG52" s="27" t="s">
        <v>1201</v>
      </c>
      <c r="AH52" s="27" t="s">
        <v>1202</v>
      </c>
      <c r="AI52" s="27" t="s">
        <v>141</v>
      </c>
      <c r="AJ52" s="27" t="s">
        <v>262</v>
      </c>
      <c r="AK52" s="27" t="s">
        <v>63</v>
      </c>
      <c r="AL52" s="27" t="s">
        <v>1203</v>
      </c>
      <c r="AM52" s="34">
        <v>284500000</v>
      </c>
      <c r="AN52" s="34">
        <v>219720982</v>
      </c>
      <c r="AO52" s="34">
        <v>38412500</v>
      </c>
      <c r="AP52" s="34">
        <v>24223660</v>
      </c>
      <c r="AQ52" s="34">
        <v>0</v>
      </c>
      <c r="AR52" s="34">
        <v>0</v>
      </c>
      <c r="AS52" s="34">
        <v>17857143</v>
      </c>
      <c r="AT52" s="34">
        <v>264500000</v>
      </c>
      <c r="AU52" s="34">
        <v>0</v>
      </c>
      <c r="AV52" s="34">
        <v>-20000000</v>
      </c>
      <c r="AW52" s="27"/>
      <c r="AX52" s="27"/>
      <c r="AY52" s="27" t="s">
        <v>83</v>
      </c>
      <c r="AZ52" s="27">
        <v>1</v>
      </c>
      <c r="BA52" s="27" t="s">
        <v>163</v>
      </c>
      <c r="BB52" s="27" t="s">
        <v>214</v>
      </c>
      <c r="BC52" s="27" t="s">
        <v>1204</v>
      </c>
      <c r="BD52" s="27" t="s">
        <v>191</v>
      </c>
      <c r="BE52" s="27" t="s">
        <v>191</v>
      </c>
      <c r="BF52" s="27" t="s">
        <v>1205</v>
      </c>
      <c r="BG52" s="27" t="s">
        <v>1206</v>
      </c>
      <c r="BH52" s="27" t="s">
        <v>197</v>
      </c>
      <c r="BI52" s="27" t="s">
        <v>223</v>
      </c>
      <c r="BJ52" s="27" t="s">
        <v>1207</v>
      </c>
      <c r="BK52" s="27" t="s">
        <v>216</v>
      </c>
      <c r="BL52" s="27" t="s">
        <v>1208</v>
      </c>
      <c r="BM52" s="35">
        <v>0</v>
      </c>
    </row>
    <row r="53" spans="1:65" s="1" customFormat="1" x14ac:dyDescent="0.2">
      <c r="A53" s="33">
        <v>323</v>
      </c>
      <c r="B53" s="26">
        <v>146</v>
      </c>
      <c r="C53" s="36" t="s">
        <v>503</v>
      </c>
      <c r="D53" s="27" t="s">
        <v>1209</v>
      </c>
      <c r="E53" s="27" t="s">
        <v>360</v>
      </c>
      <c r="F53" s="27" t="s">
        <v>389</v>
      </c>
      <c r="G53" s="28">
        <v>2026</v>
      </c>
      <c r="H53" s="20" t="str">
        <f>VLOOKUP(U53,'[1]KODE TYPE standar'!$D:$U,17,0)</f>
        <v>CALYA</v>
      </c>
      <c r="I53" s="20" t="str">
        <f>VLOOKUP(U53,'[1]KODE TYPE standar'!$D:$U,16,0)</f>
        <v>CALYA</v>
      </c>
      <c r="J53" s="20" t="str">
        <f>VLOOKUP(U53,'[1]KODE TYPE standar'!$D:$U,18,0)</f>
        <v>CALYA G M/T</v>
      </c>
      <c r="K53" s="27" t="s">
        <v>120</v>
      </c>
      <c r="L53" s="27" t="s">
        <v>110</v>
      </c>
      <c r="M53" s="27" t="s">
        <v>262</v>
      </c>
      <c r="N53" s="27" t="s">
        <v>140</v>
      </c>
      <c r="O53" s="28" t="s">
        <v>156</v>
      </c>
      <c r="P53" s="29" t="s">
        <v>149</v>
      </c>
      <c r="Q53" s="29" t="s">
        <v>161</v>
      </c>
      <c r="R53" s="29" t="s">
        <v>597</v>
      </c>
      <c r="S53" s="27" t="s">
        <v>524</v>
      </c>
      <c r="T53" s="27" t="s">
        <v>509</v>
      </c>
      <c r="U53" s="27" t="s">
        <v>268</v>
      </c>
      <c r="V53" s="27" t="s">
        <v>269</v>
      </c>
      <c r="W53" s="27" t="s">
        <v>270</v>
      </c>
      <c r="X53" s="27" t="s">
        <v>1210</v>
      </c>
      <c r="Y53" s="27" t="s">
        <v>1211</v>
      </c>
      <c r="Z53" s="27" t="s">
        <v>523</v>
      </c>
      <c r="AA53" s="27" t="s">
        <v>524</v>
      </c>
      <c r="AB53" s="27" t="s">
        <v>509</v>
      </c>
      <c r="AC53" s="27" t="s">
        <v>1212</v>
      </c>
      <c r="AD53" s="27" t="s">
        <v>1213</v>
      </c>
      <c r="AE53" s="27" t="s">
        <v>110</v>
      </c>
      <c r="AF53" s="27" t="s">
        <v>1213</v>
      </c>
      <c r="AG53" s="27" t="s">
        <v>1214</v>
      </c>
      <c r="AH53" s="27" t="s">
        <v>1215</v>
      </c>
      <c r="AI53" s="27" t="s">
        <v>140</v>
      </c>
      <c r="AJ53" s="27" t="s">
        <v>262</v>
      </c>
      <c r="AK53" s="27" t="s">
        <v>1216</v>
      </c>
      <c r="AL53" s="27"/>
      <c r="AM53" s="34">
        <v>181900000</v>
      </c>
      <c r="AN53" s="34">
        <v>139341518</v>
      </c>
      <c r="AO53" s="34">
        <v>25837500</v>
      </c>
      <c r="AP53" s="34">
        <v>15649553</v>
      </c>
      <c r="AQ53" s="34">
        <v>0</v>
      </c>
      <c r="AR53" s="34">
        <v>0</v>
      </c>
      <c r="AS53" s="34">
        <v>8928571</v>
      </c>
      <c r="AT53" s="34">
        <v>171900000</v>
      </c>
      <c r="AU53" s="34">
        <v>2000000</v>
      </c>
      <c r="AV53" s="34">
        <v>-10000000</v>
      </c>
      <c r="AW53" s="27" t="s">
        <v>391</v>
      </c>
      <c r="AX53" s="27" t="s">
        <v>391</v>
      </c>
      <c r="AY53" s="27" t="s">
        <v>83</v>
      </c>
      <c r="AZ53" s="27">
        <v>1</v>
      </c>
      <c r="BA53" s="27"/>
      <c r="BB53" s="27" t="s">
        <v>394</v>
      </c>
      <c r="BC53" s="27" t="s">
        <v>1217</v>
      </c>
      <c r="BD53" s="27" t="s">
        <v>298</v>
      </c>
      <c r="BE53" s="27" t="s">
        <v>298</v>
      </c>
      <c r="BF53" s="27" t="s">
        <v>1218</v>
      </c>
      <c r="BG53" s="27" t="s">
        <v>1219</v>
      </c>
      <c r="BH53" s="27" t="s">
        <v>360</v>
      </c>
      <c r="BI53" s="27" t="s">
        <v>411</v>
      </c>
      <c r="BJ53" s="27" t="s">
        <v>1220</v>
      </c>
      <c r="BK53" s="27" t="s">
        <v>242</v>
      </c>
      <c r="BL53" s="27" t="s">
        <v>1221</v>
      </c>
      <c r="BM53" s="35">
        <v>0</v>
      </c>
    </row>
    <row r="54" spans="1:65" s="1" customFormat="1" x14ac:dyDescent="0.2">
      <c r="A54" s="33">
        <v>308</v>
      </c>
      <c r="B54" s="26">
        <v>146</v>
      </c>
      <c r="C54" s="27" t="s">
        <v>503</v>
      </c>
      <c r="D54" s="27" t="s">
        <v>1222</v>
      </c>
      <c r="E54" s="27" t="s">
        <v>221</v>
      </c>
      <c r="F54" s="27" t="s">
        <v>258</v>
      </c>
      <c r="G54" s="28">
        <v>2026</v>
      </c>
      <c r="H54" s="20" t="str">
        <f>VLOOKUP(U54,'[1]KODE TYPE standar'!$D:$U,17,0)</f>
        <v>AGYA</v>
      </c>
      <c r="I54" s="20" t="str">
        <f>VLOOKUP(U54,'[1]KODE TYPE standar'!$D:$U,16,0)</f>
        <v>AGYA</v>
      </c>
      <c r="J54" s="20" t="str">
        <f>VLOOKUP(U54,'[1]KODE TYPE standar'!$D:$U,18,0)</f>
        <v>AGYA G A/T</v>
      </c>
      <c r="K54" s="27" t="s">
        <v>119</v>
      </c>
      <c r="L54" s="27" t="s">
        <v>110</v>
      </c>
      <c r="M54" s="27" t="s">
        <v>262</v>
      </c>
      <c r="N54" s="27" t="s">
        <v>106</v>
      </c>
      <c r="O54" s="28" t="s">
        <v>156</v>
      </c>
      <c r="P54" s="29" t="s">
        <v>150</v>
      </c>
      <c r="Q54" s="29" t="s">
        <v>147</v>
      </c>
      <c r="R54" s="29" t="s">
        <v>318</v>
      </c>
      <c r="S54" s="27" t="s">
        <v>1171</v>
      </c>
      <c r="T54" s="27" t="s">
        <v>509</v>
      </c>
      <c r="U54" s="27" t="s">
        <v>74</v>
      </c>
      <c r="V54" s="27" t="s">
        <v>376</v>
      </c>
      <c r="W54" s="27" t="s">
        <v>377</v>
      </c>
      <c r="X54" s="27" t="s">
        <v>1223</v>
      </c>
      <c r="Y54" s="27" t="s">
        <v>1224</v>
      </c>
      <c r="Z54" s="27" t="s">
        <v>1170</v>
      </c>
      <c r="AA54" s="27" t="s">
        <v>1171</v>
      </c>
      <c r="AB54" s="27" t="s">
        <v>509</v>
      </c>
      <c r="AC54" s="27" t="s">
        <v>1225</v>
      </c>
      <c r="AD54" s="27" t="s">
        <v>1226</v>
      </c>
      <c r="AE54" s="27" t="s">
        <v>110</v>
      </c>
      <c r="AF54" s="27" t="s">
        <v>1226</v>
      </c>
      <c r="AG54" s="27" t="s">
        <v>1227</v>
      </c>
      <c r="AH54" s="27" t="s">
        <v>573</v>
      </c>
      <c r="AI54" s="27" t="s">
        <v>106</v>
      </c>
      <c r="AJ54" s="27" t="s">
        <v>262</v>
      </c>
      <c r="AK54" s="27" t="s">
        <v>89</v>
      </c>
      <c r="AL54" s="27" t="s">
        <v>1228</v>
      </c>
      <c r="AM54" s="34">
        <v>200500000</v>
      </c>
      <c r="AN54" s="34">
        <v>154095982</v>
      </c>
      <c r="AO54" s="34">
        <v>27912500</v>
      </c>
      <c r="AP54" s="34">
        <v>17420089</v>
      </c>
      <c r="AQ54" s="34">
        <v>0</v>
      </c>
      <c r="AR54" s="34">
        <v>0</v>
      </c>
      <c r="AS54" s="34">
        <v>8928571</v>
      </c>
      <c r="AT54" s="34">
        <v>190500000</v>
      </c>
      <c r="AU54" s="34">
        <v>0</v>
      </c>
      <c r="AV54" s="34">
        <v>-10000000</v>
      </c>
      <c r="AW54" s="27"/>
      <c r="AX54" s="27"/>
      <c r="AY54" s="27" t="s">
        <v>83</v>
      </c>
      <c r="AZ54" s="27">
        <v>1</v>
      </c>
      <c r="BA54" s="27"/>
      <c r="BB54" s="27" t="s">
        <v>219</v>
      </c>
      <c r="BC54" s="27" t="s">
        <v>1229</v>
      </c>
      <c r="BD54" s="27" t="s">
        <v>278</v>
      </c>
      <c r="BE54" s="27" t="s">
        <v>278</v>
      </c>
      <c r="BF54" s="27" t="s">
        <v>1230</v>
      </c>
      <c r="BG54" s="27" t="s">
        <v>1231</v>
      </c>
      <c r="BH54" s="27" t="s">
        <v>221</v>
      </c>
      <c r="BI54" s="27" t="s">
        <v>246</v>
      </c>
      <c r="BJ54" s="27" t="s">
        <v>1232</v>
      </c>
      <c r="BK54" s="27" t="s">
        <v>241</v>
      </c>
      <c r="BL54" s="27" t="s">
        <v>1233</v>
      </c>
      <c r="BM54" s="35">
        <v>0</v>
      </c>
    </row>
    <row r="55" spans="1:65" s="1" customFormat="1" x14ac:dyDescent="0.2">
      <c r="A55" s="25">
        <v>278</v>
      </c>
      <c r="B55" s="26">
        <v>146</v>
      </c>
      <c r="C55" s="27" t="s">
        <v>503</v>
      </c>
      <c r="D55" s="28" t="s">
        <v>1234</v>
      </c>
      <c r="E55" s="28" t="s">
        <v>263</v>
      </c>
      <c r="F55" s="28" t="s">
        <v>339</v>
      </c>
      <c r="G55" s="28">
        <v>2026</v>
      </c>
      <c r="H55" s="20" t="str">
        <f>VLOOKUP(U55,'[1]KODE TYPE standar'!$D:$U,17,0)</f>
        <v>AVANZA</v>
      </c>
      <c r="I55" s="20" t="str">
        <f>VLOOKUP(U55,'[1]KODE TYPE standar'!$D:$U,16,0)</f>
        <v>AVANZA</v>
      </c>
      <c r="J55" s="20" t="str">
        <f>VLOOKUP(U55,'[1]KODE TYPE standar'!$D:$U,18,0)</f>
        <v>AVANZA E A/T</v>
      </c>
      <c r="K55" s="27" t="s">
        <v>118</v>
      </c>
      <c r="L55" s="28" t="s">
        <v>110</v>
      </c>
      <c r="M55" s="28" t="s">
        <v>262</v>
      </c>
      <c r="N55" s="28" t="s">
        <v>167</v>
      </c>
      <c r="O55" s="28" t="s">
        <v>6581</v>
      </c>
      <c r="P55" s="29" t="s">
        <v>151</v>
      </c>
      <c r="Q55" s="29" t="s">
        <v>161</v>
      </c>
      <c r="R55" s="29" t="s">
        <v>145</v>
      </c>
      <c r="S55" s="28" t="s">
        <v>892</v>
      </c>
      <c r="T55" s="28" t="s">
        <v>541</v>
      </c>
      <c r="U55" s="27" t="s">
        <v>84</v>
      </c>
      <c r="V55" s="27" t="s">
        <v>269</v>
      </c>
      <c r="W55" s="27" t="s">
        <v>270</v>
      </c>
      <c r="X55" s="28" t="s">
        <v>1235</v>
      </c>
      <c r="Y55" s="27" t="s">
        <v>1236</v>
      </c>
      <c r="Z55" s="28" t="s">
        <v>891</v>
      </c>
      <c r="AA55" s="28" t="s">
        <v>892</v>
      </c>
      <c r="AB55" s="28" t="s">
        <v>541</v>
      </c>
      <c r="AC55" s="28" t="s">
        <v>1237</v>
      </c>
      <c r="AD55" s="28" t="s">
        <v>1238</v>
      </c>
      <c r="AE55" s="28" t="s">
        <v>110</v>
      </c>
      <c r="AF55" s="28" t="s">
        <v>1238</v>
      </c>
      <c r="AG55" s="28" t="s">
        <v>1239</v>
      </c>
      <c r="AH55" s="28" t="s">
        <v>1240</v>
      </c>
      <c r="AI55" s="28" t="s">
        <v>167</v>
      </c>
      <c r="AJ55" s="28" t="s">
        <v>262</v>
      </c>
      <c r="AK55" s="28" t="s">
        <v>63</v>
      </c>
      <c r="AL55" s="28" t="s">
        <v>1241</v>
      </c>
      <c r="AM55" s="31">
        <v>259600000</v>
      </c>
      <c r="AN55" s="31">
        <v>200968750</v>
      </c>
      <c r="AO55" s="31">
        <v>34515000</v>
      </c>
      <c r="AP55" s="31">
        <v>22401964</v>
      </c>
      <c r="AQ55" s="31">
        <v>0</v>
      </c>
      <c r="AR55" s="31">
        <v>0</v>
      </c>
      <c r="AS55" s="31">
        <v>14285714</v>
      </c>
      <c r="AT55" s="31">
        <v>243600000</v>
      </c>
      <c r="AU55" s="31">
        <v>0</v>
      </c>
      <c r="AV55" s="31">
        <v>-16000000</v>
      </c>
      <c r="AW55" s="28" t="s">
        <v>244</v>
      </c>
      <c r="AX55" s="28" t="s">
        <v>244</v>
      </c>
      <c r="AY55" s="28" t="s">
        <v>83</v>
      </c>
      <c r="AZ55" s="28">
        <v>1</v>
      </c>
      <c r="BA55" s="28"/>
      <c r="BB55" s="28" t="s">
        <v>197</v>
      </c>
      <c r="BC55" s="28" t="s">
        <v>1242</v>
      </c>
      <c r="BD55" s="28" t="s">
        <v>197</v>
      </c>
      <c r="BE55" s="28" t="s">
        <v>197</v>
      </c>
      <c r="BF55" s="28" t="s">
        <v>1243</v>
      </c>
      <c r="BG55" s="28" t="s">
        <v>1244</v>
      </c>
      <c r="BH55" s="28" t="s">
        <v>263</v>
      </c>
      <c r="BI55" s="28" t="s">
        <v>265</v>
      </c>
      <c r="BJ55" s="28" t="s">
        <v>1245</v>
      </c>
      <c r="BK55" s="28" t="s">
        <v>197</v>
      </c>
      <c r="BL55" s="28" t="s">
        <v>1246</v>
      </c>
      <c r="BM55" s="32">
        <v>0</v>
      </c>
    </row>
    <row r="56" spans="1:65" s="1" customFormat="1" x14ac:dyDescent="0.2">
      <c r="A56" s="33">
        <v>260</v>
      </c>
      <c r="B56" s="26">
        <v>146</v>
      </c>
      <c r="C56" s="27" t="s">
        <v>503</v>
      </c>
      <c r="D56" s="27" t="s">
        <v>1247</v>
      </c>
      <c r="E56" s="27" t="s">
        <v>183</v>
      </c>
      <c r="F56" s="27" t="s">
        <v>111</v>
      </c>
      <c r="G56" s="28">
        <v>2026</v>
      </c>
      <c r="H56" s="20" t="str">
        <f>VLOOKUP(U56,'[1]KODE TYPE standar'!$D:$U,17,0)</f>
        <v>INV ZENIX HYBRID</v>
      </c>
      <c r="I56" s="20" t="str">
        <f>VLOOKUP(U56,'[1]KODE TYPE standar'!$D:$U,16,0)</f>
        <v>INNOVA</v>
      </c>
      <c r="J56" s="20" t="str">
        <f>VLOOKUP(U56,'[1]KODE TYPE standar'!$D:$U,18,0)</f>
        <v>INNOVA ZENIX V A/T HYBRID</v>
      </c>
      <c r="K56" s="27" t="s">
        <v>118</v>
      </c>
      <c r="L56" s="27" t="s">
        <v>110</v>
      </c>
      <c r="M56" s="27" t="s">
        <v>262</v>
      </c>
      <c r="N56" s="27" t="s">
        <v>141</v>
      </c>
      <c r="O56" s="28" t="s">
        <v>156</v>
      </c>
      <c r="P56" s="29" t="s">
        <v>1248</v>
      </c>
      <c r="Q56" s="29" t="s">
        <v>162</v>
      </c>
      <c r="R56" s="29" t="s">
        <v>145</v>
      </c>
      <c r="S56" s="27" t="s">
        <v>631</v>
      </c>
      <c r="T56" s="27" t="s">
        <v>541</v>
      </c>
      <c r="U56" s="27" t="s">
        <v>1249</v>
      </c>
      <c r="V56" s="27" t="s">
        <v>93</v>
      </c>
      <c r="W56" s="27" t="s">
        <v>81</v>
      </c>
      <c r="X56" s="27" t="s">
        <v>1250</v>
      </c>
      <c r="Y56" s="27" t="s">
        <v>1251</v>
      </c>
      <c r="Z56" s="27" t="s">
        <v>630</v>
      </c>
      <c r="AA56" s="27" t="s">
        <v>631</v>
      </c>
      <c r="AB56" s="27" t="s">
        <v>541</v>
      </c>
      <c r="AC56" s="27" t="s">
        <v>1252</v>
      </c>
      <c r="AD56" s="27" t="s">
        <v>1253</v>
      </c>
      <c r="AE56" s="27" t="s">
        <v>110</v>
      </c>
      <c r="AF56" s="27" t="s">
        <v>1254</v>
      </c>
      <c r="AG56" s="27" t="s">
        <v>1255</v>
      </c>
      <c r="AH56" s="27" t="s">
        <v>636</v>
      </c>
      <c r="AI56" s="27" t="s">
        <v>141</v>
      </c>
      <c r="AJ56" s="27" t="s">
        <v>262</v>
      </c>
      <c r="AK56" s="27" t="s">
        <v>63</v>
      </c>
      <c r="AL56" s="27" t="s">
        <v>1256</v>
      </c>
      <c r="AM56" s="34">
        <v>551700000</v>
      </c>
      <c r="AN56" s="34">
        <v>428470982</v>
      </c>
      <c r="AO56" s="34">
        <v>71812500</v>
      </c>
      <c r="AP56" s="34">
        <v>47130803</v>
      </c>
      <c r="AQ56" s="34">
        <v>0</v>
      </c>
      <c r="AR56" s="34">
        <v>0</v>
      </c>
      <c r="AS56" s="34">
        <v>35714286</v>
      </c>
      <c r="AT56" s="34">
        <v>511700000</v>
      </c>
      <c r="AU56" s="34">
        <v>0</v>
      </c>
      <c r="AV56" s="34">
        <v>-43379950</v>
      </c>
      <c r="AW56" s="27" t="s">
        <v>217</v>
      </c>
      <c r="AX56" s="27" t="s">
        <v>217</v>
      </c>
      <c r="AY56" s="27" t="s">
        <v>83</v>
      </c>
      <c r="AZ56" s="27">
        <v>1</v>
      </c>
      <c r="BA56" s="27"/>
      <c r="BB56" s="27" t="s">
        <v>182</v>
      </c>
      <c r="BC56" s="27" t="s">
        <v>1257</v>
      </c>
      <c r="BD56" s="27" t="s">
        <v>182</v>
      </c>
      <c r="BE56" s="27" t="s">
        <v>182</v>
      </c>
      <c r="BF56" s="27" t="s">
        <v>1258</v>
      </c>
      <c r="BG56" s="27" t="s">
        <v>1259</v>
      </c>
      <c r="BH56" s="27" t="s">
        <v>183</v>
      </c>
      <c r="BI56" s="27" t="s">
        <v>234</v>
      </c>
      <c r="BJ56" s="27" t="s">
        <v>1260</v>
      </c>
      <c r="BK56" s="27" t="s">
        <v>1261</v>
      </c>
      <c r="BL56" s="27" t="s">
        <v>1262</v>
      </c>
      <c r="BM56" s="35">
        <v>0</v>
      </c>
    </row>
    <row r="57" spans="1:65" s="1" customFormat="1" x14ac:dyDescent="0.2">
      <c r="A57" s="33">
        <v>261</v>
      </c>
      <c r="B57" s="26">
        <v>146</v>
      </c>
      <c r="C57" s="27" t="s">
        <v>503</v>
      </c>
      <c r="D57" s="27" t="s">
        <v>1263</v>
      </c>
      <c r="E57" s="27" t="s">
        <v>182</v>
      </c>
      <c r="F57" s="27" t="s">
        <v>111</v>
      </c>
      <c r="G57" s="28">
        <v>2026</v>
      </c>
      <c r="H57" s="20" t="str">
        <f>VLOOKUP(U57,'[1]KODE TYPE standar'!$D:$U,17,0)</f>
        <v>HIACE</v>
      </c>
      <c r="I57" s="20" t="str">
        <f>VLOOKUP(U57,'[1]KODE TYPE standar'!$D:$U,16,0)</f>
        <v>HIACE</v>
      </c>
      <c r="J57" s="20" t="str">
        <f>VLOOKUP(U57,'[1]KODE TYPE standar'!$D:$U,18,0)</f>
        <v>HIACE COMM</v>
      </c>
      <c r="K57" s="27" t="s">
        <v>119</v>
      </c>
      <c r="L57" s="27" t="s">
        <v>110</v>
      </c>
      <c r="M57" s="27" t="s">
        <v>262</v>
      </c>
      <c r="N57" s="27" t="s">
        <v>141</v>
      </c>
      <c r="O57" s="28" t="s">
        <v>156</v>
      </c>
      <c r="P57" s="29" t="s">
        <v>149</v>
      </c>
      <c r="Q57" s="29" t="s">
        <v>161</v>
      </c>
      <c r="R57" s="29" t="s">
        <v>1264</v>
      </c>
      <c r="S57" s="27" t="s">
        <v>601</v>
      </c>
      <c r="T57" s="27" t="s">
        <v>509</v>
      </c>
      <c r="U57" s="27" t="s">
        <v>334</v>
      </c>
      <c r="V57" s="27" t="s">
        <v>99</v>
      </c>
      <c r="W57" s="27" t="s">
        <v>61</v>
      </c>
      <c r="X57" s="27" t="s">
        <v>1265</v>
      </c>
      <c r="Y57" s="27" t="s">
        <v>1266</v>
      </c>
      <c r="Z57" s="27" t="s">
        <v>600</v>
      </c>
      <c r="AA57" s="27" t="s">
        <v>601</v>
      </c>
      <c r="AB57" s="27" t="s">
        <v>509</v>
      </c>
      <c r="AC57" s="27" t="s">
        <v>1267</v>
      </c>
      <c r="AD57" s="27" t="s">
        <v>1268</v>
      </c>
      <c r="AE57" s="27" t="s">
        <v>110</v>
      </c>
      <c r="AF57" s="27" t="s">
        <v>1268</v>
      </c>
      <c r="AG57" s="27" t="s">
        <v>1269</v>
      </c>
      <c r="AH57" s="27" t="s">
        <v>605</v>
      </c>
      <c r="AI57" s="27" t="s">
        <v>141</v>
      </c>
      <c r="AJ57" s="27" t="s">
        <v>262</v>
      </c>
      <c r="AK57" s="27" t="s">
        <v>89</v>
      </c>
      <c r="AL57" s="27" t="s">
        <v>1270</v>
      </c>
      <c r="AM57" s="34">
        <v>578100000</v>
      </c>
      <c r="AN57" s="34">
        <v>451520270</v>
      </c>
      <c r="AO57" s="34">
        <v>76912500</v>
      </c>
      <c r="AP57" s="34">
        <v>45604166</v>
      </c>
      <c r="AQ57" s="34">
        <v>0</v>
      </c>
      <c r="AR57" s="34">
        <v>0</v>
      </c>
      <c r="AS57" s="34">
        <v>36936937</v>
      </c>
      <c r="AT57" s="34">
        <v>537100000</v>
      </c>
      <c r="AU57" s="34">
        <v>0</v>
      </c>
      <c r="AV57" s="34">
        <v>-41000000</v>
      </c>
      <c r="AW57" s="27" t="s">
        <v>183</v>
      </c>
      <c r="AX57" s="27" t="s">
        <v>183</v>
      </c>
      <c r="AY57" s="27" t="s">
        <v>83</v>
      </c>
      <c r="AZ57" s="27">
        <v>1</v>
      </c>
      <c r="BA57" s="27" t="s">
        <v>163</v>
      </c>
      <c r="BB57" s="27" t="s">
        <v>196</v>
      </c>
      <c r="BC57" s="27" t="s">
        <v>1271</v>
      </c>
      <c r="BD57" s="27" t="s">
        <v>196</v>
      </c>
      <c r="BE57" s="27" t="s">
        <v>196</v>
      </c>
      <c r="BF57" s="27" t="s">
        <v>1272</v>
      </c>
      <c r="BG57" s="27" t="s">
        <v>1273</v>
      </c>
      <c r="BH57" s="27" t="s">
        <v>182</v>
      </c>
      <c r="BI57" s="27" t="s">
        <v>229</v>
      </c>
      <c r="BJ57" s="27" t="s">
        <v>1274</v>
      </c>
      <c r="BK57" s="27" t="s">
        <v>203</v>
      </c>
      <c r="BL57" s="27" t="s">
        <v>1275</v>
      </c>
      <c r="BM57" s="35">
        <v>0</v>
      </c>
    </row>
    <row r="58" spans="1:65" s="1" customFormat="1" x14ac:dyDescent="0.2">
      <c r="A58" s="33">
        <v>329</v>
      </c>
      <c r="B58" s="26">
        <v>146</v>
      </c>
      <c r="C58" s="36" t="s">
        <v>503</v>
      </c>
      <c r="D58" s="27" t="s">
        <v>1276</v>
      </c>
      <c r="E58" s="27" t="s">
        <v>391</v>
      </c>
      <c r="F58" s="27" t="s">
        <v>389</v>
      </c>
      <c r="G58" s="28">
        <v>2026</v>
      </c>
      <c r="H58" s="20" t="str">
        <f>VLOOKUP(U58,'[1]KODE TYPE standar'!$D:$U,17,0)</f>
        <v>INV ZENIX HYBRID</v>
      </c>
      <c r="I58" s="20" t="str">
        <f>VLOOKUP(U58,'[1]KODE TYPE standar'!$D:$U,16,0)</f>
        <v>INNOVA</v>
      </c>
      <c r="J58" s="20" t="str">
        <f>VLOOKUP(U58,'[1]KODE TYPE standar'!$D:$U,18,0)</f>
        <v>INNOVA ZENIX Q A/T HYBRID</v>
      </c>
      <c r="K58" s="27" t="s">
        <v>118</v>
      </c>
      <c r="L58" s="27" t="s">
        <v>110</v>
      </c>
      <c r="M58" s="27" t="s">
        <v>262</v>
      </c>
      <c r="N58" s="27" t="s">
        <v>87</v>
      </c>
      <c r="O58" s="28" t="s">
        <v>6581</v>
      </c>
      <c r="P58" s="29" t="s">
        <v>150</v>
      </c>
      <c r="Q58" s="29" t="s">
        <v>162</v>
      </c>
      <c r="R58" s="29" t="s">
        <v>597</v>
      </c>
      <c r="S58" s="27" t="s">
        <v>795</v>
      </c>
      <c r="T58" s="27" t="s">
        <v>509</v>
      </c>
      <c r="U58" s="27" t="s">
        <v>174</v>
      </c>
      <c r="V58" s="27" t="s">
        <v>48</v>
      </c>
      <c r="W58" s="27" t="s">
        <v>49</v>
      </c>
      <c r="X58" s="27" t="s">
        <v>1277</v>
      </c>
      <c r="Y58" s="27" t="s">
        <v>1278</v>
      </c>
      <c r="Z58" s="27" t="s">
        <v>794</v>
      </c>
      <c r="AA58" s="27" t="s">
        <v>795</v>
      </c>
      <c r="AB58" s="27" t="s">
        <v>509</v>
      </c>
      <c r="AC58" s="27" t="s">
        <v>1279</v>
      </c>
      <c r="AD58" s="27" t="s">
        <v>1280</v>
      </c>
      <c r="AE58" s="27" t="s">
        <v>110</v>
      </c>
      <c r="AF58" s="27" t="s">
        <v>1280</v>
      </c>
      <c r="AG58" s="27" t="s">
        <v>1281</v>
      </c>
      <c r="AH58" s="27" t="s">
        <v>287</v>
      </c>
      <c r="AI58" s="27" t="s">
        <v>87</v>
      </c>
      <c r="AJ58" s="27" t="s">
        <v>262</v>
      </c>
      <c r="AK58" s="27" t="s">
        <v>63</v>
      </c>
      <c r="AL58" s="27"/>
      <c r="AM58" s="34">
        <v>626900000</v>
      </c>
      <c r="AN58" s="34">
        <v>487454018</v>
      </c>
      <c r="AO58" s="34">
        <v>80951500</v>
      </c>
      <c r="AP58" s="34">
        <v>56244482</v>
      </c>
      <c r="AQ58" s="34">
        <v>0</v>
      </c>
      <c r="AR58" s="34">
        <v>0</v>
      </c>
      <c r="AS58" s="34">
        <v>18750000</v>
      </c>
      <c r="AT58" s="34">
        <v>605900000</v>
      </c>
      <c r="AU58" s="34">
        <v>0</v>
      </c>
      <c r="AV58" s="34">
        <v>-21000000</v>
      </c>
      <c r="AW58" s="27" t="s">
        <v>342</v>
      </c>
      <c r="AX58" s="27" t="s">
        <v>342</v>
      </c>
      <c r="AY58" s="27" t="s">
        <v>83</v>
      </c>
      <c r="AZ58" s="27">
        <v>1</v>
      </c>
      <c r="BA58" s="27"/>
      <c r="BB58" s="27" t="s">
        <v>367</v>
      </c>
      <c r="BC58" s="27" t="s">
        <v>1282</v>
      </c>
      <c r="BD58" s="27" t="s">
        <v>367</v>
      </c>
      <c r="BE58" s="27" t="s">
        <v>367</v>
      </c>
      <c r="BF58" s="27" t="s">
        <v>1283</v>
      </c>
      <c r="BG58" s="27" t="s">
        <v>1284</v>
      </c>
      <c r="BH58" s="27" t="s">
        <v>391</v>
      </c>
      <c r="BI58" s="27" t="s">
        <v>406</v>
      </c>
      <c r="BJ58" s="27" t="s">
        <v>1285</v>
      </c>
      <c r="BK58" s="27" t="s">
        <v>394</v>
      </c>
      <c r="BL58" s="27" t="s">
        <v>1286</v>
      </c>
      <c r="BM58" s="35">
        <v>0</v>
      </c>
    </row>
    <row r="59" spans="1:65" s="1" customFormat="1" x14ac:dyDescent="0.2">
      <c r="A59" s="33">
        <v>264</v>
      </c>
      <c r="B59" s="26">
        <v>146</v>
      </c>
      <c r="C59" s="27" t="s">
        <v>503</v>
      </c>
      <c r="D59" s="27" t="s">
        <v>1287</v>
      </c>
      <c r="E59" s="27" t="s">
        <v>194</v>
      </c>
      <c r="F59" s="27" t="s">
        <v>111</v>
      </c>
      <c r="G59" s="28">
        <v>2026</v>
      </c>
      <c r="H59" s="20" t="str">
        <f>VLOOKUP(U59,'[1]KODE TYPE standar'!$D:$U,17,0)</f>
        <v>INV REBORN</v>
      </c>
      <c r="I59" s="20" t="str">
        <f>VLOOKUP(U59,'[1]KODE TYPE standar'!$D:$U,16,0)</f>
        <v>INNOVA</v>
      </c>
      <c r="J59" s="20" t="str">
        <f>VLOOKUP(U59,'[1]KODE TYPE standar'!$D:$U,18,0)</f>
        <v>INNOVA G A/T DIESEL</v>
      </c>
      <c r="K59" s="27" t="s">
        <v>119</v>
      </c>
      <c r="L59" s="27" t="s">
        <v>110</v>
      </c>
      <c r="M59" s="27" t="s">
        <v>262</v>
      </c>
      <c r="N59" s="27" t="s">
        <v>106</v>
      </c>
      <c r="O59" s="28" t="s">
        <v>156</v>
      </c>
      <c r="P59" s="29" t="s">
        <v>151</v>
      </c>
      <c r="Q59" s="29" t="s">
        <v>162</v>
      </c>
      <c r="R59" s="29" t="s">
        <v>145</v>
      </c>
      <c r="S59" s="27" t="s">
        <v>908</v>
      </c>
      <c r="T59" s="27" t="s">
        <v>509</v>
      </c>
      <c r="U59" s="27" t="s">
        <v>192</v>
      </c>
      <c r="V59" s="27" t="s">
        <v>93</v>
      </c>
      <c r="W59" s="27" t="s">
        <v>81</v>
      </c>
      <c r="X59" s="27" t="s">
        <v>1288</v>
      </c>
      <c r="Y59" s="27" t="s">
        <v>1289</v>
      </c>
      <c r="Z59" s="27" t="s">
        <v>907</v>
      </c>
      <c r="AA59" s="27" t="s">
        <v>908</v>
      </c>
      <c r="AB59" s="27" t="s">
        <v>509</v>
      </c>
      <c r="AC59" s="27" t="s">
        <v>1290</v>
      </c>
      <c r="AD59" s="27" t="s">
        <v>1291</v>
      </c>
      <c r="AE59" s="27" t="s">
        <v>110</v>
      </c>
      <c r="AF59" s="27" t="s">
        <v>1292</v>
      </c>
      <c r="AG59" s="27" t="s">
        <v>1293</v>
      </c>
      <c r="AH59" s="27" t="s">
        <v>1087</v>
      </c>
      <c r="AI59" s="27" t="s">
        <v>106</v>
      </c>
      <c r="AJ59" s="27" t="s">
        <v>262</v>
      </c>
      <c r="AK59" s="27" t="s">
        <v>89</v>
      </c>
      <c r="AL59" s="27" t="s">
        <v>1294</v>
      </c>
      <c r="AM59" s="34">
        <v>442100000</v>
      </c>
      <c r="AN59" s="34">
        <v>342845982</v>
      </c>
      <c r="AO59" s="34">
        <v>58112500</v>
      </c>
      <c r="AP59" s="34">
        <v>38462946</v>
      </c>
      <c r="AQ59" s="34">
        <v>0</v>
      </c>
      <c r="AR59" s="34">
        <v>0</v>
      </c>
      <c r="AS59" s="34">
        <v>22321429</v>
      </c>
      <c r="AT59" s="34">
        <v>417100000</v>
      </c>
      <c r="AU59" s="34">
        <v>0</v>
      </c>
      <c r="AV59" s="34">
        <v>-25000000</v>
      </c>
      <c r="AW59" s="27" t="s">
        <v>199</v>
      </c>
      <c r="AX59" s="27" t="s">
        <v>199</v>
      </c>
      <c r="AY59" s="27" t="s">
        <v>83</v>
      </c>
      <c r="AZ59" s="27">
        <v>1</v>
      </c>
      <c r="BA59" s="27"/>
      <c r="BB59" s="27" t="s">
        <v>194</v>
      </c>
      <c r="BC59" s="27" t="s">
        <v>1295</v>
      </c>
      <c r="BD59" s="27" t="s">
        <v>217</v>
      </c>
      <c r="BE59" s="27" t="s">
        <v>217</v>
      </c>
      <c r="BF59" s="27" t="s">
        <v>1296</v>
      </c>
      <c r="BG59" s="27" t="s">
        <v>1297</v>
      </c>
      <c r="BH59" s="27" t="s">
        <v>194</v>
      </c>
      <c r="BI59" s="27" t="s">
        <v>218</v>
      </c>
      <c r="BJ59" s="27" t="s">
        <v>1298</v>
      </c>
      <c r="BK59" s="27" t="s">
        <v>187</v>
      </c>
      <c r="BL59" s="27" t="s">
        <v>1299</v>
      </c>
      <c r="BM59" s="35">
        <v>0</v>
      </c>
    </row>
    <row r="60" spans="1:65" s="1" customFormat="1" x14ac:dyDescent="0.2">
      <c r="A60" s="33">
        <v>269</v>
      </c>
      <c r="B60" s="26">
        <v>146</v>
      </c>
      <c r="C60" s="27" t="s">
        <v>503</v>
      </c>
      <c r="D60" s="27" t="s">
        <v>1300</v>
      </c>
      <c r="E60" s="27" t="s">
        <v>187</v>
      </c>
      <c r="F60" s="27" t="s">
        <v>111</v>
      </c>
      <c r="G60" s="28">
        <v>2026</v>
      </c>
      <c r="H60" s="20" t="str">
        <f>VLOOKUP(U60,'[1]KODE TYPE standar'!$D:$U,17,0)</f>
        <v>INV ZENIX GAS</v>
      </c>
      <c r="I60" s="20" t="str">
        <f>VLOOKUP(U60,'[1]KODE TYPE standar'!$D:$U,16,0)</f>
        <v>INNOVA</v>
      </c>
      <c r="J60" s="20" t="str">
        <f>VLOOKUP(U60,'[1]KODE TYPE standar'!$D:$U,18,0)</f>
        <v>INNOVA ZENIX V A/T</v>
      </c>
      <c r="K60" s="27" t="s">
        <v>50</v>
      </c>
      <c r="L60" s="27" t="s">
        <v>110</v>
      </c>
      <c r="M60" s="27" t="s">
        <v>50</v>
      </c>
      <c r="N60" s="27" t="s">
        <v>165</v>
      </c>
      <c r="O60" s="28" t="s">
        <v>6581</v>
      </c>
      <c r="P60" s="29" t="s">
        <v>149</v>
      </c>
      <c r="Q60" s="29" t="s">
        <v>161</v>
      </c>
      <c r="R60" s="29" t="s">
        <v>318</v>
      </c>
      <c r="S60" s="27" t="s">
        <v>616</v>
      </c>
      <c r="T60" s="27" t="s">
        <v>585</v>
      </c>
      <c r="U60" s="27" t="s">
        <v>1301</v>
      </c>
      <c r="V60" s="27" t="s">
        <v>93</v>
      </c>
      <c r="W60" s="27" t="s">
        <v>81</v>
      </c>
      <c r="X60" s="27" t="s">
        <v>1302</v>
      </c>
      <c r="Y60" s="27" t="s">
        <v>1303</v>
      </c>
      <c r="Z60" s="27" t="s">
        <v>615</v>
      </c>
      <c r="AA60" s="27" t="s">
        <v>616</v>
      </c>
      <c r="AB60" s="27" t="s">
        <v>585</v>
      </c>
      <c r="AC60" s="27" t="s">
        <v>1304</v>
      </c>
      <c r="AD60" s="27" t="s">
        <v>1305</v>
      </c>
      <c r="AE60" s="27" t="s">
        <v>110</v>
      </c>
      <c r="AF60" s="27" t="s">
        <v>1306</v>
      </c>
      <c r="AG60" s="27" t="s">
        <v>1307</v>
      </c>
      <c r="AH60" s="27" t="s">
        <v>1308</v>
      </c>
      <c r="AI60" s="27" t="s">
        <v>165</v>
      </c>
      <c r="AJ60" s="27" t="s">
        <v>50</v>
      </c>
      <c r="AK60" s="27" t="s">
        <v>50</v>
      </c>
      <c r="AL60" s="27" t="s">
        <v>1309</v>
      </c>
      <c r="AM60" s="34">
        <v>482600000</v>
      </c>
      <c r="AN60" s="34">
        <v>374812500</v>
      </c>
      <c r="AO60" s="34">
        <v>62810000</v>
      </c>
      <c r="AP60" s="34">
        <v>40423928</v>
      </c>
      <c r="AQ60" s="34">
        <v>0</v>
      </c>
      <c r="AR60" s="34">
        <v>0</v>
      </c>
      <c r="AS60" s="34">
        <v>37946429</v>
      </c>
      <c r="AT60" s="34">
        <v>440100000</v>
      </c>
      <c r="AU60" s="34">
        <v>0</v>
      </c>
      <c r="AV60" s="34">
        <v>-42500000</v>
      </c>
      <c r="AW60" s="27" t="s">
        <v>198</v>
      </c>
      <c r="AX60" s="27" t="s">
        <v>198</v>
      </c>
      <c r="AY60" s="27" t="s">
        <v>83</v>
      </c>
      <c r="AZ60" s="27">
        <v>1</v>
      </c>
      <c r="BA60" s="27" t="s">
        <v>163</v>
      </c>
      <c r="BB60" s="27" t="s">
        <v>201</v>
      </c>
      <c r="BC60" s="27" t="s">
        <v>1310</v>
      </c>
      <c r="BD60" s="27" t="s">
        <v>1311</v>
      </c>
      <c r="BE60" s="27" t="s">
        <v>1311</v>
      </c>
      <c r="BF60" s="27" t="s">
        <v>1312</v>
      </c>
      <c r="BG60" s="27" t="s">
        <v>1313</v>
      </c>
      <c r="BH60" s="27" t="s">
        <v>187</v>
      </c>
      <c r="BI60" s="27" t="s">
        <v>191</v>
      </c>
      <c r="BJ60" s="27" t="s">
        <v>1314</v>
      </c>
      <c r="BK60" s="27" t="s">
        <v>1315</v>
      </c>
      <c r="BL60" s="27" t="s">
        <v>1316</v>
      </c>
      <c r="BM60" s="35">
        <v>0</v>
      </c>
    </row>
    <row r="61" spans="1:65" s="1" customFormat="1" x14ac:dyDescent="0.2">
      <c r="A61" s="33">
        <v>326</v>
      </c>
      <c r="B61" s="26">
        <v>146</v>
      </c>
      <c r="C61" s="27" t="s">
        <v>503</v>
      </c>
      <c r="D61" s="27" t="s">
        <v>1317</v>
      </c>
      <c r="E61" s="27" t="s">
        <v>234</v>
      </c>
      <c r="F61" s="27" t="s">
        <v>258</v>
      </c>
      <c r="G61" s="28">
        <v>2026</v>
      </c>
      <c r="H61" s="20" t="str">
        <f>VLOOKUP(U61,'[1]KODE TYPE standar'!$D:$U,17,0)</f>
        <v>RAIZE</v>
      </c>
      <c r="I61" s="20" t="str">
        <f>VLOOKUP(U61,'[1]KODE TYPE standar'!$D:$U,16,0)</f>
        <v>RAIZE</v>
      </c>
      <c r="J61" s="20" t="str">
        <f>VLOOKUP(U61,'[1]KODE TYPE standar'!$D:$U,18,0)</f>
        <v>RAIZE S A/T</v>
      </c>
      <c r="K61" s="27" t="s">
        <v>50</v>
      </c>
      <c r="L61" s="27" t="s">
        <v>110</v>
      </c>
      <c r="M61" s="27" t="s">
        <v>50</v>
      </c>
      <c r="N61" s="27" t="s">
        <v>141</v>
      </c>
      <c r="O61" s="28" t="s">
        <v>156</v>
      </c>
      <c r="P61" s="29" t="s">
        <v>150</v>
      </c>
      <c r="Q61" s="29" t="s">
        <v>161</v>
      </c>
      <c r="R61" s="29" t="s">
        <v>597</v>
      </c>
      <c r="S61" s="27" t="s">
        <v>524</v>
      </c>
      <c r="T61" s="27" t="s">
        <v>509</v>
      </c>
      <c r="U61" s="27" t="s">
        <v>333</v>
      </c>
      <c r="V61" s="27" t="s">
        <v>1318</v>
      </c>
      <c r="W61" s="27" t="s">
        <v>1319</v>
      </c>
      <c r="X61" s="27" t="s">
        <v>1320</v>
      </c>
      <c r="Y61" s="27" t="s">
        <v>1321</v>
      </c>
      <c r="Z61" s="27" t="s">
        <v>523</v>
      </c>
      <c r="AA61" s="27" t="s">
        <v>524</v>
      </c>
      <c r="AB61" s="27" t="s">
        <v>509</v>
      </c>
      <c r="AC61" s="27" t="s">
        <v>1322</v>
      </c>
      <c r="AD61" s="27" t="s">
        <v>1323</v>
      </c>
      <c r="AE61" s="27" t="s">
        <v>110</v>
      </c>
      <c r="AF61" s="27" t="s">
        <v>1323</v>
      </c>
      <c r="AG61" s="27" t="s">
        <v>1324</v>
      </c>
      <c r="AH61" s="27" t="s">
        <v>605</v>
      </c>
      <c r="AI61" s="27" t="s">
        <v>141</v>
      </c>
      <c r="AJ61" s="27" t="s">
        <v>50</v>
      </c>
      <c r="AK61" s="27" t="s">
        <v>50</v>
      </c>
      <c r="AL61" s="27" t="s">
        <v>1325</v>
      </c>
      <c r="AM61" s="34">
        <v>297300000</v>
      </c>
      <c r="AN61" s="34">
        <v>229720982</v>
      </c>
      <c r="AO61" s="34">
        <v>40012500</v>
      </c>
      <c r="AP61" s="34">
        <v>25959375</v>
      </c>
      <c r="AQ61" s="34">
        <v>0</v>
      </c>
      <c r="AR61" s="34">
        <v>0</v>
      </c>
      <c r="AS61" s="34">
        <v>13392857</v>
      </c>
      <c r="AT61" s="34">
        <v>282300000</v>
      </c>
      <c r="AU61" s="34">
        <v>0</v>
      </c>
      <c r="AV61" s="34">
        <v>-15000000</v>
      </c>
      <c r="AW61" s="27" t="s">
        <v>261</v>
      </c>
      <c r="AX61" s="27" t="s">
        <v>261</v>
      </c>
      <c r="AY61" s="27" t="s">
        <v>83</v>
      </c>
      <c r="AZ61" s="27">
        <v>1</v>
      </c>
      <c r="BA61" s="27"/>
      <c r="BB61" s="27" t="s">
        <v>221</v>
      </c>
      <c r="BC61" s="27" t="s">
        <v>1326</v>
      </c>
      <c r="BD61" s="27" t="s">
        <v>219</v>
      </c>
      <c r="BE61" s="27" t="s">
        <v>219</v>
      </c>
      <c r="BF61" s="27" t="s">
        <v>1327</v>
      </c>
      <c r="BG61" s="27" t="s">
        <v>1328</v>
      </c>
      <c r="BH61" s="27" t="s">
        <v>234</v>
      </c>
      <c r="BI61" s="27" t="s">
        <v>227</v>
      </c>
      <c r="BJ61" s="27" t="s">
        <v>1329</v>
      </c>
      <c r="BK61" s="27" t="s">
        <v>211</v>
      </c>
      <c r="BL61" s="27" t="s">
        <v>1330</v>
      </c>
      <c r="BM61" s="35">
        <v>0</v>
      </c>
    </row>
    <row r="62" spans="1:65" s="1" customFormat="1" x14ac:dyDescent="0.2">
      <c r="A62" s="33">
        <v>357</v>
      </c>
      <c r="B62" s="26">
        <v>146</v>
      </c>
      <c r="C62" s="36" t="s">
        <v>503</v>
      </c>
      <c r="D62" s="27" t="s">
        <v>1331</v>
      </c>
      <c r="E62" s="27" t="s">
        <v>366</v>
      </c>
      <c r="F62" s="27" t="s">
        <v>389</v>
      </c>
      <c r="G62" s="28">
        <v>2026</v>
      </c>
      <c r="H62" s="20" t="str">
        <f>VLOOKUP(U62,'[1]KODE TYPE standar'!$D:$U,17,0)</f>
        <v>INV REBORN</v>
      </c>
      <c r="I62" s="20" t="str">
        <f>VLOOKUP(U62,'[1]KODE TYPE standar'!$D:$U,16,0)</f>
        <v>INNOVA</v>
      </c>
      <c r="J62" s="20" t="str">
        <f>VLOOKUP(U62,'[1]KODE TYPE standar'!$D:$U,18,0)</f>
        <v>INNOVA G A/T DIESEL</v>
      </c>
      <c r="K62" s="27" t="s">
        <v>118</v>
      </c>
      <c r="L62" s="27" t="s">
        <v>110</v>
      </c>
      <c r="M62" s="27" t="s">
        <v>262</v>
      </c>
      <c r="N62" s="27" t="s">
        <v>106</v>
      </c>
      <c r="O62" s="28" t="s">
        <v>156</v>
      </c>
      <c r="P62" s="29" t="s">
        <v>151</v>
      </c>
      <c r="Q62" s="29" t="s">
        <v>161</v>
      </c>
      <c r="R62" s="29" t="s">
        <v>612</v>
      </c>
      <c r="S62" s="27" t="s">
        <v>1171</v>
      </c>
      <c r="T62" s="27" t="s">
        <v>509</v>
      </c>
      <c r="U62" s="27" t="s">
        <v>192</v>
      </c>
      <c r="V62" s="27" t="s">
        <v>283</v>
      </c>
      <c r="W62" s="27" t="s">
        <v>284</v>
      </c>
      <c r="X62" s="27" t="s">
        <v>1332</v>
      </c>
      <c r="Y62" s="27" t="s">
        <v>1333</v>
      </c>
      <c r="Z62" s="27" t="s">
        <v>1170</v>
      </c>
      <c r="AA62" s="27" t="s">
        <v>1171</v>
      </c>
      <c r="AB62" s="27" t="s">
        <v>509</v>
      </c>
      <c r="AC62" s="27" t="s">
        <v>1334</v>
      </c>
      <c r="AD62" s="27" t="s">
        <v>1335</v>
      </c>
      <c r="AE62" s="27" t="s">
        <v>110</v>
      </c>
      <c r="AF62" s="27" t="s">
        <v>1335</v>
      </c>
      <c r="AG62" s="27" t="s">
        <v>572</v>
      </c>
      <c r="AH62" s="27" t="s">
        <v>1336</v>
      </c>
      <c r="AI62" s="27" t="s">
        <v>106</v>
      </c>
      <c r="AJ62" s="27" t="s">
        <v>262</v>
      </c>
      <c r="AK62" s="27" t="s">
        <v>63</v>
      </c>
      <c r="AL62" s="27"/>
      <c r="AM62" s="34">
        <v>442100000</v>
      </c>
      <c r="AN62" s="34">
        <v>342622768</v>
      </c>
      <c r="AO62" s="34">
        <v>58362500</v>
      </c>
      <c r="AP62" s="34">
        <v>38864732</v>
      </c>
      <c r="AQ62" s="34">
        <v>0</v>
      </c>
      <c r="AR62" s="34">
        <v>0</v>
      </c>
      <c r="AS62" s="34">
        <v>18750000</v>
      </c>
      <c r="AT62" s="34">
        <v>421100000</v>
      </c>
      <c r="AU62" s="34">
        <v>4453400</v>
      </c>
      <c r="AV62" s="34">
        <v>-21000000</v>
      </c>
      <c r="AW62" s="27"/>
      <c r="AX62" s="27"/>
      <c r="AY62" s="27" t="s">
        <v>83</v>
      </c>
      <c r="AZ62" s="27">
        <v>1</v>
      </c>
      <c r="BA62" s="27"/>
      <c r="BB62" s="27" t="s">
        <v>303</v>
      </c>
      <c r="BC62" s="27" t="s">
        <v>1337</v>
      </c>
      <c r="BD62" s="27" t="s">
        <v>358</v>
      </c>
      <c r="BE62" s="27" t="s">
        <v>358</v>
      </c>
      <c r="BF62" s="27" t="s">
        <v>1338</v>
      </c>
      <c r="BG62" s="27" t="s">
        <v>1339</v>
      </c>
      <c r="BH62" s="27" t="s">
        <v>366</v>
      </c>
      <c r="BI62" s="27" t="s">
        <v>396</v>
      </c>
      <c r="BJ62" s="27" t="s">
        <v>1340</v>
      </c>
      <c r="BK62" s="27" t="s">
        <v>391</v>
      </c>
      <c r="BL62" s="27" t="s">
        <v>1341</v>
      </c>
      <c r="BM62" s="35">
        <v>0</v>
      </c>
    </row>
    <row r="63" spans="1:65" s="1" customFormat="1" x14ac:dyDescent="0.2">
      <c r="A63" s="33">
        <v>358</v>
      </c>
      <c r="B63" s="26">
        <v>146</v>
      </c>
      <c r="C63" s="36" t="s">
        <v>503</v>
      </c>
      <c r="D63" s="27" t="s">
        <v>1342</v>
      </c>
      <c r="E63" s="27" t="s">
        <v>395</v>
      </c>
      <c r="F63" s="27" t="s">
        <v>389</v>
      </c>
      <c r="G63" s="28">
        <v>2026</v>
      </c>
      <c r="H63" s="20" t="str">
        <f>VLOOKUP(U63,'[1]KODE TYPE standar'!$D:$U,17,0)</f>
        <v>CALYA</v>
      </c>
      <c r="I63" s="20" t="str">
        <f>VLOOKUP(U63,'[1]KODE TYPE standar'!$D:$U,16,0)</f>
        <v>CALYA</v>
      </c>
      <c r="J63" s="20" t="str">
        <f>VLOOKUP(U63,'[1]KODE TYPE standar'!$D:$U,18,0)</f>
        <v>CALYA G M/T</v>
      </c>
      <c r="K63" s="27" t="s">
        <v>121</v>
      </c>
      <c r="L63" s="27" t="s">
        <v>110</v>
      </c>
      <c r="M63" s="27" t="s">
        <v>262</v>
      </c>
      <c r="N63" s="27" t="s">
        <v>141</v>
      </c>
      <c r="O63" s="28" t="s">
        <v>156</v>
      </c>
      <c r="P63" s="29" t="s">
        <v>151</v>
      </c>
      <c r="Q63" s="29" t="s">
        <v>162</v>
      </c>
      <c r="R63" s="29" t="s">
        <v>597</v>
      </c>
      <c r="S63" s="27" t="s">
        <v>923</v>
      </c>
      <c r="T63" s="27" t="s">
        <v>541</v>
      </c>
      <c r="U63" s="27" t="s">
        <v>268</v>
      </c>
      <c r="V63" s="27" t="s">
        <v>60</v>
      </c>
      <c r="W63" s="27" t="s">
        <v>61</v>
      </c>
      <c r="X63" s="27" t="s">
        <v>1343</v>
      </c>
      <c r="Y63" s="27" t="s">
        <v>1344</v>
      </c>
      <c r="Z63" s="27" t="s">
        <v>922</v>
      </c>
      <c r="AA63" s="27" t="s">
        <v>923</v>
      </c>
      <c r="AB63" s="27" t="s">
        <v>541</v>
      </c>
      <c r="AC63" s="27" t="s">
        <v>1345</v>
      </c>
      <c r="AD63" s="27" t="s">
        <v>1346</v>
      </c>
      <c r="AE63" s="27" t="s">
        <v>110</v>
      </c>
      <c r="AF63" s="27" t="s">
        <v>1347</v>
      </c>
      <c r="AG63" s="27" t="s">
        <v>1348</v>
      </c>
      <c r="AH63" s="27" t="s">
        <v>1349</v>
      </c>
      <c r="AI63" s="27" t="s">
        <v>141</v>
      </c>
      <c r="AJ63" s="27" t="s">
        <v>262</v>
      </c>
      <c r="AK63" s="27" t="s">
        <v>104</v>
      </c>
      <c r="AL63" s="27"/>
      <c r="AM63" s="34">
        <v>181900000</v>
      </c>
      <c r="AN63" s="34">
        <v>139341518</v>
      </c>
      <c r="AO63" s="34">
        <v>25837500</v>
      </c>
      <c r="AP63" s="34">
        <v>15649553</v>
      </c>
      <c r="AQ63" s="34">
        <v>0</v>
      </c>
      <c r="AR63" s="34">
        <v>0</v>
      </c>
      <c r="AS63" s="34">
        <v>8928571</v>
      </c>
      <c r="AT63" s="34">
        <v>171900000</v>
      </c>
      <c r="AU63" s="34">
        <v>0</v>
      </c>
      <c r="AV63" s="34">
        <v>-10000000</v>
      </c>
      <c r="AW63" s="27" t="s">
        <v>366</v>
      </c>
      <c r="AX63" s="27" t="s">
        <v>366</v>
      </c>
      <c r="AY63" s="27" t="s">
        <v>83</v>
      </c>
      <c r="AZ63" s="27">
        <v>1</v>
      </c>
      <c r="BA63" s="27"/>
      <c r="BB63" s="27" t="s">
        <v>298</v>
      </c>
      <c r="BC63" s="27" t="s">
        <v>1350</v>
      </c>
      <c r="BD63" s="27" t="s">
        <v>298</v>
      </c>
      <c r="BE63" s="27" t="s">
        <v>298</v>
      </c>
      <c r="BF63" s="27" t="s">
        <v>1351</v>
      </c>
      <c r="BG63" s="27" t="s">
        <v>1352</v>
      </c>
      <c r="BH63" s="27" t="s">
        <v>395</v>
      </c>
      <c r="BI63" s="27" t="s">
        <v>407</v>
      </c>
      <c r="BJ63" s="27" t="s">
        <v>1129</v>
      </c>
      <c r="BK63" s="27" t="s">
        <v>404</v>
      </c>
      <c r="BL63" s="27" t="s">
        <v>1353</v>
      </c>
      <c r="BM63" s="35">
        <v>0</v>
      </c>
    </row>
    <row r="64" spans="1:65" s="1" customFormat="1" x14ac:dyDescent="0.2">
      <c r="A64" s="25">
        <v>300</v>
      </c>
      <c r="B64" s="26">
        <v>146</v>
      </c>
      <c r="C64" s="27" t="s">
        <v>503</v>
      </c>
      <c r="D64" s="28" t="s">
        <v>1354</v>
      </c>
      <c r="E64" s="28" t="s">
        <v>242</v>
      </c>
      <c r="F64" s="28" t="s">
        <v>339</v>
      </c>
      <c r="G64" s="28">
        <v>2026</v>
      </c>
      <c r="H64" s="20" t="str">
        <f>VLOOKUP(U64,'[1]KODE TYPE standar'!$D:$U,17,0)</f>
        <v>VELOZ</v>
      </c>
      <c r="I64" s="20" t="str">
        <f>VLOOKUP(U64,'[1]KODE TYPE standar'!$D:$U,16,0)</f>
        <v>VELOZ</v>
      </c>
      <c r="J64" s="20" t="str">
        <f>VLOOKUP(U64,'[1]KODE TYPE standar'!$D:$U,18,0)</f>
        <v>VELOZ V AT HYBRID</v>
      </c>
      <c r="K64" s="27" t="s">
        <v>371</v>
      </c>
      <c r="L64" s="28" t="s">
        <v>110</v>
      </c>
      <c r="M64" s="28" t="s">
        <v>262</v>
      </c>
      <c r="N64" s="28" t="s">
        <v>141</v>
      </c>
      <c r="O64" s="28" t="s">
        <v>156</v>
      </c>
      <c r="P64" s="29" t="s">
        <v>536</v>
      </c>
      <c r="Q64" s="29" t="s">
        <v>162</v>
      </c>
      <c r="R64" s="29" t="s">
        <v>145</v>
      </c>
      <c r="S64" s="28" t="s">
        <v>554</v>
      </c>
      <c r="T64" s="28" t="s">
        <v>509</v>
      </c>
      <c r="U64" s="27" t="s">
        <v>335</v>
      </c>
      <c r="V64" s="27" t="s">
        <v>51</v>
      </c>
      <c r="W64" s="27" t="s">
        <v>286</v>
      </c>
      <c r="X64" s="28" t="s">
        <v>1355</v>
      </c>
      <c r="Y64" s="27" t="s">
        <v>1356</v>
      </c>
      <c r="Z64" s="28" t="s">
        <v>553</v>
      </c>
      <c r="AA64" s="28" t="s">
        <v>554</v>
      </c>
      <c r="AB64" s="28" t="s">
        <v>509</v>
      </c>
      <c r="AC64" s="28" t="s">
        <v>1357</v>
      </c>
      <c r="AD64" s="28" t="s">
        <v>1358</v>
      </c>
      <c r="AE64" s="28" t="s">
        <v>110</v>
      </c>
      <c r="AF64" s="28" t="s">
        <v>1359</v>
      </c>
      <c r="AG64" s="28" t="s">
        <v>1360</v>
      </c>
      <c r="AH64" s="28" t="s">
        <v>1022</v>
      </c>
      <c r="AI64" s="28" t="s">
        <v>141</v>
      </c>
      <c r="AJ64" s="28" t="s">
        <v>262</v>
      </c>
      <c r="AK64" s="28" t="s">
        <v>362</v>
      </c>
      <c r="AL64" s="28" t="s">
        <v>1361</v>
      </c>
      <c r="AM64" s="31">
        <v>304500000</v>
      </c>
      <c r="AN64" s="31">
        <v>235122768</v>
      </c>
      <c r="AO64" s="31">
        <v>41162500</v>
      </c>
      <c r="AP64" s="31">
        <v>28214732</v>
      </c>
      <c r="AQ64" s="31">
        <v>0</v>
      </c>
      <c r="AR64" s="31">
        <v>0</v>
      </c>
      <c r="AS64" s="31">
        <v>0</v>
      </c>
      <c r="AT64" s="31">
        <v>304500000</v>
      </c>
      <c r="AU64" s="31">
        <v>0</v>
      </c>
      <c r="AV64" s="31">
        <v>0</v>
      </c>
      <c r="AW64" s="28" t="s">
        <v>263</v>
      </c>
      <c r="AX64" s="28" t="s">
        <v>263</v>
      </c>
      <c r="AY64" s="28" t="s">
        <v>83</v>
      </c>
      <c r="AZ64" s="28">
        <v>1</v>
      </c>
      <c r="BA64" s="28" t="s">
        <v>1362</v>
      </c>
      <c r="BB64" s="28" t="s">
        <v>231</v>
      </c>
      <c r="BC64" s="28" t="s">
        <v>1363</v>
      </c>
      <c r="BD64" s="28" t="s">
        <v>261</v>
      </c>
      <c r="BE64" s="28" t="s">
        <v>261</v>
      </c>
      <c r="BF64" s="28" t="s">
        <v>1364</v>
      </c>
      <c r="BG64" s="28" t="s">
        <v>1365</v>
      </c>
      <c r="BH64" s="28" t="s">
        <v>242</v>
      </c>
      <c r="BI64" s="28" t="s">
        <v>349</v>
      </c>
      <c r="BJ64" s="28" t="s">
        <v>1366</v>
      </c>
      <c r="BK64" s="28" t="s">
        <v>341</v>
      </c>
      <c r="BL64" s="28" t="s">
        <v>1367</v>
      </c>
      <c r="BM64" s="32">
        <v>0</v>
      </c>
    </row>
    <row r="65" spans="1:65" s="1" customFormat="1" x14ac:dyDescent="0.2">
      <c r="A65" s="33">
        <v>287</v>
      </c>
      <c r="B65" s="26">
        <v>146</v>
      </c>
      <c r="C65" s="27" t="s">
        <v>503</v>
      </c>
      <c r="D65" s="27" t="s">
        <v>1368</v>
      </c>
      <c r="E65" s="27" t="s">
        <v>206</v>
      </c>
      <c r="F65" s="27" t="s">
        <v>111</v>
      </c>
      <c r="G65" s="28">
        <v>2026</v>
      </c>
      <c r="H65" s="20" t="str">
        <f>VLOOKUP(U65,'[1]KODE TYPE standar'!$D:$U,17,0)</f>
        <v>FORTUNER</v>
      </c>
      <c r="I65" s="20" t="str">
        <f>VLOOKUP(U65,'[1]KODE TYPE standar'!$D:$U,16,0)</f>
        <v>FORTUNER</v>
      </c>
      <c r="J65" s="20" t="str">
        <f>VLOOKUP(U65,'[1]KODE TYPE standar'!$D:$U,18,0)</f>
        <v>FORTUNER 4X4 VRZ A/T DIESEL</v>
      </c>
      <c r="K65" s="27" t="s">
        <v>50</v>
      </c>
      <c r="L65" s="27" t="s">
        <v>110</v>
      </c>
      <c r="M65" s="27" t="s">
        <v>50</v>
      </c>
      <c r="N65" s="27" t="s">
        <v>141</v>
      </c>
      <c r="O65" s="28" t="s">
        <v>156</v>
      </c>
      <c r="P65" s="29" t="s">
        <v>319</v>
      </c>
      <c r="Q65" s="29" t="s">
        <v>162</v>
      </c>
      <c r="R65" s="29" t="s">
        <v>145</v>
      </c>
      <c r="S65" s="27" t="s">
        <v>1373</v>
      </c>
      <c r="T65" s="27" t="s">
        <v>509</v>
      </c>
      <c r="U65" s="27" t="s">
        <v>1369</v>
      </c>
      <c r="V65" s="27" t="s">
        <v>48</v>
      </c>
      <c r="W65" s="27" t="s">
        <v>49</v>
      </c>
      <c r="X65" s="27" t="s">
        <v>1370</v>
      </c>
      <c r="Y65" s="27" t="s">
        <v>1371</v>
      </c>
      <c r="Z65" s="27" t="s">
        <v>1372</v>
      </c>
      <c r="AA65" s="27" t="s">
        <v>1373</v>
      </c>
      <c r="AB65" s="27" t="s">
        <v>509</v>
      </c>
      <c r="AC65" s="27" t="s">
        <v>1374</v>
      </c>
      <c r="AD65" s="27" t="s">
        <v>1375</v>
      </c>
      <c r="AE65" s="27" t="s">
        <v>110</v>
      </c>
      <c r="AF65" s="27" t="s">
        <v>1375</v>
      </c>
      <c r="AG65" s="27" t="s">
        <v>1376</v>
      </c>
      <c r="AH65" s="27" t="s">
        <v>1377</v>
      </c>
      <c r="AI65" s="27" t="s">
        <v>141</v>
      </c>
      <c r="AJ65" s="27" t="s">
        <v>50</v>
      </c>
      <c r="AK65" s="27" t="s">
        <v>50</v>
      </c>
      <c r="AL65" s="27" t="s">
        <v>1378</v>
      </c>
      <c r="AM65" s="34">
        <v>789000000</v>
      </c>
      <c r="AN65" s="34">
        <v>613861607</v>
      </c>
      <c r="AO65" s="34">
        <v>101475000</v>
      </c>
      <c r="AP65" s="34">
        <v>70449107</v>
      </c>
      <c r="AQ65" s="34">
        <v>0</v>
      </c>
      <c r="AR65" s="34">
        <v>0</v>
      </c>
      <c r="AS65" s="34">
        <v>26785714</v>
      </c>
      <c r="AT65" s="34">
        <v>759000000</v>
      </c>
      <c r="AU65" s="34">
        <v>0</v>
      </c>
      <c r="AV65" s="34">
        <v>-30000000</v>
      </c>
      <c r="AW65" s="27"/>
      <c r="AX65" s="27"/>
      <c r="AY65" s="27" t="s">
        <v>83</v>
      </c>
      <c r="AZ65" s="27">
        <v>1</v>
      </c>
      <c r="BA65" s="27"/>
      <c r="BB65" s="27" t="s">
        <v>206</v>
      </c>
      <c r="BC65" s="27" t="s">
        <v>1379</v>
      </c>
      <c r="BD65" s="27" t="s">
        <v>214</v>
      </c>
      <c r="BE65" s="27" t="s">
        <v>214</v>
      </c>
      <c r="BF65" s="27" t="s">
        <v>1380</v>
      </c>
      <c r="BG65" s="27" t="s">
        <v>1381</v>
      </c>
      <c r="BH65" s="27" t="s">
        <v>206</v>
      </c>
      <c r="BI65" s="27" t="s">
        <v>219</v>
      </c>
      <c r="BJ65" s="27" t="s">
        <v>1382</v>
      </c>
      <c r="BK65" s="27" t="s">
        <v>214</v>
      </c>
      <c r="BL65" s="27" t="s">
        <v>1383</v>
      </c>
      <c r="BM65" s="35">
        <v>0</v>
      </c>
    </row>
    <row r="66" spans="1:65" s="1" customFormat="1" x14ac:dyDescent="0.2">
      <c r="A66" s="25">
        <v>302</v>
      </c>
      <c r="B66" s="26">
        <v>146</v>
      </c>
      <c r="C66" s="27" t="s">
        <v>503</v>
      </c>
      <c r="D66" s="28" t="s">
        <v>1384</v>
      </c>
      <c r="E66" s="28" t="s">
        <v>244</v>
      </c>
      <c r="F66" s="28" t="s">
        <v>339</v>
      </c>
      <c r="G66" s="28">
        <v>2026</v>
      </c>
      <c r="H66" s="20" t="str">
        <f>VLOOKUP(U66,'[1]KODE TYPE standar'!$D:$U,17,0)</f>
        <v>INV ZENIX HYBRID</v>
      </c>
      <c r="I66" s="20" t="str">
        <f>VLOOKUP(U66,'[1]KODE TYPE standar'!$D:$U,16,0)</f>
        <v>INNOVA</v>
      </c>
      <c r="J66" s="20" t="str">
        <f>VLOOKUP(U66,'[1]KODE TYPE standar'!$D:$U,18,0)</f>
        <v>INNOVA ZENIX V A/T HYBRID</v>
      </c>
      <c r="K66" s="27" t="s">
        <v>118</v>
      </c>
      <c r="L66" s="28" t="s">
        <v>110</v>
      </c>
      <c r="M66" s="28" t="s">
        <v>262</v>
      </c>
      <c r="N66" s="28" t="s">
        <v>140</v>
      </c>
      <c r="O66" s="28" t="s">
        <v>156</v>
      </c>
      <c r="P66" s="29" t="s">
        <v>149</v>
      </c>
      <c r="Q66" s="29" t="s">
        <v>161</v>
      </c>
      <c r="R66" s="29" t="s">
        <v>145</v>
      </c>
      <c r="S66" s="27" t="s">
        <v>569</v>
      </c>
      <c r="T66" s="30" t="s">
        <v>509</v>
      </c>
      <c r="U66" s="27" t="s">
        <v>175</v>
      </c>
      <c r="V66" s="27" t="s">
        <v>48</v>
      </c>
      <c r="W66" s="27" t="s">
        <v>49</v>
      </c>
      <c r="X66" s="27" t="s">
        <v>1385</v>
      </c>
      <c r="Y66" s="27" t="s">
        <v>1386</v>
      </c>
      <c r="Z66" s="27" t="s">
        <v>568</v>
      </c>
      <c r="AA66" s="27" t="s">
        <v>569</v>
      </c>
      <c r="AB66" s="30" t="s">
        <v>509</v>
      </c>
      <c r="AC66" s="30" t="s">
        <v>1387</v>
      </c>
      <c r="AD66" s="28" t="s">
        <v>1388</v>
      </c>
      <c r="AE66" s="28" t="s">
        <v>110</v>
      </c>
      <c r="AF66" s="28" t="s">
        <v>1389</v>
      </c>
      <c r="AG66" s="28" t="s">
        <v>1390</v>
      </c>
      <c r="AH66" s="28" t="s">
        <v>1391</v>
      </c>
      <c r="AI66" s="28" t="s">
        <v>140</v>
      </c>
      <c r="AJ66" s="28" t="s">
        <v>262</v>
      </c>
      <c r="AK66" s="28" t="s">
        <v>63</v>
      </c>
      <c r="AL66" s="28"/>
      <c r="AM66" s="31">
        <v>551900000</v>
      </c>
      <c r="AN66" s="31">
        <v>428404018</v>
      </c>
      <c r="AO66" s="31">
        <v>72087500</v>
      </c>
      <c r="AP66" s="31">
        <v>49158482</v>
      </c>
      <c r="AQ66" s="31">
        <v>0</v>
      </c>
      <c r="AR66" s="31">
        <v>0</v>
      </c>
      <c r="AS66" s="31">
        <v>18750000</v>
      </c>
      <c r="AT66" s="31">
        <v>530900000</v>
      </c>
      <c r="AU66" s="31">
        <v>0</v>
      </c>
      <c r="AV66" s="31">
        <v>-21000000</v>
      </c>
      <c r="AW66" s="28" t="s">
        <v>251</v>
      </c>
      <c r="AX66" s="28" t="s">
        <v>251</v>
      </c>
      <c r="AY66" s="28" t="s">
        <v>83</v>
      </c>
      <c r="AZ66" s="28">
        <v>1</v>
      </c>
      <c r="BA66" s="28" t="s">
        <v>163</v>
      </c>
      <c r="BB66" s="28" t="s">
        <v>244</v>
      </c>
      <c r="BC66" s="28" t="s">
        <v>1392</v>
      </c>
      <c r="BD66" s="28" t="s">
        <v>244</v>
      </c>
      <c r="BE66" s="28" t="s">
        <v>244</v>
      </c>
      <c r="BF66" s="28" t="s">
        <v>1393</v>
      </c>
      <c r="BG66" s="28" t="s">
        <v>1394</v>
      </c>
      <c r="BH66" s="28" t="s">
        <v>244</v>
      </c>
      <c r="BI66" s="28" t="s">
        <v>297</v>
      </c>
      <c r="BJ66" s="28" t="s">
        <v>382</v>
      </c>
      <c r="BK66" s="28" t="s">
        <v>186</v>
      </c>
      <c r="BL66" s="28" t="s">
        <v>1395</v>
      </c>
      <c r="BM66" s="32">
        <v>0</v>
      </c>
    </row>
    <row r="67" spans="1:65" s="1" customFormat="1" x14ac:dyDescent="0.2">
      <c r="A67" s="33">
        <v>339</v>
      </c>
      <c r="B67" s="26">
        <v>146</v>
      </c>
      <c r="C67" s="27" t="s">
        <v>503</v>
      </c>
      <c r="D67" s="27" t="s">
        <v>1396</v>
      </c>
      <c r="E67" s="27" t="s">
        <v>278</v>
      </c>
      <c r="F67" s="27" t="s">
        <v>258</v>
      </c>
      <c r="G67" s="28">
        <v>2026</v>
      </c>
      <c r="H67" s="20" t="str">
        <f>VLOOKUP(U67,'[1]KODE TYPE standar'!$D:$U,17,0)</f>
        <v>CALYA</v>
      </c>
      <c r="I67" s="20" t="str">
        <f>VLOOKUP(U67,'[1]KODE TYPE standar'!$D:$U,16,0)</f>
        <v>CALYA</v>
      </c>
      <c r="J67" s="20" t="str">
        <f>VLOOKUP(U67,'[1]KODE TYPE standar'!$D:$U,18,0)</f>
        <v>CALYA G A/T</v>
      </c>
      <c r="K67" s="27" t="s">
        <v>118</v>
      </c>
      <c r="L67" s="27" t="s">
        <v>110</v>
      </c>
      <c r="M67" s="27" t="s">
        <v>262</v>
      </c>
      <c r="N67" s="27" t="s">
        <v>106</v>
      </c>
      <c r="O67" s="28" t="s">
        <v>156</v>
      </c>
      <c r="P67" s="29" t="s">
        <v>149</v>
      </c>
      <c r="Q67" s="29" t="s">
        <v>161</v>
      </c>
      <c r="R67" s="29" t="s">
        <v>145</v>
      </c>
      <c r="S67" s="27" t="s">
        <v>631</v>
      </c>
      <c r="T67" s="27" t="s">
        <v>541</v>
      </c>
      <c r="U67" s="27" t="s">
        <v>88</v>
      </c>
      <c r="V67" s="27" t="s">
        <v>68</v>
      </c>
      <c r="W67" s="27" t="s">
        <v>69</v>
      </c>
      <c r="X67" s="27" t="s">
        <v>1397</v>
      </c>
      <c r="Y67" s="27" t="s">
        <v>1398</v>
      </c>
      <c r="Z67" s="27" t="s">
        <v>630</v>
      </c>
      <c r="AA67" s="27" t="s">
        <v>631</v>
      </c>
      <c r="AB67" s="27" t="s">
        <v>541</v>
      </c>
      <c r="AC67" s="27" t="s">
        <v>1399</v>
      </c>
      <c r="AD67" s="27" t="s">
        <v>1400</v>
      </c>
      <c r="AE67" s="27" t="s">
        <v>110</v>
      </c>
      <c r="AF67" s="27" t="s">
        <v>1400</v>
      </c>
      <c r="AG67" s="27" t="s">
        <v>1401</v>
      </c>
      <c r="AH67" s="27" t="s">
        <v>573</v>
      </c>
      <c r="AI67" s="27" t="s">
        <v>106</v>
      </c>
      <c r="AJ67" s="27" t="s">
        <v>262</v>
      </c>
      <c r="AK67" s="27" t="s">
        <v>63</v>
      </c>
      <c r="AL67" s="27" t="s">
        <v>1402</v>
      </c>
      <c r="AM67" s="34">
        <v>196400000</v>
      </c>
      <c r="AN67" s="34">
        <v>150892857</v>
      </c>
      <c r="AO67" s="34">
        <v>27400000</v>
      </c>
      <c r="AP67" s="34">
        <v>17143928</v>
      </c>
      <c r="AQ67" s="34">
        <v>0</v>
      </c>
      <c r="AR67" s="34">
        <v>0</v>
      </c>
      <c r="AS67" s="34">
        <v>8026786</v>
      </c>
      <c r="AT67" s="34">
        <v>187410000</v>
      </c>
      <c r="AU67" s="34">
        <v>0</v>
      </c>
      <c r="AV67" s="34">
        <v>-9951538</v>
      </c>
      <c r="AW67" s="27" t="s">
        <v>218</v>
      </c>
      <c r="AX67" s="27" t="s">
        <v>218</v>
      </c>
      <c r="AY67" s="27" t="s">
        <v>83</v>
      </c>
      <c r="AZ67" s="27">
        <v>1</v>
      </c>
      <c r="BA67" s="27" t="s">
        <v>1403</v>
      </c>
      <c r="BB67" s="27" t="s">
        <v>241</v>
      </c>
      <c r="BC67" s="27" t="s">
        <v>1404</v>
      </c>
      <c r="BD67" s="27" t="s">
        <v>211</v>
      </c>
      <c r="BE67" s="27" t="s">
        <v>211</v>
      </c>
      <c r="BF67" s="27" t="s">
        <v>1405</v>
      </c>
      <c r="BG67" s="27" t="s">
        <v>1406</v>
      </c>
      <c r="BH67" s="27" t="s">
        <v>278</v>
      </c>
      <c r="BI67" s="27" t="s">
        <v>242</v>
      </c>
      <c r="BJ67" s="27" t="s">
        <v>1407</v>
      </c>
      <c r="BK67" s="27" t="s">
        <v>220</v>
      </c>
      <c r="BL67" s="27" t="s">
        <v>1408</v>
      </c>
      <c r="BM67" s="35">
        <v>0</v>
      </c>
    </row>
    <row r="68" spans="1:65" s="1" customFormat="1" x14ac:dyDescent="0.2">
      <c r="A68" s="33">
        <v>292</v>
      </c>
      <c r="B68" s="26">
        <v>146</v>
      </c>
      <c r="C68" s="27" t="s">
        <v>503</v>
      </c>
      <c r="D68" s="27" t="s">
        <v>1409</v>
      </c>
      <c r="E68" s="27" t="s">
        <v>213</v>
      </c>
      <c r="F68" s="27" t="s">
        <v>111</v>
      </c>
      <c r="G68" s="28">
        <v>2026</v>
      </c>
      <c r="H68" s="20" t="str">
        <f>VLOOKUP(U68,'[1]KODE TYPE standar'!$D:$U,17,0)</f>
        <v>RAIZE</v>
      </c>
      <c r="I68" s="20" t="str">
        <f>VLOOKUP(U68,'[1]KODE TYPE standar'!$D:$U,16,0)</f>
        <v>RAIZE</v>
      </c>
      <c r="J68" s="20" t="str">
        <f>VLOOKUP(U68,'[1]KODE TYPE standar'!$D:$U,18,0)</f>
        <v>RAIZE S A/T</v>
      </c>
      <c r="K68" s="27" t="s">
        <v>119</v>
      </c>
      <c r="L68" s="27" t="s">
        <v>110</v>
      </c>
      <c r="M68" s="27" t="s">
        <v>262</v>
      </c>
      <c r="N68" s="27" t="s">
        <v>158</v>
      </c>
      <c r="O68" s="28" t="s">
        <v>6581</v>
      </c>
      <c r="P68" s="29" t="s">
        <v>151</v>
      </c>
      <c r="Q68" s="29" t="s">
        <v>161</v>
      </c>
      <c r="R68" s="29" t="s">
        <v>597</v>
      </c>
      <c r="S68" s="27" t="s">
        <v>978</v>
      </c>
      <c r="T68" s="27" t="s">
        <v>541</v>
      </c>
      <c r="U68" s="27" t="s">
        <v>333</v>
      </c>
      <c r="V68" s="27" t="s">
        <v>1318</v>
      </c>
      <c r="W68" s="27" t="s">
        <v>1319</v>
      </c>
      <c r="X68" s="27" t="s">
        <v>1410</v>
      </c>
      <c r="Y68" s="27" t="s">
        <v>1411</v>
      </c>
      <c r="Z68" s="27" t="s">
        <v>977</v>
      </c>
      <c r="AA68" s="27" t="s">
        <v>978</v>
      </c>
      <c r="AB68" s="27" t="s">
        <v>541</v>
      </c>
      <c r="AC68" s="27" t="s">
        <v>1412</v>
      </c>
      <c r="AD68" s="27" t="s">
        <v>1413</v>
      </c>
      <c r="AE68" s="27" t="s">
        <v>110</v>
      </c>
      <c r="AF68" s="27" t="s">
        <v>1414</v>
      </c>
      <c r="AG68" s="27" t="s">
        <v>1415</v>
      </c>
      <c r="AH68" s="27" t="s">
        <v>170</v>
      </c>
      <c r="AI68" s="27" t="s">
        <v>158</v>
      </c>
      <c r="AJ68" s="27" t="s">
        <v>262</v>
      </c>
      <c r="AK68" s="27" t="s">
        <v>89</v>
      </c>
      <c r="AL68" s="27"/>
      <c r="AM68" s="34">
        <v>297300000</v>
      </c>
      <c r="AN68" s="34">
        <v>229140625</v>
      </c>
      <c r="AO68" s="34">
        <v>40662500</v>
      </c>
      <c r="AP68" s="34">
        <v>25222767</v>
      </c>
      <c r="AQ68" s="34">
        <v>0</v>
      </c>
      <c r="AR68" s="34">
        <v>0</v>
      </c>
      <c r="AS68" s="34">
        <v>18950893</v>
      </c>
      <c r="AT68" s="34">
        <v>276075000</v>
      </c>
      <c r="AU68" s="34">
        <v>5000000</v>
      </c>
      <c r="AV68" s="34">
        <v>-21225000</v>
      </c>
      <c r="AW68" s="27"/>
      <c r="AX68" s="27"/>
      <c r="AY68" s="27" t="s">
        <v>83</v>
      </c>
      <c r="AZ68" s="27">
        <v>1</v>
      </c>
      <c r="BA68" s="27"/>
      <c r="BB68" s="27" t="s">
        <v>216</v>
      </c>
      <c r="BC68" s="27" t="s">
        <v>1416</v>
      </c>
      <c r="BD68" s="27" t="s">
        <v>186</v>
      </c>
      <c r="BE68" s="27" t="s">
        <v>186</v>
      </c>
      <c r="BF68" s="27" t="s">
        <v>1417</v>
      </c>
      <c r="BG68" s="27" t="s">
        <v>1418</v>
      </c>
      <c r="BH68" s="27"/>
      <c r="BI68" s="27" t="s">
        <v>232</v>
      </c>
      <c r="BJ68" s="27" t="s">
        <v>1419</v>
      </c>
      <c r="BK68" s="27" t="s">
        <v>190</v>
      </c>
      <c r="BL68" s="27" t="s">
        <v>1420</v>
      </c>
      <c r="BM68" s="35">
        <v>0</v>
      </c>
    </row>
    <row r="69" spans="1:65" s="1" customFormat="1" x14ac:dyDescent="0.2">
      <c r="A69" s="25">
        <v>311</v>
      </c>
      <c r="B69" s="26">
        <v>146</v>
      </c>
      <c r="C69" s="27" t="s">
        <v>503</v>
      </c>
      <c r="D69" s="28" t="s">
        <v>1421</v>
      </c>
      <c r="E69" s="28" t="s">
        <v>295</v>
      </c>
      <c r="F69" s="28" t="s">
        <v>339</v>
      </c>
      <c r="G69" s="28">
        <v>2026</v>
      </c>
      <c r="H69" s="20" t="str">
        <f>VLOOKUP(U69,'[1]KODE TYPE standar'!$D:$U,17,0)</f>
        <v>INV REBORN</v>
      </c>
      <c r="I69" s="20" t="str">
        <f>VLOOKUP(U69,'[1]KODE TYPE standar'!$D:$U,16,0)</f>
        <v>INNOVA</v>
      </c>
      <c r="J69" s="20" t="str">
        <f>VLOOKUP(U69,'[1]KODE TYPE standar'!$D:$U,18,0)</f>
        <v>INNOVA G M/T DIESEL</v>
      </c>
      <c r="K69" s="27" t="s">
        <v>118</v>
      </c>
      <c r="L69" s="28" t="s">
        <v>110</v>
      </c>
      <c r="M69" s="28" t="s">
        <v>262</v>
      </c>
      <c r="N69" s="28" t="s">
        <v>141</v>
      </c>
      <c r="O69" s="28" t="s">
        <v>156</v>
      </c>
      <c r="P69" s="29" t="s">
        <v>149</v>
      </c>
      <c r="Q69" s="29" t="s">
        <v>161</v>
      </c>
      <c r="R69" s="29" t="s">
        <v>318</v>
      </c>
      <c r="S69" s="28" t="s">
        <v>647</v>
      </c>
      <c r="T69" s="28" t="s">
        <v>509</v>
      </c>
      <c r="U69" s="27" t="s">
        <v>200</v>
      </c>
      <c r="V69" s="27" t="s">
        <v>283</v>
      </c>
      <c r="W69" s="27" t="s">
        <v>284</v>
      </c>
      <c r="X69" s="28" t="s">
        <v>1422</v>
      </c>
      <c r="Y69" s="27" t="s">
        <v>1423</v>
      </c>
      <c r="Z69" s="28" t="s">
        <v>646</v>
      </c>
      <c r="AA69" s="28" t="s">
        <v>647</v>
      </c>
      <c r="AB69" s="28" t="s">
        <v>509</v>
      </c>
      <c r="AC69" s="28" t="s">
        <v>1424</v>
      </c>
      <c r="AD69" s="28" t="s">
        <v>1425</v>
      </c>
      <c r="AE69" s="28" t="s">
        <v>110</v>
      </c>
      <c r="AF69" s="28" t="s">
        <v>1425</v>
      </c>
      <c r="AG69" s="28" t="s">
        <v>1426</v>
      </c>
      <c r="AH69" s="28" t="s">
        <v>1427</v>
      </c>
      <c r="AI69" s="28" t="s">
        <v>141</v>
      </c>
      <c r="AJ69" s="28" t="s">
        <v>262</v>
      </c>
      <c r="AK69" s="28" t="s">
        <v>63</v>
      </c>
      <c r="AL69" s="28"/>
      <c r="AM69" s="31">
        <v>420300000</v>
      </c>
      <c r="AN69" s="31">
        <v>325591518</v>
      </c>
      <c r="AO69" s="31">
        <v>55637500</v>
      </c>
      <c r="AP69" s="31">
        <v>36820982</v>
      </c>
      <c r="AQ69" s="31">
        <v>0</v>
      </c>
      <c r="AR69" s="31">
        <v>0</v>
      </c>
      <c r="AS69" s="31">
        <v>18750000</v>
      </c>
      <c r="AT69" s="31">
        <v>399300000</v>
      </c>
      <c r="AU69" s="31">
        <v>3200300</v>
      </c>
      <c r="AV69" s="31">
        <v>-21000000</v>
      </c>
      <c r="AW69" s="28"/>
      <c r="AX69" s="28"/>
      <c r="AY69" s="28" t="s">
        <v>83</v>
      </c>
      <c r="AZ69" s="28">
        <v>1</v>
      </c>
      <c r="BA69" s="28"/>
      <c r="BB69" s="28" t="s">
        <v>341</v>
      </c>
      <c r="BC69" s="28" t="s">
        <v>1428</v>
      </c>
      <c r="BD69" s="28" t="s">
        <v>237</v>
      </c>
      <c r="BE69" s="28" t="s">
        <v>237</v>
      </c>
      <c r="BF69" s="28" t="s">
        <v>1429</v>
      </c>
      <c r="BG69" s="28" t="s">
        <v>1430</v>
      </c>
      <c r="BH69" s="28" t="s">
        <v>295</v>
      </c>
      <c r="BI69" s="28" t="s">
        <v>308</v>
      </c>
      <c r="BJ69" s="28" t="s">
        <v>1431</v>
      </c>
      <c r="BK69" s="28" t="s">
        <v>251</v>
      </c>
      <c r="BL69" s="28" t="s">
        <v>1432</v>
      </c>
      <c r="BM69" s="32">
        <v>0</v>
      </c>
    </row>
    <row r="70" spans="1:65" s="1" customFormat="1" x14ac:dyDescent="0.2">
      <c r="A70" s="33">
        <v>296</v>
      </c>
      <c r="B70" s="26">
        <v>146</v>
      </c>
      <c r="C70" s="27" t="s">
        <v>503</v>
      </c>
      <c r="D70" s="27" t="s">
        <v>1433</v>
      </c>
      <c r="E70" s="27" t="s">
        <v>225</v>
      </c>
      <c r="F70" s="27" t="s">
        <v>111</v>
      </c>
      <c r="G70" s="28">
        <v>2026</v>
      </c>
      <c r="H70" s="20" t="str">
        <f>VLOOKUP(U70,'[1]KODE TYPE standar'!$D:$U,17,0)</f>
        <v>INV ZENIX HYBRID</v>
      </c>
      <c r="I70" s="20" t="str">
        <f>VLOOKUP(U70,'[1]KODE TYPE standar'!$D:$U,16,0)</f>
        <v>INNOVA</v>
      </c>
      <c r="J70" s="20" t="str">
        <f>VLOOKUP(U70,'[1]KODE TYPE standar'!$D:$U,18,0)</f>
        <v>INNOVA ZENIX V A/T HYBRID</v>
      </c>
      <c r="K70" s="27" t="s">
        <v>119</v>
      </c>
      <c r="L70" s="27" t="s">
        <v>110</v>
      </c>
      <c r="M70" s="27" t="s">
        <v>262</v>
      </c>
      <c r="N70" s="27" t="s">
        <v>141</v>
      </c>
      <c r="O70" s="28" t="s">
        <v>156</v>
      </c>
      <c r="P70" s="29" t="s">
        <v>1248</v>
      </c>
      <c r="Q70" s="29" t="s">
        <v>162</v>
      </c>
      <c r="R70" s="29" t="s">
        <v>597</v>
      </c>
      <c r="S70" s="27" t="s">
        <v>1437</v>
      </c>
      <c r="T70" s="27" t="s">
        <v>509</v>
      </c>
      <c r="U70" s="27" t="s">
        <v>175</v>
      </c>
      <c r="V70" s="27" t="s">
        <v>48</v>
      </c>
      <c r="W70" s="27" t="s">
        <v>49</v>
      </c>
      <c r="X70" s="27" t="s">
        <v>1434</v>
      </c>
      <c r="Y70" s="27" t="s">
        <v>1435</v>
      </c>
      <c r="Z70" s="27" t="s">
        <v>1436</v>
      </c>
      <c r="AA70" s="27" t="s">
        <v>1437</v>
      </c>
      <c r="AB70" s="27" t="s">
        <v>509</v>
      </c>
      <c r="AC70" s="27" t="s">
        <v>1438</v>
      </c>
      <c r="AD70" s="27" t="s">
        <v>1439</v>
      </c>
      <c r="AE70" s="27" t="s">
        <v>110</v>
      </c>
      <c r="AF70" s="27" t="s">
        <v>1440</v>
      </c>
      <c r="AG70" s="27" t="s">
        <v>1441</v>
      </c>
      <c r="AH70" s="27" t="s">
        <v>1442</v>
      </c>
      <c r="AI70" s="27" t="s">
        <v>141</v>
      </c>
      <c r="AJ70" s="27" t="s">
        <v>262</v>
      </c>
      <c r="AK70" s="27" t="s">
        <v>89</v>
      </c>
      <c r="AL70" s="27" t="s">
        <v>1443</v>
      </c>
      <c r="AM70" s="34">
        <v>551900000</v>
      </c>
      <c r="AN70" s="34">
        <v>428627232</v>
      </c>
      <c r="AO70" s="34">
        <v>71837500</v>
      </c>
      <c r="AP70" s="34">
        <v>49292410</v>
      </c>
      <c r="AQ70" s="34">
        <v>0</v>
      </c>
      <c r="AR70" s="34">
        <v>0</v>
      </c>
      <c r="AS70" s="34">
        <v>17857143</v>
      </c>
      <c r="AT70" s="34">
        <v>531900000</v>
      </c>
      <c r="AU70" s="34">
        <v>0</v>
      </c>
      <c r="AV70" s="34">
        <v>-20000000</v>
      </c>
      <c r="AW70" s="27" t="s">
        <v>204</v>
      </c>
      <c r="AX70" s="27" t="s">
        <v>204</v>
      </c>
      <c r="AY70" s="27" t="s">
        <v>83</v>
      </c>
      <c r="AZ70" s="27">
        <v>1</v>
      </c>
      <c r="BA70" s="27"/>
      <c r="BB70" s="27" t="s">
        <v>225</v>
      </c>
      <c r="BC70" s="27" t="s">
        <v>1444</v>
      </c>
      <c r="BD70" s="27" t="s">
        <v>207</v>
      </c>
      <c r="BE70" s="27" t="s">
        <v>207</v>
      </c>
      <c r="BF70" s="27" t="s">
        <v>1445</v>
      </c>
      <c r="BG70" s="27" t="s">
        <v>1446</v>
      </c>
      <c r="BH70" s="27" t="s">
        <v>225</v>
      </c>
      <c r="BI70" s="27" t="s">
        <v>233</v>
      </c>
      <c r="BJ70" s="27" t="s">
        <v>1447</v>
      </c>
      <c r="BK70" s="27" t="s">
        <v>207</v>
      </c>
      <c r="BL70" s="27" t="s">
        <v>1448</v>
      </c>
      <c r="BM70" s="35">
        <v>0</v>
      </c>
    </row>
    <row r="71" spans="1:65" s="1" customFormat="1" x14ac:dyDescent="0.2">
      <c r="A71" s="33">
        <v>351</v>
      </c>
      <c r="B71" s="26">
        <v>146</v>
      </c>
      <c r="C71" s="27" t="s">
        <v>503</v>
      </c>
      <c r="D71" s="27" t="s">
        <v>1449</v>
      </c>
      <c r="E71" s="27" t="s">
        <v>228</v>
      </c>
      <c r="F71" s="27" t="s">
        <v>258</v>
      </c>
      <c r="G71" s="28">
        <v>2026</v>
      </c>
      <c r="H71" s="20" t="str">
        <f>VLOOKUP(U71,'[1]KODE TYPE standar'!$D:$U,17,0)</f>
        <v>FORTUNER</v>
      </c>
      <c r="I71" s="20" t="str">
        <f>VLOOKUP(U71,'[1]KODE TYPE standar'!$D:$U,16,0)</f>
        <v>FORTUNER</v>
      </c>
      <c r="J71" s="20" t="str">
        <f>VLOOKUP(U71,'[1]KODE TYPE standar'!$D:$U,18,0)</f>
        <v>FORTUNER 4X2 VRZ A/T DIESEL</v>
      </c>
      <c r="K71" s="27" t="s">
        <v>118</v>
      </c>
      <c r="L71" s="27" t="s">
        <v>110</v>
      </c>
      <c r="M71" s="27" t="s">
        <v>262</v>
      </c>
      <c r="N71" s="27" t="s">
        <v>141</v>
      </c>
      <c r="O71" s="28" t="s">
        <v>156</v>
      </c>
      <c r="P71" s="29" t="s">
        <v>149</v>
      </c>
      <c r="Q71" s="29" t="s">
        <v>162</v>
      </c>
      <c r="R71" s="29" t="s">
        <v>145</v>
      </c>
      <c r="S71" s="27" t="s">
        <v>753</v>
      </c>
      <c r="T71" s="27" t="s">
        <v>541</v>
      </c>
      <c r="U71" s="27" t="s">
        <v>122</v>
      </c>
      <c r="V71" s="27" t="s">
        <v>48</v>
      </c>
      <c r="W71" s="27" t="s">
        <v>49</v>
      </c>
      <c r="X71" s="27" t="s">
        <v>1450</v>
      </c>
      <c r="Y71" s="27" t="s">
        <v>1451</v>
      </c>
      <c r="Z71" s="27" t="s">
        <v>752</v>
      </c>
      <c r="AA71" s="27" t="s">
        <v>753</v>
      </c>
      <c r="AB71" s="27" t="s">
        <v>541</v>
      </c>
      <c r="AC71" s="27" t="s">
        <v>1452</v>
      </c>
      <c r="AD71" s="27" t="s">
        <v>1453</v>
      </c>
      <c r="AE71" s="27" t="s">
        <v>110</v>
      </c>
      <c r="AF71" s="27" t="s">
        <v>1454</v>
      </c>
      <c r="AG71" s="27" t="s">
        <v>1455</v>
      </c>
      <c r="AH71" s="27" t="s">
        <v>605</v>
      </c>
      <c r="AI71" s="27" t="s">
        <v>141</v>
      </c>
      <c r="AJ71" s="27" t="s">
        <v>262</v>
      </c>
      <c r="AK71" s="27" t="s">
        <v>63</v>
      </c>
      <c r="AL71" s="27"/>
      <c r="AM71" s="34">
        <v>679700000</v>
      </c>
      <c r="AN71" s="34">
        <v>528470982</v>
      </c>
      <c r="AO71" s="34">
        <v>87812500</v>
      </c>
      <c r="AP71" s="34">
        <v>60202232</v>
      </c>
      <c r="AQ71" s="34">
        <v>0</v>
      </c>
      <c r="AR71" s="34">
        <v>0</v>
      </c>
      <c r="AS71" s="34">
        <v>26785714</v>
      </c>
      <c r="AT71" s="34">
        <v>649700000</v>
      </c>
      <c r="AU71" s="34">
        <v>5000000</v>
      </c>
      <c r="AV71" s="34">
        <v>-30000000</v>
      </c>
      <c r="AW71" s="27"/>
      <c r="AX71" s="27"/>
      <c r="AY71" s="27" t="s">
        <v>83</v>
      </c>
      <c r="AZ71" s="27">
        <v>1</v>
      </c>
      <c r="BA71" s="27"/>
      <c r="BB71" s="27" t="s">
        <v>237</v>
      </c>
      <c r="BC71" s="27" t="s">
        <v>1456</v>
      </c>
      <c r="BD71" s="27" t="s">
        <v>222</v>
      </c>
      <c r="BE71" s="27" t="s">
        <v>222</v>
      </c>
      <c r="BF71" s="27" t="s">
        <v>1457</v>
      </c>
      <c r="BG71" s="27" t="s">
        <v>1458</v>
      </c>
      <c r="BH71" s="27" t="s">
        <v>228</v>
      </c>
      <c r="BI71" s="27" t="s">
        <v>255</v>
      </c>
      <c r="BJ71" s="27" t="s">
        <v>1459</v>
      </c>
      <c r="BK71" s="27" t="s">
        <v>210</v>
      </c>
      <c r="BL71" s="27" t="s">
        <v>257</v>
      </c>
      <c r="BM71" s="35">
        <v>0</v>
      </c>
    </row>
    <row r="72" spans="1:65" s="1" customFormat="1" x14ac:dyDescent="0.2">
      <c r="A72" s="33">
        <v>356</v>
      </c>
      <c r="B72" s="26">
        <v>146</v>
      </c>
      <c r="C72" s="27" t="s">
        <v>503</v>
      </c>
      <c r="D72" s="27" t="s">
        <v>1460</v>
      </c>
      <c r="E72" s="27" t="s">
        <v>222</v>
      </c>
      <c r="F72" s="27" t="s">
        <v>258</v>
      </c>
      <c r="G72" s="28">
        <v>2026</v>
      </c>
      <c r="H72" s="20" t="str">
        <f>VLOOKUP(U72,'[1]KODE TYPE standar'!$D:$U,17,0)</f>
        <v>RAIZE</v>
      </c>
      <c r="I72" s="20" t="str">
        <f>VLOOKUP(U72,'[1]KODE TYPE standar'!$D:$U,16,0)</f>
        <v>RAIZE</v>
      </c>
      <c r="J72" s="20" t="str">
        <f>VLOOKUP(U72,'[1]KODE TYPE standar'!$D:$U,18,0)</f>
        <v>RAIZE G A/T</v>
      </c>
      <c r="K72" s="27" t="s">
        <v>118</v>
      </c>
      <c r="L72" s="27" t="s">
        <v>110</v>
      </c>
      <c r="M72" s="27" t="s">
        <v>262</v>
      </c>
      <c r="N72" s="27" t="s">
        <v>141</v>
      </c>
      <c r="O72" s="28" t="s">
        <v>156</v>
      </c>
      <c r="P72" s="29" t="s">
        <v>151</v>
      </c>
      <c r="Q72" s="29" t="s">
        <v>162</v>
      </c>
      <c r="R72" s="29" t="s">
        <v>318</v>
      </c>
      <c r="S72" s="27" t="s">
        <v>1373</v>
      </c>
      <c r="T72" s="27" t="s">
        <v>509</v>
      </c>
      <c r="U72" s="27" t="s">
        <v>380</v>
      </c>
      <c r="V72" s="27" t="s">
        <v>68</v>
      </c>
      <c r="W72" s="27" t="s">
        <v>69</v>
      </c>
      <c r="X72" s="27" t="s">
        <v>1461</v>
      </c>
      <c r="Y72" s="27" t="s">
        <v>1462</v>
      </c>
      <c r="Z72" s="27" t="s">
        <v>1372</v>
      </c>
      <c r="AA72" s="27" t="s">
        <v>1373</v>
      </c>
      <c r="AB72" s="27" t="s">
        <v>509</v>
      </c>
      <c r="AC72" s="27" t="s">
        <v>1463</v>
      </c>
      <c r="AD72" s="27" t="s">
        <v>1464</v>
      </c>
      <c r="AE72" s="27" t="s">
        <v>110</v>
      </c>
      <c r="AF72" s="27" t="s">
        <v>1465</v>
      </c>
      <c r="AG72" s="27" t="s">
        <v>1466</v>
      </c>
      <c r="AH72" s="27" t="s">
        <v>688</v>
      </c>
      <c r="AI72" s="27" t="s">
        <v>141</v>
      </c>
      <c r="AJ72" s="27" t="s">
        <v>262</v>
      </c>
      <c r="AK72" s="27" t="s">
        <v>63</v>
      </c>
      <c r="AL72" s="27"/>
      <c r="AM72" s="34">
        <v>280700000</v>
      </c>
      <c r="AN72" s="34">
        <v>216752232</v>
      </c>
      <c r="AO72" s="34">
        <v>37937500</v>
      </c>
      <c r="AP72" s="34">
        <v>24403125</v>
      </c>
      <c r="AQ72" s="34">
        <v>0</v>
      </c>
      <c r="AR72" s="34">
        <v>0</v>
      </c>
      <c r="AS72" s="34">
        <v>13392857</v>
      </c>
      <c r="AT72" s="34">
        <v>265700000</v>
      </c>
      <c r="AU72" s="34">
        <v>4999991</v>
      </c>
      <c r="AV72" s="34">
        <v>-15000000</v>
      </c>
      <c r="AW72" s="27"/>
      <c r="AX72" s="27"/>
      <c r="AY72" s="27" t="s">
        <v>83</v>
      </c>
      <c r="AZ72" s="27">
        <v>1</v>
      </c>
      <c r="BA72" s="27"/>
      <c r="BB72" s="27" t="s">
        <v>260</v>
      </c>
      <c r="BC72" s="27" t="s">
        <v>1467</v>
      </c>
      <c r="BD72" s="27" t="s">
        <v>230</v>
      </c>
      <c r="BE72" s="27" t="s">
        <v>230</v>
      </c>
      <c r="BF72" s="27" t="s">
        <v>1468</v>
      </c>
      <c r="BG72" s="27" t="s">
        <v>1469</v>
      </c>
      <c r="BH72" s="27" t="s">
        <v>222</v>
      </c>
      <c r="BI72" s="27" t="s">
        <v>273</v>
      </c>
      <c r="BJ72" s="27" t="s">
        <v>1470</v>
      </c>
      <c r="BK72" s="27" t="s">
        <v>233</v>
      </c>
      <c r="BL72" s="27" t="s">
        <v>1471</v>
      </c>
      <c r="BM72" s="35">
        <v>0</v>
      </c>
    </row>
    <row r="73" spans="1:65" s="1" customFormat="1" x14ac:dyDescent="0.2">
      <c r="A73" s="33">
        <v>393</v>
      </c>
      <c r="B73" s="26">
        <v>146</v>
      </c>
      <c r="C73" s="36" t="s">
        <v>503</v>
      </c>
      <c r="D73" s="27" t="s">
        <v>1472</v>
      </c>
      <c r="E73" s="27" t="s">
        <v>290</v>
      </c>
      <c r="F73" s="27" t="s">
        <v>389</v>
      </c>
      <c r="G73" s="28">
        <v>2026</v>
      </c>
      <c r="H73" s="20" t="str">
        <f>VLOOKUP(U73,'[1]KODE TYPE standar'!$D:$U,17,0)</f>
        <v>AGYA</v>
      </c>
      <c r="I73" s="20" t="str">
        <f>VLOOKUP(U73,'[1]KODE TYPE standar'!$D:$U,16,0)</f>
        <v>AGYA</v>
      </c>
      <c r="J73" s="20" t="str">
        <f>VLOOKUP(U73,'[1]KODE TYPE standar'!$D:$U,18,0)</f>
        <v>AGYA G A/T</v>
      </c>
      <c r="K73" s="27" t="s">
        <v>50</v>
      </c>
      <c r="L73" s="27" t="s">
        <v>110</v>
      </c>
      <c r="M73" s="27" t="s">
        <v>50</v>
      </c>
      <c r="N73" s="27" t="s">
        <v>141</v>
      </c>
      <c r="O73" s="28" t="s">
        <v>156</v>
      </c>
      <c r="P73" s="29" t="s">
        <v>149</v>
      </c>
      <c r="Q73" s="29" t="s">
        <v>162</v>
      </c>
      <c r="R73" s="29" t="s">
        <v>145</v>
      </c>
      <c r="S73" s="27" t="s">
        <v>1476</v>
      </c>
      <c r="T73" s="27" t="s">
        <v>541</v>
      </c>
      <c r="U73" s="27" t="s">
        <v>164</v>
      </c>
      <c r="V73" s="27" t="s">
        <v>269</v>
      </c>
      <c r="W73" s="27" t="s">
        <v>81</v>
      </c>
      <c r="X73" s="27" t="s">
        <v>1473</v>
      </c>
      <c r="Y73" s="27" t="s">
        <v>1474</v>
      </c>
      <c r="Z73" s="27" t="s">
        <v>1475</v>
      </c>
      <c r="AA73" s="27" t="s">
        <v>1476</v>
      </c>
      <c r="AB73" s="27" t="s">
        <v>541</v>
      </c>
      <c r="AC73" s="27" t="s">
        <v>1477</v>
      </c>
      <c r="AD73" s="27" t="s">
        <v>1478</v>
      </c>
      <c r="AE73" s="27" t="s">
        <v>110</v>
      </c>
      <c r="AF73" s="27" t="s">
        <v>1479</v>
      </c>
      <c r="AG73" s="27" t="s">
        <v>1480</v>
      </c>
      <c r="AH73" s="27" t="s">
        <v>1481</v>
      </c>
      <c r="AI73" s="27" t="s">
        <v>141</v>
      </c>
      <c r="AJ73" s="27" t="s">
        <v>50</v>
      </c>
      <c r="AK73" s="27" t="s">
        <v>50</v>
      </c>
      <c r="AL73" s="27"/>
      <c r="AM73" s="34">
        <v>204000000</v>
      </c>
      <c r="AN73" s="34">
        <v>156607143</v>
      </c>
      <c r="AO73" s="34">
        <v>28600000</v>
      </c>
      <c r="AP73" s="34">
        <v>17721428</v>
      </c>
      <c r="AQ73" s="34">
        <v>0</v>
      </c>
      <c r="AR73" s="34">
        <v>0</v>
      </c>
      <c r="AS73" s="34">
        <v>8928571</v>
      </c>
      <c r="AT73" s="34">
        <v>194000000</v>
      </c>
      <c r="AU73" s="34">
        <v>0</v>
      </c>
      <c r="AV73" s="34">
        <v>-10000000</v>
      </c>
      <c r="AW73" s="27" t="s">
        <v>347</v>
      </c>
      <c r="AX73" s="27" t="s">
        <v>347</v>
      </c>
      <c r="AY73" s="27" t="s">
        <v>83</v>
      </c>
      <c r="AZ73" s="27">
        <v>1</v>
      </c>
      <c r="BA73" s="27"/>
      <c r="BB73" s="27" t="s">
        <v>290</v>
      </c>
      <c r="BC73" s="27" t="s">
        <v>1482</v>
      </c>
      <c r="BD73" s="27" t="s">
        <v>290</v>
      </c>
      <c r="BE73" s="27" t="s">
        <v>290</v>
      </c>
      <c r="BF73" s="27" t="s">
        <v>1483</v>
      </c>
      <c r="BG73" s="27" t="s">
        <v>1484</v>
      </c>
      <c r="BH73" s="27" t="s">
        <v>290</v>
      </c>
      <c r="BI73" s="27" t="s">
        <v>360</v>
      </c>
      <c r="BJ73" s="27" t="s">
        <v>1485</v>
      </c>
      <c r="BK73" s="27" t="s">
        <v>368</v>
      </c>
      <c r="BL73" s="27" t="s">
        <v>1486</v>
      </c>
      <c r="BM73" s="35">
        <v>0</v>
      </c>
    </row>
    <row r="74" spans="1:65" s="1" customFormat="1" x14ac:dyDescent="0.2">
      <c r="A74" s="25">
        <v>319</v>
      </c>
      <c r="B74" s="26">
        <v>146</v>
      </c>
      <c r="C74" s="27" t="s">
        <v>503</v>
      </c>
      <c r="D74" s="28" t="s">
        <v>1487</v>
      </c>
      <c r="E74" s="28" t="s">
        <v>297</v>
      </c>
      <c r="F74" s="28" t="s">
        <v>339</v>
      </c>
      <c r="G74" s="28">
        <v>2026</v>
      </c>
      <c r="H74" s="20" t="str">
        <f>VLOOKUP(U74,'[1]KODE TYPE standar'!$D:$U,17,0)</f>
        <v>HIACE</v>
      </c>
      <c r="I74" s="20" t="str">
        <f>VLOOKUP(U74,'[1]KODE TYPE standar'!$D:$U,16,0)</f>
        <v>HIACE</v>
      </c>
      <c r="J74" s="20" t="str">
        <f>VLOOKUP(U74,'[1]KODE TYPE standar'!$D:$U,18,0)</f>
        <v>HIACE PREMIO</v>
      </c>
      <c r="K74" s="27" t="s">
        <v>119</v>
      </c>
      <c r="L74" s="28" t="s">
        <v>110</v>
      </c>
      <c r="M74" s="28" t="s">
        <v>262</v>
      </c>
      <c r="N74" s="28" t="s">
        <v>141</v>
      </c>
      <c r="O74" s="28" t="s">
        <v>156</v>
      </c>
      <c r="P74" s="29" t="s">
        <v>150</v>
      </c>
      <c r="Q74" s="29" t="s">
        <v>161</v>
      </c>
      <c r="R74" s="29" t="s">
        <v>145</v>
      </c>
      <c r="S74" s="27" t="s">
        <v>937</v>
      </c>
      <c r="T74" s="30" t="s">
        <v>541</v>
      </c>
      <c r="U74" s="27" t="s">
        <v>173</v>
      </c>
      <c r="V74" s="27" t="s">
        <v>99</v>
      </c>
      <c r="W74" s="27" t="s">
        <v>61</v>
      </c>
      <c r="X74" s="27" t="s">
        <v>1488</v>
      </c>
      <c r="Y74" s="27" t="s">
        <v>1489</v>
      </c>
      <c r="Z74" s="27" t="s">
        <v>936</v>
      </c>
      <c r="AA74" s="27" t="s">
        <v>937</v>
      </c>
      <c r="AB74" s="30" t="s">
        <v>541</v>
      </c>
      <c r="AC74" s="30" t="s">
        <v>1490</v>
      </c>
      <c r="AD74" s="28" t="s">
        <v>1491</v>
      </c>
      <c r="AE74" s="28" t="s">
        <v>110</v>
      </c>
      <c r="AF74" s="28" t="s">
        <v>1492</v>
      </c>
      <c r="AG74" s="28" t="s">
        <v>1493</v>
      </c>
      <c r="AH74" s="28" t="s">
        <v>1494</v>
      </c>
      <c r="AI74" s="28" t="s">
        <v>141</v>
      </c>
      <c r="AJ74" s="28" t="s">
        <v>262</v>
      </c>
      <c r="AK74" s="28" t="s">
        <v>89</v>
      </c>
      <c r="AL74" s="28"/>
      <c r="AM74" s="31">
        <v>678400000</v>
      </c>
      <c r="AN74" s="31">
        <v>525133929</v>
      </c>
      <c r="AO74" s="31">
        <v>90250000</v>
      </c>
      <c r="AP74" s="31">
        <v>59027142</v>
      </c>
      <c r="AQ74" s="31">
        <v>0</v>
      </c>
      <c r="AR74" s="31">
        <v>0</v>
      </c>
      <c r="AS74" s="31">
        <v>33241071</v>
      </c>
      <c r="AT74" s="31">
        <v>641170000</v>
      </c>
      <c r="AU74" s="31">
        <v>0</v>
      </c>
      <c r="AV74" s="31">
        <v>-38077637</v>
      </c>
      <c r="AW74" s="28"/>
      <c r="AX74" s="28"/>
      <c r="AY74" s="28" t="s">
        <v>83</v>
      </c>
      <c r="AZ74" s="28">
        <v>1</v>
      </c>
      <c r="BA74" s="28"/>
      <c r="BB74" s="28" t="s">
        <v>277</v>
      </c>
      <c r="BC74" s="28" t="s">
        <v>1495</v>
      </c>
      <c r="BD74" s="28" t="s">
        <v>348</v>
      </c>
      <c r="BE74" s="28" t="s">
        <v>348</v>
      </c>
      <c r="BF74" s="28" t="s">
        <v>1496</v>
      </c>
      <c r="BG74" s="28" t="s">
        <v>1497</v>
      </c>
      <c r="BH74" s="28" t="s">
        <v>297</v>
      </c>
      <c r="BI74" s="28" t="s">
        <v>282</v>
      </c>
      <c r="BJ74" s="28" t="s">
        <v>1498</v>
      </c>
      <c r="BK74" s="28" t="s">
        <v>222</v>
      </c>
      <c r="BL74" s="28" t="s">
        <v>1499</v>
      </c>
      <c r="BM74" s="32">
        <v>0</v>
      </c>
    </row>
    <row r="75" spans="1:65" s="1" customFormat="1" x14ac:dyDescent="0.2">
      <c r="A75" s="33">
        <v>368</v>
      </c>
      <c r="B75" s="26">
        <v>146</v>
      </c>
      <c r="C75" s="27" t="s">
        <v>503</v>
      </c>
      <c r="D75" s="27" t="s">
        <v>1500</v>
      </c>
      <c r="E75" s="27" t="s">
        <v>261</v>
      </c>
      <c r="F75" s="27" t="s">
        <v>258</v>
      </c>
      <c r="G75" s="28">
        <v>2026</v>
      </c>
      <c r="H75" s="20" t="str">
        <f>VLOOKUP(U75,'[1]KODE TYPE standar'!$D:$U,17,0)</f>
        <v>FORTUNER</v>
      </c>
      <c r="I75" s="20" t="str">
        <f>VLOOKUP(U75,'[1]KODE TYPE standar'!$D:$U,16,0)</f>
        <v>FORTUNER</v>
      </c>
      <c r="J75" s="20" t="str">
        <f>VLOOKUP(U75,'[1]KODE TYPE standar'!$D:$U,18,0)</f>
        <v>FORTUNER 4X2 VRZ A/T DIESEL</v>
      </c>
      <c r="K75" s="27" t="s">
        <v>119</v>
      </c>
      <c r="L75" s="27" t="s">
        <v>110</v>
      </c>
      <c r="M75" s="27" t="s">
        <v>262</v>
      </c>
      <c r="N75" s="27" t="s">
        <v>87</v>
      </c>
      <c r="O75" s="28" t="s">
        <v>6581</v>
      </c>
      <c r="P75" s="29" t="s">
        <v>151</v>
      </c>
      <c r="Q75" s="29" t="s">
        <v>162</v>
      </c>
      <c r="R75" s="29" t="s">
        <v>145</v>
      </c>
      <c r="S75" s="27" t="s">
        <v>540</v>
      </c>
      <c r="T75" s="27" t="s">
        <v>541</v>
      </c>
      <c r="U75" s="27" t="s">
        <v>122</v>
      </c>
      <c r="V75" s="27" t="s">
        <v>48</v>
      </c>
      <c r="W75" s="27" t="s">
        <v>49</v>
      </c>
      <c r="X75" s="27" t="s">
        <v>1501</v>
      </c>
      <c r="Y75" s="27" t="s">
        <v>1502</v>
      </c>
      <c r="Z75" s="27" t="s">
        <v>539</v>
      </c>
      <c r="AA75" s="27" t="s">
        <v>540</v>
      </c>
      <c r="AB75" s="27" t="s">
        <v>541</v>
      </c>
      <c r="AC75" s="27" t="s">
        <v>1503</v>
      </c>
      <c r="AD75" s="27" t="s">
        <v>1504</v>
      </c>
      <c r="AE75" s="27" t="s">
        <v>110</v>
      </c>
      <c r="AF75" s="27" t="s">
        <v>1505</v>
      </c>
      <c r="AG75" s="27" t="s">
        <v>1506</v>
      </c>
      <c r="AH75" s="27" t="s">
        <v>291</v>
      </c>
      <c r="AI75" s="27" t="s">
        <v>87</v>
      </c>
      <c r="AJ75" s="27" t="s">
        <v>262</v>
      </c>
      <c r="AK75" s="27" t="s">
        <v>89</v>
      </c>
      <c r="AL75" s="27" t="s">
        <v>1507</v>
      </c>
      <c r="AM75" s="34">
        <v>678300000</v>
      </c>
      <c r="AN75" s="34">
        <v>527703125</v>
      </c>
      <c r="AO75" s="34">
        <v>87272500</v>
      </c>
      <c r="AP75" s="34">
        <v>60110089</v>
      </c>
      <c r="AQ75" s="34">
        <v>0</v>
      </c>
      <c r="AR75" s="34">
        <v>0</v>
      </c>
      <c r="AS75" s="34">
        <v>26785714</v>
      </c>
      <c r="AT75" s="34">
        <v>648300000</v>
      </c>
      <c r="AU75" s="34">
        <v>0</v>
      </c>
      <c r="AV75" s="34">
        <v>-30000000</v>
      </c>
      <c r="AW75" s="27" t="s">
        <v>260</v>
      </c>
      <c r="AX75" s="27" t="s">
        <v>260</v>
      </c>
      <c r="AY75" s="27" t="s">
        <v>83</v>
      </c>
      <c r="AZ75" s="27">
        <v>1</v>
      </c>
      <c r="BA75" s="27"/>
      <c r="BB75" s="27" t="s">
        <v>221</v>
      </c>
      <c r="BC75" s="27" t="s">
        <v>1508</v>
      </c>
      <c r="BD75" s="27" t="s">
        <v>221</v>
      </c>
      <c r="BE75" s="27" t="s">
        <v>221</v>
      </c>
      <c r="BF75" s="27" t="s">
        <v>1509</v>
      </c>
      <c r="BG75" s="27" t="s">
        <v>1510</v>
      </c>
      <c r="BH75" s="27" t="s">
        <v>261</v>
      </c>
      <c r="BI75" s="27" t="s">
        <v>271</v>
      </c>
      <c r="BJ75" s="27" t="s">
        <v>1511</v>
      </c>
      <c r="BK75" s="27" t="s">
        <v>235</v>
      </c>
      <c r="BL75" s="27" t="s">
        <v>1512</v>
      </c>
      <c r="BM75" s="35">
        <v>0</v>
      </c>
    </row>
    <row r="76" spans="1:65" s="1" customFormat="1" x14ac:dyDescent="0.2">
      <c r="A76" s="33">
        <v>316</v>
      </c>
      <c r="B76" s="26">
        <v>146</v>
      </c>
      <c r="C76" s="27" t="s">
        <v>503</v>
      </c>
      <c r="D76" s="27" t="s">
        <v>1513</v>
      </c>
      <c r="E76" s="27" t="s">
        <v>207</v>
      </c>
      <c r="F76" s="27" t="s">
        <v>111</v>
      </c>
      <c r="G76" s="28">
        <v>2026</v>
      </c>
      <c r="H76" s="20" t="str">
        <f>VLOOKUP(U76,'[1]KODE TYPE standar'!$D:$U,17,0)</f>
        <v>INV ZENIX HYBRID</v>
      </c>
      <c r="I76" s="20" t="str">
        <f>VLOOKUP(U76,'[1]KODE TYPE standar'!$D:$U,16,0)</f>
        <v>INNOVA</v>
      </c>
      <c r="J76" s="20" t="str">
        <f>VLOOKUP(U76,'[1]KODE TYPE standar'!$D:$U,18,0)</f>
        <v>INNOVA ZENIX Q A/T HYBRID</v>
      </c>
      <c r="K76" s="27" t="s">
        <v>119</v>
      </c>
      <c r="L76" s="27" t="s">
        <v>110</v>
      </c>
      <c r="M76" s="27" t="s">
        <v>262</v>
      </c>
      <c r="N76" s="27" t="s">
        <v>141</v>
      </c>
      <c r="O76" s="28" t="s">
        <v>156</v>
      </c>
      <c r="P76" s="29" t="s">
        <v>319</v>
      </c>
      <c r="Q76" s="29" t="s">
        <v>161</v>
      </c>
      <c r="R76" s="29" t="s">
        <v>597</v>
      </c>
      <c r="S76" s="27" t="s">
        <v>724</v>
      </c>
      <c r="T76" s="27" t="s">
        <v>541</v>
      </c>
      <c r="U76" s="27" t="s">
        <v>208</v>
      </c>
      <c r="V76" s="27" t="s">
        <v>51</v>
      </c>
      <c r="W76" s="27" t="s">
        <v>86</v>
      </c>
      <c r="X76" s="27" t="s">
        <v>1514</v>
      </c>
      <c r="Y76" s="27" t="s">
        <v>1515</v>
      </c>
      <c r="Z76" s="27" t="s">
        <v>723</v>
      </c>
      <c r="AA76" s="27" t="s">
        <v>724</v>
      </c>
      <c r="AB76" s="27" t="s">
        <v>541</v>
      </c>
      <c r="AC76" s="27" t="s">
        <v>1516</v>
      </c>
      <c r="AD76" s="27" t="s">
        <v>1517</v>
      </c>
      <c r="AE76" s="27" t="s">
        <v>110</v>
      </c>
      <c r="AF76" s="27" t="s">
        <v>1517</v>
      </c>
      <c r="AG76" s="27" t="s">
        <v>1518</v>
      </c>
      <c r="AH76" s="27" t="s">
        <v>1519</v>
      </c>
      <c r="AI76" s="27" t="s">
        <v>141</v>
      </c>
      <c r="AJ76" s="27" t="s">
        <v>262</v>
      </c>
      <c r="AK76" s="27" t="s">
        <v>89</v>
      </c>
      <c r="AL76" s="27" t="s">
        <v>1520</v>
      </c>
      <c r="AM76" s="34">
        <v>630000000</v>
      </c>
      <c r="AN76" s="34">
        <v>489642857</v>
      </c>
      <c r="AO76" s="34">
        <v>81600000</v>
      </c>
      <c r="AP76" s="34">
        <v>55864285</v>
      </c>
      <c r="AQ76" s="34">
        <v>0</v>
      </c>
      <c r="AR76" s="34">
        <v>0</v>
      </c>
      <c r="AS76" s="34">
        <v>24107143</v>
      </c>
      <c r="AT76" s="34">
        <v>603000000</v>
      </c>
      <c r="AU76" s="34">
        <v>0</v>
      </c>
      <c r="AV76" s="34">
        <v>-27000000</v>
      </c>
      <c r="AW76" s="27" t="s">
        <v>197</v>
      </c>
      <c r="AX76" s="27" t="s">
        <v>197</v>
      </c>
      <c r="AY76" s="27" t="s">
        <v>83</v>
      </c>
      <c r="AZ76" s="27">
        <v>1</v>
      </c>
      <c r="BA76" s="27"/>
      <c r="BB76" s="27" t="s">
        <v>198</v>
      </c>
      <c r="BC76" s="27" t="s">
        <v>1521</v>
      </c>
      <c r="BD76" s="27" t="s">
        <v>1522</v>
      </c>
      <c r="BE76" s="27" t="s">
        <v>1522</v>
      </c>
      <c r="BF76" s="27" t="s">
        <v>1523</v>
      </c>
      <c r="BG76" s="27" t="s">
        <v>1524</v>
      </c>
      <c r="BH76" s="27" t="s">
        <v>207</v>
      </c>
      <c r="BI76" s="27" t="s">
        <v>231</v>
      </c>
      <c r="BJ76" s="27" t="s">
        <v>1525</v>
      </c>
      <c r="BK76" s="27" t="s">
        <v>195</v>
      </c>
      <c r="BL76" s="27" t="s">
        <v>1526</v>
      </c>
      <c r="BM76" s="35">
        <v>0</v>
      </c>
    </row>
    <row r="77" spans="1:65" s="1" customFormat="1" x14ac:dyDescent="0.2">
      <c r="A77" s="33">
        <v>317</v>
      </c>
      <c r="B77" s="26">
        <v>146</v>
      </c>
      <c r="C77" s="27" t="s">
        <v>503</v>
      </c>
      <c r="D77" s="27" t="s">
        <v>1527</v>
      </c>
      <c r="E77" s="27" t="s">
        <v>213</v>
      </c>
      <c r="F77" s="27" t="s">
        <v>111</v>
      </c>
      <c r="G77" s="28">
        <v>2026</v>
      </c>
      <c r="H77" s="20" t="str">
        <f>VLOOKUP(U77,'[1]KODE TYPE standar'!$D:$U,17,0)</f>
        <v>AVANZA</v>
      </c>
      <c r="I77" s="20" t="str">
        <f>VLOOKUP(U77,'[1]KODE TYPE standar'!$D:$U,16,0)</f>
        <v>AVANZA</v>
      </c>
      <c r="J77" s="20" t="str">
        <f>VLOOKUP(U77,'[1]KODE TYPE standar'!$D:$U,18,0)</f>
        <v>AVANZA E M/T</v>
      </c>
      <c r="K77" s="27" t="s">
        <v>119</v>
      </c>
      <c r="L77" s="27" t="s">
        <v>110</v>
      </c>
      <c r="M77" s="27" t="s">
        <v>262</v>
      </c>
      <c r="N77" s="27" t="s">
        <v>141</v>
      </c>
      <c r="O77" s="28" t="s">
        <v>156</v>
      </c>
      <c r="P77" s="29" t="s">
        <v>149</v>
      </c>
      <c r="Q77" s="29" t="s">
        <v>161</v>
      </c>
      <c r="R77" s="29" t="s">
        <v>145</v>
      </c>
      <c r="S77" s="27" t="s">
        <v>540</v>
      </c>
      <c r="T77" s="27" t="s">
        <v>541</v>
      </c>
      <c r="U77" s="27" t="s">
        <v>386</v>
      </c>
      <c r="V77" s="27" t="s">
        <v>64</v>
      </c>
      <c r="W77" s="27" t="s">
        <v>65</v>
      </c>
      <c r="X77" s="27" t="s">
        <v>1528</v>
      </c>
      <c r="Y77" s="27" t="s">
        <v>1529</v>
      </c>
      <c r="Z77" s="27" t="s">
        <v>539</v>
      </c>
      <c r="AA77" s="27" t="s">
        <v>540</v>
      </c>
      <c r="AB77" s="27" t="s">
        <v>541</v>
      </c>
      <c r="AC77" s="27" t="s">
        <v>1530</v>
      </c>
      <c r="AD77" s="27" t="s">
        <v>1531</v>
      </c>
      <c r="AE77" s="27" t="s">
        <v>110</v>
      </c>
      <c r="AF77" s="27" t="s">
        <v>1531</v>
      </c>
      <c r="AG77" s="27" t="s">
        <v>1532</v>
      </c>
      <c r="AH77" s="27" t="s">
        <v>1149</v>
      </c>
      <c r="AI77" s="27" t="s">
        <v>141</v>
      </c>
      <c r="AJ77" s="27" t="s">
        <v>262</v>
      </c>
      <c r="AK77" s="27" t="s">
        <v>89</v>
      </c>
      <c r="AL77" s="27"/>
      <c r="AM77" s="34">
        <v>246700000</v>
      </c>
      <c r="AN77" s="34">
        <v>190189732</v>
      </c>
      <c r="AO77" s="34">
        <v>33687500</v>
      </c>
      <c r="AP77" s="34">
        <v>20679910</v>
      </c>
      <c r="AQ77" s="34">
        <v>0</v>
      </c>
      <c r="AR77" s="34">
        <v>0</v>
      </c>
      <c r="AS77" s="34">
        <v>17857143</v>
      </c>
      <c r="AT77" s="34">
        <v>226700000</v>
      </c>
      <c r="AU77" s="34">
        <v>0</v>
      </c>
      <c r="AV77" s="34">
        <v>-20000000</v>
      </c>
      <c r="AW77" s="27"/>
      <c r="AX77" s="27"/>
      <c r="AY77" s="27" t="s">
        <v>83</v>
      </c>
      <c r="AZ77" s="27">
        <v>1</v>
      </c>
      <c r="BA77" s="27"/>
      <c r="BB77" s="27" t="s">
        <v>216</v>
      </c>
      <c r="BC77" s="27" t="s">
        <v>1533</v>
      </c>
      <c r="BD77" s="27" t="s">
        <v>216</v>
      </c>
      <c r="BE77" s="27" t="s">
        <v>216</v>
      </c>
      <c r="BF77" s="27" t="s">
        <v>1534</v>
      </c>
      <c r="BG77" s="27" t="s">
        <v>1535</v>
      </c>
      <c r="BH77" s="27"/>
      <c r="BI77" s="27" t="s">
        <v>232</v>
      </c>
      <c r="BJ77" s="27" t="s">
        <v>1536</v>
      </c>
      <c r="BK77" s="27" t="s">
        <v>190</v>
      </c>
      <c r="BL77" s="27" t="s">
        <v>1537</v>
      </c>
      <c r="BM77" s="35">
        <v>0</v>
      </c>
    </row>
    <row r="78" spans="1:65" s="1" customFormat="1" x14ac:dyDescent="0.2">
      <c r="A78" s="25">
        <v>340</v>
      </c>
      <c r="B78" s="26">
        <v>146</v>
      </c>
      <c r="C78" s="27" t="s">
        <v>503</v>
      </c>
      <c r="D78" s="28" t="s">
        <v>1538</v>
      </c>
      <c r="E78" s="28" t="s">
        <v>263</v>
      </c>
      <c r="F78" s="28" t="s">
        <v>339</v>
      </c>
      <c r="G78" s="28">
        <v>2026</v>
      </c>
      <c r="H78" s="20" t="str">
        <f>VLOOKUP(U78,'[1]KODE TYPE standar'!$D:$U,17,0)</f>
        <v>RAIZE</v>
      </c>
      <c r="I78" s="20" t="str">
        <f>VLOOKUP(U78,'[1]KODE TYPE standar'!$D:$U,16,0)</f>
        <v>RAIZE</v>
      </c>
      <c r="J78" s="20" t="str">
        <f>VLOOKUP(U78,'[1]KODE TYPE standar'!$D:$U,18,0)</f>
        <v>RAIZE G A/T</v>
      </c>
      <c r="K78" s="27" t="s">
        <v>119</v>
      </c>
      <c r="L78" s="28" t="s">
        <v>110</v>
      </c>
      <c r="M78" s="28" t="s">
        <v>262</v>
      </c>
      <c r="N78" s="28" t="s">
        <v>141</v>
      </c>
      <c r="O78" s="28" t="s">
        <v>156</v>
      </c>
      <c r="P78" s="29" t="s">
        <v>149</v>
      </c>
      <c r="Q78" s="29" t="s">
        <v>161</v>
      </c>
      <c r="R78" s="29" t="s">
        <v>1264</v>
      </c>
      <c r="S78" s="27" t="s">
        <v>709</v>
      </c>
      <c r="T78" s="30" t="s">
        <v>585</v>
      </c>
      <c r="U78" s="27" t="s">
        <v>239</v>
      </c>
      <c r="V78" s="27" t="s">
        <v>60</v>
      </c>
      <c r="W78" s="27" t="s">
        <v>61</v>
      </c>
      <c r="X78" s="27" t="s">
        <v>1539</v>
      </c>
      <c r="Y78" s="27" t="s">
        <v>1540</v>
      </c>
      <c r="Z78" s="27" t="s">
        <v>708</v>
      </c>
      <c r="AA78" s="27" t="s">
        <v>709</v>
      </c>
      <c r="AB78" s="30" t="s">
        <v>585</v>
      </c>
      <c r="AC78" s="30" t="s">
        <v>1541</v>
      </c>
      <c r="AD78" s="28" t="s">
        <v>1542</v>
      </c>
      <c r="AE78" s="28" t="s">
        <v>110</v>
      </c>
      <c r="AF78" s="28" t="s">
        <v>1543</v>
      </c>
      <c r="AG78" s="28" t="s">
        <v>1544</v>
      </c>
      <c r="AH78" s="28" t="s">
        <v>688</v>
      </c>
      <c r="AI78" s="28" t="s">
        <v>141</v>
      </c>
      <c r="AJ78" s="28" t="s">
        <v>262</v>
      </c>
      <c r="AK78" s="28" t="s">
        <v>89</v>
      </c>
      <c r="AL78" s="28" t="s">
        <v>1545</v>
      </c>
      <c r="AM78" s="31">
        <v>261600000</v>
      </c>
      <c r="AN78" s="31">
        <v>201607143</v>
      </c>
      <c r="AO78" s="31">
        <v>35800000</v>
      </c>
      <c r="AP78" s="31">
        <v>22478571</v>
      </c>
      <c r="AQ78" s="31">
        <v>0</v>
      </c>
      <c r="AR78" s="31">
        <v>0</v>
      </c>
      <c r="AS78" s="31">
        <v>14285714</v>
      </c>
      <c r="AT78" s="31">
        <v>245600000</v>
      </c>
      <c r="AU78" s="31">
        <v>0</v>
      </c>
      <c r="AV78" s="31">
        <v>-16000000</v>
      </c>
      <c r="AW78" s="28" t="s">
        <v>248</v>
      </c>
      <c r="AX78" s="28" t="s">
        <v>248</v>
      </c>
      <c r="AY78" s="28" t="s">
        <v>83</v>
      </c>
      <c r="AZ78" s="28">
        <v>1</v>
      </c>
      <c r="BA78" s="28" t="s">
        <v>163</v>
      </c>
      <c r="BB78" s="28" t="s">
        <v>242</v>
      </c>
      <c r="BC78" s="28" t="s">
        <v>1546</v>
      </c>
      <c r="BD78" s="28" t="s">
        <v>266</v>
      </c>
      <c r="BE78" s="28" t="s">
        <v>266</v>
      </c>
      <c r="BF78" s="28" t="s">
        <v>1547</v>
      </c>
      <c r="BG78" s="28" t="s">
        <v>1548</v>
      </c>
      <c r="BH78" s="28" t="s">
        <v>263</v>
      </c>
      <c r="BI78" s="28" t="s">
        <v>348</v>
      </c>
      <c r="BJ78" s="28" t="s">
        <v>1549</v>
      </c>
      <c r="BK78" s="28" t="s">
        <v>232</v>
      </c>
      <c r="BL78" s="28" t="s">
        <v>1550</v>
      </c>
      <c r="BM78" s="32">
        <v>0</v>
      </c>
    </row>
    <row r="79" spans="1:65" s="1" customFormat="1" x14ac:dyDescent="0.2">
      <c r="A79" s="33">
        <v>430</v>
      </c>
      <c r="B79" s="26">
        <v>146</v>
      </c>
      <c r="C79" s="36" t="s">
        <v>503</v>
      </c>
      <c r="D79" s="27" t="s">
        <v>1551</v>
      </c>
      <c r="E79" s="27" t="s">
        <v>282</v>
      </c>
      <c r="F79" s="27" t="s">
        <v>389</v>
      </c>
      <c r="G79" s="28">
        <v>2026</v>
      </c>
      <c r="H79" s="20" t="str">
        <f>VLOOKUP(U79,'[1]KODE TYPE standar'!$D:$U,17,0)</f>
        <v>INV ZENIX HYBRID</v>
      </c>
      <c r="I79" s="20" t="str">
        <f>VLOOKUP(U79,'[1]KODE TYPE standar'!$D:$U,16,0)</f>
        <v>INNOVA</v>
      </c>
      <c r="J79" s="20" t="str">
        <f>VLOOKUP(U79,'[1]KODE TYPE standar'!$D:$U,18,0)</f>
        <v>INNOVA ZENIX V A/T HYBRID</v>
      </c>
      <c r="K79" s="27" t="s">
        <v>118</v>
      </c>
      <c r="L79" s="27" t="s">
        <v>110</v>
      </c>
      <c r="M79" s="27" t="s">
        <v>262</v>
      </c>
      <c r="N79" s="27" t="s">
        <v>141</v>
      </c>
      <c r="O79" s="28" t="s">
        <v>156</v>
      </c>
      <c r="P79" s="29" t="s">
        <v>149</v>
      </c>
      <c r="Q79" s="29" t="s">
        <v>161</v>
      </c>
      <c r="R79" s="29" t="s">
        <v>597</v>
      </c>
      <c r="S79" s="27" t="s">
        <v>1555</v>
      </c>
      <c r="T79" s="27" t="s">
        <v>585</v>
      </c>
      <c r="U79" s="27" t="s">
        <v>175</v>
      </c>
      <c r="V79" s="27" t="s">
        <v>48</v>
      </c>
      <c r="W79" s="27" t="s">
        <v>49</v>
      </c>
      <c r="X79" s="27" t="s">
        <v>1552</v>
      </c>
      <c r="Y79" s="27" t="s">
        <v>1553</v>
      </c>
      <c r="Z79" s="27" t="s">
        <v>1554</v>
      </c>
      <c r="AA79" s="27" t="s">
        <v>1555</v>
      </c>
      <c r="AB79" s="27" t="s">
        <v>585</v>
      </c>
      <c r="AC79" s="27" t="s">
        <v>1556</v>
      </c>
      <c r="AD79" s="27" t="s">
        <v>1557</v>
      </c>
      <c r="AE79" s="27" t="s">
        <v>110</v>
      </c>
      <c r="AF79" s="27" t="s">
        <v>1557</v>
      </c>
      <c r="AG79" s="27" t="s">
        <v>1558</v>
      </c>
      <c r="AH79" s="27" t="s">
        <v>757</v>
      </c>
      <c r="AI79" s="27" t="s">
        <v>141</v>
      </c>
      <c r="AJ79" s="27" t="s">
        <v>262</v>
      </c>
      <c r="AK79" s="27" t="s">
        <v>63</v>
      </c>
      <c r="AL79" s="27"/>
      <c r="AM79" s="34">
        <v>551900000</v>
      </c>
      <c r="AN79" s="34">
        <v>428404018</v>
      </c>
      <c r="AO79" s="34">
        <v>72087500</v>
      </c>
      <c r="AP79" s="34">
        <v>49158482</v>
      </c>
      <c r="AQ79" s="34">
        <v>0</v>
      </c>
      <c r="AR79" s="34">
        <v>0</v>
      </c>
      <c r="AS79" s="34">
        <v>18750000</v>
      </c>
      <c r="AT79" s="34">
        <v>530900000</v>
      </c>
      <c r="AU79" s="34">
        <v>174732800</v>
      </c>
      <c r="AV79" s="34">
        <v>-21000000</v>
      </c>
      <c r="AW79" s="27"/>
      <c r="AX79" s="27"/>
      <c r="AY79" s="27" t="s">
        <v>83</v>
      </c>
      <c r="AZ79" s="27">
        <v>1</v>
      </c>
      <c r="BA79" s="27" t="s">
        <v>163</v>
      </c>
      <c r="BB79" s="27" t="s">
        <v>365</v>
      </c>
      <c r="BC79" s="27" t="s">
        <v>1559</v>
      </c>
      <c r="BD79" s="27" t="s">
        <v>365</v>
      </c>
      <c r="BE79" s="27" t="s">
        <v>365</v>
      </c>
      <c r="BF79" s="27" t="s">
        <v>1560</v>
      </c>
      <c r="BG79" s="27" t="s">
        <v>1561</v>
      </c>
      <c r="BH79" s="27"/>
      <c r="BI79" s="27" t="s">
        <v>366</v>
      </c>
      <c r="BJ79" s="27" t="s">
        <v>1562</v>
      </c>
      <c r="BK79" s="27" t="s">
        <v>221</v>
      </c>
      <c r="BL79" s="27" t="s">
        <v>1563</v>
      </c>
      <c r="BM79" s="35">
        <v>0</v>
      </c>
    </row>
    <row r="80" spans="1:65" s="1" customFormat="1" x14ac:dyDescent="0.2">
      <c r="A80" s="33">
        <v>434</v>
      </c>
      <c r="B80" s="26">
        <v>146</v>
      </c>
      <c r="C80" s="36" t="s">
        <v>503</v>
      </c>
      <c r="D80" s="27" t="s">
        <v>1564</v>
      </c>
      <c r="E80" s="27" t="s">
        <v>366</v>
      </c>
      <c r="F80" s="27" t="s">
        <v>389</v>
      </c>
      <c r="G80" s="28">
        <v>2026</v>
      </c>
      <c r="H80" s="20" t="str">
        <f>VLOOKUP(U80,'[1]KODE TYPE standar'!$D:$U,17,0)</f>
        <v>AVANZA</v>
      </c>
      <c r="I80" s="20" t="str">
        <f>VLOOKUP(U80,'[1]KODE TYPE standar'!$D:$U,16,0)</f>
        <v>AVANZA</v>
      </c>
      <c r="J80" s="20" t="str">
        <f>VLOOKUP(U80,'[1]KODE TYPE standar'!$D:$U,18,0)</f>
        <v>AVANZA E M/T</v>
      </c>
      <c r="K80" s="27" t="s">
        <v>120</v>
      </c>
      <c r="L80" s="27" t="s">
        <v>110</v>
      </c>
      <c r="M80" s="27" t="s">
        <v>262</v>
      </c>
      <c r="N80" s="27" t="s">
        <v>140</v>
      </c>
      <c r="O80" s="28" t="s">
        <v>156</v>
      </c>
      <c r="P80" s="29" t="s">
        <v>151</v>
      </c>
      <c r="Q80" s="29" t="s">
        <v>161</v>
      </c>
      <c r="R80" s="29" t="s">
        <v>1016</v>
      </c>
      <c r="S80" s="27" t="s">
        <v>753</v>
      </c>
      <c r="T80" s="27" t="s">
        <v>541</v>
      </c>
      <c r="U80" s="27" t="s">
        <v>386</v>
      </c>
      <c r="V80" s="27" t="s">
        <v>64</v>
      </c>
      <c r="W80" s="27" t="s">
        <v>65</v>
      </c>
      <c r="X80" s="27" t="s">
        <v>1565</v>
      </c>
      <c r="Y80" s="27" t="s">
        <v>1566</v>
      </c>
      <c r="Z80" s="27" t="s">
        <v>752</v>
      </c>
      <c r="AA80" s="27" t="s">
        <v>753</v>
      </c>
      <c r="AB80" s="27" t="s">
        <v>541</v>
      </c>
      <c r="AC80" s="27" t="s">
        <v>1567</v>
      </c>
      <c r="AD80" s="27" t="s">
        <v>1568</v>
      </c>
      <c r="AE80" s="27" t="s">
        <v>110</v>
      </c>
      <c r="AF80" s="27" t="s">
        <v>1568</v>
      </c>
      <c r="AG80" s="27" t="s">
        <v>1569</v>
      </c>
      <c r="AH80" s="27" t="s">
        <v>982</v>
      </c>
      <c r="AI80" s="27" t="s">
        <v>140</v>
      </c>
      <c r="AJ80" s="27" t="s">
        <v>262</v>
      </c>
      <c r="AK80" s="27" t="s">
        <v>423</v>
      </c>
      <c r="AL80" s="27"/>
      <c r="AM80" s="34">
        <v>246700000</v>
      </c>
      <c r="AN80" s="34">
        <v>189966518</v>
      </c>
      <c r="AO80" s="34">
        <v>33937500</v>
      </c>
      <c r="AP80" s="34">
        <v>21188839</v>
      </c>
      <c r="AQ80" s="34">
        <v>0</v>
      </c>
      <c r="AR80" s="34">
        <v>0</v>
      </c>
      <c r="AS80" s="34">
        <v>13392857</v>
      </c>
      <c r="AT80" s="34">
        <v>231700000</v>
      </c>
      <c r="AU80" s="34">
        <v>5000000</v>
      </c>
      <c r="AV80" s="34">
        <v>-15000000</v>
      </c>
      <c r="AW80" s="27"/>
      <c r="AX80" s="27"/>
      <c r="AY80" s="27" t="s">
        <v>83</v>
      </c>
      <c r="AZ80" s="27">
        <v>1</v>
      </c>
      <c r="BA80" s="27"/>
      <c r="BB80" s="27" t="s">
        <v>391</v>
      </c>
      <c r="BC80" s="27" t="s">
        <v>1570</v>
      </c>
      <c r="BD80" s="27" t="s">
        <v>347</v>
      </c>
      <c r="BE80" s="27" t="s">
        <v>347</v>
      </c>
      <c r="BF80" s="27" t="s">
        <v>1571</v>
      </c>
      <c r="BG80" s="27" t="s">
        <v>1572</v>
      </c>
      <c r="BH80" s="27" t="s">
        <v>366</v>
      </c>
      <c r="BI80" s="27" t="s">
        <v>396</v>
      </c>
      <c r="BJ80" s="27" t="s">
        <v>387</v>
      </c>
      <c r="BK80" s="27" t="s">
        <v>232</v>
      </c>
      <c r="BL80" s="27" t="s">
        <v>1573</v>
      </c>
      <c r="BM80" s="35">
        <v>0</v>
      </c>
    </row>
    <row r="81" spans="1:65" s="1" customFormat="1" x14ac:dyDescent="0.2">
      <c r="A81" s="33">
        <v>391</v>
      </c>
      <c r="B81" s="26">
        <v>146</v>
      </c>
      <c r="C81" s="27" t="s">
        <v>503</v>
      </c>
      <c r="D81" s="27" t="s">
        <v>1574</v>
      </c>
      <c r="E81" s="27" t="s">
        <v>238</v>
      </c>
      <c r="F81" s="27" t="s">
        <v>258</v>
      </c>
      <c r="G81" s="28">
        <v>2026</v>
      </c>
      <c r="H81" s="20" t="str">
        <f>VLOOKUP(U81,'[1]KODE TYPE standar'!$D:$U,17,0)</f>
        <v>CALYA</v>
      </c>
      <c r="I81" s="20" t="str">
        <f>VLOOKUP(U81,'[1]KODE TYPE standar'!$D:$U,16,0)</f>
        <v>CALYA</v>
      </c>
      <c r="J81" s="20" t="str">
        <f>VLOOKUP(U81,'[1]KODE TYPE standar'!$D:$U,18,0)</f>
        <v>CALYA G M/T</v>
      </c>
      <c r="K81" s="27" t="s">
        <v>118</v>
      </c>
      <c r="L81" s="27" t="s">
        <v>110</v>
      </c>
      <c r="M81" s="27" t="s">
        <v>262</v>
      </c>
      <c r="N81" s="27" t="s">
        <v>141</v>
      </c>
      <c r="O81" s="28" t="s">
        <v>156</v>
      </c>
      <c r="P81" s="29" t="s">
        <v>149</v>
      </c>
      <c r="Q81" s="29" t="s">
        <v>161</v>
      </c>
      <c r="R81" s="29" t="s">
        <v>597</v>
      </c>
      <c r="S81" s="27" t="s">
        <v>524</v>
      </c>
      <c r="T81" s="27" t="s">
        <v>509</v>
      </c>
      <c r="U81" s="27" t="s">
        <v>268</v>
      </c>
      <c r="V81" s="27" t="s">
        <v>68</v>
      </c>
      <c r="W81" s="27" t="s">
        <v>69</v>
      </c>
      <c r="X81" s="27" t="s">
        <v>1575</v>
      </c>
      <c r="Y81" s="27" t="s">
        <v>1576</v>
      </c>
      <c r="Z81" s="27" t="s">
        <v>523</v>
      </c>
      <c r="AA81" s="27" t="s">
        <v>524</v>
      </c>
      <c r="AB81" s="27" t="s">
        <v>509</v>
      </c>
      <c r="AC81" s="27" t="s">
        <v>1577</v>
      </c>
      <c r="AD81" s="27" t="s">
        <v>1578</v>
      </c>
      <c r="AE81" s="27" t="s">
        <v>110</v>
      </c>
      <c r="AF81" s="27" t="s">
        <v>1578</v>
      </c>
      <c r="AG81" s="27" t="s">
        <v>1579</v>
      </c>
      <c r="AH81" s="27" t="s">
        <v>636</v>
      </c>
      <c r="AI81" s="27" t="s">
        <v>141</v>
      </c>
      <c r="AJ81" s="27" t="s">
        <v>262</v>
      </c>
      <c r="AK81" s="27" t="s">
        <v>63</v>
      </c>
      <c r="AL81" s="27"/>
      <c r="AM81" s="34">
        <v>181900000</v>
      </c>
      <c r="AN81" s="34">
        <v>139564732</v>
      </c>
      <c r="AO81" s="34">
        <v>25587500</v>
      </c>
      <c r="AP81" s="34">
        <v>15569196</v>
      </c>
      <c r="AQ81" s="34">
        <v>0</v>
      </c>
      <c r="AR81" s="34">
        <v>0</v>
      </c>
      <c r="AS81" s="34">
        <v>9821429</v>
      </c>
      <c r="AT81" s="34">
        <v>170900000</v>
      </c>
      <c r="AU81" s="34">
        <v>1000000</v>
      </c>
      <c r="AV81" s="34">
        <v>-11000000</v>
      </c>
      <c r="AW81" s="27"/>
      <c r="AX81" s="27"/>
      <c r="AY81" s="27" t="s">
        <v>83</v>
      </c>
      <c r="AZ81" s="27">
        <v>1</v>
      </c>
      <c r="BA81" s="27"/>
      <c r="BB81" s="27" t="s">
        <v>260</v>
      </c>
      <c r="BC81" s="27" t="s">
        <v>1580</v>
      </c>
      <c r="BD81" s="27" t="s">
        <v>226</v>
      </c>
      <c r="BE81" s="27" t="s">
        <v>226</v>
      </c>
      <c r="BF81" s="27" t="s">
        <v>1581</v>
      </c>
      <c r="BG81" s="27" t="s">
        <v>1582</v>
      </c>
      <c r="BH81" s="27" t="s">
        <v>238</v>
      </c>
      <c r="BI81" s="27" t="s">
        <v>248</v>
      </c>
      <c r="BJ81" s="27" t="s">
        <v>1583</v>
      </c>
      <c r="BK81" s="27" t="s">
        <v>260</v>
      </c>
      <c r="BL81" s="27" t="s">
        <v>1584</v>
      </c>
      <c r="BM81" s="35">
        <v>0</v>
      </c>
    </row>
    <row r="82" spans="1:65" s="1" customFormat="1" x14ac:dyDescent="0.2">
      <c r="A82" s="33">
        <v>455</v>
      </c>
      <c r="B82" s="26">
        <v>146</v>
      </c>
      <c r="C82" s="36" t="s">
        <v>503</v>
      </c>
      <c r="D82" s="27" t="s">
        <v>1585</v>
      </c>
      <c r="E82" s="27" t="s">
        <v>394</v>
      </c>
      <c r="F82" s="27" t="s">
        <v>389</v>
      </c>
      <c r="G82" s="28">
        <v>2026</v>
      </c>
      <c r="H82" s="20" t="str">
        <f>VLOOKUP(U82,'[1]KODE TYPE standar'!$D:$U,17,0)</f>
        <v>INV REBORN</v>
      </c>
      <c r="I82" s="20" t="str">
        <f>VLOOKUP(U82,'[1]KODE TYPE standar'!$D:$U,16,0)</f>
        <v>INNOVA</v>
      </c>
      <c r="J82" s="20" t="str">
        <f>VLOOKUP(U82,'[1]KODE TYPE standar'!$D:$U,18,0)</f>
        <v>INNOVA G A/T DIESEL</v>
      </c>
      <c r="K82" s="27" t="s">
        <v>119</v>
      </c>
      <c r="L82" s="27" t="s">
        <v>110</v>
      </c>
      <c r="M82" s="27" t="s">
        <v>262</v>
      </c>
      <c r="N82" s="27" t="s">
        <v>141</v>
      </c>
      <c r="O82" s="28" t="s">
        <v>156</v>
      </c>
      <c r="P82" s="29" t="s">
        <v>149</v>
      </c>
      <c r="Q82" s="29" t="s">
        <v>161</v>
      </c>
      <c r="R82" s="29" t="s">
        <v>1264</v>
      </c>
      <c r="S82" s="27" t="s">
        <v>508</v>
      </c>
      <c r="T82" s="27" t="s">
        <v>509</v>
      </c>
      <c r="U82" s="27" t="s">
        <v>192</v>
      </c>
      <c r="V82" s="27" t="s">
        <v>77</v>
      </c>
      <c r="W82" s="27" t="s">
        <v>78</v>
      </c>
      <c r="X82" s="27" t="s">
        <v>1586</v>
      </c>
      <c r="Y82" s="27" t="s">
        <v>1587</v>
      </c>
      <c r="Z82" s="27" t="s">
        <v>507</v>
      </c>
      <c r="AA82" s="27" t="s">
        <v>508</v>
      </c>
      <c r="AB82" s="27" t="s">
        <v>509</v>
      </c>
      <c r="AC82" s="27" t="s">
        <v>1588</v>
      </c>
      <c r="AD82" s="27" t="s">
        <v>1589</v>
      </c>
      <c r="AE82" s="27" t="s">
        <v>110</v>
      </c>
      <c r="AF82" s="27" t="s">
        <v>1589</v>
      </c>
      <c r="AG82" s="27" t="s">
        <v>1590</v>
      </c>
      <c r="AH82" s="27" t="s">
        <v>1442</v>
      </c>
      <c r="AI82" s="27" t="s">
        <v>141</v>
      </c>
      <c r="AJ82" s="27" t="s">
        <v>262</v>
      </c>
      <c r="AK82" s="27" t="s">
        <v>89</v>
      </c>
      <c r="AL82" s="27"/>
      <c r="AM82" s="34">
        <v>442100000</v>
      </c>
      <c r="AN82" s="34">
        <v>342622768</v>
      </c>
      <c r="AO82" s="34">
        <v>58362500</v>
      </c>
      <c r="AP82" s="34">
        <v>38864732</v>
      </c>
      <c r="AQ82" s="34">
        <v>0</v>
      </c>
      <c r="AR82" s="34">
        <v>0</v>
      </c>
      <c r="AS82" s="34">
        <v>18750000</v>
      </c>
      <c r="AT82" s="34">
        <v>421100000</v>
      </c>
      <c r="AU82" s="34">
        <v>0</v>
      </c>
      <c r="AV82" s="34">
        <v>-21000000</v>
      </c>
      <c r="AW82" s="27" t="s">
        <v>347</v>
      </c>
      <c r="AX82" s="27" t="s">
        <v>347</v>
      </c>
      <c r="AY82" s="27" t="s">
        <v>83</v>
      </c>
      <c r="AZ82" s="27">
        <v>1</v>
      </c>
      <c r="BA82" s="27" t="s">
        <v>163</v>
      </c>
      <c r="BB82" s="27" t="s">
        <v>365</v>
      </c>
      <c r="BC82" s="27" t="s">
        <v>1591</v>
      </c>
      <c r="BD82" s="27" t="s">
        <v>410</v>
      </c>
      <c r="BE82" s="27" t="s">
        <v>410</v>
      </c>
      <c r="BF82" s="27" t="s">
        <v>1592</v>
      </c>
      <c r="BG82" s="27" t="s">
        <v>1593</v>
      </c>
      <c r="BH82" s="27" t="s">
        <v>394</v>
      </c>
      <c r="BI82" s="27" t="s">
        <v>392</v>
      </c>
      <c r="BJ82" s="27" t="s">
        <v>384</v>
      </c>
      <c r="BK82" s="27" t="s">
        <v>290</v>
      </c>
      <c r="BL82" s="27" t="s">
        <v>1594</v>
      </c>
      <c r="BM82" s="35">
        <v>0</v>
      </c>
    </row>
    <row r="83" spans="1:65" s="1" customFormat="1" x14ac:dyDescent="0.2">
      <c r="A83" s="33">
        <v>457</v>
      </c>
      <c r="B83" s="26">
        <v>146</v>
      </c>
      <c r="C83" s="36" t="s">
        <v>503</v>
      </c>
      <c r="D83" s="27" t="s">
        <v>1595</v>
      </c>
      <c r="E83" s="27" t="s">
        <v>347</v>
      </c>
      <c r="F83" s="27" t="s">
        <v>389</v>
      </c>
      <c r="G83" s="28">
        <v>2026</v>
      </c>
      <c r="H83" s="20" t="str">
        <f>VLOOKUP(U83,'[1]KODE TYPE standar'!$D:$U,17,0)</f>
        <v>AVANZA</v>
      </c>
      <c r="I83" s="20" t="str">
        <f>VLOOKUP(U83,'[1]KODE TYPE standar'!$D:$U,16,0)</f>
        <v>AVANZA</v>
      </c>
      <c r="J83" s="20" t="str">
        <f>VLOOKUP(U83,'[1]KODE TYPE standar'!$D:$U,18,0)</f>
        <v>AVANZA G M/T</v>
      </c>
      <c r="K83" s="27" t="s">
        <v>120</v>
      </c>
      <c r="L83" s="27" t="s">
        <v>110</v>
      </c>
      <c r="M83" s="27" t="s">
        <v>262</v>
      </c>
      <c r="N83" s="27" t="s">
        <v>141</v>
      </c>
      <c r="O83" s="28" t="s">
        <v>156</v>
      </c>
      <c r="P83" s="29" t="s">
        <v>151</v>
      </c>
      <c r="Q83" s="29" t="s">
        <v>161</v>
      </c>
      <c r="R83" s="29" t="s">
        <v>597</v>
      </c>
      <c r="S83" s="27" t="s">
        <v>1373</v>
      </c>
      <c r="T83" s="27" t="s">
        <v>509</v>
      </c>
      <c r="U83" s="27" t="s">
        <v>373</v>
      </c>
      <c r="V83" s="27" t="s">
        <v>64</v>
      </c>
      <c r="W83" s="27" t="s">
        <v>65</v>
      </c>
      <c r="X83" s="27" t="s">
        <v>1596</v>
      </c>
      <c r="Y83" s="27" t="s">
        <v>1597</v>
      </c>
      <c r="Z83" s="27" t="s">
        <v>1372</v>
      </c>
      <c r="AA83" s="27" t="s">
        <v>1373</v>
      </c>
      <c r="AB83" s="27" t="s">
        <v>509</v>
      </c>
      <c r="AC83" s="27" t="s">
        <v>1598</v>
      </c>
      <c r="AD83" s="27" t="s">
        <v>1599</v>
      </c>
      <c r="AE83" s="27" t="s">
        <v>110</v>
      </c>
      <c r="AF83" s="27" t="s">
        <v>1600</v>
      </c>
      <c r="AG83" s="27" t="s">
        <v>1601</v>
      </c>
      <c r="AH83" s="27" t="s">
        <v>1602</v>
      </c>
      <c r="AI83" s="27" t="s">
        <v>141</v>
      </c>
      <c r="AJ83" s="27" t="s">
        <v>262</v>
      </c>
      <c r="AK83" s="27" t="s">
        <v>1216</v>
      </c>
      <c r="AL83" s="27"/>
      <c r="AM83" s="34">
        <v>269700000</v>
      </c>
      <c r="AN83" s="34">
        <v>207935268</v>
      </c>
      <c r="AO83" s="34">
        <v>36812500</v>
      </c>
      <c r="AP83" s="34">
        <v>23345089</v>
      </c>
      <c r="AQ83" s="34">
        <v>0</v>
      </c>
      <c r="AR83" s="34">
        <v>0</v>
      </c>
      <c r="AS83" s="34">
        <v>13392857</v>
      </c>
      <c r="AT83" s="34">
        <v>254700000</v>
      </c>
      <c r="AU83" s="34">
        <v>0</v>
      </c>
      <c r="AV83" s="34">
        <v>-15000000</v>
      </c>
      <c r="AW83" s="27" t="s">
        <v>395</v>
      </c>
      <c r="AX83" s="27" t="s">
        <v>395</v>
      </c>
      <c r="AY83" s="27" t="s">
        <v>83</v>
      </c>
      <c r="AZ83" s="27">
        <v>1</v>
      </c>
      <c r="BA83" s="27"/>
      <c r="BB83" s="27" t="s">
        <v>367</v>
      </c>
      <c r="BC83" s="27" t="s">
        <v>1603</v>
      </c>
      <c r="BD83" s="27" t="s">
        <v>367</v>
      </c>
      <c r="BE83" s="27" t="s">
        <v>367</v>
      </c>
      <c r="BF83" s="27" t="s">
        <v>1604</v>
      </c>
      <c r="BG83" s="27" t="s">
        <v>1605</v>
      </c>
      <c r="BH83" s="27" t="s">
        <v>347</v>
      </c>
      <c r="BI83" s="27" t="s">
        <v>401</v>
      </c>
      <c r="BJ83" s="27" t="s">
        <v>1606</v>
      </c>
      <c r="BK83" s="27" t="s">
        <v>242</v>
      </c>
      <c r="BL83" s="27" t="s">
        <v>1607</v>
      </c>
      <c r="BM83" s="35">
        <v>0</v>
      </c>
    </row>
    <row r="84" spans="1:65" s="1" customFormat="1" x14ac:dyDescent="0.2">
      <c r="A84" s="25">
        <v>359</v>
      </c>
      <c r="B84" s="26">
        <v>146</v>
      </c>
      <c r="C84" s="27" t="s">
        <v>503</v>
      </c>
      <c r="D84" s="28" t="s">
        <v>1608</v>
      </c>
      <c r="E84" s="28" t="s">
        <v>271</v>
      </c>
      <c r="F84" s="28" t="s">
        <v>339</v>
      </c>
      <c r="G84" s="28">
        <v>2026</v>
      </c>
      <c r="H84" s="20" t="str">
        <f>VLOOKUP(U84,'[1]KODE TYPE standar'!$D:$U,17,0)</f>
        <v>HILUX</v>
      </c>
      <c r="I84" s="20" t="str">
        <f>VLOOKUP(U84,'[1]KODE TYPE standar'!$D:$U,16,0)</f>
        <v>HILUX</v>
      </c>
      <c r="J84" s="20" t="str">
        <f>VLOOKUP(U84,'[1]KODE TYPE standar'!$D:$U,18,0)</f>
        <v>HILUX DC V A/T DIESEL</v>
      </c>
      <c r="K84" s="27" t="s">
        <v>50</v>
      </c>
      <c r="L84" s="28" t="s">
        <v>110</v>
      </c>
      <c r="M84" s="28" t="s">
        <v>50</v>
      </c>
      <c r="N84" s="28" t="s">
        <v>140</v>
      </c>
      <c r="O84" s="28" t="s">
        <v>156</v>
      </c>
      <c r="P84" s="29" t="s">
        <v>149</v>
      </c>
      <c r="Q84" s="29" t="s">
        <v>161</v>
      </c>
      <c r="R84" s="29" t="s">
        <v>145</v>
      </c>
      <c r="S84" s="27" t="s">
        <v>1555</v>
      </c>
      <c r="T84" s="30" t="s">
        <v>585</v>
      </c>
      <c r="U84" s="27" t="s">
        <v>113</v>
      </c>
      <c r="V84" s="27" t="s">
        <v>48</v>
      </c>
      <c r="W84" s="27" t="s">
        <v>49</v>
      </c>
      <c r="X84" s="27" t="s">
        <v>1609</v>
      </c>
      <c r="Y84" s="27" t="s">
        <v>1610</v>
      </c>
      <c r="Z84" s="27" t="s">
        <v>1554</v>
      </c>
      <c r="AA84" s="27" t="s">
        <v>1555</v>
      </c>
      <c r="AB84" s="30" t="s">
        <v>585</v>
      </c>
      <c r="AC84" s="30" t="s">
        <v>1611</v>
      </c>
      <c r="AD84" s="28" t="s">
        <v>1612</v>
      </c>
      <c r="AE84" s="28" t="s">
        <v>110</v>
      </c>
      <c r="AF84" s="28" t="s">
        <v>1612</v>
      </c>
      <c r="AG84" s="28" t="s">
        <v>1613</v>
      </c>
      <c r="AH84" s="28" t="s">
        <v>1614</v>
      </c>
      <c r="AI84" s="28" t="s">
        <v>140</v>
      </c>
      <c r="AJ84" s="28" t="s">
        <v>50</v>
      </c>
      <c r="AK84" s="28" t="s">
        <v>50</v>
      </c>
      <c r="AL84" s="28"/>
      <c r="AM84" s="31">
        <v>545800000</v>
      </c>
      <c r="AN84" s="31">
        <v>421540179</v>
      </c>
      <c r="AO84" s="31">
        <v>73675000</v>
      </c>
      <c r="AP84" s="31">
        <v>47799107</v>
      </c>
      <c r="AQ84" s="31">
        <v>0</v>
      </c>
      <c r="AR84" s="31">
        <v>0</v>
      </c>
      <c r="AS84" s="31">
        <v>23214286</v>
      </c>
      <c r="AT84" s="31">
        <v>519800000</v>
      </c>
      <c r="AU84" s="31">
        <v>0</v>
      </c>
      <c r="AV84" s="31">
        <v>-26000000</v>
      </c>
      <c r="AW84" s="28"/>
      <c r="AX84" s="28"/>
      <c r="AY84" s="28" t="s">
        <v>83</v>
      </c>
      <c r="AZ84" s="28">
        <v>1</v>
      </c>
      <c r="BA84" s="28" t="s">
        <v>163</v>
      </c>
      <c r="BB84" s="28" t="s">
        <v>244</v>
      </c>
      <c r="BC84" s="28" t="s">
        <v>1615</v>
      </c>
      <c r="BD84" s="28" t="s">
        <v>244</v>
      </c>
      <c r="BE84" s="28" t="s">
        <v>244</v>
      </c>
      <c r="BF84" s="28" t="s">
        <v>1616</v>
      </c>
      <c r="BG84" s="28" t="s">
        <v>1617</v>
      </c>
      <c r="BH84" s="28" t="s">
        <v>271</v>
      </c>
      <c r="BI84" s="28" t="s">
        <v>353</v>
      </c>
      <c r="BJ84" s="28" t="s">
        <v>363</v>
      </c>
      <c r="BK84" s="28" t="s">
        <v>251</v>
      </c>
      <c r="BL84" s="28" t="s">
        <v>1618</v>
      </c>
      <c r="BM84" s="32">
        <v>0</v>
      </c>
    </row>
    <row r="85" spans="1:65" s="1" customFormat="1" x14ac:dyDescent="0.2">
      <c r="A85" s="33">
        <v>400</v>
      </c>
      <c r="B85" s="26">
        <v>146</v>
      </c>
      <c r="C85" s="27" t="s">
        <v>503</v>
      </c>
      <c r="D85" s="27" t="s">
        <v>1619</v>
      </c>
      <c r="E85" s="27" t="s">
        <v>237</v>
      </c>
      <c r="F85" s="27" t="s">
        <v>258</v>
      </c>
      <c r="G85" s="28">
        <v>2026</v>
      </c>
      <c r="H85" s="20" t="str">
        <f>VLOOKUP(U85,'[1]KODE TYPE standar'!$D:$U,17,0)</f>
        <v>CALYA</v>
      </c>
      <c r="I85" s="20" t="str">
        <f>VLOOKUP(U85,'[1]KODE TYPE standar'!$D:$U,16,0)</f>
        <v>CALYA</v>
      </c>
      <c r="J85" s="20" t="str">
        <f>VLOOKUP(U85,'[1]KODE TYPE standar'!$D:$U,18,0)</f>
        <v>CALYA G M/T</v>
      </c>
      <c r="K85" s="27" t="s">
        <v>118</v>
      </c>
      <c r="L85" s="27" t="s">
        <v>110</v>
      </c>
      <c r="M85" s="27" t="s">
        <v>262</v>
      </c>
      <c r="N85" s="27" t="s">
        <v>141</v>
      </c>
      <c r="O85" s="28" t="s">
        <v>156</v>
      </c>
      <c r="P85" s="29" t="s">
        <v>149</v>
      </c>
      <c r="Q85" s="29" t="s">
        <v>161</v>
      </c>
      <c r="R85" s="29" t="s">
        <v>1016</v>
      </c>
      <c r="S85" s="27" t="s">
        <v>631</v>
      </c>
      <c r="T85" s="27" t="s">
        <v>541</v>
      </c>
      <c r="U85" s="27" t="s">
        <v>268</v>
      </c>
      <c r="V85" s="27" t="s">
        <v>77</v>
      </c>
      <c r="W85" s="27" t="s">
        <v>78</v>
      </c>
      <c r="X85" s="27" t="s">
        <v>1620</v>
      </c>
      <c r="Y85" s="27" t="s">
        <v>1621</v>
      </c>
      <c r="Z85" s="27" t="s">
        <v>630</v>
      </c>
      <c r="AA85" s="27" t="s">
        <v>631</v>
      </c>
      <c r="AB85" s="27" t="s">
        <v>541</v>
      </c>
      <c r="AC85" s="27" t="s">
        <v>1622</v>
      </c>
      <c r="AD85" s="27" t="s">
        <v>1623</v>
      </c>
      <c r="AE85" s="27" t="s">
        <v>110</v>
      </c>
      <c r="AF85" s="27" t="s">
        <v>1624</v>
      </c>
      <c r="AG85" s="27" t="s">
        <v>1625</v>
      </c>
      <c r="AH85" s="27" t="s">
        <v>1626</v>
      </c>
      <c r="AI85" s="27" t="s">
        <v>141</v>
      </c>
      <c r="AJ85" s="27" t="s">
        <v>262</v>
      </c>
      <c r="AK85" s="27" t="s">
        <v>63</v>
      </c>
      <c r="AL85" s="27"/>
      <c r="AM85" s="34">
        <v>181900000</v>
      </c>
      <c r="AN85" s="34">
        <v>139564732</v>
      </c>
      <c r="AO85" s="34">
        <v>25587500</v>
      </c>
      <c r="AP85" s="34">
        <v>15569196</v>
      </c>
      <c r="AQ85" s="34">
        <v>0</v>
      </c>
      <c r="AR85" s="34">
        <v>0</v>
      </c>
      <c r="AS85" s="34">
        <v>9821429</v>
      </c>
      <c r="AT85" s="34">
        <v>170900000</v>
      </c>
      <c r="AU85" s="34">
        <v>1000000</v>
      </c>
      <c r="AV85" s="34">
        <v>-11000000</v>
      </c>
      <c r="AW85" s="27"/>
      <c r="AX85" s="27"/>
      <c r="AY85" s="27" t="s">
        <v>83</v>
      </c>
      <c r="AZ85" s="27">
        <v>1</v>
      </c>
      <c r="BA85" s="27"/>
      <c r="BB85" s="27" t="s">
        <v>231</v>
      </c>
      <c r="BC85" s="27" t="s">
        <v>1627</v>
      </c>
      <c r="BD85" s="27" t="s">
        <v>275</v>
      </c>
      <c r="BE85" s="27" t="s">
        <v>275</v>
      </c>
      <c r="BF85" s="27" t="s">
        <v>1628</v>
      </c>
      <c r="BG85" s="27" t="s">
        <v>1629</v>
      </c>
      <c r="BH85" s="27"/>
      <c r="BI85" s="27" t="s">
        <v>246</v>
      </c>
      <c r="BJ85" s="27" t="s">
        <v>1192</v>
      </c>
      <c r="BK85" s="27" t="s">
        <v>234</v>
      </c>
      <c r="BL85" s="27" t="s">
        <v>1630</v>
      </c>
      <c r="BM85" s="35">
        <v>0</v>
      </c>
    </row>
    <row r="86" spans="1:65" s="1" customFormat="1" x14ac:dyDescent="0.2">
      <c r="A86" s="33">
        <v>462</v>
      </c>
      <c r="B86" s="26">
        <v>146</v>
      </c>
      <c r="C86" s="36" t="s">
        <v>503</v>
      </c>
      <c r="D86" s="27" t="s">
        <v>1631</v>
      </c>
      <c r="E86" s="27" t="s">
        <v>308</v>
      </c>
      <c r="F86" s="27" t="s">
        <v>389</v>
      </c>
      <c r="G86" s="28">
        <v>2026</v>
      </c>
      <c r="H86" s="20" t="str">
        <f>VLOOKUP(U86,'[1]KODE TYPE standar'!$D:$U,17,0)</f>
        <v>AGYA</v>
      </c>
      <c r="I86" s="20" t="str">
        <f>VLOOKUP(U86,'[1]KODE TYPE standar'!$D:$U,16,0)</f>
        <v>AGYA</v>
      </c>
      <c r="J86" s="20" t="str">
        <f>VLOOKUP(U86,'[1]KODE TYPE standar'!$D:$U,18,0)</f>
        <v>AGYA G A/T</v>
      </c>
      <c r="K86" s="27" t="s">
        <v>121</v>
      </c>
      <c r="L86" s="27" t="s">
        <v>110</v>
      </c>
      <c r="M86" s="27" t="s">
        <v>262</v>
      </c>
      <c r="N86" s="27" t="s">
        <v>140</v>
      </c>
      <c r="O86" s="28" t="s">
        <v>156</v>
      </c>
      <c r="P86" s="29" t="s">
        <v>149</v>
      </c>
      <c r="Q86" s="29" t="s">
        <v>161</v>
      </c>
      <c r="R86" s="29" t="s">
        <v>597</v>
      </c>
      <c r="S86" s="27" t="s">
        <v>524</v>
      </c>
      <c r="T86" s="27" t="s">
        <v>509</v>
      </c>
      <c r="U86" s="27" t="s">
        <v>74</v>
      </c>
      <c r="V86" s="27" t="s">
        <v>68</v>
      </c>
      <c r="W86" s="27" t="s">
        <v>69</v>
      </c>
      <c r="X86" s="27" t="s">
        <v>1632</v>
      </c>
      <c r="Y86" s="27" t="s">
        <v>1633</v>
      </c>
      <c r="Z86" s="27" t="s">
        <v>523</v>
      </c>
      <c r="AA86" s="27" t="s">
        <v>524</v>
      </c>
      <c r="AB86" s="27" t="s">
        <v>509</v>
      </c>
      <c r="AC86" s="27" t="s">
        <v>1634</v>
      </c>
      <c r="AD86" s="27" t="s">
        <v>1635</v>
      </c>
      <c r="AE86" s="27" t="s">
        <v>110</v>
      </c>
      <c r="AF86" s="27" t="s">
        <v>1635</v>
      </c>
      <c r="AG86" s="27" t="s">
        <v>1636</v>
      </c>
      <c r="AH86" s="27" t="s">
        <v>1637</v>
      </c>
      <c r="AI86" s="27" t="s">
        <v>140</v>
      </c>
      <c r="AJ86" s="27" t="s">
        <v>262</v>
      </c>
      <c r="AK86" s="27" t="s">
        <v>104</v>
      </c>
      <c r="AL86" s="27"/>
      <c r="AM86" s="34">
        <v>200500000</v>
      </c>
      <c r="AN86" s="34">
        <v>153872768</v>
      </c>
      <c r="AO86" s="34">
        <v>28162500</v>
      </c>
      <c r="AP86" s="34">
        <v>17393303</v>
      </c>
      <c r="AQ86" s="34">
        <v>0</v>
      </c>
      <c r="AR86" s="34">
        <v>0</v>
      </c>
      <c r="AS86" s="34">
        <v>8928571</v>
      </c>
      <c r="AT86" s="34">
        <v>190500000</v>
      </c>
      <c r="AU86" s="34">
        <v>0</v>
      </c>
      <c r="AV86" s="34">
        <v>-10000000</v>
      </c>
      <c r="AW86" s="27" t="s">
        <v>298</v>
      </c>
      <c r="AX86" s="27" t="s">
        <v>298</v>
      </c>
      <c r="AY86" s="27" t="s">
        <v>83</v>
      </c>
      <c r="AZ86" s="27">
        <v>1</v>
      </c>
      <c r="BA86" s="27"/>
      <c r="BB86" s="27" t="s">
        <v>303</v>
      </c>
      <c r="BC86" s="27" t="s">
        <v>1638</v>
      </c>
      <c r="BD86" s="27" t="s">
        <v>410</v>
      </c>
      <c r="BE86" s="27" t="s">
        <v>410</v>
      </c>
      <c r="BF86" s="27" t="s">
        <v>1639</v>
      </c>
      <c r="BG86" s="27" t="s">
        <v>1640</v>
      </c>
      <c r="BH86" s="27" t="s">
        <v>308</v>
      </c>
      <c r="BI86" s="27" t="s">
        <v>391</v>
      </c>
      <c r="BJ86" s="27" t="s">
        <v>1641</v>
      </c>
      <c r="BK86" s="27" t="s">
        <v>218</v>
      </c>
      <c r="BL86" s="27" t="s">
        <v>1642</v>
      </c>
      <c r="BM86" s="35">
        <v>0</v>
      </c>
    </row>
    <row r="87" spans="1:65" s="1" customFormat="1" x14ac:dyDescent="0.2">
      <c r="A87" s="33">
        <v>366</v>
      </c>
      <c r="B87" s="26">
        <v>146</v>
      </c>
      <c r="C87" s="27" t="s">
        <v>503</v>
      </c>
      <c r="D87" s="27" t="s">
        <v>1643</v>
      </c>
      <c r="E87" s="27" t="s">
        <v>194</v>
      </c>
      <c r="F87" s="27" t="s">
        <v>111</v>
      </c>
      <c r="G87" s="28">
        <v>2026</v>
      </c>
      <c r="H87" s="20" t="str">
        <f>VLOOKUP(U87,'[1]KODE TYPE standar'!$D:$U,17,0)</f>
        <v>INV REBORN</v>
      </c>
      <c r="I87" s="20" t="str">
        <f>VLOOKUP(U87,'[1]KODE TYPE standar'!$D:$U,16,0)</f>
        <v>INNOVA</v>
      </c>
      <c r="J87" s="20" t="str">
        <f>VLOOKUP(U87,'[1]KODE TYPE standar'!$D:$U,18,0)</f>
        <v>INNOVA G A/T DIESEL</v>
      </c>
      <c r="K87" s="27" t="s">
        <v>119</v>
      </c>
      <c r="L87" s="27" t="s">
        <v>110</v>
      </c>
      <c r="M87" s="27" t="s">
        <v>262</v>
      </c>
      <c r="N87" s="27" t="s">
        <v>141</v>
      </c>
      <c r="O87" s="28" t="s">
        <v>156</v>
      </c>
      <c r="P87" s="29" t="s">
        <v>151</v>
      </c>
      <c r="Q87" s="29" t="s">
        <v>162</v>
      </c>
      <c r="R87" s="29" t="s">
        <v>145</v>
      </c>
      <c r="S87" s="27" t="s">
        <v>1373</v>
      </c>
      <c r="T87" s="27" t="s">
        <v>509</v>
      </c>
      <c r="U87" s="27" t="s">
        <v>192</v>
      </c>
      <c r="V87" s="27" t="s">
        <v>283</v>
      </c>
      <c r="W87" s="27" t="s">
        <v>284</v>
      </c>
      <c r="X87" s="27" t="s">
        <v>1644</v>
      </c>
      <c r="Y87" s="27" t="s">
        <v>1645</v>
      </c>
      <c r="Z87" s="27" t="s">
        <v>1372</v>
      </c>
      <c r="AA87" s="27" t="s">
        <v>1373</v>
      </c>
      <c r="AB87" s="27" t="s">
        <v>509</v>
      </c>
      <c r="AC87" s="27" t="s">
        <v>1646</v>
      </c>
      <c r="AD87" s="27" t="s">
        <v>1647</v>
      </c>
      <c r="AE87" s="27" t="s">
        <v>110</v>
      </c>
      <c r="AF87" s="27" t="s">
        <v>1648</v>
      </c>
      <c r="AG87" s="27" t="s">
        <v>1649</v>
      </c>
      <c r="AH87" s="27" t="s">
        <v>1602</v>
      </c>
      <c r="AI87" s="27" t="s">
        <v>141</v>
      </c>
      <c r="AJ87" s="27" t="s">
        <v>262</v>
      </c>
      <c r="AK87" s="27" t="s">
        <v>89</v>
      </c>
      <c r="AL87" s="27" t="s">
        <v>1650</v>
      </c>
      <c r="AM87" s="34">
        <v>442100000</v>
      </c>
      <c r="AN87" s="34">
        <v>342845982</v>
      </c>
      <c r="AO87" s="34">
        <v>58112500</v>
      </c>
      <c r="AP87" s="34">
        <v>38462946</v>
      </c>
      <c r="AQ87" s="34">
        <v>0</v>
      </c>
      <c r="AR87" s="34">
        <v>0</v>
      </c>
      <c r="AS87" s="34">
        <v>22321429</v>
      </c>
      <c r="AT87" s="34">
        <v>417100000</v>
      </c>
      <c r="AU87" s="34">
        <v>0</v>
      </c>
      <c r="AV87" s="34">
        <v>-25000000</v>
      </c>
      <c r="AW87" s="27" t="s">
        <v>199</v>
      </c>
      <c r="AX87" s="27" t="s">
        <v>199</v>
      </c>
      <c r="AY87" s="27" t="s">
        <v>83</v>
      </c>
      <c r="AZ87" s="27">
        <v>1</v>
      </c>
      <c r="BA87" s="27"/>
      <c r="BB87" s="27" t="s">
        <v>194</v>
      </c>
      <c r="BC87" s="27" t="s">
        <v>1651</v>
      </c>
      <c r="BD87" s="27" t="s">
        <v>194</v>
      </c>
      <c r="BE87" s="27" t="s">
        <v>194</v>
      </c>
      <c r="BF87" s="27" t="s">
        <v>1652</v>
      </c>
      <c r="BG87" s="27" t="s">
        <v>1653</v>
      </c>
      <c r="BH87" s="27" t="s">
        <v>194</v>
      </c>
      <c r="BI87" s="27" t="s">
        <v>218</v>
      </c>
      <c r="BJ87" s="27" t="s">
        <v>1654</v>
      </c>
      <c r="BK87" s="27" t="s">
        <v>217</v>
      </c>
      <c r="BL87" s="27" t="s">
        <v>1655</v>
      </c>
      <c r="BM87" s="35">
        <v>0</v>
      </c>
    </row>
    <row r="88" spans="1:65" s="1" customFormat="1" x14ac:dyDescent="0.2">
      <c r="A88" s="33">
        <v>405</v>
      </c>
      <c r="B88" s="26">
        <v>146</v>
      </c>
      <c r="C88" s="27" t="s">
        <v>503</v>
      </c>
      <c r="D88" s="27" t="s">
        <v>1656</v>
      </c>
      <c r="E88" s="27" t="s">
        <v>227</v>
      </c>
      <c r="F88" s="27" t="s">
        <v>258</v>
      </c>
      <c r="G88" s="28">
        <v>2026</v>
      </c>
      <c r="H88" s="20" t="str">
        <f>VLOOKUP(U88,'[1]KODE TYPE standar'!$D:$U,17,0)</f>
        <v>AVANZA</v>
      </c>
      <c r="I88" s="20" t="str">
        <f>VLOOKUP(U88,'[1]KODE TYPE standar'!$D:$U,16,0)</f>
        <v>AVANZA</v>
      </c>
      <c r="J88" s="20" t="str">
        <f>VLOOKUP(U88,'[1]KODE TYPE standar'!$D:$U,18,0)</f>
        <v>AVANZA G M/T</v>
      </c>
      <c r="K88" s="27" t="s">
        <v>118</v>
      </c>
      <c r="L88" s="27" t="s">
        <v>110</v>
      </c>
      <c r="M88" s="27" t="s">
        <v>262</v>
      </c>
      <c r="N88" s="27" t="s">
        <v>140</v>
      </c>
      <c r="O88" s="28" t="s">
        <v>156</v>
      </c>
      <c r="P88" s="29" t="s">
        <v>149</v>
      </c>
      <c r="Q88" s="29" t="s">
        <v>161</v>
      </c>
      <c r="R88" s="29" t="s">
        <v>145</v>
      </c>
      <c r="S88" s="27" t="s">
        <v>1171</v>
      </c>
      <c r="T88" s="27" t="s">
        <v>509</v>
      </c>
      <c r="U88" s="27" t="s">
        <v>59</v>
      </c>
      <c r="V88" s="27" t="s">
        <v>64</v>
      </c>
      <c r="W88" s="27" t="s">
        <v>65</v>
      </c>
      <c r="X88" s="27" t="s">
        <v>1657</v>
      </c>
      <c r="Y88" s="27" t="s">
        <v>1658</v>
      </c>
      <c r="Z88" s="27" t="s">
        <v>1170</v>
      </c>
      <c r="AA88" s="27" t="s">
        <v>1171</v>
      </c>
      <c r="AB88" s="27" t="s">
        <v>509</v>
      </c>
      <c r="AC88" s="27" t="s">
        <v>1659</v>
      </c>
      <c r="AD88" s="27" t="s">
        <v>1660</v>
      </c>
      <c r="AE88" s="27" t="s">
        <v>110</v>
      </c>
      <c r="AF88" s="27" t="s">
        <v>1660</v>
      </c>
      <c r="AG88" s="27" t="s">
        <v>1661</v>
      </c>
      <c r="AH88" s="27" t="s">
        <v>1662</v>
      </c>
      <c r="AI88" s="27" t="s">
        <v>140</v>
      </c>
      <c r="AJ88" s="27" t="s">
        <v>262</v>
      </c>
      <c r="AK88" s="27" t="s">
        <v>63</v>
      </c>
      <c r="AL88" s="27" t="s">
        <v>1663</v>
      </c>
      <c r="AM88" s="34">
        <v>269700000</v>
      </c>
      <c r="AN88" s="34">
        <v>208158482</v>
      </c>
      <c r="AO88" s="34">
        <v>36562500</v>
      </c>
      <c r="AP88" s="34">
        <v>23371875</v>
      </c>
      <c r="AQ88" s="34">
        <v>0</v>
      </c>
      <c r="AR88" s="34">
        <v>0</v>
      </c>
      <c r="AS88" s="34">
        <v>13392857</v>
      </c>
      <c r="AT88" s="34">
        <v>254700000</v>
      </c>
      <c r="AU88" s="34">
        <v>0</v>
      </c>
      <c r="AV88" s="34">
        <v>-15000000</v>
      </c>
      <c r="AW88" s="27" t="s">
        <v>222</v>
      </c>
      <c r="AX88" s="27" t="s">
        <v>222</v>
      </c>
      <c r="AY88" s="27" t="s">
        <v>83</v>
      </c>
      <c r="AZ88" s="27">
        <v>1</v>
      </c>
      <c r="BA88" s="27"/>
      <c r="BB88" s="27" t="s">
        <v>261</v>
      </c>
      <c r="BC88" s="27" t="s">
        <v>1664</v>
      </c>
      <c r="BD88" s="27" t="s">
        <v>215</v>
      </c>
      <c r="BE88" s="27" t="s">
        <v>215</v>
      </c>
      <c r="BF88" s="27" t="s">
        <v>1665</v>
      </c>
      <c r="BG88" s="27" t="s">
        <v>1666</v>
      </c>
      <c r="BH88" s="27" t="s">
        <v>227</v>
      </c>
      <c r="BI88" s="27" t="s">
        <v>254</v>
      </c>
      <c r="BJ88" s="27" t="s">
        <v>1667</v>
      </c>
      <c r="BK88" s="27" t="s">
        <v>182</v>
      </c>
      <c r="BL88" s="27" t="s">
        <v>1668</v>
      </c>
      <c r="BM88" s="35">
        <v>0</v>
      </c>
    </row>
    <row r="89" spans="1:65" s="1" customFormat="1" x14ac:dyDescent="0.2">
      <c r="A89" s="33">
        <v>409</v>
      </c>
      <c r="B89" s="26">
        <v>146</v>
      </c>
      <c r="C89" s="27" t="s">
        <v>503</v>
      </c>
      <c r="D89" s="27" t="s">
        <v>1669</v>
      </c>
      <c r="E89" s="27" t="s">
        <v>230</v>
      </c>
      <c r="F89" s="27" t="s">
        <v>258</v>
      </c>
      <c r="G89" s="28">
        <v>2026</v>
      </c>
      <c r="H89" s="20" t="str">
        <f>VLOOKUP(U89,'[1]KODE TYPE standar'!$D:$U,17,0)</f>
        <v>HIACE</v>
      </c>
      <c r="I89" s="20" t="str">
        <f>VLOOKUP(U89,'[1]KODE TYPE standar'!$D:$U,16,0)</f>
        <v>HIACE</v>
      </c>
      <c r="J89" s="20" t="str">
        <f>VLOOKUP(U89,'[1]KODE TYPE standar'!$D:$U,18,0)</f>
        <v>HIACE PREMIO</v>
      </c>
      <c r="K89" s="27" t="s">
        <v>120</v>
      </c>
      <c r="L89" s="27" t="s">
        <v>110</v>
      </c>
      <c r="M89" s="27" t="s">
        <v>262</v>
      </c>
      <c r="N89" s="27" t="s">
        <v>141</v>
      </c>
      <c r="O89" s="28" t="s">
        <v>156</v>
      </c>
      <c r="P89" s="29" t="s">
        <v>149</v>
      </c>
      <c r="Q89" s="29" t="s">
        <v>161</v>
      </c>
      <c r="R89" s="29" t="s">
        <v>318</v>
      </c>
      <c r="S89" s="27" t="s">
        <v>601</v>
      </c>
      <c r="T89" s="27" t="s">
        <v>509</v>
      </c>
      <c r="U89" s="27" t="s">
        <v>173</v>
      </c>
      <c r="V89" s="27" t="s">
        <v>99</v>
      </c>
      <c r="W89" s="27" t="s">
        <v>61</v>
      </c>
      <c r="X89" s="27" t="s">
        <v>1670</v>
      </c>
      <c r="Y89" s="27" t="s">
        <v>1671</v>
      </c>
      <c r="Z89" s="27" t="s">
        <v>600</v>
      </c>
      <c r="AA89" s="27" t="s">
        <v>601</v>
      </c>
      <c r="AB89" s="27" t="s">
        <v>509</v>
      </c>
      <c r="AC89" s="27" t="s">
        <v>1672</v>
      </c>
      <c r="AD89" s="27" t="s">
        <v>1673</v>
      </c>
      <c r="AE89" s="27" t="s">
        <v>110</v>
      </c>
      <c r="AF89" s="27" t="s">
        <v>1674</v>
      </c>
      <c r="AG89" s="27" t="s">
        <v>1675</v>
      </c>
      <c r="AH89" s="27" t="s">
        <v>605</v>
      </c>
      <c r="AI89" s="27" t="s">
        <v>141</v>
      </c>
      <c r="AJ89" s="27" t="s">
        <v>262</v>
      </c>
      <c r="AK89" s="27" t="s">
        <v>1676</v>
      </c>
      <c r="AL89" s="27"/>
      <c r="AM89" s="34">
        <v>678400000</v>
      </c>
      <c r="AN89" s="34">
        <v>525848214</v>
      </c>
      <c r="AO89" s="34">
        <v>89450000</v>
      </c>
      <c r="AP89" s="34">
        <v>59351785</v>
      </c>
      <c r="AQ89" s="34">
        <v>0</v>
      </c>
      <c r="AR89" s="34">
        <v>0</v>
      </c>
      <c r="AS89" s="34">
        <v>31250000</v>
      </c>
      <c r="AT89" s="34">
        <v>643400000</v>
      </c>
      <c r="AU89" s="34">
        <v>0</v>
      </c>
      <c r="AV89" s="34">
        <v>-35000000</v>
      </c>
      <c r="AW89" s="27" t="s">
        <v>230</v>
      </c>
      <c r="AX89" s="27" t="s">
        <v>230</v>
      </c>
      <c r="AY89" s="27" t="s">
        <v>83</v>
      </c>
      <c r="AZ89" s="27">
        <v>1</v>
      </c>
      <c r="BA89" s="27" t="s">
        <v>1677</v>
      </c>
      <c r="BB89" s="27" t="s">
        <v>198</v>
      </c>
      <c r="BC89" s="27" t="s">
        <v>1678</v>
      </c>
      <c r="BD89" s="27" t="s">
        <v>198</v>
      </c>
      <c r="BE89" s="27" t="s">
        <v>198</v>
      </c>
      <c r="BF89" s="27" t="s">
        <v>1679</v>
      </c>
      <c r="BG89" s="27" t="s">
        <v>1680</v>
      </c>
      <c r="BH89" s="27" t="s">
        <v>230</v>
      </c>
      <c r="BI89" s="27" t="s">
        <v>252</v>
      </c>
      <c r="BJ89" s="27" t="s">
        <v>1681</v>
      </c>
      <c r="BK89" s="27" t="s">
        <v>207</v>
      </c>
      <c r="BL89" s="27" t="s">
        <v>1682</v>
      </c>
      <c r="BM89" s="35">
        <v>0</v>
      </c>
    </row>
    <row r="90" spans="1:65" s="1" customFormat="1" x14ac:dyDescent="0.2">
      <c r="A90" s="33">
        <v>410</v>
      </c>
      <c r="B90" s="26">
        <v>146</v>
      </c>
      <c r="C90" s="27" t="s">
        <v>503</v>
      </c>
      <c r="D90" s="27" t="s">
        <v>1683</v>
      </c>
      <c r="E90" s="27" t="s">
        <v>227</v>
      </c>
      <c r="F90" s="27" t="s">
        <v>258</v>
      </c>
      <c r="G90" s="28">
        <v>2026</v>
      </c>
      <c r="H90" s="20" t="str">
        <f>VLOOKUP(U90,'[1]KODE TYPE standar'!$D:$U,17,0)</f>
        <v>HIACE</v>
      </c>
      <c r="I90" s="20" t="str">
        <f>VLOOKUP(U90,'[1]KODE TYPE standar'!$D:$U,16,0)</f>
        <v>HIACE</v>
      </c>
      <c r="J90" s="20" t="str">
        <f>VLOOKUP(U90,'[1]KODE TYPE standar'!$D:$U,18,0)</f>
        <v>HIACE PREMIO</v>
      </c>
      <c r="K90" s="27" t="s">
        <v>120</v>
      </c>
      <c r="L90" s="27" t="s">
        <v>110</v>
      </c>
      <c r="M90" s="27" t="s">
        <v>262</v>
      </c>
      <c r="N90" s="27" t="s">
        <v>141</v>
      </c>
      <c r="O90" s="28" t="s">
        <v>156</v>
      </c>
      <c r="P90" s="29" t="s">
        <v>149</v>
      </c>
      <c r="Q90" s="29" t="s">
        <v>161</v>
      </c>
      <c r="R90" s="29" t="s">
        <v>318</v>
      </c>
      <c r="S90" s="27" t="s">
        <v>601</v>
      </c>
      <c r="T90" s="27" t="s">
        <v>509</v>
      </c>
      <c r="U90" s="27" t="s">
        <v>173</v>
      </c>
      <c r="V90" s="27" t="s">
        <v>99</v>
      </c>
      <c r="W90" s="27" t="s">
        <v>61</v>
      </c>
      <c r="X90" s="27" t="s">
        <v>1670</v>
      </c>
      <c r="Y90" s="27" t="s">
        <v>1671</v>
      </c>
      <c r="Z90" s="27" t="s">
        <v>600</v>
      </c>
      <c r="AA90" s="27" t="s">
        <v>601</v>
      </c>
      <c r="AB90" s="27" t="s">
        <v>509</v>
      </c>
      <c r="AC90" s="27" t="s">
        <v>1672</v>
      </c>
      <c r="AD90" s="27" t="s">
        <v>1673</v>
      </c>
      <c r="AE90" s="27" t="s">
        <v>110</v>
      </c>
      <c r="AF90" s="27" t="s">
        <v>1674</v>
      </c>
      <c r="AG90" s="27" t="s">
        <v>1675</v>
      </c>
      <c r="AH90" s="27" t="s">
        <v>605</v>
      </c>
      <c r="AI90" s="27" t="s">
        <v>141</v>
      </c>
      <c r="AJ90" s="27" t="s">
        <v>262</v>
      </c>
      <c r="AK90" s="27" t="s">
        <v>1676</v>
      </c>
      <c r="AL90" s="27"/>
      <c r="AM90" s="34">
        <v>678400000</v>
      </c>
      <c r="AN90" s="34">
        <v>-525848214</v>
      </c>
      <c r="AO90" s="34">
        <v>-89450000</v>
      </c>
      <c r="AP90" s="34">
        <v>-59458928</v>
      </c>
      <c r="AQ90" s="34">
        <v>0</v>
      </c>
      <c r="AR90" s="34">
        <v>0</v>
      </c>
      <c r="AS90" s="34">
        <v>-30357143</v>
      </c>
      <c r="AT90" s="34">
        <v>-644400000</v>
      </c>
      <c r="AU90" s="34">
        <v>0</v>
      </c>
      <c r="AV90" s="34">
        <v>-34847637</v>
      </c>
      <c r="AW90" s="27" t="s">
        <v>230</v>
      </c>
      <c r="AX90" s="27" t="s">
        <v>230</v>
      </c>
      <c r="AY90" s="27" t="s">
        <v>292</v>
      </c>
      <c r="AZ90" s="27">
        <v>-1</v>
      </c>
      <c r="BA90" s="27" t="s">
        <v>1677</v>
      </c>
      <c r="BB90" s="27" t="s">
        <v>198</v>
      </c>
      <c r="BC90" s="27" t="s">
        <v>1678</v>
      </c>
      <c r="BD90" s="27" t="s">
        <v>198</v>
      </c>
      <c r="BE90" s="27" t="s">
        <v>198</v>
      </c>
      <c r="BF90" s="27" t="s">
        <v>1679</v>
      </c>
      <c r="BG90" s="27" t="s">
        <v>1680</v>
      </c>
      <c r="BH90" s="27" t="s">
        <v>230</v>
      </c>
      <c r="BI90" s="27" t="s">
        <v>254</v>
      </c>
      <c r="BJ90" s="27" t="s">
        <v>1681</v>
      </c>
      <c r="BK90" s="27" t="s">
        <v>207</v>
      </c>
      <c r="BL90" s="27" t="s">
        <v>1682</v>
      </c>
      <c r="BM90" s="35">
        <v>0</v>
      </c>
    </row>
    <row r="91" spans="1:65" s="1" customFormat="1" x14ac:dyDescent="0.2">
      <c r="A91" s="33">
        <v>373</v>
      </c>
      <c r="B91" s="26">
        <v>146</v>
      </c>
      <c r="C91" s="27" t="s">
        <v>503</v>
      </c>
      <c r="D91" s="27" t="s">
        <v>1684</v>
      </c>
      <c r="E91" s="27" t="s">
        <v>191</v>
      </c>
      <c r="F91" s="27" t="s">
        <v>111</v>
      </c>
      <c r="G91" s="28">
        <v>2026</v>
      </c>
      <c r="H91" s="20" t="str">
        <f>VLOOKUP(U91,'[1]KODE TYPE standar'!$D:$U,17,0)</f>
        <v>HIACE</v>
      </c>
      <c r="I91" s="20" t="str">
        <f>VLOOKUP(U91,'[1]KODE TYPE standar'!$D:$U,16,0)</f>
        <v>HIACE</v>
      </c>
      <c r="J91" s="20" t="str">
        <f>VLOOKUP(U91,'[1]KODE TYPE standar'!$D:$U,18,0)</f>
        <v>HIACE PREMIO</v>
      </c>
      <c r="K91" s="27" t="s">
        <v>119</v>
      </c>
      <c r="L91" s="27" t="s">
        <v>110</v>
      </c>
      <c r="M91" s="27" t="s">
        <v>262</v>
      </c>
      <c r="N91" s="27" t="s">
        <v>141</v>
      </c>
      <c r="O91" s="28" t="s">
        <v>156</v>
      </c>
      <c r="P91" s="29" t="s">
        <v>149</v>
      </c>
      <c r="Q91" s="29" t="s">
        <v>161</v>
      </c>
      <c r="R91" s="29" t="s">
        <v>318</v>
      </c>
      <c r="S91" s="27" t="s">
        <v>601</v>
      </c>
      <c r="T91" s="27" t="s">
        <v>509</v>
      </c>
      <c r="U91" s="27" t="s">
        <v>173</v>
      </c>
      <c r="V91" s="27" t="s">
        <v>99</v>
      </c>
      <c r="W91" s="27" t="s">
        <v>61</v>
      </c>
      <c r="X91" s="27" t="s">
        <v>1670</v>
      </c>
      <c r="Y91" s="27" t="s">
        <v>1671</v>
      </c>
      <c r="Z91" s="27" t="s">
        <v>600</v>
      </c>
      <c r="AA91" s="27" t="s">
        <v>601</v>
      </c>
      <c r="AB91" s="27" t="s">
        <v>509</v>
      </c>
      <c r="AC91" s="27" t="s">
        <v>1672</v>
      </c>
      <c r="AD91" s="27" t="s">
        <v>1685</v>
      </c>
      <c r="AE91" s="27" t="s">
        <v>110</v>
      </c>
      <c r="AF91" s="27" t="s">
        <v>1674</v>
      </c>
      <c r="AG91" s="27" t="s">
        <v>1675</v>
      </c>
      <c r="AH91" s="27" t="s">
        <v>605</v>
      </c>
      <c r="AI91" s="27" t="s">
        <v>141</v>
      </c>
      <c r="AJ91" s="27" t="s">
        <v>262</v>
      </c>
      <c r="AK91" s="27" t="s">
        <v>89</v>
      </c>
      <c r="AL91" s="27"/>
      <c r="AM91" s="34">
        <v>678400000</v>
      </c>
      <c r="AN91" s="34">
        <v>525848214</v>
      </c>
      <c r="AO91" s="34">
        <v>89450000</v>
      </c>
      <c r="AP91" s="34">
        <v>59458928</v>
      </c>
      <c r="AQ91" s="34">
        <v>0</v>
      </c>
      <c r="AR91" s="34">
        <v>0</v>
      </c>
      <c r="AS91" s="34">
        <v>30357143</v>
      </c>
      <c r="AT91" s="34">
        <v>644400000</v>
      </c>
      <c r="AU91" s="34">
        <v>194000000</v>
      </c>
      <c r="AV91" s="34">
        <v>-34847637</v>
      </c>
      <c r="AW91" s="27"/>
      <c r="AX91" s="27"/>
      <c r="AY91" s="27" t="s">
        <v>83</v>
      </c>
      <c r="AZ91" s="27">
        <v>1</v>
      </c>
      <c r="BA91" s="27" t="s">
        <v>163</v>
      </c>
      <c r="BB91" s="27" t="s">
        <v>198</v>
      </c>
      <c r="BC91" s="27" t="s">
        <v>1678</v>
      </c>
      <c r="BD91" s="27" t="s">
        <v>198</v>
      </c>
      <c r="BE91" s="27" t="s">
        <v>198</v>
      </c>
      <c r="BF91" s="27" t="s">
        <v>1679</v>
      </c>
      <c r="BG91" s="27" t="s">
        <v>1680</v>
      </c>
      <c r="BH91" s="27"/>
      <c r="BI91" s="27" t="s">
        <v>230</v>
      </c>
      <c r="BJ91" s="27" t="s">
        <v>1681</v>
      </c>
      <c r="BK91" s="27" t="s">
        <v>207</v>
      </c>
      <c r="BL91" s="27" t="s">
        <v>1686</v>
      </c>
      <c r="BM91" s="35">
        <v>0</v>
      </c>
    </row>
    <row r="92" spans="1:65" s="1" customFormat="1" x14ac:dyDescent="0.2">
      <c r="A92" s="25">
        <v>369</v>
      </c>
      <c r="B92" s="26">
        <v>146</v>
      </c>
      <c r="C92" s="27" t="s">
        <v>503</v>
      </c>
      <c r="D92" s="28" t="s">
        <v>1687</v>
      </c>
      <c r="E92" s="28" t="s">
        <v>263</v>
      </c>
      <c r="F92" s="28" t="s">
        <v>339</v>
      </c>
      <c r="G92" s="28">
        <v>2026</v>
      </c>
      <c r="H92" s="20" t="str">
        <f>VLOOKUP(U92,'[1]KODE TYPE standar'!$D:$U,17,0)</f>
        <v>INV ZENIX HYBRID</v>
      </c>
      <c r="I92" s="20" t="str">
        <f>VLOOKUP(U92,'[1]KODE TYPE standar'!$D:$U,16,0)</f>
        <v>INNOVA</v>
      </c>
      <c r="J92" s="20" t="str">
        <f>VLOOKUP(U92,'[1]KODE TYPE standar'!$D:$U,18,0)</f>
        <v>INNOVA ZENIX V A/T HYBRID</v>
      </c>
      <c r="K92" s="27" t="s">
        <v>50</v>
      </c>
      <c r="L92" s="28" t="s">
        <v>110</v>
      </c>
      <c r="M92" s="28" t="s">
        <v>50</v>
      </c>
      <c r="N92" s="28" t="s">
        <v>141</v>
      </c>
      <c r="O92" s="28" t="s">
        <v>156</v>
      </c>
      <c r="P92" s="29" t="s">
        <v>151</v>
      </c>
      <c r="Q92" s="29" t="s">
        <v>161</v>
      </c>
      <c r="R92" s="29" t="s">
        <v>318</v>
      </c>
      <c r="S92" s="28" t="s">
        <v>908</v>
      </c>
      <c r="T92" s="28" t="s">
        <v>509</v>
      </c>
      <c r="U92" s="27" t="s">
        <v>176</v>
      </c>
      <c r="V92" s="27" t="s">
        <v>51</v>
      </c>
      <c r="W92" s="27" t="s">
        <v>86</v>
      </c>
      <c r="X92" s="28" t="s">
        <v>1688</v>
      </c>
      <c r="Y92" s="27" t="s">
        <v>1689</v>
      </c>
      <c r="Z92" s="28" t="s">
        <v>907</v>
      </c>
      <c r="AA92" s="28" t="s">
        <v>908</v>
      </c>
      <c r="AB92" s="28" t="s">
        <v>509</v>
      </c>
      <c r="AC92" s="28" t="s">
        <v>1690</v>
      </c>
      <c r="AD92" s="28" t="s">
        <v>1691</v>
      </c>
      <c r="AE92" s="28" t="s">
        <v>110</v>
      </c>
      <c r="AF92" s="28" t="s">
        <v>1692</v>
      </c>
      <c r="AG92" s="28" t="s">
        <v>1693</v>
      </c>
      <c r="AH92" s="28" t="s">
        <v>1694</v>
      </c>
      <c r="AI92" s="28" t="s">
        <v>141</v>
      </c>
      <c r="AJ92" s="28" t="s">
        <v>50</v>
      </c>
      <c r="AK92" s="28" t="s">
        <v>50</v>
      </c>
      <c r="AL92" s="28" t="s">
        <v>1695</v>
      </c>
      <c r="AM92" s="31">
        <v>554800000</v>
      </c>
      <c r="AN92" s="31">
        <v>430669643</v>
      </c>
      <c r="AO92" s="31">
        <v>72450000</v>
      </c>
      <c r="AP92" s="31">
        <v>49537500</v>
      </c>
      <c r="AQ92" s="31">
        <v>0</v>
      </c>
      <c r="AR92" s="31">
        <v>0</v>
      </c>
      <c r="AS92" s="31">
        <v>17857143</v>
      </c>
      <c r="AT92" s="31">
        <v>534800000</v>
      </c>
      <c r="AU92" s="31">
        <v>0</v>
      </c>
      <c r="AV92" s="31">
        <v>-20000000</v>
      </c>
      <c r="AW92" s="28" t="s">
        <v>244</v>
      </c>
      <c r="AX92" s="28" t="s">
        <v>244</v>
      </c>
      <c r="AY92" s="28" t="s">
        <v>83</v>
      </c>
      <c r="AZ92" s="28">
        <v>1</v>
      </c>
      <c r="BA92" s="28"/>
      <c r="BB92" s="28" t="s">
        <v>263</v>
      </c>
      <c r="BC92" s="28" t="s">
        <v>1696</v>
      </c>
      <c r="BD92" s="28" t="s">
        <v>254</v>
      </c>
      <c r="BE92" s="28" t="s">
        <v>254</v>
      </c>
      <c r="BF92" s="28" t="s">
        <v>1697</v>
      </c>
      <c r="BG92" s="28" t="s">
        <v>1698</v>
      </c>
      <c r="BH92" s="28" t="s">
        <v>263</v>
      </c>
      <c r="BI92" s="28" t="s">
        <v>348</v>
      </c>
      <c r="BJ92" s="28" t="s">
        <v>1699</v>
      </c>
      <c r="BK92" s="28" t="s">
        <v>221</v>
      </c>
      <c r="BL92" s="28" t="s">
        <v>1700</v>
      </c>
      <c r="BM92" s="32">
        <v>0</v>
      </c>
    </row>
    <row r="93" spans="1:65" s="1" customFormat="1" x14ac:dyDescent="0.2">
      <c r="A93" s="33">
        <v>420</v>
      </c>
      <c r="B93" s="26">
        <v>146</v>
      </c>
      <c r="C93" s="27" t="s">
        <v>503</v>
      </c>
      <c r="D93" s="27" t="s">
        <v>1701</v>
      </c>
      <c r="E93" s="27" t="s">
        <v>241</v>
      </c>
      <c r="F93" s="27" t="s">
        <v>258</v>
      </c>
      <c r="G93" s="28">
        <v>2026</v>
      </c>
      <c r="H93" s="20" t="str">
        <f>VLOOKUP(U93,'[1]KODE TYPE standar'!$D:$U,17,0)</f>
        <v>RUSH</v>
      </c>
      <c r="I93" s="20" t="str">
        <f>VLOOKUP(U93,'[1]KODE TYPE standar'!$D:$U,16,0)</f>
        <v>RUSH</v>
      </c>
      <c r="J93" s="20" t="str">
        <f>VLOOKUP(U93,'[1]KODE TYPE standar'!$D:$U,18,0)</f>
        <v>RUSH S M/T</v>
      </c>
      <c r="K93" s="27" t="s">
        <v>121</v>
      </c>
      <c r="L93" s="27" t="s">
        <v>110</v>
      </c>
      <c r="M93" s="27" t="s">
        <v>262</v>
      </c>
      <c r="N93" s="27" t="s">
        <v>141</v>
      </c>
      <c r="O93" s="28" t="s">
        <v>156</v>
      </c>
      <c r="P93" s="29" t="s">
        <v>151</v>
      </c>
      <c r="Q93" s="29" t="s">
        <v>161</v>
      </c>
      <c r="R93" s="29" t="s">
        <v>145</v>
      </c>
      <c r="S93" s="27" t="s">
        <v>1171</v>
      </c>
      <c r="T93" s="27" t="s">
        <v>509</v>
      </c>
      <c r="U93" s="27" t="s">
        <v>276</v>
      </c>
      <c r="V93" s="27" t="s">
        <v>64</v>
      </c>
      <c r="W93" s="27" t="s">
        <v>65</v>
      </c>
      <c r="X93" s="27" t="s">
        <v>1702</v>
      </c>
      <c r="Y93" s="27" t="s">
        <v>1703</v>
      </c>
      <c r="Z93" s="27" t="s">
        <v>1170</v>
      </c>
      <c r="AA93" s="27" t="s">
        <v>1171</v>
      </c>
      <c r="AB93" s="27" t="s">
        <v>509</v>
      </c>
      <c r="AC93" s="27" t="s">
        <v>1704</v>
      </c>
      <c r="AD93" s="27" t="s">
        <v>1705</v>
      </c>
      <c r="AE93" s="27" t="s">
        <v>110</v>
      </c>
      <c r="AF93" s="27" t="s">
        <v>1705</v>
      </c>
      <c r="AG93" s="27" t="s">
        <v>1706</v>
      </c>
      <c r="AH93" s="27" t="s">
        <v>1442</v>
      </c>
      <c r="AI93" s="27" t="s">
        <v>141</v>
      </c>
      <c r="AJ93" s="27" t="s">
        <v>262</v>
      </c>
      <c r="AK93" s="27" t="s">
        <v>104</v>
      </c>
      <c r="AL93" s="27" t="s">
        <v>1707</v>
      </c>
      <c r="AM93" s="34">
        <v>311400000</v>
      </c>
      <c r="AN93" s="34">
        <v>240736607</v>
      </c>
      <c r="AO93" s="34">
        <v>41775000</v>
      </c>
      <c r="AP93" s="34">
        <v>26745535</v>
      </c>
      <c r="AQ93" s="34">
        <v>0</v>
      </c>
      <c r="AR93" s="34">
        <v>0</v>
      </c>
      <c r="AS93" s="34">
        <v>17857143</v>
      </c>
      <c r="AT93" s="34">
        <v>291400000</v>
      </c>
      <c r="AU93" s="34">
        <v>0</v>
      </c>
      <c r="AV93" s="34">
        <v>-20000000</v>
      </c>
      <c r="AW93" s="27" t="s">
        <v>235</v>
      </c>
      <c r="AX93" s="27" t="s">
        <v>235</v>
      </c>
      <c r="AY93" s="27" t="s">
        <v>83</v>
      </c>
      <c r="AZ93" s="27">
        <v>1</v>
      </c>
      <c r="BA93" s="27"/>
      <c r="BB93" s="27" t="s">
        <v>197</v>
      </c>
      <c r="BC93" s="27" t="s">
        <v>1708</v>
      </c>
      <c r="BD93" s="27" t="s">
        <v>213</v>
      </c>
      <c r="BE93" s="27" t="s">
        <v>213</v>
      </c>
      <c r="BF93" s="27" t="s">
        <v>1709</v>
      </c>
      <c r="BG93" s="27" t="s">
        <v>1710</v>
      </c>
      <c r="BH93" s="27" t="s">
        <v>241</v>
      </c>
      <c r="BI93" s="27" t="s">
        <v>254</v>
      </c>
      <c r="BJ93" s="27" t="s">
        <v>1711</v>
      </c>
      <c r="BK93" s="27" t="s">
        <v>280</v>
      </c>
      <c r="BL93" s="27" t="s">
        <v>1712</v>
      </c>
      <c r="BM93" s="35">
        <v>0</v>
      </c>
    </row>
    <row r="94" spans="1:65" s="1" customFormat="1" x14ac:dyDescent="0.2">
      <c r="A94" s="33">
        <v>424</v>
      </c>
      <c r="B94" s="26">
        <v>146</v>
      </c>
      <c r="C94" s="27" t="s">
        <v>503</v>
      </c>
      <c r="D94" s="27" t="s">
        <v>1713</v>
      </c>
      <c r="E94" s="27" t="s">
        <v>224</v>
      </c>
      <c r="F94" s="27" t="s">
        <v>258</v>
      </c>
      <c r="G94" s="28">
        <v>2026</v>
      </c>
      <c r="H94" s="20" t="str">
        <f>VLOOKUP(U94,'[1]KODE TYPE standar'!$D:$U,17,0)</f>
        <v>AVANZA</v>
      </c>
      <c r="I94" s="20" t="str">
        <f>VLOOKUP(U94,'[1]KODE TYPE standar'!$D:$U,16,0)</f>
        <v>AVANZA</v>
      </c>
      <c r="J94" s="20" t="str">
        <f>VLOOKUP(U94,'[1]KODE TYPE standar'!$D:$U,18,0)</f>
        <v>AVANZA G A/T</v>
      </c>
      <c r="K94" s="27" t="s">
        <v>120</v>
      </c>
      <c r="L94" s="27" t="s">
        <v>110</v>
      </c>
      <c r="M94" s="27" t="s">
        <v>262</v>
      </c>
      <c r="N94" s="27" t="s">
        <v>141</v>
      </c>
      <c r="O94" s="28" t="s">
        <v>156</v>
      </c>
      <c r="P94" s="29" t="s">
        <v>149</v>
      </c>
      <c r="Q94" s="29" t="s">
        <v>162</v>
      </c>
      <c r="R94" s="29" t="s">
        <v>145</v>
      </c>
      <c r="S94" s="27" t="s">
        <v>554</v>
      </c>
      <c r="T94" s="27" t="s">
        <v>509</v>
      </c>
      <c r="U94" s="27" t="s">
        <v>66</v>
      </c>
      <c r="V94" s="27" t="s">
        <v>64</v>
      </c>
      <c r="W94" s="27" t="s">
        <v>65</v>
      </c>
      <c r="X94" s="27" t="s">
        <v>1714</v>
      </c>
      <c r="Y94" s="27" t="s">
        <v>1715</v>
      </c>
      <c r="Z94" s="27" t="s">
        <v>553</v>
      </c>
      <c r="AA94" s="27" t="s">
        <v>554</v>
      </c>
      <c r="AB94" s="27" t="s">
        <v>509</v>
      </c>
      <c r="AC94" s="27" t="s">
        <v>1716</v>
      </c>
      <c r="AD94" s="27" t="s">
        <v>1717</v>
      </c>
      <c r="AE94" s="27" t="s">
        <v>110</v>
      </c>
      <c r="AF94" s="27" t="s">
        <v>1718</v>
      </c>
      <c r="AG94" s="27" t="s">
        <v>1719</v>
      </c>
      <c r="AH94" s="27" t="s">
        <v>1720</v>
      </c>
      <c r="AI94" s="27" t="s">
        <v>141</v>
      </c>
      <c r="AJ94" s="27" t="s">
        <v>262</v>
      </c>
      <c r="AK94" s="27" t="s">
        <v>423</v>
      </c>
      <c r="AL94" s="27"/>
      <c r="AM94" s="34">
        <v>284500000</v>
      </c>
      <c r="AN94" s="34">
        <v>219720982</v>
      </c>
      <c r="AO94" s="34">
        <v>38412500</v>
      </c>
      <c r="AP94" s="34">
        <v>24759375</v>
      </c>
      <c r="AQ94" s="34">
        <v>0</v>
      </c>
      <c r="AR94" s="34">
        <v>0</v>
      </c>
      <c r="AS94" s="34">
        <v>13392857</v>
      </c>
      <c r="AT94" s="34">
        <v>269500000</v>
      </c>
      <c r="AU94" s="34">
        <v>5000000</v>
      </c>
      <c r="AV94" s="34">
        <v>-15000000</v>
      </c>
      <c r="AW94" s="27"/>
      <c r="AX94" s="27"/>
      <c r="AY94" s="27" t="s">
        <v>83</v>
      </c>
      <c r="AZ94" s="27">
        <v>1</v>
      </c>
      <c r="BA94" s="27" t="s">
        <v>1721</v>
      </c>
      <c r="BB94" s="27" t="s">
        <v>233</v>
      </c>
      <c r="BC94" s="27" t="s">
        <v>1722</v>
      </c>
      <c r="BD94" s="27" t="s">
        <v>233</v>
      </c>
      <c r="BE94" s="27" t="s">
        <v>233</v>
      </c>
      <c r="BF94" s="27" t="s">
        <v>1723</v>
      </c>
      <c r="BG94" s="27" t="s">
        <v>1724</v>
      </c>
      <c r="BH94" s="27" t="s">
        <v>224</v>
      </c>
      <c r="BI94" s="27" t="s">
        <v>263</v>
      </c>
      <c r="BJ94" s="27" t="s">
        <v>1725</v>
      </c>
      <c r="BK94" s="27" t="s">
        <v>210</v>
      </c>
      <c r="BL94" s="27" t="s">
        <v>1726</v>
      </c>
      <c r="BM94" s="35">
        <v>0</v>
      </c>
    </row>
    <row r="95" spans="1:65" s="1" customFormat="1" x14ac:dyDescent="0.2">
      <c r="A95" s="33">
        <v>501</v>
      </c>
      <c r="B95" s="26">
        <v>146</v>
      </c>
      <c r="C95" s="36" t="s">
        <v>503</v>
      </c>
      <c r="D95" s="27" t="s">
        <v>1727</v>
      </c>
      <c r="E95" s="27" t="s">
        <v>365</v>
      </c>
      <c r="F95" s="27" t="s">
        <v>389</v>
      </c>
      <c r="G95" s="28">
        <v>2026</v>
      </c>
      <c r="H95" s="20" t="str">
        <f>VLOOKUP(U95,'[1]KODE TYPE standar'!$D:$U,17,0)</f>
        <v>INV ZENIX HYBRID</v>
      </c>
      <c r="I95" s="20" t="str">
        <f>VLOOKUP(U95,'[1]KODE TYPE standar'!$D:$U,16,0)</f>
        <v>INNOVA</v>
      </c>
      <c r="J95" s="20" t="str">
        <f>VLOOKUP(U95,'[1]KODE TYPE standar'!$D:$U,18,0)</f>
        <v>INNOVA ZENIX Q A/T HYBRID</v>
      </c>
      <c r="K95" s="27" t="s">
        <v>119</v>
      </c>
      <c r="L95" s="27" t="s">
        <v>110</v>
      </c>
      <c r="M95" s="27" t="s">
        <v>262</v>
      </c>
      <c r="N95" s="27" t="s">
        <v>141</v>
      </c>
      <c r="O95" s="28" t="s">
        <v>156</v>
      </c>
      <c r="P95" s="29" t="s">
        <v>149</v>
      </c>
      <c r="Q95" s="29" t="s">
        <v>162</v>
      </c>
      <c r="R95" s="29" t="s">
        <v>597</v>
      </c>
      <c r="S95" s="27" t="s">
        <v>1184</v>
      </c>
      <c r="T95" s="27" t="s">
        <v>585</v>
      </c>
      <c r="U95" s="27" t="s">
        <v>174</v>
      </c>
      <c r="V95" s="27" t="s">
        <v>48</v>
      </c>
      <c r="W95" s="27" t="s">
        <v>49</v>
      </c>
      <c r="X95" s="27" t="s">
        <v>1728</v>
      </c>
      <c r="Y95" s="27" t="s">
        <v>1729</v>
      </c>
      <c r="Z95" s="27" t="s">
        <v>1183</v>
      </c>
      <c r="AA95" s="27" t="s">
        <v>1184</v>
      </c>
      <c r="AB95" s="27" t="s">
        <v>585</v>
      </c>
      <c r="AC95" s="27" t="s">
        <v>1730</v>
      </c>
      <c r="AD95" s="27" t="s">
        <v>1731</v>
      </c>
      <c r="AE95" s="27" t="s">
        <v>110</v>
      </c>
      <c r="AF95" s="27" t="s">
        <v>1732</v>
      </c>
      <c r="AG95" s="27" t="s">
        <v>1733</v>
      </c>
      <c r="AH95" s="27" t="s">
        <v>1022</v>
      </c>
      <c r="AI95" s="27" t="s">
        <v>141</v>
      </c>
      <c r="AJ95" s="27" t="s">
        <v>262</v>
      </c>
      <c r="AK95" s="27" t="s">
        <v>89</v>
      </c>
      <c r="AL95" s="27"/>
      <c r="AM95" s="34">
        <v>627100000</v>
      </c>
      <c r="AN95" s="34">
        <v>487154018</v>
      </c>
      <c r="AO95" s="34">
        <v>81487500</v>
      </c>
      <c r="AP95" s="34">
        <v>56208482</v>
      </c>
      <c r="AQ95" s="34">
        <v>0</v>
      </c>
      <c r="AR95" s="34">
        <v>0</v>
      </c>
      <c r="AS95" s="34">
        <v>18750000</v>
      </c>
      <c r="AT95" s="34">
        <v>606100000</v>
      </c>
      <c r="AU95" s="34">
        <v>0</v>
      </c>
      <c r="AV95" s="34">
        <v>-21000000</v>
      </c>
      <c r="AW95" s="27" t="s">
        <v>308</v>
      </c>
      <c r="AX95" s="27" t="s">
        <v>308</v>
      </c>
      <c r="AY95" s="27" t="s">
        <v>83</v>
      </c>
      <c r="AZ95" s="27">
        <v>1</v>
      </c>
      <c r="BA95" s="27"/>
      <c r="BB95" s="27" t="s">
        <v>365</v>
      </c>
      <c r="BC95" s="27" t="s">
        <v>1734</v>
      </c>
      <c r="BD95" s="27" t="s">
        <v>351</v>
      </c>
      <c r="BE95" s="27" t="s">
        <v>351</v>
      </c>
      <c r="BF95" s="27" t="s">
        <v>1735</v>
      </c>
      <c r="BG95" s="27" t="s">
        <v>1736</v>
      </c>
      <c r="BH95" s="27" t="s">
        <v>365</v>
      </c>
      <c r="BI95" s="27" t="s">
        <v>404</v>
      </c>
      <c r="BJ95" s="27" t="s">
        <v>1737</v>
      </c>
      <c r="BK95" s="27" t="s">
        <v>368</v>
      </c>
      <c r="BL95" s="27" t="s">
        <v>1738</v>
      </c>
      <c r="BM95" s="35">
        <v>0</v>
      </c>
    </row>
    <row r="96" spans="1:65" s="1" customFormat="1" x14ac:dyDescent="0.2">
      <c r="A96" s="33">
        <v>520</v>
      </c>
      <c r="B96" s="26">
        <v>146</v>
      </c>
      <c r="C96" s="36" t="s">
        <v>503</v>
      </c>
      <c r="D96" s="27" t="s">
        <v>1739</v>
      </c>
      <c r="E96" s="27" t="s">
        <v>282</v>
      </c>
      <c r="F96" s="27" t="s">
        <v>389</v>
      </c>
      <c r="G96" s="28">
        <v>2026</v>
      </c>
      <c r="H96" s="20" t="str">
        <f>VLOOKUP(U96,'[1]KODE TYPE standar'!$D:$U,17,0)</f>
        <v>AVANZA</v>
      </c>
      <c r="I96" s="20" t="str">
        <f>VLOOKUP(U96,'[1]KODE TYPE standar'!$D:$U,16,0)</f>
        <v>AVANZA</v>
      </c>
      <c r="J96" s="20" t="str">
        <f>VLOOKUP(U96,'[1]KODE TYPE standar'!$D:$U,18,0)</f>
        <v>AVANZA G M/T</v>
      </c>
      <c r="K96" s="27" t="s">
        <v>119</v>
      </c>
      <c r="L96" s="27" t="s">
        <v>110</v>
      </c>
      <c r="M96" s="27" t="s">
        <v>262</v>
      </c>
      <c r="N96" s="27" t="s">
        <v>140</v>
      </c>
      <c r="O96" s="28" t="s">
        <v>156</v>
      </c>
      <c r="P96" s="29" t="s">
        <v>151</v>
      </c>
      <c r="Q96" s="29" t="s">
        <v>161</v>
      </c>
      <c r="R96" s="29" t="s">
        <v>1016</v>
      </c>
      <c r="S96" s="27" t="s">
        <v>724</v>
      </c>
      <c r="T96" s="27" t="s">
        <v>541</v>
      </c>
      <c r="U96" s="27" t="s">
        <v>59</v>
      </c>
      <c r="V96" s="27" t="s">
        <v>64</v>
      </c>
      <c r="W96" s="27" t="s">
        <v>65</v>
      </c>
      <c r="X96" s="27" t="s">
        <v>1740</v>
      </c>
      <c r="Y96" s="27" t="s">
        <v>1741</v>
      </c>
      <c r="Z96" s="27" t="s">
        <v>723</v>
      </c>
      <c r="AA96" s="27" t="s">
        <v>724</v>
      </c>
      <c r="AB96" s="27" t="s">
        <v>541</v>
      </c>
      <c r="AC96" s="27" t="s">
        <v>1742</v>
      </c>
      <c r="AD96" s="27" t="s">
        <v>1743</v>
      </c>
      <c r="AE96" s="27" t="s">
        <v>110</v>
      </c>
      <c r="AF96" s="27" t="s">
        <v>1743</v>
      </c>
      <c r="AG96" s="27" t="s">
        <v>1744</v>
      </c>
      <c r="AH96" s="27" t="s">
        <v>1745</v>
      </c>
      <c r="AI96" s="27" t="s">
        <v>140</v>
      </c>
      <c r="AJ96" s="27" t="s">
        <v>262</v>
      </c>
      <c r="AK96" s="27" t="s">
        <v>89</v>
      </c>
      <c r="AL96" s="27"/>
      <c r="AM96" s="34">
        <v>269700000</v>
      </c>
      <c r="AN96" s="34">
        <v>207935268</v>
      </c>
      <c r="AO96" s="34">
        <v>36812500</v>
      </c>
      <c r="AP96" s="34">
        <v>23345089</v>
      </c>
      <c r="AQ96" s="34">
        <v>0</v>
      </c>
      <c r="AR96" s="34">
        <v>0</v>
      </c>
      <c r="AS96" s="34">
        <v>13392857</v>
      </c>
      <c r="AT96" s="34">
        <v>254700000</v>
      </c>
      <c r="AU96" s="34">
        <v>0</v>
      </c>
      <c r="AV96" s="34">
        <v>-15000000</v>
      </c>
      <c r="AW96" s="27" t="s">
        <v>347</v>
      </c>
      <c r="AX96" s="27" t="s">
        <v>347</v>
      </c>
      <c r="AY96" s="27" t="s">
        <v>83</v>
      </c>
      <c r="AZ96" s="27">
        <v>1</v>
      </c>
      <c r="BA96" s="27"/>
      <c r="BB96" s="27" t="s">
        <v>308</v>
      </c>
      <c r="BC96" s="27" t="s">
        <v>1746</v>
      </c>
      <c r="BD96" s="27" t="s">
        <v>358</v>
      </c>
      <c r="BE96" s="27" t="s">
        <v>358</v>
      </c>
      <c r="BF96" s="27" t="s">
        <v>1747</v>
      </c>
      <c r="BG96" s="27" t="s">
        <v>1748</v>
      </c>
      <c r="BH96" s="27" t="s">
        <v>282</v>
      </c>
      <c r="BI96" s="27" t="s">
        <v>366</v>
      </c>
      <c r="BJ96" s="27" t="s">
        <v>1749</v>
      </c>
      <c r="BK96" s="27" t="s">
        <v>210</v>
      </c>
      <c r="BL96" s="27" t="s">
        <v>1750</v>
      </c>
      <c r="BM96" s="35">
        <v>0</v>
      </c>
    </row>
    <row r="97" spans="1:65" s="1" customFormat="1" x14ac:dyDescent="0.2">
      <c r="A97" s="33">
        <v>446</v>
      </c>
      <c r="B97" s="26">
        <v>146</v>
      </c>
      <c r="C97" s="27" t="s">
        <v>503</v>
      </c>
      <c r="D97" s="27" t="s">
        <v>1751</v>
      </c>
      <c r="E97" s="27" t="s">
        <v>231</v>
      </c>
      <c r="F97" s="27" t="s">
        <v>258</v>
      </c>
      <c r="G97" s="28">
        <v>2026</v>
      </c>
      <c r="H97" s="20" t="str">
        <f>VLOOKUP(U97,'[1]KODE TYPE standar'!$D:$U,17,0)</f>
        <v>RAIZE</v>
      </c>
      <c r="I97" s="20" t="str">
        <f>VLOOKUP(U97,'[1]KODE TYPE standar'!$D:$U,16,0)</f>
        <v>RAIZE</v>
      </c>
      <c r="J97" s="20" t="str">
        <f>VLOOKUP(U97,'[1]KODE TYPE standar'!$D:$U,18,0)</f>
        <v>RAIZE G A/T</v>
      </c>
      <c r="K97" s="27" t="s">
        <v>119</v>
      </c>
      <c r="L97" s="27" t="s">
        <v>110</v>
      </c>
      <c r="M97" s="27" t="s">
        <v>262</v>
      </c>
      <c r="N97" s="27" t="s">
        <v>141</v>
      </c>
      <c r="O97" s="28" t="s">
        <v>156</v>
      </c>
      <c r="P97" s="29" t="s">
        <v>149</v>
      </c>
      <c r="Q97" s="29" t="s">
        <v>161</v>
      </c>
      <c r="R97" s="29" t="s">
        <v>597</v>
      </c>
      <c r="S97" s="27" t="s">
        <v>616</v>
      </c>
      <c r="T97" s="27" t="s">
        <v>585</v>
      </c>
      <c r="U97" s="27" t="s">
        <v>239</v>
      </c>
      <c r="V97" s="27" t="s">
        <v>68</v>
      </c>
      <c r="W97" s="27" t="s">
        <v>69</v>
      </c>
      <c r="X97" s="27" t="s">
        <v>1752</v>
      </c>
      <c r="Y97" s="27" t="s">
        <v>1753</v>
      </c>
      <c r="Z97" s="27" t="s">
        <v>615</v>
      </c>
      <c r="AA97" s="27" t="s">
        <v>616</v>
      </c>
      <c r="AB97" s="27" t="s">
        <v>585</v>
      </c>
      <c r="AC97" s="27" t="s">
        <v>1754</v>
      </c>
      <c r="AD97" s="27" t="s">
        <v>1755</v>
      </c>
      <c r="AE97" s="27" t="s">
        <v>110</v>
      </c>
      <c r="AF97" s="27" t="s">
        <v>1755</v>
      </c>
      <c r="AG97" s="27" t="s">
        <v>1756</v>
      </c>
      <c r="AH97" s="27" t="s">
        <v>1757</v>
      </c>
      <c r="AI97" s="27" t="s">
        <v>141</v>
      </c>
      <c r="AJ97" s="27" t="s">
        <v>262</v>
      </c>
      <c r="AK97" s="27" t="s">
        <v>89</v>
      </c>
      <c r="AL97" s="27" t="s">
        <v>1758</v>
      </c>
      <c r="AM97" s="34">
        <v>261600000</v>
      </c>
      <c r="AN97" s="34">
        <v>201830357</v>
      </c>
      <c r="AO97" s="34">
        <v>35550000</v>
      </c>
      <c r="AP97" s="34">
        <v>22505357</v>
      </c>
      <c r="AQ97" s="34">
        <v>0</v>
      </c>
      <c r="AR97" s="34">
        <v>0</v>
      </c>
      <c r="AS97" s="34">
        <v>14285714</v>
      </c>
      <c r="AT97" s="34">
        <v>245600000</v>
      </c>
      <c r="AU97" s="34">
        <v>0</v>
      </c>
      <c r="AV97" s="34">
        <v>-16000000</v>
      </c>
      <c r="AW97" s="27" t="s">
        <v>230</v>
      </c>
      <c r="AX97" s="27" t="s">
        <v>230</v>
      </c>
      <c r="AY97" s="27" t="s">
        <v>83</v>
      </c>
      <c r="AZ97" s="27">
        <v>1</v>
      </c>
      <c r="BA97" s="27" t="s">
        <v>163</v>
      </c>
      <c r="BB97" s="27" t="s">
        <v>231</v>
      </c>
      <c r="BC97" s="27" t="s">
        <v>1759</v>
      </c>
      <c r="BD97" s="27" t="s">
        <v>261</v>
      </c>
      <c r="BE97" s="27" t="s">
        <v>261</v>
      </c>
      <c r="BF97" s="27" t="s">
        <v>1760</v>
      </c>
      <c r="BG97" s="27" t="s">
        <v>1761</v>
      </c>
      <c r="BH97" s="27" t="s">
        <v>231</v>
      </c>
      <c r="BI97" s="27" t="s">
        <v>265</v>
      </c>
      <c r="BJ97" s="27" t="s">
        <v>1762</v>
      </c>
      <c r="BK97" s="27" t="s">
        <v>216</v>
      </c>
      <c r="BL97" s="27" t="s">
        <v>1763</v>
      </c>
      <c r="BM97" s="35">
        <v>0</v>
      </c>
    </row>
    <row r="98" spans="1:65" s="1" customFormat="1" x14ac:dyDescent="0.2">
      <c r="A98" s="33">
        <v>522</v>
      </c>
      <c r="B98" s="26">
        <v>146</v>
      </c>
      <c r="C98" s="36" t="s">
        <v>503</v>
      </c>
      <c r="D98" s="27" t="s">
        <v>1764</v>
      </c>
      <c r="E98" s="27" t="s">
        <v>360</v>
      </c>
      <c r="F98" s="27" t="s">
        <v>389</v>
      </c>
      <c r="G98" s="28">
        <v>2026</v>
      </c>
      <c r="H98" s="20" t="str">
        <f>VLOOKUP(U98,'[1]KODE TYPE standar'!$D:$U,17,0)</f>
        <v>AGYA</v>
      </c>
      <c r="I98" s="20" t="str">
        <f>VLOOKUP(U98,'[1]KODE TYPE standar'!$D:$U,16,0)</f>
        <v>AGYA</v>
      </c>
      <c r="J98" s="20" t="str">
        <f>VLOOKUP(U98,'[1]KODE TYPE standar'!$D:$U,18,0)</f>
        <v>AGYA G A/T</v>
      </c>
      <c r="K98" s="27" t="s">
        <v>121</v>
      </c>
      <c r="L98" s="27" t="s">
        <v>110</v>
      </c>
      <c r="M98" s="27" t="s">
        <v>262</v>
      </c>
      <c r="N98" s="27" t="s">
        <v>106</v>
      </c>
      <c r="O98" s="28" t="s">
        <v>156</v>
      </c>
      <c r="P98" s="29" t="s">
        <v>151</v>
      </c>
      <c r="Q98" s="29" t="s">
        <v>161</v>
      </c>
      <c r="R98" s="29" t="s">
        <v>145</v>
      </c>
      <c r="S98" s="27" t="s">
        <v>923</v>
      </c>
      <c r="T98" s="27" t="s">
        <v>541</v>
      </c>
      <c r="U98" s="27" t="s">
        <v>74</v>
      </c>
      <c r="V98" s="27" t="s">
        <v>60</v>
      </c>
      <c r="W98" s="27" t="s">
        <v>61</v>
      </c>
      <c r="X98" s="27" t="s">
        <v>1765</v>
      </c>
      <c r="Y98" s="27" t="s">
        <v>1766</v>
      </c>
      <c r="Z98" s="27" t="s">
        <v>922</v>
      </c>
      <c r="AA98" s="27" t="s">
        <v>923</v>
      </c>
      <c r="AB98" s="27" t="s">
        <v>541</v>
      </c>
      <c r="AC98" s="27" t="s">
        <v>1767</v>
      </c>
      <c r="AD98" s="27" t="s">
        <v>1768</v>
      </c>
      <c r="AE98" s="27" t="s">
        <v>110</v>
      </c>
      <c r="AF98" s="27" t="s">
        <v>1768</v>
      </c>
      <c r="AG98" s="27" t="s">
        <v>1769</v>
      </c>
      <c r="AH98" s="27" t="s">
        <v>1336</v>
      </c>
      <c r="AI98" s="27" t="s">
        <v>106</v>
      </c>
      <c r="AJ98" s="27" t="s">
        <v>262</v>
      </c>
      <c r="AK98" s="27" t="s">
        <v>104</v>
      </c>
      <c r="AL98" s="27"/>
      <c r="AM98" s="34">
        <v>200500000</v>
      </c>
      <c r="AN98" s="34">
        <v>153872768</v>
      </c>
      <c r="AO98" s="34">
        <v>28162500</v>
      </c>
      <c r="AP98" s="34">
        <v>17393303</v>
      </c>
      <c r="AQ98" s="34">
        <v>0</v>
      </c>
      <c r="AR98" s="34">
        <v>0</v>
      </c>
      <c r="AS98" s="34">
        <v>8928571</v>
      </c>
      <c r="AT98" s="34">
        <v>190500000</v>
      </c>
      <c r="AU98" s="34">
        <v>2000000</v>
      </c>
      <c r="AV98" s="34">
        <v>-10000000</v>
      </c>
      <c r="AW98" s="27" t="s">
        <v>366</v>
      </c>
      <c r="AX98" s="27" t="s">
        <v>366</v>
      </c>
      <c r="AY98" s="27" t="s">
        <v>83</v>
      </c>
      <c r="AZ98" s="27">
        <v>1</v>
      </c>
      <c r="BA98" s="27"/>
      <c r="BB98" s="27" t="s">
        <v>395</v>
      </c>
      <c r="BC98" s="27" t="s">
        <v>1770</v>
      </c>
      <c r="BD98" s="27" t="s">
        <v>347</v>
      </c>
      <c r="BE98" s="27" t="s">
        <v>347</v>
      </c>
      <c r="BF98" s="27" t="s">
        <v>1771</v>
      </c>
      <c r="BG98" s="27" t="s">
        <v>1772</v>
      </c>
      <c r="BH98" s="27" t="s">
        <v>360</v>
      </c>
      <c r="BI98" s="27" t="s">
        <v>411</v>
      </c>
      <c r="BJ98" s="27" t="s">
        <v>1773</v>
      </c>
      <c r="BK98" s="27" t="s">
        <v>393</v>
      </c>
      <c r="BL98" s="27" t="s">
        <v>1774</v>
      </c>
      <c r="BM98" s="35">
        <v>0</v>
      </c>
    </row>
    <row r="99" spans="1:65" s="1" customFormat="1" x14ac:dyDescent="0.2">
      <c r="A99" s="33">
        <v>538</v>
      </c>
      <c r="B99" s="26">
        <v>146</v>
      </c>
      <c r="C99" s="36" t="s">
        <v>503</v>
      </c>
      <c r="D99" s="27" t="s">
        <v>1775</v>
      </c>
      <c r="E99" s="27" t="s">
        <v>360</v>
      </c>
      <c r="F99" s="27" t="s">
        <v>389</v>
      </c>
      <c r="G99" s="28">
        <v>2026</v>
      </c>
      <c r="H99" s="20" t="str">
        <f>VLOOKUP(U99,'[1]KODE TYPE standar'!$D:$U,17,0)</f>
        <v>INV ZENIX GAS</v>
      </c>
      <c r="I99" s="20" t="str">
        <f>VLOOKUP(U99,'[1]KODE TYPE standar'!$D:$U,16,0)</f>
        <v>INNOVA</v>
      </c>
      <c r="J99" s="20" t="str">
        <f>VLOOKUP(U99,'[1]KODE TYPE standar'!$D:$U,18,0)</f>
        <v>INNOVA ZENIX V A/T</v>
      </c>
      <c r="K99" s="27" t="s">
        <v>50</v>
      </c>
      <c r="L99" s="27" t="s">
        <v>110</v>
      </c>
      <c r="M99" s="27" t="s">
        <v>50</v>
      </c>
      <c r="N99" s="27" t="s">
        <v>141</v>
      </c>
      <c r="O99" s="28" t="s">
        <v>156</v>
      </c>
      <c r="P99" s="29" t="s">
        <v>150</v>
      </c>
      <c r="Q99" s="29" t="s">
        <v>147</v>
      </c>
      <c r="R99" s="29" t="s">
        <v>1264</v>
      </c>
      <c r="S99" s="27" t="s">
        <v>753</v>
      </c>
      <c r="T99" s="27" t="s">
        <v>541</v>
      </c>
      <c r="U99" s="27" t="s">
        <v>1776</v>
      </c>
      <c r="V99" s="27" t="s">
        <v>77</v>
      </c>
      <c r="W99" s="27" t="s">
        <v>78</v>
      </c>
      <c r="X99" s="27" t="s">
        <v>1777</v>
      </c>
      <c r="Y99" s="27" t="s">
        <v>1778</v>
      </c>
      <c r="Z99" s="27" t="s">
        <v>752</v>
      </c>
      <c r="AA99" s="27" t="s">
        <v>753</v>
      </c>
      <c r="AB99" s="27" t="s">
        <v>541</v>
      </c>
      <c r="AC99" s="27" t="s">
        <v>1779</v>
      </c>
      <c r="AD99" s="27" t="s">
        <v>1780</v>
      </c>
      <c r="AE99" s="27" t="s">
        <v>110</v>
      </c>
      <c r="AF99" s="27" t="s">
        <v>1781</v>
      </c>
      <c r="AG99" s="27" t="s">
        <v>1782</v>
      </c>
      <c r="AH99" s="27" t="s">
        <v>1349</v>
      </c>
      <c r="AI99" s="27" t="s">
        <v>141</v>
      </c>
      <c r="AJ99" s="27" t="s">
        <v>50</v>
      </c>
      <c r="AK99" s="27" t="s">
        <v>50</v>
      </c>
      <c r="AL99" s="27"/>
      <c r="AM99" s="34">
        <v>485300000</v>
      </c>
      <c r="AN99" s="34">
        <v>376372768</v>
      </c>
      <c r="AO99" s="34">
        <v>63762500</v>
      </c>
      <c r="AP99" s="34">
        <v>42914732</v>
      </c>
      <c r="AQ99" s="34">
        <v>0</v>
      </c>
      <c r="AR99" s="34">
        <v>0</v>
      </c>
      <c r="AS99" s="34">
        <v>18750000</v>
      </c>
      <c r="AT99" s="34">
        <v>464300000</v>
      </c>
      <c r="AU99" s="34">
        <v>5000000</v>
      </c>
      <c r="AV99" s="34">
        <v>-21000000</v>
      </c>
      <c r="AW99" s="27"/>
      <c r="AX99" s="27"/>
      <c r="AY99" s="27" t="s">
        <v>83</v>
      </c>
      <c r="AZ99" s="27">
        <v>1</v>
      </c>
      <c r="BA99" s="27"/>
      <c r="BB99" s="27" t="s">
        <v>394</v>
      </c>
      <c r="BC99" s="27" t="s">
        <v>1783</v>
      </c>
      <c r="BD99" s="27" t="s">
        <v>309</v>
      </c>
      <c r="BE99" s="27" t="s">
        <v>309</v>
      </c>
      <c r="BF99" s="27" t="s">
        <v>1784</v>
      </c>
      <c r="BG99" s="27" t="s">
        <v>1785</v>
      </c>
      <c r="BH99" s="27" t="s">
        <v>360</v>
      </c>
      <c r="BI99" s="27" t="s">
        <v>346</v>
      </c>
      <c r="BJ99" s="27" t="s">
        <v>1786</v>
      </c>
      <c r="BK99" s="27" t="s">
        <v>395</v>
      </c>
      <c r="BL99" s="27" t="s">
        <v>1787</v>
      </c>
      <c r="BM99" s="35">
        <v>0</v>
      </c>
    </row>
    <row r="100" spans="1:65" s="1" customFormat="1" x14ac:dyDescent="0.2">
      <c r="A100" s="33">
        <v>418</v>
      </c>
      <c r="B100" s="26">
        <v>146</v>
      </c>
      <c r="C100" s="27" t="s">
        <v>503</v>
      </c>
      <c r="D100" s="27" t="s">
        <v>1788</v>
      </c>
      <c r="E100" s="27" t="s">
        <v>197</v>
      </c>
      <c r="F100" s="27" t="s">
        <v>111</v>
      </c>
      <c r="G100" s="28">
        <v>2026</v>
      </c>
      <c r="H100" s="20" t="str">
        <f>VLOOKUP(U100,'[1]KODE TYPE standar'!$D:$U,17,0)</f>
        <v>INV ZENIX HYBRID</v>
      </c>
      <c r="I100" s="20" t="str">
        <f>VLOOKUP(U100,'[1]KODE TYPE standar'!$D:$U,16,0)</f>
        <v>INNOVA</v>
      </c>
      <c r="J100" s="20" t="str">
        <f>VLOOKUP(U100,'[1]KODE TYPE standar'!$D:$U,18,0)</f>
        <v>INNOVA ZENIX Q A/T HYBRID</v>
      </c>
      <c r="K100" s="27" t="s">
        <v>119</v>
      </c>
      <c r="L100" s="27" t="s">
        <v>110</v>
      </c>
      <c r="M100" s="27" t="s">
        <v>262</v>
      </c>
      <c r="N100" s="27" t="s">
        <v>140</v>
      </c>
      <c r="O100" s="28" t="s">
        <v>156</v>
      </c>
      <c r="P100" s="29" t="s">
        <v>149</v>
      </c>
      <c r="Q100" s="29" t="s">
        <v>161</v>
      </c>
      <c r="R100" s="29" t="s">
        <v>145</v>
      </c>
      <c r="S100" s="27" t="s">
        <v>753</v>
      </c>
      <c r="T100" s="27" t="s">
        <v>541</v>
      </c>
      <c r="U100" s="27" t="s">
        <v>94</v>
      </c>
      <c r="V100" s="27" t="s">
        <v>77</v>
      </c>
      <c r="W100" s="27" t="s">
        <v>78</v>
      </c>
      <c r="X100" s="27" t="s">
        <v>1789</v>
      </c>
      <c r="Y100" s="27" t="s">
        <v>1790</v>
      </c>
      <c r="Z100" s="27" t="s">
        <v>752</v>
      </c>
      <c r="AA100" s="27" t="s">
        <v>753</v>
      </c>
      <c r="AB100" s="27" t="s">
        <v>541</v>
      </c>
      <c r="AC100" s="27" t="s">
        <v>1791</v>
      </c>
      <c r="AD100" s="27" t="s">
        <v>1792</v>
      </c>
      <c r="AE100" s="27" t="s">
        <v>110</v>
      </c>
      <c r="AF100" s="27" t="s">
        <v>1793</v>
      </c>
      <c r="AG100" s="27" t="s">
        <v>1794</v>
      </c>
      <c r="AH100" s="27" t="s">
        <v>1035</v>
      </c>
      <c r="AI100" s="27" t="s">
        <v>140</v>
      </c>
      <c r="AJ100" s="27" t="s">
        <v>262</v>
      </c>
      <c r="AK100" s="27" t="s">
        <v>89</v>
      </c>
      <c r="AL100" s="27" t="s">
        <v>1795</v>
      </c>
      <c r="AM100" s="34">
        <v>627100000</v>
      </c>
      <c r="AN100" s="34">
        <v>487377232</v>
      </c>
      <c r="AO100" s="34">
        <v>81237500</v>
      </c>
      <c r="AP100" s="34">
        <v>52860267</v>
      </c>
      <c r="AQ100" s="34">
        <v>0</v>
      </c>
      <c r="AR100" s="34">
        <v>0</v>
      </c>
      <c r="AS100" s="34">
        <v>46875000</v>
      </c>
      <c r="AT100" s="34">
        <v>574600000</v>
      </c>
      <c r="AU100" s="34">
        <v>110320000</v>
      </c>
      <c r="AV100" s="34">
        <v>-52500000</v>
      </c>
      <c r="AW100" s="27"/>
      <c r="AX100" s="27"/>
      <c r="AY100" s="27" t="s">
        <v>83</v>
      </c>
      <c r="AZ100" s="27">
        <v>1</v>
      </c>
      <c r="BA100" s="27"/>
      <c r="BB100" s="27" t="s">
        <v>190</v>
      </c>
      <c r="BC100" s="27" t="s">
        <v>1796</v>
      </c>
      <c r="BD100" s="27" t="s">
        <v>190</v>
      </c>
      <c r="BE100" s="27" t="s">
        <v>190</v>
      </c>
      <c r="BF100" s="27" t="s">
        <v>1797</v>
      </c>
      <c r="BG100" s="27" t="s">
        <v>1798</v>
      </c>
      <c r="BH100" s="27"/>
      <c r="BI100" s="27" t="s">
        <v>223</v>
      </c>
      <c r="BJ100" s="27" t="s">
        <v>1799</v>
      </c>
      <c r="BK100" s="27" t="s">
        <v>1800</v>
      </c>
      <c r="BL100" s="27" t="s">
        <v>1801</v>
      </c>
      <c r="BM100" s="35">
        <v>0</v>
      </c>
    </row>
    <row r="101" spans="1:65" s="1" customFormat="1" x14ac:dyDescent="0.2">
      <c r="A101" s="25">
        <v>419</v>
      </c>
      <c r="B101" s="26">
        <v>146</v>
      </c>
      <c r="C101" s="27" t="s">
        <v>503</v>
      </c>
      <c r="D101" s="28" t="s">
        <v>1802</v>
      </c>
      <c r="E101" s="28" t="s">
        <v>246</v>
      </c>
      <c r="F101" s="28" t="s">
        <v>339</v>
      </c>
      <c r="G101" s="28">
        <v>2026</v>
      </c>
      <c r="H101" s="20" t="str">
        <f>VLOOKUP(U101,'[1]KODE TYPE standar'!$D:$U,17,0)</f>
        <v>CALYA</v>
      </c>
      <c r="I101" s="20" t="str">
        <f>VLOOKUP(U101,'[1]KODE TYPE standar'!$D:$U,16,0)</f>
        <v>CALYA</v>
      </c>
      <c r="J101" s="20" t="str">
        <f>VLOOKUP(U101,'[1]KODE TYPE standar'!$D:$U,18,0)</f>
        <v>CALYA G M/T</v>
      </c>
      <c r="K101" s="27" t="s">
        <v>119</v>
      </c>
      <c r="L101" s="28" t="s">
        <v>110</v>
      </c>
      <c r="M101" s="28" t="s">
        <v>262</v>
      </c>
      <c r="N101" s="28" t="s">
        <v>141</v>
      </c>
      <c r="O101" s="28" t="s">
        <v>156</v>
      </c>
      <c r="P101" s="29" t="s">
        <v>149</v>
      </c>
      <c r="Q101" s="29" t="s">
        <v>162</v>
      </c>
      <c r="R101" s="29" t="s">
        <v>597</v>
      </c>
      <c r="S101" s="27" t="s">
        <v>738</v>
      </c>
      <c r="T101" s="28" t="s">
        <v>585</v>
      </c>
      <c r="U101" s="27" t="s">
        <v>268</v>
      </c>
      <c r="V101" s="27" t="s">
        <v>269</v>
      </c>
      <c r="W101" s="27" t="s">
        <v>270</v>
      </c>
      <c r="X101" s="27" t="s">
        <v>1803</v>
      </c>
      <c r="Y101" s="27" t="s">
        <v>1804</v>
      </c>
      <c r="Z101" s="27" t="s">
        <v>737</v>
      </c>
      <c r="AA101" s="27" t="s">
        <v>738</v>
      </c>
      <c r="AB101" s="28" t="s">
        <v>585</v>
      </c>
      <c r="AC101" s="28" t="s">
        <v>1805</v>
      </c>
      <c r="AD101" s="28" t="s">
        <v>1806</v>
      </c>
      <c r="AE101" s="28" t="s">
        <v>110</v>
      </c>
      <c r="AF101" s="28" t="s">
        <v>1806</v>
      </c>
      <c r="AG101" s="28" t="s">
        <v>1807</v>
      </c>
      <c r="AH101" s="28" t="s">
        <v>1808</v>
      </c>
      <c r="AI101" s="28" t="s">
        <v>141</v>
      </c>
      <c r="AJ101" s="28" t="s">
        <v>262</v>
      </c>
      <c r="AK101" s="28" t="s">
        <v>89</v>
      </c>
      <c r="AL101" s="28"/>
      <c r="AM101" s="31">
        <v>181900000</v>
      </c>
      <c r="AN101" s="31">
        <v>139341518</v>
      </c>
      <c r="AO101" s="31">
        <v>25837500</v>
      </c>
      <c r="AP101" s="31">
        <v>15542410</v>
      </c>
      <c r="AQ101" s="31">
        <v>0</v>
      </c>
      <c r="AR101" s="31">
        <v>0</v>
      </c>
      <c r="AS101" s="31">
        <v>9821429</v>
      </c>
      <c r="AT101" s="31">
        <v>170900000</v>
      </c>
      <c r="AU101" s="31">
        <v>0</v>
      </c>
      <c r="AV101" s="31">
        <v>-11000000</v>
      </c>
      <c r="AW101" s="28" t="s">
        <v>244</v>
      </c>
      <c r="AX101" s="28" t="s">
        <v>244</v>
      </c>
      <c r="AY101" s="28" t="s">
        <v>83</v>
      </c>
      <c r="AZ101" s="28">
        <v>1</v>
      </c>
      <c r="BA101" s="28" t="s">
        <v>163</v>
      </c>
      <c r="BB101" s="28" t="s">
        <v>252</v>
      </c>
      <c r="BC101" s="28" t="s">
        <v>1809</v>
      </c>
      <c r="BD101" s="28" t="s">
        <v>254</v>
      </c>
      <c r="BE101" s="28" t="s">
        <v>254</v>
      </c>
      <c r="BF101" s="28" t="s">
        <v>1810</v>
      </c>
      <c r="BG101" s="28" t="s">
        <v>1811</v>
      </c>
      <c r="BH101" s="28" t="s">
        <v>246</v>
      </c>
      <c r="BI101" s="28" t="s">
        <v>277</v>
      </c>
      <c r="BJ101" s="28" t="s">
        <v>1812</v>
      </c>
      <c r="BK101" s="28" t="s">
        <v>238</v>
      </c>
      <c r="BL101" s="28" t="s">
        <v>1813</v>
      </c>
      <c r="BM101" s="32">
        <v>0</v>
      </c>
    </row>
    <row r="102" spans="1:65" s="1" customFormat="1" x14ac:dyDescent="0.2">
      <c r="A102" s="33">
        <v>551</v>
      </c>
      <c r="B102" s="26">
        <v>146</v>
      </c>
      <c r="C102" s="36" t="s">
        <v>503</v>
      </c>
      <c r="D102" s="27" t="s">
        <v>1814</v>
      </c>
      <c r="E102" s="27" t="s">
        <v>347</v>
      </c>
      <c r="F102" s="27" t="s">
        <v>389</v>
      </c>
      <c r="G102" s="28">
        <v>2026</v>
      </c>
      <c r="H102" s="20" t="str">
        <f>VLOOKUP(U102,'[1]KODE TYPE standar'!$D:$U,17,0)</f>
        <v>HIACE</v>
      </c>
      <c r="I102" s="20" t="str">
        <f>VLOOKUP(U102,'[1]KODE TYPE standar'!$D:$U,16,0)</f>
        <v>HIACE</v>
      </c>
      <c r="J102" s="20" t="str">
        <f>VLOOKUP(U102,'[1]KODE TYPE standar'!$D:$U,18,0)</f>
        <v>HIACE COMM</v>
      </c>
      <c r="K102" s="27" t="s">
        <v>119</v>
      </c>
      <c r="L102" s="27" t="s">
        <v>110</v>
      </c>
      <c r="M102" s="27" t="s">
        <v>262</v>
      </c>
      <c r="N102" s="27" t="s">
        <v>140</v>
      </c>
      <c r="O102" s="28" t="s">
        <v>156</v>
      </c>
      <c r="P102" s="29" t="s">
        <v>149</v>
      </c>
      <c r="Q102" s="29" t="s">
        <v>161</v>
      </c>
      <c r="R102" s="29" t="s">
        <v>145</v>
      </c>
      <c r="S102" s="27" t="s">
        <v>709</v>
      </c>
      <c r="T102" s="27" t="s">
        <v>585</v>
      </c>
      <c r="U102" s="27" t="s">
        <v>334</v>
      </c>
      <c r="V102" s="27" t="s">
        <v>99</v>
      </c>
      <c r="W102" s="27" t="s">
        <v>61</v>
      </c>
      <c r="X102" s="27" t="s">
        <v>1815</v>
      </c>
      <c r="Y102" s="27" t="s">
        <v>1816</v>
      </c>
      <c r="Z102" s="27" t="s">
        <v>708</v>
      </c>
      <c r="AA102" s="27" t="s">
        <v>709</v>
      </c>
      <c r="AB102" s="27" t="s">
        <v>585</v>
      </c>
      <c r="AC102" s="27" t="s">
        <v>1817</v>
      </c>
      <c r="AD102" s="27" t="s">
        <v>1818</v>
      </c>
      <c r="AE102" s="27" t="s">
        <v>110</v>
      </c>
      <c r="AF102" s="27" t="s">
        <v>1818</v>
      </c>
      <c r="AG102" s="27" t="s">
        <v>1819</v>
      </c>
      <c r="AH102" s="27" t="s">
        <v>1745</v>
      </c>
      <c r="AI102" s="27" t="s">
        <v>140</v>
      </c>
      <c r="AJ102" s="27" t="s">
        <v>262</v>
      </c>
      <c r="AK102" s="27" t="s">
        <v>89</v>
      </c>
      <c r="AL102" s="27"/>
      <c r="AM102" s="34">
        <v>578100000</v>
      </c>
      <c r="AN102" s="34">
        <v>450799550</v>
      </c>
      <c r="AO102" s="34">
        <v>77712500</v>
      </c>
      <c r="AP102" s="34">
        <v>47110472</v>
      </c>
      <c r="AQ102" s="34">
        <v>0</v>
      </c>
      <c r="AR102" s="34">
        <v>0</v>
      </c>
      <c r="AS102" s="34">
        <v>22522523</v>
      </c>
      <c r="AT102" s="34">
        <v>553100000</v>
      </c>
      <c r="AU102" s="34">
        <v>5000000</v>
      </c>
      <c r="AV102" s="34">
        <v>-25000000</v>
      </c>
      <c r="AW102" s="27" t="s">
        <v>395</v>
      </c>
      <c r="AX102" s="27" t="s">
        <v>395</v>
      </c>
      <c r="AY102" s="27" t="s">
        <v>83</v>
      </c>
      <c r="AZ102" s="27">
        <v>1</v>
      </c>
      <c r="BA102" s="27" t="s">
        <v>163</v>
      </c>
      <c r="BB102" s="27" t="s">
        <v>282</v>
      </c>
      <c r="BC102" s="27" t="s">
        <v>1820</v>
      </c>
      <c r="BD102" s="27" t="s">
        <v>298</v>
      </c>
      <c r="BE102" s="27" t="s">
        <v>298</v>
      </c>
      <c r="BF102" s="27" t="s">
        <v>1821</v>
      </c>
      <c r="BG102" s="27" t="s">
        <v>1822</v>
      </c>
      <c r="BH102" s="27" t="s">
        <v>347</v>
      </c>
      <c r="BI102" s="27" t="s">
        <v>401</v>
      </c>
      <c r="BJ102" s="27" t="s">
        <v>1823</v>
      </c>
      <c r="BK102" s="27" t="s">
        <v>233</v>
      </c>
      <c r="BL102" s="27" t="s">
        <v>1824</v>
      </c>
      <c r="BM102" s="35">
        <v>0</v>
      </c>
    </row>
    <row r="103" spans="1:65" s="1" customFormat="1" x14ac:dyDescent="0.2">
      <c r="A103" s="33">
        <v>495</v>
      </c>
      <c r="B103" s="26">
        <v>146</v>
      </c>
      <c r="C103" s="27" t="s">
        <v>503</v>
      </c>
      <c r="D103" s="27" t="s">
        <v>1825</v>
      </c>
      <c r="E103" s="27" t="s">
        <v>230</v>
      </c>
      <c r="F103" s="27" t="s">
        <v>258</v>
      </c>
      <c r="G103" s="28">
        <v>2026</v>
      </c>
      <c r="H103" s="20" t="str">
        <f>VLOOKUP(U103,'[1]KODE TYPE standar'!$D:$U,17,0)</f>
        <v>INV ZENIX HYBRID</v>
      </c>
      <c r="I103" s="20" t="str">
        <f>VLOOKUP(U103,'[1]KODE TYPE standar'!$D:$U,16,0)</f>
        <v>INNOVA</v>
      </c>
      <c r="J103" s="20" t="str">
        <f>VLOOKUP(U103,'[1]KODE TYPE standar'!$D:$U,18,0)</f>
        <v>INNOVA ZENIX V A/T HYBRID</v>
      </c>
      <c r="K103" s="27" t="s">
        <v>50</v>
      </c>
      <c r="L103" s="27" t="s">
        <v>110</v>
      </c>
      <c r="M103" s="27" t="s">
        <v>50</v>
      </c>
      <c r="N103" s="27" t="s">
        <v>70</v>
      </c>
      <c r="O103" s="28" t="s">
        <v>6581</v>
      </c>
      <c r="P103" s="29" t="s">
        <v>151</v>
      </c>
      <c r="Q103" s="29" t="s">
        <v>161</v>
      </c>
      <c r="R103" s="29" t="s">
        <v>148</v>
      </c>
      <c r="S103" s="27" t="s">
        <v>892</v>
      </c>
      <c r="T103" s="27" t="s">
        <v>541</v>
      </c>
      <c r="U103" s="27" t="s">
        <v>176</v>
      </c>
      <c r="V103" s="27" t="s">
        <v>51</v>
      </c>
      <c r="W103" s="27" t="s">
        <v>86</v>
      </c>
      <c r="X103" s="27" t="s">
        <v>1826</v>
      </c>
      <c r="Y103" s="27" t="s">
        <v>1827</v>
      </c>
      <c r="Z103" s="27" t="s">
        <v>891</v>
      </c>
      <c r="AA103" s="27" t="s">
        <v>892</v>
      </c>
      <c r="AB103" s="27" t="s">
        <v>541</v>
      </c>
      <c r="AC103" s="27" t="s">
        <v>1828</v>
      </c>
      <c r="AD103" s="27" t="s">
        <v>1829</v>
      </c>
      <c r="AE103" s="27" t="s">
        <v>110</v>
      </c>
      <c r="AF103" s="27" t="s">
        <v>1829</v>
      </c>
      <c r="AG103" s="27" t="s">
        <v>1830</v>
      </c>
      <c r="AH103" s="27" t="s">
        <v>95</v>
      </c>
      <c r="AI103" s="27" t="s">
        <v>70</v>
      </c>
      <c r="AJ103" s="27" t="s">
        <v>50</v>
      </c>
      <c r="AK103" s="27" t="s">
        <v>50</v>
      </c>
      <c r="AL103" s="27"/>
      <c r="AM103" s="34">
        <v>551300000</v>
      </c>
      <c r="AN103" s="34">
        <v>428484375</v>
      </c>
      <c r="AO103" s="34">
        <v>71397500</v>
      </c>
      <c r="AP103" s="34">
        <v>49275267</v>
      </c>
      <c r="AQ103" s="34">
        <v>0</v>
      </c>
      <c r="AR103" s="34">
        <v>0</v>
      </c>
      <c r="AS103" s="34">
        <v>17857143</v>
      </c>
      <c r="AT103" s="34">
        <v>531300000</v>
      </c>
      <c r="AU103" s="34">
        <v>0</v>
      </c>
      <c r="AV103" s="34">
        <v>-20000000</v>
      </c>
      <c r="AW103" s="27" t="s">
        <v>222</v>
      </c>
      <c r="AX103" s="27" t="s">
        <v>222</v>
      </c>
      <c r="AY103" s="27" t="s">
        <v>83</v>
      </c>
      <c r="AZ103" s="27">
        <v>1</v>
      </c>
      <c r="BA103" s="27"/>
      <c r="BB103" s="27" t="s">
        <v>227</v>
      </c>
      <c r="BC103" s="27" t="s">
        <v>1831</v>
      </c>
      <c r="BD103" s="27" t="s">
        <v>233</v>
      </c>
      <c r="BE103" s="27" t="s">
        <v>233</v>
      </c>
      <c r="BF103" s="27" t="s">
        <v>1832</v>
      </c>
      <c r="BG103" s="27" t="s">
        <v>1833</v>
      </c>
      <c r="BH103" s="27" t="s">
        <v>230</v>
      </c>
      <c r="BI103" s="27" t="s">
        <v>232</v>
      </c>
      <c r="BJ103" s="27" t="s">
        <v>1834</v>
      </c>
      <c r="BK103" s="27" t="s">
        <v>191</v>
      </c>
      <c r="BL103" s="27" t="s">
        <v>1835</v>
      </c>
      <c r="BM103" s="35">
        <v>0</v>
      </c>
    </row>
    <row r="104" spans="1:65" s="1" customFormat="1" x14ac:dyDescent="0.2">
      <c r="A104" s="25">
        <v>436</v>
      </c>
      <c r="B104" s="26">
        <v>146</v>
      </c>
      <c r="C104" s="27" t="s">
        <v>503</v>
      </c>
      <c r="D104" s="28" t="s">
        <v>1836</v>
      </c>
      <c r="E104" s="28" t="s">
        <v>313</v>
      </c>
      <c r="F104" s="28" t="s">
        <v>339</v>
      </c>
      <c r="G104" s="28">
        <v>2026</v>
      </c>
      <c r="H104" s="20" t="str">
        <f>VLOOKUP(U104,'[1]KODE TYPE standar'!$D:$U,17,0)</f>
        <v>AVANZA</v>
      </c>
      <c r="I104" s="20" t="str">
        <f>VLOOKUP(U104,'[1]KODE TYPE standar'!$D:$U,16,0)</f>
        <v>AVANZA</v>
      </c>
      <c r="J104" s="20" t="str">
        <f>VLOOKUP(U104,'[1]KODE TYPE standar'!$D:$U,18,0)</f>
        <v>AVANZA G A/T</v>
      </c>
      <c r="K104" s="27" t="s">
        <v>101</v>
      </c>
      <c r="L104" s="28" t="s">
        <v>110</v>
      </c>
      <c r="M104" s="28" t="s">
        <v>262</v>
      </c>
      <c r="N104" s="28" t="s">
        <v>141</v>
      </c>
      <c r="O104" s="28" t="s">
        <v>156</v>
      </c>
      <c r="P104" s="29" t="s">
        <v>149</v>
      </c>
      <c r="Q104" s="29" t="s">
        <v>161</v>
      </c>
      <c r="R104" s="29" t="s">
        <v>145</v>
      </c>
      <c r="S104" s="27" t="s">
        <v>631</v>
      </c>
      <c r="T104" s="30" t="s">
        <v>541</v>
      </c>
      <c r="U104" s="27" t="s">
        <v>329</v>
      </c>
      <c r="V104" s="27" t="s">
        <v>64</v>
      </c>
      <c r="W104" s="27" t="s">
        <v>65</v>
      </c>
      <c r="X104" s="27" t="s">
        <v>1837</v>
      </c>
      <c r="Y104" s="27" t="s">
        <v>1838</v>
      </c>
      <c r="Z104" s="27" t="s">
        <v>630</v>
      </c>
      <c r="AA104" s="27" t="s">
        <v>631</v>
      </c>
      <c r="AB104" s="30" t="s">
        <v>541</v>
      </c>
      <c r="AC104" s="30" t="s">
        <v>1839</v>
      </c>
      <c r="AD104" s="28" t="s">
        <v>1840</v>
      </c>
      <c r="AE104" s="28" t="s">
        <v>110</v>
      </c>
      <c r="AF104" s="28" t="s">
        <v>1841</v>
      </c>
      <c r="AG104" s="28" t="s">
        <v>1842</v>
      </c>
      <c r="AH104" s="28" t="s">
        <v>605</v>
      </c>
      <c r="AI104" s="28" t="s">
        <v>141</v>
      </c>
      <c r="AJ104" s="28" t="s">
        <v>262</v>
      </c>
      <c r="AK104" s="28" t="s">
        <v>103</v>
      </c>
      <c r="AL104" s="28"/>
      <c r="AM104" s="31">
        <v>284500000</v>
      </c>
      <c r="AN104" s="31">
        <v>219497768</v>
      </c>
      <c r="AO104" s="31">
        <v>38662500</v>
      </c>
      <c r="AP104" s="31">
        <v>24625446</v>
      </c>
      <c r="AQ104" s="31">
        <v>0</v>
      </c>
      <c r="AR104" s="31">
        <v>0</v>
      </c>
      <c r="AS104" s="31">
        <v>14285714</v>
      </c>
      <c r="AT104" s="31">
        <v>268500000</v>
      </c>
      <c r="AU104" s="31">
        <v>4000000</v>
      </c>
      <c r="AV104" s="31">
        <v>-16000000</v>
      </c>
      <c r="AW104" s="28"/>
      <c r="AX104" s="28"/>
      <c r="AY104" s="28" t="s">
        <v>83</v>
      </c>
      <c r="AZ104" s="28">
        <v>1</v>
      </c>
      <c r="BA104" s="28"/>
      <c r="BB104" s="28" t="s">
        <v>246</v>
      </c>
      <c r="BC104" s="28" t="s">
        <v>1843</v>
      </c>
      <c r="BD104" s="28" t="s">
        <v>273</v>
      </c>
      <c r="BE104" s="28" t="s">
        <v>273</v>
      </c>
      <c r="BF104" s="28" t="s">
        <v>1844</v>
      </c>
      <c r="BG104" s="28" t="s">
        <v>1845</v>
      </c>
      <c r="BH104" s="28" t="s">
        <v>313</v>
      </c>
      <c r="BI104" s="28" t="s">
        <v>290</v>
      </c>
      <c r="BJ104" s="28" t="s">
        <v>364</v>
      </c>
      <c r="BK104" s="28" t="s">
        <v>297</v>
      </c>
      <c r="BL104" s="28" t="s">
        <v>1846</v>
      </c>
      <c r="BM104" s="32">
        <v>0</v>
      </c>
    </row>
    <row r="105" spans="1:65" s="1" customFormat="1" x14ac:dyDescent="0.2">
      <c r="A105" s="33">
        <v>578</v>
      </c>
      <c r="B105" s="26">
        <v>146</v>
      </c>
      <c r="C105" s="36" t="s">
        <v>503</v>
      </c>
      <c r="D105" s="27" t="s">
        <v>1847</v>
      </c>
      <c r="E105" s="27" t="s">
        <v>344</v>
      </c>
      <c r="F105" s="27" t="s">
        <v>389</v>
      </c>
      <c r="G105" s="28">
        <v>2026</v>
      </c>
      <c r="H105" s="20" t="str">
        <f>VLOOKUP(U105,'[1]KODE TYPE standar'!$D:$U,17,0)</f>
        <v>AVANZA</v>
      </c>
      <c r="I105" s="20" t="str">
        <f>VLOOKUP(U105,'[1]KODE TYPE standar'!$D:$U,16,0)</f>
        <v>AVANZA</v>
      </c>
      <c r="J105" s="20" t="str">
        <f>VLOOKUP(U105,'[1]KODE TYPE standar'!$D:$U,18,0)</f>
        <v>AVANZA E M/T</v>
      </c>
      <c r="K105" s="27" t="s">
        <v>119</v>
      </c>
      <c r="L105" s="27" t="s">
        <v>110</v>
      </c>
      <c r="M105" s="27" t="s">
        <v>262</v>
      </c>
      <c r="N105" s="27" t="s">
        <v>140</v>
      </c>
      <c r="O105" s="28" t="s">
        <v>156</v>
      </c>
      <c r="P105" s="29" t="s">
        <v>149</v>
      </c>
      <c r="Q105" s="29" t="s">
        <v>161</v>
      </c>
      <c r="R105" s="29" t="s">
        <v>597</v>
      </c>
      <c r="S105" s="27" t="s">
        <v>1184</v>
      </c>
      <c r="T105" s="27" t="s">
        <v>585</v>
      </c>
      <c r="U105" s="27" t="s">
        <v>447</v>
      </c>
      <c r="V105" s="27" t="s">
        <v>64</v>
      </c>
      <c r="W105" s="27" t="s">
        <v>65</v>
      </c>
      <c r="X105" s="27" t="s">
        <v>1848</v>
      </c>
      <c r="Y105" s="27" t="s">
        <v>1849</v>
      </c>
      <c r="Z105" s="27" t="s">
        <v>1183</v>
      </c>
      <c r="AA105" s="27" t="s">
        <v>1184</v>
      </c>
      <c r="AB105" s="27" t="s">
        <v>585</v>
      </c>
      <c r="AC105" s="27" t="s">
        <v>1850</v>
      </c>
      <c r="AD105" s="27" t="s">
        <v>1851</v>
      </c>
      <c r="AE105" s="27" t="s">
        <v>110</v>
      </c>
      <c r="AF105" s="27" t="s">
        <v>1852</v>
      </c>
      <c r="AG105" s="27" t="s">
        <v>1853</v>
      </c>
      <c r="AH105" s="27" t="s">
        <v>528</v>
      </c>
      <c r="AI105" s="27" t="s">
        <v>140</v>
      </c>
      <c r="AJ105" s="27" t="s">
        <v>262</v>
      </c>
      <c r="AK105" s="27" t="s">
        <v>89</v>
      </c>
      <c r="AL105" s="27"/>
      <c r="AM105" s="34">
        <v>246700000</v>
      </c>
      <c r="AN105" s="34">
        <v>189966518</v>
      </c>
      <c r="AO105" s="34">
        <v>33937500</v>
      </c>
      <c r="AP105" s="34">
        <v>21188839</v>
      </c>
      <c r="AQ105" s="34">
        <v>0</v>
      </c>
      <c r="AR105" s="34">
        <v>0</v>
      </c>
      <c r="AS105" s="34">
        <v>13392857</v>
      </c>
      <c r="AT105" s="34">
        <v>231700000</v>
      </c>
      <c r="AU105" s="34">
        <v>7055000</v>
      </c>
      <c r="AV105" s="34">
        <v>-15000000</v>
      </c>
      <c r="AW105" s="27"/>
      <c r="AX105" s="27"/>
      <c r="AY105" s="27" t="s">
        <v>83</v>
      </c>
      <c r="AZ105" s="27">
        <v>1</v>
      </c>
      <c r="BA105" s="27"/>
      <c r="BB105" s="27" t="s">
        <v>344</v>
      </c>
      <c r="BC105" s="27" t="s">
        <v>1854</v>
      </c>
      <c r="BD105" s="27" t="s">
        <v>344</v>
      </c>
      <c r="BE105" s="27" t="s">
        <v>344</v>
      </c>
      <c r="BF105" s="27" t="s">
        <v>1855</v>
      </c>
      <c r="BG105" s="27" t="s">
        <v>1856</v>
      </c>
      <c r="BH105" s="27"/>
      <c r="BI105" s="27" t="s">
        <v>390</v>
      </c>
      <c r="BJ105" s="27" t="s">
        <v>1857</v>
      </c>
      <c r="BK105" s="27" t="s">
        <v>303</v>
      </c>
      <c r="BL105" s="27" t="s">
        <v>1858</v>
      </c>
      <c r="BM105" s="35">
        <v>0</v>
      </c>
    </row>
    <row r="106" spans="1:65" s="1" customFormat="1" x14ac:dyDescent="0.2">
      <c r="A106" s="33">
        <v>501</v>
      </c>
      <c r="B106" s="26">
        <v>146</v>
      </c>
      <c r="C106" s="27" t="s">
        <v>503</v>
      </c>
      <c r="D106" s="27" t="s">
        <v>1859</v>
      </c>
      <c r="E106" s="27" t="s">
        <v>219</v>
      </c>
      <c r="F106" s="27" t="s">
        <v>258</v>
      </c>
      <c r="G106" s="28">
        <v>2026</v>
      </c>
      <c r="H106" s="20" t="str">
        <f>VLOOKUP(U106,'[1]KODE TYPE standar'!$D:$U,17,0)</f>
        <v>CALYA</v>
      </c>
      <c r="I106" s="20" t="str">
        <f>VLOOKUP(U106,'[1]KODE TYPE standar'!$D:$U,16,0)</f>
        <v>CALYA</v>
      </c>
      <c r="J106" s="20" t="str">
        <f>VLOOKUP(U106,'[1]KODE TYPE standar'!$D:$U,18,0)</f>
        <v>CALYA G M/T</v>
      </c>
      <c r="K106" s="27" t="s">
        <v>50</v>
      </c>
      <c r="L106" s="27" t="s">
        <v>110</v>
      </c>
      <c r="M106" s="27" t="s">
        <v>50</v>
      </c>
      <c r="N106" s="27" t="s">
        <v>141</v>
      </c>
      <c r="O106" s="28" t="s">
        <v>156</v>
      </c>
      <c r="P106" s="29" t="s">
        <v>1248</v>
      </c>
      <c r="Q106" s="29" t="s">
        <v>161</v>
      </c>
      <c r="R106" s="29" t="s">
        <v>145</v>
      </c>
      <c r="S106" s="27" t="s">
        <v>923</v>
      </c>
      <c r="T106" s="27" t="s">
        <v>541</v>
      </c>
      <c r="U106" s="27" t="s">
        <v>268</v>
      </c>
      <c r="V106" s="27" t="s">
        <v>68</v>
      </c>
      <c r="W106" s="27" t="s">
        <v>69</v>
      </c>
      <c r="X106" s="27" t="s">
        <v>1860</v>
      </c>
      <c r="Y106" s="27" t="s">
        <v>1861</v>
      </c>
      <c r="Z106" s="27" t="s">
        <v>922</v>
      </c>
      <c r="AA106" s="27" t="s">
        <v>923</v>
      </c>
      <c r="AB106" s="27" t="s">
        <v>541</v>
      </c>
      <c r="AC106" s="27" t="s">
        <v>1862</v>
      </c>
      <c r="AD106" s="27" t="s">
        <v>1863</v>
      </c>
      <c r="AE106" s="27" t="s">
        <v>110</v>
      </c>
      <c r="AF106" s="27" t="s">
        <v>1864</v>
      </c>
      <c r="AG106" s="27" t="s">
        <v>1865</v>
      </c>
      <c r="AH106" s="27" t="s">
        <v>1602</v>
      </c>
      <c r="AI106" s="27" t="s">
        <v>141</v>
      </c>
      <c r="AJ106" s="27" t="s">
        <v>50</v>
      </c>
      <c r="AK106" s="27" t="s">
        <v>50</v>
      </c>
      <c r="AL106" s="27" t="s">
        <v>1866</v>
      </c>
      <c r="AM106" s="34">
        <v>181900000</v>
      </c>
      <c r="AN106" s="34">
        <v>139564732</v>
      </c>
      <c r="AO106" s="34">
        <v>25587500</v>
      </c>
      <c r="AP106" s="34">
        <v>15569196</v>
      </c>
      <c r="AQ106" s="34">
        <v>0</v>
      </c>
      <c r="AR106" s="34">
        <v>0</v>
      </c>
      <c r="AS106" s="34">
        <v>9821429</v>
      </c>
      <c r="AT106" s="34">
        <v>170900000</v>
      </c>
      <c r="AU106" s="34">
        <v>0</v>
      </c>
      <c r="AV106" s="34">
        <v>-11000000</v>
      </c>
      <c r="AW106" s="27" t="s">
        <v>218</v>
      </c>
      <c r="AX106" s="27" t="s">
        <v>218</v>
      </c>
      <c r="AY106" s="27" t="s">
        <v>83</v>
      </c>
      <c r="AZ106" s="27">
        <v>1</v>
      </c>
      <c r="BA106" s="27"/>
      <c r="BB106" s="27" t="s">
        <v>219</v>
      </c>
      <c r="BC106" s="27" t="s">
        <v>1867</v>
      </c>
      <c r="BD106" s="27" t="s">
        <v>229</v>
      </c>
      <c r="BE106" s="27" t="s">
        <v>229</v>
      </c>
      <c r="BF106" s="27" t="s">
        <v>1868</v>
      </c>
      <c r="BG106" s="27" t="s">
        <v>1869</v>
      </c>
      <c r="BH106" s="27" t="s">
        <v>219</v>
      </c>
      <c r="BI106" s="27" t="s">
        <v>231</v>
      </c>
      <c r="BJ106" s="27" t="s">
        <v>1870</v>
      </c>
      <c r="BK106" s="27" t="s">
        <v>220</v>
      </c>
      <c r="BL106" s="27" t="s">
        <v>1871</v>
      </c>
      <c r="BM106" s="35">
        <v>0</v>
      </c>
    </row>
    <row r="107" spans="1:65" s="1" customFormat="1" x14ac:dyDescent="0.2">
      <c r="A107" s="33">
        <v>447</v>
      </c>
      <c r="B107" s="26">
        <v>146</v>
      </c>
      <c r="C107" s="27" t="s">
        <v>503</v>
      </c>
      <c r="D107" s="27" t="s">
        <v>1872</v>
      </c>
      <c r="E107" s="27" t="s">
        <v>190</v>
      </c>
      <c r="F107" s="27" t="s">
        <v>111</v>
      </c>
      <c r="G107" s="28">
        <v>2026</v>
      </c>
      <c r="H107" s="20" t="str">
        <f>VLOOKUP(U107,'[1]KODE TYPE standar'!$D:$U,17,0)</f>
        <v>CALYA</v>
      </c>
      <c r="I107" s="20" t="str">
        <f>VLOOKUP(U107,'[1]KODE TYPE standar'!$D:$U,16,0)</f>
        <v>CALYA</v>
      </c>
      <c r="J107" s="20" t="str">
        <f>VLOOKUP(U107,'[1]KODE TYPE standar'!$D:$U,18,0)</f>
        <v>CALYA G M/T</v>
      </c>
      <c r="K107" s="27" t="s">
        <v>121</v>
      </c>
      <c r="L107" s="27" t="s">
        <v>110</v>
      </c>
      <c r="M107" s="27" t="s">
        <v>262</v>
      </c>
      <c r="N107" s="27" t="s">
        <v>141</v>
      </c>
      <c r="O107" s="28" t="s">
        <v>156</v>
      </c>
      <c r="P107" s="29" t="s">
        <v>149</v>
      </c>
      <c r="Q107" s="29" t="s">
        <v>161</v>
      </c>
      <c r="R107" s="29" t="s">
        <v>145</v>
      </c>
      <c r="S107" s="27" t="s">
        <v>508</v>
      </c>
      <c r="T107" s="27" t="s">
        <v>509</v>
      </c>
      <c r="U107" s="27" t="s">
        <v>268</v>
      </c>
      <c r="V107" s="27" t="s">
        <v>68</v>
      </c>
      <c r="W107" s="27" t="s">
        <v>69</v>
      </c>
      <c r="X107" s="27" t="s">
        <v>1873</v>
      </c>
      <c r="Y107" s="27" t="s">
        <v>1874</v>
      </c>
      <c r="Z107" s="27" t="s">
        <v>507</v>
      </c>
      <c r="AA107" s="27" t="s">
        <v>508</v>
      </c>
      <c r="AB107" s="27" t="s">
        <v>509</v>
      </c>
      <c r="AC107" s="27" t="s">
        <v>1875</v>
      </c>
      <c r="AD107" s="27" t="s">
        <v>1876</v>
      </c>
      <c r="AE107" s="27" t="s">
        <v>110</v>
      </c>
      <c r="AF107" s="27" t="s">
        <v>1877</v>
      </c>
      <c r="AG107" s="27" t="s">
        <v>1878</v>
      </c>
      <c r="AH107" s="27" t="s">
        <v>1879</v>
      </c>
      <c r="AI107" s="27" t="s">
        <v>141</v>
      </c>
      <c r="AJ107" s="27" t="s">
        <v>262</v>
      </c>
      <c r="AK107" s="27" t="s">
        <v>104</v>
      </c>
      <c r="AL107" s="27" t="s">
        <v>1880</v>
      </c>
      <c r="AM107" s="34">
        <v>181900000</v>
      </c>
      <c r="AN107" s="34">
        <v>139564732</v>
      </c>
      <c r="AO107" s="34">
        <v>25587500</v>
      </c>
      <c r="AP107" s="34">
        <v>15676339</v>
      </c>
      <c r="AQ107" s="34">
        <v>0</v>
      </c>
      <c r="AR107" s="34">
        <v>0</v>
      </c>
      <c r="AS107" s="34">
        <v>8928571</v>
      </c>
      <c r="AT107" s="34">
        <v>171900000</v>
      </c>
      <c r="AU107" s="34">
        <v>0</v>
      </c>
      <c r="AV107" s="34">
        <v>-10000000</v>
      </c>
      <c r="AW107" s="27"/>
      <c r="AX107" s="27"/>
      <c r="AY107" s="27" t="s">
        <v>83</v>
      </c>
      <c r="AZ107" s="27">
        <v>1</v>
      </c>
      <c r="BA107" s="27" t="s">
        <v>163</v>
      </c>
      <c r="BB107" s="27" t="s">
        <v>206</v>
      </c>
      <c r="BC107" s="27" t="s">
        <v>1881</v>
      </c>
      <c r="BD107" s="27" t="s">
        <v>214</v>
      </c>
      <c r="BE107" s="27" t="s">
        <v>214</v>
      </c>
      <c r="BF107" s="27" t="s">
        <v>1882</v>
      </c>
      <c r="BG107" s="27" t="s">
        <v>1883</v>
      </c>
      <c r="BH107" s="27" t="s">
        <v>190</v>
      </c>
      <c r="BI107" s="27" t="s">
        <v>238</v>
      </c>
      <c r="BJ107" s="27" t="s">
        <v>1884</v>
      </c>
      <c r="BK107" s="27" t="s">
        <v>206</v>
      </c>
      <c r="BL107" s="27" t="s">
        <v>1885</v>
      </c>
      <c r="BM107" s="35">
        <v>0</v>
      </c>
    </row>
    <row r="108" spans="1:65" s="19" customFormat="1" x14ac:dyDescent="0.2">
      <c r="A108" s="33">
        <v>448</v>
      </c>
      <c r="B108" s="26">
        <v>146</v>
      </c>
      <c r="C108" s="27" t="s">
        <v>503</v>
      </c>
      <c r="D108" s="27" t="s">
        <v>1886</v>
      </c>
      <c r="E108" s="27" t="s">
        <v>190</v>
      </c>
      <c r="F108" s="27" t="s">
        <v>111</v>
      </c>
      <c r="G108" s="28">
        <v>2026</v>
      </c>
      <c r="H108" s="20" t="str">
        <f>VLOOKUP(U108,'[1]KODE TYPE standar'!$D:$U,17,0)</f>
        <v>CALYA</v>
      </c>
      <c r="I108" s="20" t="str">
        <f>VLOOKUP(U108,'[1]KODE TYPE standar'!$D:$U,16,0)</f>
        <v>CALYA</v>
      </c>
      <c r="J108" s="20" t="str">
        <f>VLOOKUP(U108,'[1]KODE TYPE standar'!$D:$U,18,0)</f>
        <v>CALYA G M/T</v>
      </c>
      <c r="K108" s="27" t="s">
        <v>121</v>
      </c>
      <c r="L108" s="27" t="s">
        <v>110</v>
      </c>
      <c r="M108" s="27" t="s">
        <v>262</v>
      </c>
      <c r="N108" s="27" t="s">
        <v>141</v>
      </c>
      <c r="O108" s="28" t="s">
        <v>156</v>
      </c>
      <c r="P108" s="29" t="s">
        <v>149</v>
      </c>
      <c r="Q108" s="29" t="s">
        <v>161</v>
      </c>
      <c r="R108" s="29" t="s">
        <v>145</v>
      </c>
      <c r="S108" s="27" t="s">
        <v>508</v>
      </c>
      <c r="T108" s="27" t="s">
        <v>509</v>
      </c>
      <c r="U108" s="27" t="s">
        <v>268</v>
      </c>
      <c r="V108" s="27" t="s">
        <v>68</v>
      </c>
      <c r="W108" s="27" t="s">
        <v>69</v>
      </c>
      <c r="X108" s="27" t="s">
        <v>1887</v>
      </c>
      <c r="Y108" s="27" t="s">
        <v>1888</v>
      </c>
      <c r="Z108" s="27" t="s">
        <v>507</v>
      </c>
      <c r="AA108" s="27" t="s">
        <v>508</v>
      </c>
      <c r="AB108" s="27" t="s">
        <v>509</v>
      </c>
      <c r="AC108" s="27" t="s">
        <v>1889</v>
      </c>
      <c r="AD108" s="27" t="s">
        <v>1890</v>
      </c>
      <c r="AE108" s="27" t="s">
        <v>110</v>
      </c>
      <c r="AF108" s="27" t="s">
        <v>1891</v>
      </c>
      <c r="AG108" s="27" t="s">
        <v>1878</v>
      </c>
      <c r="AH108" s="27" t="s">
        <v>1879</v>
      </c>
      <c r="AI108" s="27" t="s">
        <v>141</v>
      </c>
      <c r="AJ108" s="27" t="s">
        <v>262</v>
      </c>
      <c r="AK108" s="27" t="s">
        <v>104</v>
      </c>
      <c r="AL108" s="27" t="s">
        <v>1892</v>
      </c>
      <c r="AM108" s="34">
        <v>181900000</v>
      </c>
      <c r="AN108" s="34">
        <v>139564732</v>
      </c>
      <c r="AO108" s="34">
        <v>25587500</v>
      </c>
      <c r="AP108" s="34">
        <v>15676339</v>
      </c>
      <c r="AQ108" s="34">
        <v>0</v>
      </c>
      <c r="AR108" s="34">
        <v>0</v>
      </c>
      <c r="AS108" s="34">
        <v>8928571</v>
      </c>
      <c r="AT108" s="34">
        <v>171900000</v>
      </c>
      <c r="AU108" s="34">
        <v>0</v>
      </c>
      <c r="AV108" s="34">
        <v>-10000000</v>
      </c>
      <c r="AW108" s="27"/>
      <c r="AX108" s="27"/>
      <c r="AY108" s="27" t="s">
        <v>83</v>
      </c>
      <c r="AZ108" s="27">
        <v>1</v>
      </c>
      <c r="BA108" s="27" t="s">
        <v>163</v>
      </c>
      <c r="BB108" s="27" t="s">
        <v>206</v>
      </c>
      <c r="BC108" s="27" t="s">
        <v>1893</v>
      </c>
      <c r="BD108" s="27" t="s">
        <v>214</v>
      </c>
      <c r="BE108" s="27" t="s">
        <v>214</v>
      </c>
      <c r="BF108" s="27" t="s">
        <v>1894</v>
      </c>
      <c r="BG108" s="27" t="s">
        <v>1895</v>
      </c>
      <c r="BH108" s="27" t="s">
        <v>190</v>
      </c>
      <c r="BI108" s="27" t="s">
        <v>238</v>
      </c>
      <c r="BJ108" s="27" t="s">
        <v>1896</v>
      </c>
      <c r="BK108" s="27" t="s">
        <v>191</v>
      </c>
      <c r="BL108" s="27" t="s">
        <v>1897</v>
      </c>
      <c r="BM108" s="35">
        <v>0</v>
      </c>
    </row>
    <row r="109" spans="1:65" s="19" customFormat="1" x14ac:dyDescent="0.2">
      <c r="A109" s="33">
        <v>588</v>
      </c>
      <c r="B109" s="26">
        <v>146</v>
      </c>
      <c r="C109" s="36" t="s">
        <v>503</v>
      </c>
      <c r="D109" s="27" t="s">
        <v>1898</v>
      </c>
      <c r="E109" s="27" t="s">
        <v>344</v>
      </c>
      <c r="F109" s="27" t="s">
        <v>389</v>
      </c>
      <c r="G109" s="28">
        <v>2026</v>
      </c>
      <c r="H109" s="20" t="str">
        <f>VLOOKUP(U109,'[1]KODE TYPE standar'!$D:$U,17,0)</f>
        <v>AVANZA</v>
      </c>
      <c r="I109" s="20" t="str">
        <f>VLOOKUP(U109,'[1]KODE TYPE standar'!$D:$U,16,0)</f>
        <v>AVANZA</v>
      </c>
      <c r="J109" s="20" t="str">
        <f>VLOOKUP(U109,'[1]KODE TYPE standar'!$D:$U,18,0)</f>
        <v>AVANZA G M/T</v>
      </c>
      <c r="K109" s="27" t="s">
        <v>118</v>
      </c>
      <c r="L109" s="27" t="s">
        <v>110</v>
      </c>
      <c r="M109" s="27" t="s">
        <v>262</v>
      </c>
      <c r="N109" s="27" t="s">
        <v>140</v>
      </c>
      <c r="O109" s="28" t="s">
        <v>156</v>
      </c>
      <c r="P109" s="29" t="s">
        <v>536</v>
      </c>
      <c r="Q109" s="29" t="s">
        <v>161</v>
      </c>
      <c r="R109" s="29" t="s">
        <v>145</v>
      </c>
      <c r="S109" s="27" t="s">
        <v>951</v>
      </c>
      <c r="T109" s="27" t="s">
        <v>541</v>
      </c>
      <c r="U109" s="27" t="s">
        <v>373</v>
      </c>
      <c r="V109" s="27" t="s">
        <v>1899</v>
      </c>
      <c r="W109" s="27" t="s">
        <v>1900</v>
      </c>
      <c r="X109" s="27" t="s">
        <v>1901</v>
      </c>
      <c r="Y109" s="27" t="s">
        <v>1902</v>
      </c>
      <c r="Z109" s="27" t="s">
        <v>950</v>
      </c>
      <c r="AA109" s="27" t="s">
        <v>951</v>
      </c>
      <c r="AB109" s="27" t="s">
        <v>541</v>
      </c>
      <c r="AC109" s="27" t="s">
        <v>1903</v>
      </c>
      <c r="AD109" s="27" t="s">
        <v>1904</v>
      </c>
      <c r="AE109" s="27" t="s">
        <v>110</v>
      </c>
      <c r="AF109" s="27" t="s">
        <v>1904</v>
      </c>
      <c r="AG109" s="27" t="s">
        <v>1905</v>
      </c>
      <c r="AH109" s="27" t="s">
        <v>844</v>
      </c>
      <c r="AI109" s="27" t="s">
        <v>140</v>
      </c>
      <c r="AJ109" s="27" t="s">
        <v>262</v>
      </c>
      <c r="AK109" s="27" t="s">
        <v>63</v>
      </c>
      <c r="AL109" s="27"/>
      <c r="AM109" s="34">
        <v>269700000</v>
      </c>
      <c r="AN109" s="34">
        <v>207935268</v>
      </c>
      <c r="AO109" s="34">
        <v>36812500</v>
      </c>
      <c r="AP109" s="34">
        <v>23345089</v>
      </c>
      <c r="AQ109" s="34">
        <v>0</v>
      </c>
      <c r="AR109" s="34">
        <v>0</v>
      </c>
      <c r="AS109" s="34">
        <v>13392857</v>
      </c>
      <c r="AT109" s="34">
        <v>254700000</v>
      </c>
      <c r="AU109" s="34">
        <v>6000000</v>
      </c>
      <c r="AV109" s="34">
        <v>-15000000</v>
      </c>
      <c r="AW109" s="27"/>
      <c r="AX109" s="27"/>
      <c r="AY109" s="27" t="s">
        <v>83</v>
      </c>
      <c r="AZ109" s="27">
        <v>1</v>
      </c>
      <c r="BA109" s="27"/>
      <c r="BB109" s="27" t="s">
        <v>303</v>
      </c>
      <c r="BC109" s="27" t="s">
        <v>1906</v>
      </c>
      <c r="BD109" s="27" t="s">
        <v>358</v>
      </c>
      <c r="BE109" s="27" t="s">
        <v>358</v>
      </c>
      <c r="BF109" s="27" t="s">
        <v>1907</v>
      </c>
      <c r="BG109" s="27" t="s">
        <v>1908</v>
      </c>
      <c r="BH109" s="27"/>
      <c r="BI109" s="27" t="s">
        <v>390</v>
      </c>
      <c r="BJ109" s="27" t="s">
        <v>1909</v>
      </c>
      <c r="BK109" s="27" t="s">
        <v>392</v>
      </c>
      <c r="BL109" s="27" t="s">
        <v>1910</v>
      </c>
      <c r="BM109" s="35">
        <v>0</v>
      </c>
    </row>
    <row r="110" spans="1:65" s="19" customFormat="1" x14ac:dyDescent="0.2">
      <c r="A110" s="33">
        <v>525</v>
      </c>
      <c r="B110" s="26">
        <v>146</v>
      </c>
      <c r="C110" s="27" t="s">
        <v>503</v>
      </c>
      <c r="D110" s="27" t="s">
        <v>1911</v>
      </c>
      <c r="E110" s="27" t="s">
        <v>260</v>
      </c>
      <c r="F110" s="27" t="s">
        <v>258</v>
      </c>
      <c r="G110" s="28">
        <v>2026</v>
      </c>
      <c r="H110" s="20" t="str">
        <f>VLOOKUP(U110,'[1]KODE TYPE standar'!$D:$U,17,0)</f>
        <v>CALYA</v>
      </c>
      <c r="I110" s="20" t="str">
        <f>VLOOKUP(U110,'[1]KODE TYPE standar'!$D:$U,16,0)</f>
        <v>CALYA</v>
      </c>
      <c r="J110" s="20" t="str">
        <f>VLOOKUP(U110,'[1]KODE TYPE standar'!$D:$U,18,0)</f>
        <v>CALYA G M/T</v>
      </c>
      <c r="K110" s="27" t="s">
        <v>120</v>
      </c>
      <c r="L110" s="27" t="s">
        <v>110</v>
      </c>
      <c r="M110" s="27" t="s">
        <v>262</v>
      </c>
      <c r="N110" s="27" t="s">
        <v>140</v>
      </c>
      <c r="O110" s="28" t="s">
        <v>156</v>
      </c>
      <c r="P110" s="29" t="s">
        <v>149</v>
      </c>
      <c r="Q110" s="29" t="s">
        <v>161</v>
      </c>
      <c r="R110" s="29" t="s">
        <v>145</v>
      </c>
      <c r="S110" s="27" t="s">
        <v>1555</v>
      </c>
      <c r="T110" s="27" t="s">
        <v>585</v>
      </c>
      <c r="U110" s="27" t="s">
        <v>268</v>
      </c>
      <c r="V110" s="27" t="s">
        <v>1912</v>
      </c>
      <c r="W110" s="27" t="s">
        <v>1913</v>
      </c>
      <c r="X110" s="27" t="s">
        <v>1914</v>
      </c>
      <c r="Y110" s="27" t="s">
        <v>1915</v>
      </c>
      <c r="Z110" s="27" t="s">
        <v>1554</v>
      </c>
      <c r="AA110" s="27" t="s">
        <v>1555</v>
      </c>
      <c r="AB110" s="27" t="s">
        <v>585</v>
      </c>
      <c r="AC110" s="27" t="s">
        <v>1916</v>
      </c>
      <c r="AD110" s="27" t="s">
        <v>1917</v>
      </c>
      <c r="AE110" s="27" t="s">
        <v>110</v>
      </c>
      <c r="AF110" s="27" t="s">
        <v>1917</v>
      </c>
      <c r="AG110" s="27" t="s">
        <v>1918</v>
      </c>
      <c r="AH110" s="27" t="s">
        <v>1614</v>
      </c>
      <c r="AI110" s="27" t="s">
        <v>140</v>
      </c>
      <c r="AJ110" s="27" t="s">
        <v>262</v>
      </c>
      <c r="AK110" s="27" t="s">
        <v>423</v>
      </c>
      <c r="AL110" s="27"/>
      <c r="AM110" s="34">
        <v>181900000</v>
      </c>
      <c r="AN110" s="34">
        <v>139564732</v>
      </c>
      <c r="AO110" s="34">
        <v>25587500</v>
      </c>
      <c r="AP110" s="34">
        <v>15676339</v>
      </c>
      <c r="AQ110" s="34">
        <v>0</v>
      </c>
      <c r="AR110" s="34">
        <v>0</v>
      </c>
      <c r="AS110" s="34">
        <v>8928571</v>
      </c>
      <c r="AT110" s="34">
        <v>171900000</v>
      </c>
      <c r="AU110" s="34">
        <v>2000000</v>
      </c>
      <c r="AV110" s="34">
        <v>-10000000</v>
      </c>
      <c r="AW110" s="27"/>
      <c r="AX110" s="27"/>
      <c r="AY110" s="27" t="s">
        <v>83</v>
      </c>
      <c r="AZ110" s="27">
        <v>1</v>
      </c>
      <c r="BA110" s="27" t="s">
        <v>163</v>
      </c>
      <c r="BB110" s="27" t="s">
        <v>235</v>
      </c>
      <c r="BC110" s="27" t="s">
        <v>1919</v>
      </c>
      <c r="BD110" s="27" t="s">
        <v>235</v>
      </c>
      <c r="BE110" s="27" t="s">
        <v>235</v>
      </c>
      <c r="BF110" s="27" t="s">
        <v>1920</v>
      </c>
      <c r="BG110" s="27" t="s">
        <v>1921</v>
      </c>
      <c r="BH110" s="27" t="s">
        <v>260</v>
      </c>
      <c r="BI110" s="27" t="s">
        <v>242</v>
      </c>
      <c r="BJ110" s="27" t="s">
        <v>1922</v>
      </c>
      <c r="BK110" s="27" t="s">
        <v>261</v>
      </c>
      <c r="BL110" s="27" t="s">
        <v>1923</v>
      </c>
      <c r="BM110" s="35">
        <v>0</v>
      </c>
    </row>
    <row r="111" spans="1:65" s="19" customFormat="1" x14ac:dyDescent="0.2">
      <c r="A111" s="33">
        <v>526</v>
      </c>
      <c r="B111" s="26">
        <v>146</v>
      </c>
      <c r="C111" s="27" t="s">
        <v>503</v>
      </c>
      <c r="D111" s="27" t="s">
        <v>1924</v>
      </c>
      <c r="E111" s="27" t="s">
        <v>227</v>
      </c>
      <c r="F111" s="27" t="s">
        <v>258</v>
      </c>
      <c r="G111" s="28">
        <v>2026</v>
      </c>
      <c r="H111" s="20" t="str">
        <f>VLOOKUP(U111,'[1]KODE TYPE standar'!$D:$U,17,0)</f>
        <v>AGYA</v>
      </c>
      <c r="I111" s="20" t="str">
        <f>VLOOKUP(U111,'[1]KODE TYPE standar'!$D:$U,16,0)</f>
        <v>AGYA</v>
      </c>
      <c r="J111" s="20" t="str">
        <f>VLOOKUP(U111,'[1]KODE TYPE standar'!$D:$U,18,0)</f>
        <v>AGYA G A/T</v>
      </c>
      <c r="K111" s="27" t="s">
        <v>118</v>
      </c>
      <c r="L111" s="27" t="s">
        <v>110</v>
      </c>
      <c r="M111" s="27" t="s">
        <v>262</v>
      </c>
      <c r="N111" s="27" t="s">
        <v>140</v>
      </c>
      <c r="O111" s="28" t="s">
        <v>156</v>
      </c>
      <c r="P111" s="29" t="s">
        <v>1248</v>
      </c>
      <c r="Q111" s="29" t="s">
        <v>161</v>
      </c>
      <c r="R111" s="29" t="s">
        <v>597</v>
      </c>
      <c r="S111" s="27" t="s">
        <v>978</v>
      </c>
      <c r="T111" s="27" t="s">
        <v>541</v>
      </c>
      <c r="U111" s="27" t="s">
        <v>164</v>
      </c>
      <c r="V111" s="27" t="s">
        <v>68</v>
      </c>
      <c r="W111" s="27" t="s">
        <v>69</v>
      </c>
      <c r="X111" s="27" t="s">
        <v>1925</v>
      </c>
      <c r="Y111" s="27" t="s">
        <v>1926</v>
      </c>
      <c r="Z111" s="27" t="s">
        <v>977</v>
      </c>
      <c r="AA111" s="27" t="s">
        <v>978</v>
      </c>
      <c r="AB111" s="27" t="s">
        <v>541</v>
      </c>
      <c r="AC111" s="27" t="s">
        <v>1927</v>
      </c>
      <c r="AD111" s="27" t="s">
        <v>1928</v>
      </c>
      <c r="AE111" s="27" t="s">
        <v>110</v>
      </c>
      <c r="AF111" s="27" t="s">
        <v>1929</v>
      </c>
      <c r="AG111" s="27" t="s">
        <v>1930</v>
      </c>
      <c r="AH111" s="27" t="s">
        <v>844</v>
      </c>
      <c r="AI111" s="27" t="s">
        <v>140</v>
      </c>
      <c r="AJ111" s="27" t="s">
        <v>262</v>
      </c>
      <c r="AK111" s="27" t="s">
        <v>63</v>
      </c>
      <c r="AL111" s="27" t="s">
        <v>1931</v>
      </c>
      <c r="AM111" s="34">
        <v>204000000</v>
      </c>
      <c r="AN111" s="34">
        <v>156830357</v>
      </c>
      <c r="AO111" s="34">
        <v>28350000</v>
      </c>
      <c r="AP111" s="34">
        <v>17533928</v>
      </c>
      <c r="AQ111" s="34">
        <v>0</v>
      </c>
      <c r="AR111" s="34">
        <v>0</v>
      </c>
      <c r="AS111" s="34">
        <v>10714286</v>
      </c>
      <c r="AT111" s="34">
        <v>192000000</v>
      </c>
      <c r="AU111" s="34">
        <v>0</v>
      </c>
      <c r="AV111" s="34">
        <v>-12000000</v>
      </c>
      <c r="AW111" s="27" t="s">
        <v>237</v>
      </c>
      <c r="AX111" s="27" t="s">
        <v>237</v>
      </c>
      <c r="AY111" s="27" t="s">
        <v>83</v>
      </c>
      <c r="AZ111" s="27">
        <v>1</v>
      </c>
      <c r="BA111" s="27" t="s">
        <v>163</v>
      </c>
      <c r="BB111" s="27" t="s">
        <v>207</v>
      </c>
      <c r="BC111" s="27" t="s">
        <v>1932</v>
      </c>
      <c r="BD111" s="27" t="s">
        <v>198</v>
      </c>
      <c r="BE111" s="27" t="s">
        <v>198</v>
      </c>
      <c r="BF111" s="27" t="s">
        <v>1933</v>
      </c>
      <c r="BG111" s="27" t="s">
        <v>1934</v>
      </c>
      <c r="BH111" s="27" t="s">
        <v>227</v>
      </c>
      <c r="BI111" s="27" t="s">
        <v>254</v>
      </c>
      <c r="BJ111" s="27" t="s">
        <v>1935</v>
      </c>
      <c r="BK111" s="27" t="s">
        <v>218</v>
      </c>
      <c r="BL111" s="27" t="s">
        <v>1936</v>
      </c>
      <c r="BM111" s="35">
        <v>0</v>
      </c>
    </row>
    <row r="112" spans="1:65" s="19" customFormat="1" x14ac:dyDescent="0.2">
      <c r="A112" s="25">
        <v>466</v>
      </c>
      <c r="B112" s="26">
        <v>146</v>
      </c>
      <c r="C112" s="27" t="s">
        <v>503</v>
      </c>
      <c r="D112" s="28" t="s">
        <v>1937</v>
      </c>
      <c r="E112" s="28" t="s">
        <v>254</v>
      </c>
      <c r="F112" s="28" t="s">
        <v>339</v>
      </c>
      <c r="G112" s="28">
        <v>2026</v>
      </c>
      <c r="H112" s="20" t="str">
        <f>VLOOKUP(U112,'[1]KODE TYPE standar'!$D:$U,17,0)</f>
        <v>FORTUNER</v>
      </c>
      <c r="I112" s="20" t="str">
        <f>VLOOKUP(U112,'[1]KODE TYPE standar'!$D:$U,16,0)</f>
        <v>FORTUNER</v>
      </c>
      <c r="J112" s="20" t="str">
        <f>VLOOKUP(U112,'[1]KODE TYPE standar'!$D:$U,18,0)</f>
        <v>FORTUNER 4X4 VRZ A/T DIESEL</v>
      </c>
      <c r="K112" s="27" t="s">
        <v>118</v>
      </c>
      <c r="L112" s="28" t="s">
        <v>110</v>
      </c>
      <c r="M112" s="28" t="s">
        <v>262</v>
      </c>
      <c r="N112" s="28" t="s">
        <v>140</v>
      </c>
      <c r="O112" s="28" t="s">
        <v>156</v>
      </c>
      <c r="P112" s="29" t="s">
        <v>149</v>
      </c>
      <c r="Q112" s="29" t="s">
        <v>162</v>
      </c>
      <c r="R112" s="29" t="s">
        <v>145</v>
      </c>
      <c r="S112" s="27" t="s">
        <v>540</v>
      </c>
      <c r="T112" s="30" t="s">
        <v>541</v>
      </c>
      <c r="U112" s="27" t="s">
        <v>247</v>
      </c>
      <c r="V112" s="27" t="s">
        <v>114</v>
      </c>
      <c r="W112" s="27" t="s">
        <v>115</v>
      </c>
      <c r="X112" s="27" t="s">
        <v>1938</v>
      </c>
      <c r="Y112" s="27" t="s">
        <v>1939</v>
      </c>
      <c r="Z112" s="27" t="s">
        <v>539</v>
      </c>
      <c r="AA112" s="27" t="s">
        <v>540</v>
      </c>
      <c r="AB112" s="30" t="s">
        <v>541</v>
      </c>
      <c r="AC112" s="30" t="s">
        <v>1940</v>
      </c>
      <c r="AD112" s="28" t="s">
        <v>1941</v>
      </c>
      <c r="AE112" s="28" t="s">
        <v>110</v>
      </c>
      <c r="AF112" s="28" t="s">
        <v>1942</v>
      </c>
      <c r="AG112" s="28" t="s">
        <v>1943</v>
      </c>
      <c r="AH112" s="28" t="s">
        <v>528</v>
      </c>
      <c r="AI112" s="28" t="s">
        <v>140</v>
      </c>
      <c r="AJ112" s="28" t="s">
        <v>262</v>
      </c>
      <c r="AK112" s="28" t="s">
        <v>63</v>
      </c>
      <c r="AL112" s="28" t="s">
        <v>1944</v>
      </c>
      <c r="AM112" s="31">
        <v>793900000</v>
      </c>
      <c r="AN112" s="31">
        <v>617466518</v>
      </c>
      <c r="AO112" s="31">
        <v>102337500</v>
      </c>
      <c r="AP112" s="31">
        <v>70774553</v>
      </c>
      <c r="AQ112" s="31">
        <v>0</v>
      </c>
      <c r="AR112" s="31">
        <v>0</v>
      </c>
      <c r="AS112" s="31">
        <v>27678571</v>
      </c>
      <c r="AT112" s="31">
        <v>762900000</v>
      </c>
      <c r="AU112" s="31">
        <v>0</v>
      </c>
      <c r="AV112" s="31">
        <v>-31000000</v>
      </c>
      <c r="AW112" s="28" t="s">
        <v>242</v>
      </c>
      <c r="AX112" s="28" t="s">
        <v>242</v>
      </c>
      <c r="AY112" s="28" t="s">
        <v>83</v>
      </c>
      <c r="AZ112" s="28">
        <v>1</v>
      </c>
      <c r="BA112" s="28"/>
      <c r="BB112" s="28" t="s">
        <v>224</v>
      </c>
      <c r="BC112" s="28" t="s">
        <v>1945</v>
      </c>
      <c r="BD112" s="28" t="s">
        <v>224</v>
      </c>
      <c r="BE112" s="28" t="s">
        <v>224</v>
      </c>
      <c r="BF112" s="28" t="s">
        <v>1946</v>
      </c>
      <c r="BG112" s="28" t="s">
        <v>1947</v>
      </c>
      <c r="BH112" s="28" t="s">
        <v>254</v>
      </c>
      <c r="BI112" s="28" t="s">
        <v>265</v>
      </c>
      <c r="BJ112" s="28" t="s">
        <v>1948</v>
      </c>
      <c r="BK112" s="28" t="s">
        <v>274</v>
      </c>
      <c r="BL112" s="28" t="s">
        <v>1949</v>
      </c>
      <c r="BM112" s="32">
        <v>0</v>
      </c>
    </row>
    <row r="113" spans="1:65" s="19" customFormat="1" x14ac:dyDescent="0.2">
      <c r="A113" s="33">
        <v>471</v>
      </c>
      <c r="B113" s="26">
        <v>146</v>
      </c>
      <c r="C113" s="27" t="s">
        <v>503</v>
      </c>
      <c r="D113" s="27" t="s">
        <v>1950</v>
      </c>
      <c r="E113" s="27" t="s">
        <v>213</v>
      </c>
      <c r="F113" s="27" t="s">
        <v>111</v>
      </c>
      <c r="G113" s="28">
        <v>2026</v>
      </c>
      <c r="H113" s="20" t="str">
        <f>VLOOKUP(U113,'[1]KODE TYPE standar'!$D:$U,17,0)</f>
        <v>CALYA</v>
      </c>
      <c r="I113" s="20" t="str">
        <f>VLOOKUP(U113,'[1]KODE TYPE standar'!$D:$U,16,0)</f>
        <v>CALYA</v>
      </c>
      <c r="J113" s="20" t="str">
        <f>VLOOKUP(U113,'[1]KODE TYPE standar'!$D:$U,18,0)</f>
        <v>CALYA G M/T</v>
      </c>
      <c r="K113" s="27" t="s">
        <v>121</v>
      </c>
      <c r="L113" s="27" t="s">
        <v>110</v>
      </c>
      <c r="M113" s="27" t="s">
        <v>262</v>
      </c>
      <c r="N113" s="27" t="s">
        <v>141</v>
      </c>
      <c r="O113" s="28" t="s">
        <v>156</v>
      </c>
      <c r="P113" s="29" t="s">
        <v>536</v>
      </c>
      <c r="Q113" s="29" t="s">
        <v>161</v>
      </c>
      <c r="R113" s="29" t="s">
        <v>597</v>
      </c>
      <c r="S113" s="27" t="s">
        <v>951</v>
      </c>
      <c r="T113" s="27" t="s">
        <v>541</v>
      </c>
      <c r="U113" s="27" t="s">
        <v>268</v>
      </c>
      <c r="V113" s="27" t="s">
        <v>269</v>
      </c>
      <c r="W113" s="27" t="s">
        <v>270</v>
      </c>
      <c r="X113" s="27" t="s">
        <v>1951</v>
      </c>
      <c r="Y113" s="27" t="s">
        <v>1952</v>
      </c>
      <c r="Z113" s="27" t="s">
        <v>950</v>
      </c>
      <c r="AA113" s="27" t="s">
        <v>951</v>
      </c>
      <c r="AB113" s="27" t="s">
        <v>541</v>
      </c>
      <c r="AC113" s="27" t="s">
        <v>1953</v>
      </c>
      <c r="AD113" s="27" t="s">
        <v>1954</v>
      </c>
      <c r="AE113" s="27" t="s">
        <v>110</v>
      </c>
      <c r="AF113" s="27" t="s">
        <v>1955</v>
      </c>
      <c r="AG113" s="27" t="s">
        <v>1956</v>
      </c>
      <c r="AH113" s="27" t="s">
        <v>1481</v>
      </c>
      <c r="AI113" s="27" t="s">
        <v>141</v>
      </c>
      <c r="AJ113" s="27" t="s">
        <v>262</v>
      </c>
      <c r="AK113" s="27" t="s">
        <v>104</v>
      </c>
      <c r="AL113" s="27"/>
      <c r="AM113" s="34">
        <v>181900000</v>
      </c>
      <c r="AN113" s="34">
        <v>139564732</v>
      </c>
      <c r="AO113" s="34">
        <v>25587500</v>
      </c>
      <c r="AP113" s="34">
        <v>15569196</v>
      </c>
      <c r="AQ113" s="34">
        <v>0</v>
      </c>
      <c r="AR113" s="34">
        <v>0</v>
      </c>
      <c r="AS113" s="34">
        <v>9821429</v>
      </c>
      <c r="AT113" s="34">
        <v>170900000</v>
      </c>
      <c r="AU113" s="34">
        <v>0</v>
      </c>
      <c r="AV113" s="34">
        <v>-11000000</v>
      </c>
      <c r="AW113" s="27"/>
      <c r="AX113" s="27"/>
      <c r="AY113" s="27" t="s">
        <v>83</v>
      </c>
      <c r="AZ113" s="27">
        <v>1</v>
      </c>
      <c r="BA113" s="27"/>
      <c r="BB113" s="27" t="s">
        <v>190</v>
      </c>
      <c r="BC113" s="27" t="s">
        <v>1957</v>
      </c>
      <c r="BD113" s="27" t="s">
        <v>205</v>
      </c>
      <c r="BE113" s="27" t="s">
        <v>205</v>
      </c>
      <c r="BF113" s="27" t="s">
        <v>1958</v>
      </c>
      <c r="BG113" s="27" t="s">
        <v>1959</v>
      </c>
      <c r="BH113" s="27"/>
      <c r="BI113" s="27" t="s">
        <v>232</v>
      </c>
      <c r="BJ113" s="27" t="s">
        <v>1960</v>
      </c>
      <c r="BK113" s="27" t="s">
        <v>213</v>
      </c>
      <c r="BL113" s="27" t="s">
        <v>1961</v>
      </c>
      <c r="BM113" s="35">
        <v>0</v>
      </c>
    </row>
    <row r="114" spans="1:65" s="19" customFormat="1" x14ac:dyDescent="0.2">
      <c r="A114" s="33">
        <v>620</v>
      </c>
      <c r="B114" s="26">
        <v>146</v>
      </c>
      <c r="C114" s="36" t="s">
        <v>503</v>
      </c>
      <c r="D114" s="27" t="s">
        <v>1962</v>
      </c>
      <c r="E114" s="27" t="s">
        <v>366</v>
      </c>
      <c r="F114" s="27" t="s">
        <v>389</v>
      </c>
      <c r="G114" s="28">
        <v>2026</v>
      </c>
      <c r="H114" s="20" t="str">
        <f>VLOOKUP(U114,'[1]KODE TYPE standar'!$D:$U,17,0)</f>
        <v>VELOZ</v>
      </c>
      <c r="I114" s="20" t="str">
        <f>VLOOKUP(U114,'[1]KODE TYPE standar'!$D:$U,16,0)</f>
        <v>VELOZ</v>
      </c>
      <c r="J114" s="20" t="str">
        <f>VLOOKUP(U114,'[1]KODE TYPE standar'!$D:$U,18,0)</f>
        <v>VELOZ V AT HYBRID</v>
      </c>
      <c r="K114" s="27" t="s">
        <v>50</v>
      </c>
      <c r="L114" s="27" t="s">
        <v>110</v>
      </c>
      <c r="M114" s="27" t="s">
        <v>50</v>
      </c>
      <c r="N114" s="27" t="s">
        <v>140</v>
      </c>
      <c r="O114" s="28" t="s">
        <v>156</v>
      </c>
      <c r="P114" s="29" t="s">
        <v>149</v>
      </c>
      <c r="Q114" s="29" t="s">
        <v>161</v>
      </c>
      <c r="R114" s="29" t="s">
        <v>145</v>
      </c>
      <c r="S114" s="27" t="s">
        <v>1966</v>
      </c>
      <c r="T114" s="27" t="s">
        <v>509</v>
      </c>
      <c r="U114" s="27" t="s">
        <v>335</v>
      </c>
      <c r="V114" s="27" t="s">
        <v>51</v>
      </c>
      <c r="W114" s="27" t="s">
        <v>286</v>
      </c>
      <c r="X114" s="27" t="s">
        <v>1963</v>
      </c>
      <c r="Y114" s="27" t="s">
        <v>1964</v>
      </c>
      <c r="Z114" s="27" t="s">
        <v>1965</v>
      </c>
      <c r="AA114" s="27" t="s">
        <v>1966</v>
      </c>
      <c r="AB114" s="27" t="s">
        <v>509</v>
      </c>
      <c r="AC114" s="27" t="s">
        <v>1967</v>
      </c>
      <c r="AD114" s="27" t="s">
        <v>1968</v>
      </c>
      <c r="AE114" s="27" t="s">
        <v>110</v>
      </c>
      <c r="AF114" s="27" t="s">
        <v>1968</v>
      </c>
      <c r="AG114" s="27" t="s">
        <v>1969</v>
      </c>
      <c r="AH114" s="27" t="s">
        <v>1970</v>
      </c>
      <c r="AI114" s="27" t="s">
        <v>140</v>
      </c>
      <c r="AJ114" s="27" t="s">
        <v>50</v>
      </c>
      <c r="AK114" s="27" t="s">
        <v>50</v>
      </c>
      <c r="AL114" s="27"/>
      <c r="AM114" s="34">
        <v>304500000</v>
      </c>
      <c r="AN114" s="34">
        <v>235122768</v>
      </c>
      <c r="AO114" s="34">
        <v>41162500</v>
      </c>
      <c r="AP114" s="34">
        <v>28214732</v>
      </c>
      <c r="AQ114" s="34">
        <v>0</v>
      </c>
      <c r="AR114" s="34">
        <v>0</v>
      </c>
      <c r="AS114" s="34">
        <v>0</v>
      </c>
      <c r="AT114" s="34">
        <v>304500000</v>
      </c>
      <c r="AU114" s="34">
        <v>0</v>
      </c>
      <c r="AV114" s="34">
        <v>0</v>
      </c>
      <c r="AW114" s="27" t="s">
        <v>392</v>
      </c>
      <c r="AX114" s="27" t="s">
        <v>392</v>
      </c>
      <c r="AY114" s="27" t="s">
        <v>83</v>
      </c>
      <c r="AZ114" s="27">
        <v>1</v>
      </c>
      <c r="BA114" s="27"/>
      <c r="BB114" s="27" t="s">
        <v>366</v>
      </c>
      <c r="BC114" s="27" t="s">
        <v>1971</v>
      </c>
      <c r="BD114" s="27" t="s">
        <v>361</v>
      </c>
      <c r="BE114" s="27" t="s">
        <v>361</v>
      </c>
      <c r="BF114" s="27" t="s">
        <v>1972</v>
      </c>
      <c r="BG114" s="27" t="s">
        <v>1973</v>
      </c>
      <c r="BH114" s="27" t="s">
        <v>366</v>
      </c>
      <c r="BI114" s="27" t="s">
        <v>396</v>
      </c>
      <c r="BJ114" s="27" t="s">
        <v>1974</v>
      </c>
      <c r="BK114" s="27" t="s">
        <v>404</v>
      </c>
      <c r="BL114" s="27" t="s">
        <v>1975</v>
      </c>
      <c r="BM114" s="35">
        <v>0</v>
      </c>
    </row>
    <row r="115" spans="1:65" s="19" customFormat="1" x14ac:dyDescent="0.2">
      <c r="A115" s="33">
        <v>494</v>
      </c>
      <c r="B115" s="26">
        <v>146</v>
      </c>
      <c r="C115" s="27" t="s">
        <v>503</v>
      </c>
      <c r="D115" s="27" t="s">
        <v>1976</v>
      </c>
      <c r="E115" s="27" t="s">
        <v>182</v>
      </c>
      <c r="F115" s="27" t="s">
        <v>111</v>
      </c>
      <c r="G115" s="28">
        <v>2026</v>
      </c>
      <c r="H115" s="20" t="str">
        <f>VLOOKUP(U115,'[1]KODE TYPE standar'!$D:$U,17,0)</f>
        <v>CALYA</v>
      </c>
      <c r="I115" s="20" t="str">
        <f>VLOOKUP(U115,'[1]KODE TYPE standar'!$D:$U,16,0)</f>
        <v>CALYA</v>
      </c>
      <c r="J115" s="20" t="str">
        <f>VLOOKUP(U115,'[1]KODE TYPE standar'!$D:$U,18,0)</f>
        <v>CALYA G M/T</v>
      </c>
      <c r="K115" s="27" t="s">
        <v>120</v>
      </c>
      <c r="L115" s="27" t="s">
        <v>110</v>
      </c>
      <c r="M115" s="27" t="s">
        <v>262</v>
      </c>
      <c r="N115" s="27" t="s">
        <v>140</v>
      </c>
      <c r="O115" s="28" t="s">
        <v>156</v>
      </c>
      <c r="P115" s="29" t="s">
        <v>151</v>
      </c>
      <c r="Q115" s="29" t="s">
        <v>161</v>
      </c>
      <c r="R115" s="29" t="s">
        <v>318</v>
      </c>
      <c r="S115" s="27" t="s">
        <v>877</v>
      </c>
      <c r="T115" s="27" t="s">
        <v>585</v>
      </c>
      <c r="U115" s="27" t="s">
        <v>268</v>
      </c>
      <c r="V115" s="27" t="s">
        <v>77</v>
      </c>
      <c r="W115" s="27" t="s">
        <v>78</v>
      </c>
      <c r="X115" s="27" t="s">
        <v>1977</v>
      </c>
      <c r="Y115" s="27" t="s">
        <v>1978</v>
      </c>
      <c r="Z115" s="27" t="s">
        <v>876</v>
      </c>
      <c r="AA115" s="27" t="s">
        <v>877</v>
      </c>
      <c r="AB115" s="27" t="s">
        <v>585</v>
      </c>
      <c r="AC115" s="27" t="s">
        <v>1979</v>
      </c>
      <c r="AD115" s="27" t="s">
        <v>1980</v>
      </c>
      <c r="AE115" s="27" t="s">
        <v>110</v>
      </c>
      <c r="AF115" s="27" t="s">
        <v>1981</v>
      </c>
      <c r="AG115" s="27" t="s">
        <v>1982</v>
      </c>
      <c r="AH115" s="27" t="s">
        <v>1983</v>
      </c>
      <c r="AI115" s="27" t="s">
        <v>140</v>
      </c>
      <c r="AJ115" s="27" t="s">
        <v>262</v>
      </c>
      <c r="AK115" s="27" t="s">
        <v>423</v>
      </c>
      <c r="AL115" s="27" t="s">
        <v>1984</v>
      </c>
      <c r="AM115" s="34">
        <v>181900000</v>
      </c>
      <c r="AN115" s="34">
        <v>139564732</v>
      </c>
      <c r="AO115" s="34">
        <v>25587500</v>
      </c>
      <c r="AP115" s="34">
        <v>15676339</v>
      </c>
      <c r="AQ115" s="34">
        <v>0</v>
      </c>
      <c r="AR115" s="34">
        <v>0</v>
      </c>
      <c r="AS115" s="34">
        <v>8928571</v>
      </c>
      <c r="AT115" s="34">
        <v>171900000</v>
      </c>
      <c r="AU115" s="34">
        <v>0</v>
      </c>
      <c r="AV115" s="34">
        <v>-10000000</v>
      </c>
      <c r="AW115" s="27" t="s">
        <v>217</v>
      </c>
      <c r="AX115" s="27" t="s">
        <v>217</v>
      </c>
      <c r="AY115" s="27" t="s">
        <v>83</v>
      </c>
      <c r="AZ115" s="27">
        <v>1</v>
      </c>
      <c r="BA115" s="27"/>
      <c r="BB115" s="27" t="s">
        <v>185</v>
      </c>
      <c r="BC115" s="27" t="s">
        <v>1985</v>
      </c>
      <c r="BD115" s="27" t="s">
        <v>1986</v>
      </c>
      <c r="BE115" s="27" t="s">
        <v>1986</v>
      </c>
      <c r="BF115" s="27" t="s">
        <v>1987</v>
      </c>
      <c r="BG115" s="27" t="s">
        <v>1988</v>
      </c>
      <c r="BH115" s="27" t="s">
        <v>182</v>
      </c>
      <c r="BI115" s="27" t="s">
        <v>229</v>
      </c>
      <c r="BJ115" s="27" t="s">
        <v>1989</v>
      </c>
      <c r="BK115" s="27" t="s">
        <v>212</v>
      </c>
      <c r="BL115" s="27" t="s">
        <v>1990</v>
      </c>
      <c r="BM115" s="35">
        <v>0</v>
      </c>
    </row>
    <row r="116" spans="1:65" s="19" customFormat="1" x14ac:dyDescent="0.2">
      <c r="A116" s="33">
        <v>498</v>
      </c>
      <c r="B116" s="26">
        <v>146</v>
      </c>
      <c r="C116" s="27" t="s">
        <v>503</v>
      </c>
      <c r="D116" s="27" t="s">
        <v>1991</v>
      </c>
      <c r="E116" s="27" t="s">
        <v>195</v>
      </c>
      <c r="F116" s="27" t="s">
        <v>111</v>
      </c>
      <c r="G116" s="28">
        <v>2026</v>
      </c>
      <c r="H116" s="20" t="str">
        <f>VLOOKUP(U116,'[1]KODE TYPE standar'!$D:$U,17,0)</f>
        <v>HILUX</v>
      </c>
      <c r="I116" s="20" t="str">
        <f>VLOOKUP(U116,'[1]KODE TYPE standar'!$D:$U,16,0)</f>
        <v>HILUX</v>
      </c>
      <c r="J116" s="20" t="str">
        <f>VLOOKUP(U116,'[1]KODE TYPE standar'!$D:$U,18,0)</f>
        <v>RANGGA-HILUX PU M/T</v>
      </c>
      <c r="K116" s="27" t="s">
        <v>50</v>
      </c>
      <c r="L116" s="27" t="s">
        <v>110</v>
      </c>
      <c r="M116" s="27" t="s">
        <v>50</v>
      </c>
      <c r="N116" s="27" t="s">
        <v>140</v>
      </c>
      <c r="O116" s="28" t="s">
        <v>156</v>
      </c>
      <c r="P116" s="29" t="s">
        <v>149</v>
      </c>
      <c r="Q116" s="29" t="s">
        <v>161</v>
      </c>
      <c r="R116" s="29" t="s">
        <v>145</v>
      </c>
      <c r="S116" s="27" t="s">
        <v>616</v>
      </c>
      <c r="T116" s="27" t="s">
        <v>585</v>
      </c>
      <c r="U116" s="27" t="s">
        <v>281</v>
      </c>
      <c r="V116" s="27" t="s">
        <v>99</v>
      </c>
      <c r="W116" s="27" t="s">
        <v>61</v>
      </c>
      <c r="X116" s="27" t="s">
        <v>1992</v>
      </c>
      <c r="Y116" s="27" t="s">
        <v>1993</v>
      </c>
      <c r="Z116" s="27" t="s">
        <v>615</v>
      </c>
      <c r="AA116" s="27" t="s">
        <v>616</v>
      </c>
      <c r="AB116" s="27" t="s">
        <v>585</v>
      </c>
      <c r="AC116" s="27" t="s">
        <v>1994</v>
      </c>
      <c r="AD116" s="27" t="s">
        <v>1995</v>
      </c>
      <c r="AE116" s="27" t="s">
        <v>110</v>
      </c>
      <c r="AF116" s="27" t="s">
        <v>1996</v>
      </c>
      <c r="AG116" s="27" t="s">
        <v>1997</v>
      </c>
      <c r="AH116" s="27" t="s">
        <v>1970</v>
      </c>
      <c r="AI116" s="27" t="s">
        <v>140</v>
      </c>
      <c r="AJ116" s="27" t="s">
        <v>50</v>
      </c>
      <c r="AK116" s="27" t="s">
        <v>50</v>
      </c>
      <c r="AL116" s="27" t="s">
        <v>1998</v>
      </c>
      <c r="AM116" s="34">
        <v>226200000</v>
      </c>
      <c r="AN116" s="34">
        <v>174121622</v>
      </c>
      <c r="AO116" s="34">
        <v>32925000</v>
      </c>
      <c r="AP116" s="34">
        <v>17171396</v>
      </c>
      <c r="AQ116" s="34">
        <v>0</v>
      </c>
      <c r="AR116" s="34">
        <v>0</v>
      </c>
      <c r="AS116" s="34">
        <v>18018018</v>
      </c>
      <c r="AT116" s="34">
        <v>206200000</v>
      </c>
      <c r="AU116" s="34">
        <v>0</v>
      </c>
      <c r="AV116" s="34">
        <v>-20000000</v>
      </c>
      <c r="AW116" s="27" t="s">
        <v>225</v>
      </c>
      <c r="AX116" s="27" t="s">
        <v>225</v>
      </c>
      <c r="AY116" s="27" t="s">
        <v>83</v>
      </c>
      <c r="AZ116" s="27">
        <v>1</v>
      </c>
      <c r="BA116" s="27" t="s">
        <v>163</v>
      </c>
      <c r="BB116" s="27" t="s">
        <v>194</v>
      </c>
      <c r="BC116" s="27" t="s">
        <v>1999</v>
      </c>
      <c r="BD116" s="27" t="s">
        <v>194</v>
      </c>
      <c r="BE116" s="27" t="s">
        <v>194</v>
      </c>
      <c r="BF116" s="27" t="s">
        <v>2000</v>
      </c>
      <c r="BG116" s="27" t="s">
        <v>2001</v>
      </c>
      <c r="BH116" s="27" t="s">
        <v>195</v>
      </c>
      <c r="BI116" s="27" t="s">
        <v>190</v>
      </c>
      <c r="BJ116" s="27" t="s">
        <v>2002</v>
      </c>
      <c r="BK116" s="27" t="s">
        <v>2003</v>
      </c>
      <c r="BL116" s="27" t="s">
        <v>2004</v>
      </c>
      <c r="BM116" s="35">
        <v>0</v>
      </c>
    </row>
    <row r="117" spans="1:65" s="19" customFormat="1" x14ac:dyDescent="0.2">
      <c r="A117" s="33">
        <v>499</v>
      </c>
      <c r="B117" s="26">
        <v>146</v>
      </c>
      <c r="C117" s="27" t="s">
        <v>503</v>
      </c>
      <c r="D117" s="27" t="s">
        <v>2005</v>
      </c>
      <c r="E117" s="27" t="s">
        <v>225</v>
      </c>
      <c r="F117" s="27" t="s">
        <v>111</v>
      </c>
      <c r="G117" s="28">
        <v>2026</v>
      </c>
      <c r="H117" s="20" t="str">
        <f>VLOOKUP(U117,'[1]KODE TYPE standar'!$D:$U,17,0)</f>
        <v>HILUX</v>
      </c>
      <c r="I117" s="20" t="str">
        <f>VLOOKUP(U117,'[1]KODE TYPE standar'!$D:$U,16,0)</f>
        <v>HILUX</v>
      </c>
      <c r="J117" s="20" t="str">
        <f>VLOOKUP(U117,'[1]KODE TYPE standar'!$D:$U,18,0)</f>
        <v>RANGGA-HILUX PU M/T</v>
      </c>
      <c r="K117" s="27" t="s">
        <v>50</v>
      </c>
      <c r="L117" s="27" t="s">
        <v>110</v>
      </c>
      <c r="M117" s="27" t="s">
        <v>50</v>
      </c>
      <c r="N117" s="27" t="s">
        <v>140</v>
      </c>
      <c r="O117" s="28" t="s">
        <v>156</v>
      </c>
      <c r="P117" s="29" t="s">
        <v>149</v>
      </c>
      <c r="Q117" s="29" t="s">
        <v>161</v>
      </c>
      <c r="R117" s="29" t="s">
        <v>145</v>
      </c>
      <c r="S117" s="27" t="s">
        <v>616</v>
      </c>
      <c r="T117" s="27" t="s">
        <v>585</v>
      </c>
      <c r="U117" s="27" t="s">
        <v>281</v>
      </c>
      <c r="V117" s="27" t="s">
        <v>99</v>
      </c>
      <c r="W117" s="27" t="s">
        <v>61</v>
      </c>
      <c r="X117" s="27" t="s">
        <v>2006</v>
      </c>
      <c r="Y117" s="27" t="s">
        <v>2007</v>
      </c>
      <c r="Z117" s="27" t="s">
        <v>615</v>
      </c>
      <c r="AA117" s="27" t="s">
        <v>616</v>
      </c>
      <c r="AB117" s="27" t="s">
        <v>585</v>
      </c>
      <c r="AC117" s="27" t="s">
        <v>2008</v>
      </c>
      <c r="AD117" s="27" t="s">
        <v>1995</v>
      </c>
      <c r="AE117" s="27" t="s">
        <v>110</v>
      </c>
      <c r="AF117" s="27" t="s">
        <v>1996</v>
      </c>
      <c r="AG117" s="27" t="s">
        <v>2009</v>
      </c>
      <c r="AH117" s="27" t="s">
        <v>1970</v>
      </c>
      <c r="AI117" s="27" t="s">
        <v>140</v>
      </c>
      <c r="AJ117" s="27" t="s">
        <v>50</v>
      </c>
      <c r="AK117" s="27" t="s">
        <v>50</v>
      </c>
      <c r="AL117" s="27" t="s">
        <v>2010</v>
      </c>
      <c r="AM117" s="34">
        <v>226200000</v>
      </c>
      <c r="AN117" s="34">
        <v>174121622</v>
      </c>
      <c r="AO117" s="34">
        <v>32925000</v>
      </c>
      <c r="AP117" s="34">
        <v>17072297</v>
      </c>
      <c r="AQ117" s="34">
        <v>0</v>
      </c>
      <c r="AR117" s="34">
        <v>0</v>
      </c>
      <c r="AS117" s="34">
        <v>18918919</v>
      </c>
      <c r="AT117" s="34">
        <v>205200000</v>
      </c>
      <c r="AU117" s="34">
        <v>0</v>
      </c>
      <c r="AV117" s="34">
        <v>-21000000</v>
      </c>
      <c r="AW117" s="27" t="s">
        <v>199</v>
      </c>
      <c r="AX117" s="27" t="s">
        <v>199</v>
      </c>
      <c r="AY117" s="27" t="s">
        <v>83</v>
      </c>
      <c r="AZ117" s="27">
        <v>1</v>
      </c>
      <c r="BA117" s="27" t="s">
        <v>163</v>
      </c>
      <c r="BB117" s="27" t="s">
        <v>207</v>
      </c>
      <c r="BC117" s="27" t="s">
        <v>2011</v>
      </c>
      <c r="BD117" s="27" t="s">
        <v>207</v>
      </c>
      <c r="BE117" s="27" t="s">
        <v>207</v>
      </c>
      <c r="BF117" s="27" t="s">
        <v>2012</v>
      </c>
      <c r="BG117" s="27" t="s">
        <v>2013</v>
      </c>
      <c r="BH117" s="27" t="s">
        <v>225</v>
      </c>
      <c r="BI117" s="27" t="s">
        <v>211</v>
      </c>
      <c r="BJ117" s="27" t="s">
        <v>2002</v>
      </c>
      <c r="BK117" s="27" t="s">
        <v>2003</v>
      </c>
      <c r="BL117" s="27" t="s">
        <v>2014</v>
      </c>
      <c r="BM117" s="35">
        <v>0</v>
      </c>
    </row>
    <row r="118" spans="1:65" s="19" customFormat="1" x14ac:dyDescent="0.2">
      <c r="A118" s="33">
        <v>563</v>
      </c>
      <c r="B118" s="26">
        <v>146</v>
      </c>
      <c r="C118" s="27" t="s">
        <v>503</v>
      </c>
      <c r="D118" s="27" t="s">
        <v>2015</v>
      </c>
      <c r="E118" s="27" t="s">
        <v>261</v>
      </c>
      <c r="F118" s="27" t="s">
        <v>258</v>
      </c>
      <c r="G118" s="28">
        <v>2026</v>
      </c>
      <c r="H118" s="20" t="str">
        <f>VLOOKUP(U118,'[1]KODE TYPE standar'!$D:$U,17,0)</f>
        <v>CALYA</v>
      </c>
      <c r="I118" s="20" t="str">
        <f>VLOOKUP(U118,'[1]KODE TYPE standar'!$D:$U,16,0)</f>
        <v>CALYA</v>
      </c>
      <c r="J118" s="20" t="str">
        <f>VLOOKUP(U118,'[1]KODE TYPE standar'!$D:$U,18,0)</f>
        <v>CALYA G M/T</v>
      </c>
      <c r="K118" s="27" t="s">
        <v>118</v>
      </c>
      <c r="L118" s="27" t="s">
        <v>110</v>
      </c>
      <c r="M118" s="27" t="s">
        <v>262</v>
      </c>
      <c r="N118" s="27" t="s">
        <v>106</v>
      </c>
      <c r="O118" s="28" t="s">
        <v>156</v>
      </c>
      <c r="P118" s="29" t="s">
        <v>149</v>
      </c>
      <c r="Q118" s="29" t="s">
        <v>161</v>
      </c>
      <c r="R118" s="29" t="s">
        <v>597</v>
      </c>
      <c r="S118" s="27" t="s">
        <v>795</v>
      </c>
      <c r="T118" s="27" t="s">
        <v>509</v>
      </c>
      <c r="U118" s="27" t="s">
        <v>268</v>
      </c>
      <c r="V118" s="27" t="s">
        <v>96</v>
      </c>
      <c r="W118" s="27" t="s">
        <v>97</v>
      </c>
      <c r="X118" s="27" t="s">
        <v>2016</v>
      </c>
      <c r="Y118" s="27" t="s">
        <v>2017</v>
      </c>
      <c r="Z118" s="27" t="s">
        <v>794</v>
      </c>
      <c r="AA118" s="27" t="s">
        <v>795</v>
      </c>
      <c r="AB118" s="27" t="s">
        <v>509</v>
      </c>
      <c r="AC118" s="27" t="s">
        <v>2018</v>
      </c>
      <c r="AD118" s="27" t="s">
        <v>2019</v>
      </c>
      <c r="AE118" s="27" t="s">
        <v>110</v>
      </c>
      <c r="AF118" s="27" t="s">
        <v>2019</v>
      </c>
      <c r="AG118" s="27" t="s">
        <v>2020</v>
      </c>
      <c r="AH118" s="27" t="s">
        <v>2021</v>
      </c>
      <c r="AI118" s="27" t="s">
        <v>106</v>
      </c>
      <c r="AJ118" s="27" t="s">
        <v>262</v>
      </c>
      <c r="AK118" s="27" t="s">
        <v>63</v>
      </c>
      <c r="AL118" s="27" t="s">
        <v>2022</v>
      </c>
      <c r="AM118" s="34">
        <v>181900000</v>
      </c>
      <c r="AN118" s="34">
        <v>139564732</v>
      </c>
      <c r="AO118" s="34">
        <v>25587500</v>
      </c>
      <c r="AP118" s="34">
        <v>15569196</v>
      </c>
      <c r="AQ118" s="34">
        <v>0</v>
      </c>
      <c r="AR118" s="34">
        <v>0</v>
      </c>
      <c r="AS118" s="34">
        <v>9821429</v>
      </c>
      <c r="AT118" s="34">
        <v>170900000</v>
      </c>
      <c r="AU118" s="34">
        <v>0</v>
      </c>
      <c r="AV118" s="34">
        <v>-11000000</v>
      </c>
      <c r="AW118" s="27"/>
      <c r="AX118" s="27"/>
      <c r="AY118" s="27" t="s">
        <v>83</v>
      </c>
      <c r="AZ118" s="27">
        <v>1</v>
      </c>
      <c r="BA118" s="27"/>
      <c r="BB118" s="27" t="s">
        <v>221</v>
      </c>
      <c r="BC118" s="27" t="s">
        <v>2023</v>
      </c>
      <c r="BD118" s="27" t="s">
        <v>219</v>
      </c>
      <c r="BE118" s="27" t="s">
        <v>219</v>
      </c>
      <c r="BF118" s="27" t="s">
        <v>2024</v>
      </c>
      <c r="BG118" s="27" t="s">
        <v>2025</v>
      </c>
      <c r="BH118" s="27" t="s">
        <v>261</v>
      </c>
      <c r="BI118" s="27" t="s">
        <v>271</v>
      </c>
      <c r="BJ118" s="27" t="s">
        <v>2026</v>
      </c>
      <c r="BK118" s="27" t="s">
        <v>210</v>
      </c>
      <c r="BL118" s="27" t="s">
        <v>2027</v>
      </c>
      <c r="BM118" s="35">
        <v>0</v>
      </c>
    </row>
    <row r="119" spans="1:65" s="19" customFormat="1" x14ac:dyDescent="0.2">
      <c r="A119" s="33">
        <v>673</v>
      </c>
      <c r="B119" s="26">
        <v>146</v>
      </c>
      <c r="C119" s="36" t="s">
        <v>503</v>
      </c>
      <c r="D119" s="27" t="s">
        <v>2028</v>
      </c>
      <c r="E119" s="27" t="s">
        <v>392</v>
      </c>
      <c r="F119" s="27" t="s">
        <v>389</v>
      </c>
      <c r="G119" s="28">
        <v>2026</v>
      </c>
      <c r="H119" s="20" t="str">
        <f>VLOOKUP(U119,'[1]KODE TYPE standar'!$D:$U,17,0)</f>
        <v>AVANZA</v>
      </c>
      <c r="I119" s="20" t="str">
        <f>VLOOKUP(U119,'[1]KODE TYPE standar'!$D:$U,16,0)</f>
        <v>AVANZA</v>
      </c>
      <c r="J119" s="20" t="str">
        <f>VLOOKUP(U119,'[1]KODE TYPE standar'!$D:$U,18,0)</f>
        <v>AVANZA G A/T</v>
      </c>
      <c r="K119" s="27" t="s">
        <v>121</v>
      </c>
      <c r="L119" s="27" t="s">
        <v>110</v>
      </c>
      <c r="M119" s="27" t="s">
        <v>262</v>
      </c>
      <c r="N119" s="27" t="s">
        <v>140</v>
      </c>
      <c r="O119" s="28" t="s">
        <v>156</v>
      </c>
      <c r="P119" s="29" t="s">
        <v>151</v>
      </c>
      <c r="Q119" s="29" t="s">
        <v>161</v>
      </c>
      <c r="R119" s="29" t="s">
        <v>145</v>
      </c>
      <c r="S119" s="27" t="s">
        <v>908</v>
      </c>
      <c r="T119" s="27" t="s">
        <v>509</v>
      </c>
      <c r="U119" s="27" t="s">
        <v>329</v>
      </c>
      <c r="V119" s="27" t="s">
        <v>60</v>
      </c>
      <c r="W119" s="27" t="s">
        <v>61</v>
      </c>
      <c r="X119" s="27" t="s">
        <v>2029</v>
      </c>
      <c r="Y119" s="27" t="s">
        <v>2030</v>
      </c>
      <c r="Z119" s="27" t="s">
        <v>907</v>
      </c>
      <c r="AA119" s="27" t="s">
        <v>908</v>
      </c>
      <c r="AB119" s="27" t="s">
        <v>509</v>
      </c>
      <c r="AC119" s="27" t="s">
        <v>2031</v>
      </c>
      <c r="AD119" s="27" t="s">
        <v>2032</v>
      </c>
      <c r="AE119" s="27" t="s">
        <v>110</v>
      </c>
      <c r="AF119" s="27" t="s">
        <v>2032</v>
      </c>
      <c r="AG119" s="27" t="s">
        <v>2033</v>
      </c>
      <c r="AH119" s="27" t="s">
        <v>1970</v>
      </c>
      <c r="AI119" s="27" t="s">
        <v>140</v>
      </c>
      <c r="AJ119" s="27" t="s">
        <v>262</v>
      </c>
      <c r="AK119" s="27" t="s">
        <v>104</v>
      </c>
      <c r="AL119" s="27"/>
      <c r="AM119" s="34">
        <v>284500000</v>
      </c>
      <c r="AN119" s="34">
        <v>219497768</v>
      </c>
      <c r="AO119" s="34">
        <v>38662500</v>
      </c>
      <c r="AP119" s="34">
        <v>24732589</v>
      </c>
      <c r="AQ119" s="34">
        <v>0</v>
      </c>
      <c r="AR119" s="34">
        <v>0</v>
      </c>
      <c r="AS119" s="34">
        <v>13392857</v>
      </c>
      <c r="AT119" s="34">
        <v>269500000</v>
      </c>
      <c r="AU119" s="34">
        <v>39000000</v>
      </c>
      <c r="AV119" s="34">
        <v>-15000000</v>
      </c>
      <c r="AW119" s="27"/>
      <c r="AX119" s="27"/>
      <c r="AY119" s="27" t="s">
        <v>83</v>
      </c>
      <c r="AZ119" s="27">
        <v>1</v>
      </c>
      <c r="BA119" s="27"/>
      <c r="BB119" s="27" t="s">
        <v>367</v>
      </c>
      <c r="BC119" s="27" t="s">
        <v>2034</v>
      </c>
      <c r="BD119" s="27" t="s">
        <v>394</v>
      </c>
      <c r="BE119" s="27" t="s">
        <v>394</v>
      </c>
      <c r="BF119" s="27" t="s">
        <v>2035</v>
      </c>
      <c r="BG119" s="27" t="s">
        <v>2036</v>
      </c>
      <c r="BH119" s="27"/>
      <c r="BI119" s="27" t="s">
        <v>400</v>
      </c>
      <c r="BJ119" s="27" t="s">
        <v>2037</v>
      </c>
      <c r="BK119" s="27" t="s">
        <v>392</v>
      </c>
      <c r="BL119" s="27" t="s">
        <v>2038</v>
      </c>
      <c r="BM119" s="35">
        <v>0</v>
      </c>
    </row>
    <row r="120" spans="1:65" s="19" customFormat="1" x14ac:dyDescent="0.2">
      <c r="A120" s="33">
        <v>573</v>
      </c>
      <c r="B120" s="26">
        <v>146</v>
      </c>
      <c r="C120" s="27" t="s">
        <v>503</v>
      </c>
      <c r="D120" s="27" t="s">
        <v>2039</v>
      </c>
      <c r="E120" s="27" t="s">
        <v>238</v>
      </c>
      <c r="F120" s="27" t="s">
        <v>258</v>
      </c>
      <c r="G120" s="28">
        <v>2026</v>
      </c>
      <c r="H120" s="20" t="str">
        <f>VLOOKUP(U120,'[1]KODE TYPE standar'!$D:$U,17,0)</f>
        <v>INV ZENIX HYBRID</v>
      </c>
      <c r="I120" s="20" t="str">
        <f>VLOOKUP(U120,'[1]KODE TYPE standar'!$D:$U,16,0)</f>
        <v>INNOVA</v>
      </c>
      <c r="J120" s="20" t="str">
        <f>VLOOKUP(U120,'[1]KODE TYPE standar'!$D:$U,18,0)</f>
        <v>INNOVA ZENIX Q A/T HYBRID</v>
      </c>
      <c r="K120" s="27" t="s">
        <v>119</v>
      </c>
      <c r="L120" s="27" t="s">
        <v>110</v>
      </c>
      <c r="M120" s="27" t="s">
        <v>262</v>
      </c>
      <c r="N120" s="27" t="s">
        <v>141</v>
      </c>
      <c r="O120" s="28" t="s">
        <v>156</v>
      </c>
      <c r="P120" s="29" t="s">
        <v>536</v>
      </c>
      <c r="Q120" s="29" t="s">
        <v>162</v>
      </c>
      <c r="R120" s="29" t="s">
        <v>1264</v>
      </c>
      <c r="S120" s="27" t="s">
        <v>554</v>
      </c>
      <c r="T120" s="27" t="s">
        <v>509</v>
      </c>
      <c r="U120" s="27" t="s">
        <v>174</v>
      </c>
      <c r="V120" s="27" t="s">
        <v>48</v>
      </c>
      <c r="W120" s="27" t="s">
        <v>49</v>
      </c>
      <c r="X120" s="27" t="s">
        <v>2040</v>
      </c>
      <c r="Y120" s="27" t="s">
        <v>2041</v>
      </c>
      <c r="Z120" s="27" t="s">
        <v>553</v>
      </c>
      <c r="AA120" s="27" t="s">
        <v>554</v>
      </c>
      <c r="AB120" s="27" t="s">
        <v>509</v>
      </c>
      <c r="AC120" s="27" t="s">
        <v>2042</v>
      </c>
      <c r="AD120" s="27" t="s">
        <v>2043</v>
      </c>
      <c r="AE120" s="27" t="s">
        <v>110</v>
      </c>
      <c r="AF120" s="27" t="s">
        <v>2043</v>
      </c>
      <c r="AG120" s="27" t="s">
        <v>2044</v>
      </c>
      <c r="AH120" s="27" t="s">
        <v>2045</v>
      </c>
      <c r="AI120" s="27" t="s">
        <v>141</v>
      </c>
      <c r="AJ120" s="27" t="s">
        <v>262</v>
      </c>
      <c r="AK120" s="27" t="s">
        <v>89</v>
      </c>
      <c r="AL120" s="27"/>
      <c r="AM120" s="34">
        <v>627100000</v>
      </c>
      <c r="AN120" s="34">
        <v>487377232</v>
      </c>
      <c r="AO120" s="34">
        <v>81237500</v>
      </c>
      <c r="AP120" s="34">
        <v>56235267</v>
      </c>
      <c r="AQ120" s="34">
        <v>0</v>
      </c>
      <c r="AR120" s="34">
        <v>0</v>
      </c>
      <c r="AS120" s="34">
        <v>18750000</v>
      </c>
      <c r="AT120" s="34">
        <v>606100000</v>
      </c>
      <c r="AU120" s="34">
        <v>221615200</v>
      </c>
      <c r="AV120" s="34">
        <v>-21000000</v>
      </c>
      <c r="AW120" s="27"/>
      <c r="AX120" s="27"/>
      <c r="AY120" s="27" t="s">
        <v>83</v>
      </c>
      <c r="AZ120" s="27">
        <v>1</v>
      </c>
      <c r="BA120" s="27" t="s">
        <v>2046</v>
      </c>
      <c r="BB120" s="27" t="s">
        <v>238</v>
      </c>
      <c r="BC120" s="27" t="s">
        <v>2047</v>
      </c>
      <c r="BD120" s="27" t="s">
        <v>238</v>
      </c>
      <c r="BE120" s="27" t="s">
        <v>238</v>
      </c>
      <c r="BF120" s="27" t="s">
        <v>2048</v>
      </c>
      <c r="BG120" s="27" t="s">
        <v>2049</v>
      </c>
      <c r="BH120" s="27"/>
      <c r="BI120" s="27" t="s">
        <v>248</v>
      </c>
      <c r="BJ120" s="27" t="s">
        <v>2050</v>
      </c>
      <c r="BK120" s="27" t="s">
        <v>228</v>
      </c>
      <c r="BL120" s="27" t="s">
        <v>2051</v>
      </c>
      <c r="BM120" s="35">
        <v>0</v>
      </c>
    </row>
    <row r="121" spans="1:65" s="19" customFormat="1" x14ac:dyDescent="0.2">
      <c r="A121" s="33">
        <v>538</v>
      </c>
      <c r="B121" s="26">
        <v>146</v>
      </c>
      <c r="C121" s="27" t="s">
        <v>503</v>
      </c>
      <c r="D121" s="27" t="s">
        <v>2052</v>
      </c>
      <c r="E121" s="27" t="s">
        <v>213</v>
      </c>
      <c r="F121" s="27" t="s">
        <v>111</v>
      </c>
      <c r="G121" s="28">
        <v>2026</v>
      </c>
      <c r="H121" s="20" t="str">
        <f>VLOOKUP(U121,'[1]KODE TYPE standar'!$D:$U,17,0)</f>
        <v>INV REBORN</v>
      </c>
      <c r="I121" s="20" t="str">
        <f>VLOOKUP(U121,'[1]KODE TYPE standar'!$D:$U,16,0)</f>
        <v>INNOVA</v>
      </c>
      <c r="J121" s="20" t="str">
        <f>VLOOKUP(U121,'[1]KODE TYPE standar'!$D:$U,18,0)</f>
        <v>INNOVA G A/T DIESEL</v>
      </c>
      <c r="K121" s="27" t="s">
        <v>50</v>
      </c>
      <c r="L121" s="27" t="s">
        <v>110</v>
      </c>
      <c r="M121" s="27" t="s">
        <v>50</v>
      </c>
      <c r="N121" s="27" t="s">
        <v>141</v>
      </c>
      <c r="O121" s="28" t="s">
        <v>156</v>
      </c>
      <c r="P121" s="29" t="s">
        <v>1248</v>
      </c>
      <c r="Q121" s="29" t="s">
        <v>162</v>
      </c>
      <c r="R121" s="29" t="s">
        <v>1016</v>
      </c>
      <c r="S121" s="27" t="s">
        <v>1437</v>
      </c>
      <c r="T121" s="27" t="s">
        <v>509</v>
      </c>
      <c r="U121" s="27" t="s">
        <v>192</v>
      </c>
      <c r="V121" s="27" t="s">
        <v>48</v>
      </c>
      <c r="W121" s="27" t="s">
        <v>49</v>
      </c>
      <c r="X121" s="27" t="s">
        <v>2053</v>
      </c>
      <c r="Y121" s="27" t="s">
        <v>2054</v>
      </c>
      <c r="Z121" s="27" t="s">
        <v>1436</v>
      </c>
      <c r="AA121" s="27" t="s">
        <v>1437</v>
      </c>
      <c r="AB121" s="27" t="s">
        <v>509</v>
      </c>
      <c r="AC121" s="27" t="s">
        <v>2055</v>
      </c>
      <c r="AD121" s="27" t="s">
        <v>2056</v>
      </c>
      <c r="AE121" s="27" t="s">
        <v>110</v>
      </c>
      <c r="AF121" s="27" t="s">
        <v>2056</v>
      </c>
      <c r="AG121" s="27" t="s">
        <v>2057</v>
      </c>
      <c r="AH121" s="27" t="s">
        <v>1377</v>
      </c>
      <c r="AI121" s="27" t="s">
        <v>141</v>
      </c>
      <c r="AJ121" s="27" t="s">
        <v>50</v>
      </c>
      <c r="AK121" s="27" t="s">
        <v>50</v>
      </c>
      <c r="AL121" s="27"/>
      <c r="AM121" s="34">
        <v>442100000</v>
      </c>
      <c r="AN121" s="34">
        <v>342845982</v>
      </c>
      <c r="AO121" s="34">
        <v>58112500</v>
      </c>
      <c r="AP121" s="34">
        <v>38462946</v>
      </c>
      <c r="AQ121" s="34">
        <v>0</v>
      </c>
      <c r="AR121" s="34">
        <v>0</v>
      </c>
      <c r="AS121" s="34">
        <v>22321429</v>
      </c>
      <c r="AT121" s="34">
        <v>417100000</v>
      </c>
      <c r="AU121" s="34">
        <v>217100000</v>
      </c>
      <c r="AV121" s="34">
        <v>-25000000</v>
      </c>
      <c r="AW121" s="27"/>
      <c r="AX121" s="27"/>
      <c r="AY121" s="27" t="s">
        <v>83</v>
      </c>
      <c r="AZ121" s="27">
        <v>1</v>
      </c>
      <c r="BA121" s="27"/>
      <c r="BB121" s="27" t="s">
        <v>213</v>
      </c>
      <c r="BC121" s="27" t="s">
        <v>2058</v>
      </c>
      <c r="BD121" s="27" t="s">
        <v>213</v>
      </c>
      <c r="BE121" s="27" t="s">
        <v>213</v>
      </c>
      <c r="BF121" s="27" t="s">
        <v>2059</v>
      </c>
      <c r="BG121" s="27" t="s">
        <v>2060</v>
      </c>
      <c r="BH121" s="27"/>
      <c r="BI121" s="27" t="s">
        <v>215</v>
      </c>
      <c r="BJ121" s="27" t="s">
        <v>300</v>
      </c>
      <c r="BK121" s="27" t="s">
        <v>197</v>
      </c>
      <c r="BL121" s="27" t="s">
        <v>2061</v>
      </c>
      <c r="BM121" s="35">
        <v>0</v>
      </c>
    </row>
    <row r="122" spans="1:65" s="19" customFormat="1" x14ac:dyDescent="0.2">
      <c r="A122" s="33">
        <v>594</v>
      </c>
      <c r="B122" s="26">
        <v>146</v>
      </c>
      <c r="C122" s="27" t="s">
        <v>503</v>
      </c>
      <c r="D122" s="27" t="s">
        <v>2062</v>
      </c>
      <c r="E122" s="27" t="s">
        <v>219</v>
      </c>
      <c r="F122" s="27" t="s">
        <v>258</v>
      </c>
      <c r="G122" s="28">
        <v>2026</v>
      </c>
      <c r="H122" s="20" t="str">
        <f>VLOOKUP(U122,'[1]KODE TYPE standar'!$D:$U,17,0)</f>
        <v>FORTUNER</v>
      </c>
      <c r="I122" s="20" t="str">
        <f>VLOOKUP(U122,'[1]KODE TYPE standar'!$D:$U,16,0)</f>
        <v>FORTUNER</v>
      </c>
      <c r="J122" s="20" t="str">
        <f>VLOOKUP(U122,'[1]KODE TYPE standar'!$D:$U,18,0)</f>
        <v>FORTUNER 4X4 VRZ A/T DIESEL</v>
      </c>
      <c r="K122" s="27" t="s">
        <v>119</v>
      </c>
      <c r="L122" s="27" t="s">
        <v>110</v>
      </c>
      <c r="M122" s="27" t="s">
        <v>262</v>
      </c>
      <c r="N122" s="27" t="s">
        <v>140</v>
      </c>
      <c r="O122" s="28" t="s">
        <v>156</v>
      </c>
      <c r="P122" s="29" t="s">
        <v>150</v>
      </c>
      <c r="Q122" s="29" t="s">
        <v>161</v>
      </c>
      <c r="R122" s="29" t="s">
        <v>145</v>
      </c>
      <c r="S122" s="27" t="s">
        <v>937</v>
      </c>
      <c r="T122" s="27" t="s">
        <v>541</v>
      </c>
      <c r="U122" s="27" t="s">
        <v>247</v>
      </c>
      <c r="V122" s="27" t="s">
        <v>114</v>
      </c>
      <c r="W122" s="27" t="s">
        <v>115</v>
      </c>
      <c r="X122" s="27" t="s">
        <v>2063</v>
      </c>
      <c r="Y122" s="27" t="s">
        <v>2064</v>
      </c>
      <c r="Z122" s="27" t="s">
        <v>936</v>
      </c>
      <c r="AA122" s="27" t="s">
        <v>937</v>
      </c>
      <c r="AB122" s="27" t="s">
        <v>541</v>
      </c>
      <c r="AC122" s="27" t="s">
        <v>2065</v>
      </c>
      <c r="AD122" s="27" t="s">
        <v>2066</v>
      </c>
      <c r="AE122" s="27" t="s">
        <v>110</v>
      </c>
      <c r="AF122" s="27" t="s">
        <v>2066</v>
      </c>
      <c r="AG122" s="27" t="s">
        <v>2067</v>
      </c>
      <c r="AH122" s="27" t="s">
        <v>2068</v>
      </c>
      <c r="AI122" s="27" t="s">
        <v>140</v>
      </c>
      <c r="AJ122" s="27" t="s">
        <v>262</v>
      </c>
      <c r="AK122" s="27" t="s">
        <v>89</v>
      </c>
      <c r="AL122" s="27" t="s">
        <v>2069</v>
      </c>
      <c r="AM122" s="34">
        <v>793900000</v>
      </c>
      <c r="AN122" s="34">
        <v>617689732</v>
      </c>
      <c r="AO122" s="34">
        <v>102087500</v>
      </c>
      <c r="AP122" s="34">
        <v>69837053</v>
      </c>
      <c r="AQ122" s="34">
        <v>0</v>
      </c>
      <c r="AR122" s="34">
        <v>0</v>
      </c>
      <c r="AS122" s="34">
        <v>35714286</v>
      </c>
      <c r="AT122" s="34">
        <v>753900000</v>
      </c>
      <c r="AU122" s="34">
        <v>0</v>
      </c>
      <c r="AV122" s="34">
        <v>-40000000</v>
      </c>
      <c r="AW122" s="27" t="s">
        <v>215</v>
      </c>
      <c r="AX122" s="27" t="s">
        <v>215</v>
      </c>
      <c r="AY122" s="27" t="s">
        <v>83</v>
      </c>
      <c r="AZ122" s="27">
        <v>1</v>
      </c>
      <c r="BA122" s="27"/>
      <c r="BB122" s="27" t="s">
        <v>203</v>
      </c>
      <c r="BC122" s="27" t="s">
        <v>2070</v>
      </c>
      <c r="BD122" s="27" t="s">
        <v>203</v>
      </c>
      <c r="BE122" s="27" t="s">
        <v>203</v>
      </c>
      <c r="BF122" s="27" t="s">
        <v>2071</v>
      </c>
      <c r="BG122" s="27" t="s">
        <v>2072</v>
      </c>
      <c r="BH122" s="27" t="s">
        <v>219</v>
      </c>
      <c r="BI122" s="27" t="s">
        <v>263</v>
      </c>
      <c r="BJ122" s="27" t="s">
        <v>2073</v>
      </c>
      <c r="BK122" s="27" t="s">
        <v>182</v>
      </c>
      <c r="BL122" s="27" t="s">
        <v>2074</v>
      </c>
      <c r="BM122" s="35">
        <v>0</v>
      </c>
    </row>
    <row r="123" spans="1:65" s="19" customFormat="1" x14ac:dyDescent="0.2">
      <c r="A123" s="33">
        <v>719</v>
      </c>
      <c r="B123" s="26">
        <v>146</v>
      </c>
      <c r="C123" s="36" t="s">
        <v>503</v>
      </c>
      <c r="D123" s="27" t="s">
        <v>2075</v>
      </c>
      <c r="E123" s="27" t="s">
        <v>392</v>
      </c>
      <c r="F123" s="27" t="s">
        <v>389</v>
      </c>
      <c r="G123" s="28">
        <v>2026</v>
      </c>
      <c r="H123" s="20" t="str">
        <f>VLOOKUP(U123,'[1]KODE TYPE standar'!$D:$U,17,0)</f>
        <v>INV REBORN</v>
      </c>
      <c r="I123" s="20" t="str">
        <f>VLOOKUP(U123,'[1]KODE TYPE standar'!$D:$U,16,0)</f>
        <v>INNOVA</v>
      </c>
      <c r="J123" s="20" t="str">
        <f>VLOOKUP(U123,'[1]KODE TYPE standar'!$D:$U,18,0)</f>
        <v>INNOVA G A/T DIESEL</v>
      </c>
      <c r="K123" s="27" t="s">
        <v>50</v>
      </c>
      <c r="L123" s="27" t="s">
        <v>110</v>
      </c>
      <c r="M123" s="27" t="s">
        <v>50</v>
      </c>
      <c r="N123" s="27" t="s">
        <v>141</v>
      </c>
      <c r="O123" s="28" t="s">
        <v>156</v>
      </c>
      <c r="P123" s="29" t="s">
        <v>150</v>
      </c>
      <c r="Q123" s="29" t="s">
        <v>162</v>
      </c>
      <c r="R123" s="29" t="s">
        <v>145</v>
      </c>
      <c r="S123" s="27" t="s">
        <v>1373</v>
      </c>
      <c r="T123" s="27" t="s">
        <v>509</v>
      </c>
      <c r="U123" s="27" t="s">
        <v>192</v>
      </c>
      <c r="V123" s="27" t="s">
        <v>283</v>
      </c>
      <c r="W123" s="27" t="s">
        <v>284</v>
      </c>
      <c r="X123" s="27" t="s">
        <v>2076</v>
      </c>
      <c r="Y123" s="27" t="s">
        <v>2077</v>
      </c>
      <c r="Z123" s="27" t="s">
        <v>1372</v>
      </c>
      <c r="AA123" s="27" t="s">
        <v>1373</v>
      </c>
      <c r="AB123" s="27" t="s">
        <v>509</v>
      </c>
      <c r="AC123" s="27" t="s">
        <v>2078</v>
      </c>
      <c r="AD123" s="27" t="s">
        <v>2079</v>
      </c>
      <c r="AE123" s="27" t="s">
        <v>110</v>
      </c>
      <c r="AF123" s="27" t="s">
        <v>2080</v>
      </c>
      <c r="AG123" s="27" t="s">
        <v>2081</v>
      </c>
      <c r="AH123" s="27" t="s">
        <v>1149</v>
      </c>
      <c r="AI123" s="27" t="s">
        <v>141</v>
      </c>
      <c r="AJ123" s="27" t="s">
        <v>50</v>
      </c>
      <c r="AK123" s="27" t="s">
        <v>50</v>
      </c>
      <c r="AL123" s="27"/>
      <c r="AM123" s="34">
        <v>442100000</v>
      </c>
      <c r="AN123" s="34">
        <v>342622768</v>
      </c>
      <c r="AO123" s="34">
        <v>58362500</v>
      </c>
      <c r="AP123" s="34">
        <v>38864732</v>
      </c>
      <c r="AQ123" s="34">
        <v>0</v>
      </c>
      <c r="AR123" s="34">
        <v>0</v>
      </c>
      <c r="AS123" s="34">
        <v>18750000</v>
      </c>
      <c r="AT123" s="34">
        <v>421100000</v>
      </c>
      <c r="AU123" s="34">
        <v>206100000</v>
      </c>
      <c r="AV123" s="34">
        <v>-21000000</v>
      </c>
      <c r="AW123" s="27"/>
      <c r="AX123" s="27"/>
      <c r="AY123" s="27" t="s">
        <v>83</v>
      </c>
      <c r="AZ123" s="27">
        <v>1</v>
      </c>
      <c r="BA123" s="27" t="s">
        <v>2082</v>
      </c>
      <c r="BB123" s="27" t="s">
        <v>391</v>
      </c>
      <c r="BC123" s="27" t="s">
        <v>2083</v>
      </c>
      <c r="BD123" s="27" t="s">
        <v>347</v>
      </c>
      <c r="BE123" s="27" t="s">
        <v>347</v>
      </c>
      <c r="BF123" s="27" t="s">
        <v>2084</v>
      </c>
      <c r="BG123" s="27" t="s">
        <v>2085</v>
      </c>
      <c r="BH123" s="27"/>
      <c r="BI123" s="27" t="s">
        <v>400</v>
      </c>
      <c r="BJ123" s="27" t="s">
        <v>2086</v>
      </c>
      <c r="BK123" s="27" t="s">
        <v>399</v>
      </c>
      <c r="BL123" s="27" t="s">
        <v>2087</v>
      </c>
      <c r="BM123" s="35">
        <v>0</v>
      </c>
    </row>
    <row r="124" spans="1:65" s="19" customFormat="1" x14ac:dyDescent="0.2">
      <c r="A124" s="33">
        <v>729</v>
      </c>
      <c r="B124" s="26">
        <v>146</v>
      </c>
      <c r="C124" s="36" t="s">
        <v>503</v>
      </c>
      <c r="D124" s="27" t="s">
        <v>2088</v>
      </c>
      <c r="E124" s="27" t="s">
        <v>282</v>
      </c>
      <c r="F124" s="27" t="s">
        <v>389</v>
      </c>
      <c r="G124" s="28">
        <v>2026</v>
      </c>
      <c r="H124" s="20" t="str">
        <f>VLOOKUP(U124,'[1]KODE TYPE standar'!$D:$U,17,0)</f>
        <v>INV REBORN</v>
      </c>
      <c r="I124" s="20" t="str">
        <f>VLOOKUP(U124,'[1]KODE TYPE standar'!$D:$U,16,0)</f>
        <v>INNOVA</v>
      </c>
      <c r="J124" s="20" t="str">
        <f>VLOOKUP(U124,'[1]KODE TYPE standar'!$D:$U,18,0)</f>
        <v>INNOVA G A/T DIESEL</v>
      </c>
      <c r="K124" s="27" t="s">
        <v>121</v>
      </c>
      <c r="L124" s="27" t="s">
        <v>110</v>
      </c>
      <c r="M124" s="27" t="s">
        <v>262</v>
      </c>
      <c r="N124" s="27" t="s">
        <v>80</v>
      </c>
      <c r="O124" s="28" t="s">
        <v>6581</v>
      </c>
      <c r="P124" s="29" t="s">
        <v>149</v>
      </c>
      <c r="Q124" s="29" t="s">
        <v>162</v>
      </c>
      <c r="R124" s="29" t="s">
        <v>145</v>
      </c>
      <c r="S124" s="27" t="s">
        <v>795</v>
      </c>
      <c r="T124" s="27" t="s">
        <v>509</v>
      </c>
      <c r="U124" s="27" t="s">
        <v>192</v>
      </c>
      <c r="V124" s="27" t="s">
        <v>283</v>
      </c>
      <c r="W124" s="27" t="s">
        <v>284</v>
      </c>
      <c r="X124" s="27" t="s">
        <v>2089</v>
      </c>
      <c r="Y124" s="27" t="s">
        <v>2090</v>
      </c>
      <c r="Z124" s="27" t="s">
        <v>794</v>
      </c>
      <c r="AA124" s="27" t="s">
        <v>795</v>
      </c>
      <c r="AB124" s="27" t="s">
        <v>509</v>
      </c>
      <c r="AC124" s="27" t="s">
        <v>2091</v>
      </c>
      <c r="AD124" s="27" t="s">
        <v>2092</v>
      </c>
      <c r="AE124" s="27" t="s">
        <v>110</v>
      </c>
      <c r="AF124" s="27" t="s">
        <v>2093</v>
      </c>
      <c r="AG124" s="27" t="s">
        <v>2094</v>
      </c>
      <c r="AH124" s="27" t="s">
        <v>2095</v>
      </c>
      <c r="AI124" s="27" t="s">
        <v>80</v>
      </c>
      <c r="AJ124" s="27" t="s">
        <v>262</v>
      </c>
      <c r="AK124" s="27" t="s">
        <v>104</v>
      </c>
      <c r="AL124" s="27"/>
      <c r="AM124" s="34">
        <v>438700000</v>
      </c>
      <c r="AN124" s="34">
        <v>340422768</v>
      </c>
      <c r="AO124" s="34">
        <v>57426500</v>
      </c>
      <c r="AP124" s="34">
        <v>38172160</v>
      </c>
      <c r="AQ124" s="34">
        <v>0</v>
      </c>
      <c r="AR124" s="34">
        <v>0</v>
      </c>
      <c r="AS124" s="34">
        <v>22321429</v>
      </c>
      <c r="AT124" s="34">
        <v>413700000</v>
      </c>
      <c r="AU124" s="34">
        <v>0</v>
      </c>
      <c r="AV124" s="34">
        <v>-25000000</v>
      </c>
      <c r="AW124" s="27" t="s">
        <v>394</v>
      </c>
      <c r="AX124" s="27" t="s">
        <v>394</v>
      </c>
      <c r="AY124" s="27" t="s">
        <v>83</v>
      </c>
      <c r="AZ124" s="27">
        <v>1</v>
      </c>
      <c r="BA124" s="27"/>
      <c r="BB124" s="27" t="s">
        <v>213</v>
      </c>
      <c r="BC124" s="27" t="s">
        <v>2096</v>
      </c>
      <c r="BD124" s="27" t="s">
        <v>213</v>
      </c>
      <c r="BE124" s="27" t="s">
        <v>213</v>
      </c>
      <c r="BF124" s="27" t="s">
        <v>2097</v>
      </c>
      <c r="BG124" s="27" t="s">
        <v>2098</v>
      </c>
      <c r="BH124" s="27" t="s">
        <v>282</v>
      </c>
      <c r="BI124" s="27" t="s">
        <v>366</v>
      </c>
      <c r="BJ124" s="27" t="s">
        <v>379</v>
      </c>
      <c r="BK124" s="27" t="s">
        <v>303</v>
      </c>
      <c r="BL124" s="27" t="s">
        <v>2099</v>
      </c>
      <c r="BM124" s="35">
        <v>0</v>
      </c>
    </row>
    <row r="125" spans="1:65" s="19" customFormat="1" x14ac:dyDescent="0.2">
      <c r="A125" s="33">
        <v>750</v>
      </c>
      <c r="B125" s="26">
        <v>146</v>
      </c>
      <c r="C125" s="36" t="s">
        <v>503</v>
      </c>
      <c r="D125" s="27" t="s">
        <v>2100</v>
      </c>
      <c r="E125" s="27" t="s">
        <v>360</v>
      </c>
      <c r="F125" s="27" t="s">
        <v>389</v>
      </c>
      <c r="G125" s="28">
        <v>2026</v>
      </c>
      <c r="H125" s="20" t="str">
        <f>VLOOKUP(U125,'[1]KODE TYPE standar'!$D:$U,17,0)</f>
        <v>INV ZENIX HYBRID</v>
      </c>
      <c r="I125" s="20" t="str">
        <f>VLOOKUP(U125,'[1]KODE TYPE standar'!$D:$U,16,0)</f>
        <v>INNOVA</v>
      </c>
      <c r="J125" s="20" t="str">
        <f>VLOOKUP(U125,'[1]KODE TYPE standar'!$D:$U,18,0)</f>
        <v>INNOVA ZENIX Q A/T HYBRID</v>
      </c>
      <c r="K125" s="27" t="s">
        <v>121</v>
      </c>
      <c r="L125" s="27" t="s">
        <v>110</v>
      </c>
      <c r="M125" s="27" t="s">
        <v>262</v>
      </c>
      <c r="N125" s="27" t="s">
        <v>106</v>
      </c>
      <c r="O125" s="28" t="s">
        <v>156</v>
      </c>
      <c r="P125" s="29" t="s">
        <v>149</v>
      </c>
      <c r="Q125" s="29" t="s">
        <v>161</v>
      </c>
      <c r="R125" s="29" t="s">
        <v>597</v>
      </c>
      <c r="S125" s="27" t="s">
        <v>601</v>
      </c>
      <c r="T125" s="27" t="s">
        <v>509</v>
      </c>
      <c r="U125" s="27" t="s">
        <v>174</v>
      </c>
      <c r="V125" s="27" t="s">
        <v>48</v>
      </c>
      <c r="W125" s="27" t="s">
        <v>49</v>
      </c>
      <c r="X125" s="27" t="s">
        <v>2101</v>
      </c>
      <c r="Y125" s="27" t="s">
        <v>2102</v>
      </c>
      <c r="Z125" s="27" t="s">
        <v>600</v>
      </c>
      <c r="AA125" s="27" t="s">
        <v>601</v>
      </c>
      <c r="AB125" s="27" t="s">
        <v>509</v>
      </c>
      <c r="AC125" s="27" t="s">
        <v>2103</v>
      </c>
      <c r="AD125" s="27" t="s">
        <v>2104</v>
      </c>
      <c r="AE125" s="27" t="s">
        <v>110</v>
      </c>
      <c r="AF125" s="27" t="s">
        <v>2105</v>
      </c>
      <c r="AG125" s="27" t="s">
        <v>2106</v>
      </c>
      <c r="AH125" s="27" t="s">
        <v>2107</v>
      </c>
      <c r="AI125" s="27" t="s">
        <v>106</v>
      </c>
      <c r="AJ125" s="27" t="s">
        <v>262</v>
      </c>
      <c r="AK125" s="27" t="s">
        <v>104</v>
      </c>
      <c r="AL125" s="27"/>
      <c r="AM125" s="34">
        <v>627100000</v>
      </c>
      <c r="AN125" s="34">
        <v>487154018</v>
      </c>
      <c r="AO125" s="34">
        <v>81487500</v>
      </c>
      <c r="AP125" s="34">
        <v>56208482</v>
      </c>
      <c r="AQ125" s="34">
        <v>0</v>
      </c>
      <c r="AR125" s="34">
        <v>0</v>
      </c>
      <c r="AS125" s="34">
        <v>18750000</v>
      </c>
      <c r="AT125" s="34">
        <v>606100000</v>
      </c>
      <c r="AU125" s="34">
        <v>6000000</v>
      </c>
      <c r="AV125" s="34">
        <v>-21000000</v>
      </c>
      <c r="AW125" s="27" t="s">
        <v>392</v>
      </c>
      <c r="AX125" s="27" t="s">
        <v>392</v>
      </c>
      <c r="AY125" s="27" t="s">
        <v>83</v>
      </c>
      <c r="AZ125" s="27">
        <v>1</v>
      </c>
      <c r="BA125" s="27"/>
      <c r="BB125" s="27" t="s">
        <v>395</v>
      </c>
      <c r="BC125" s="27" t="s">
        <v>2108</v>
      </c>
      <c r="BD125" s="27" t="s">
        <v>395</v>
      </c>
      <c r="BE125" s="27" t="s">
        <v>395</v>
      </c>
      <c r="BF125" s="27" t="s">
        <v>2109</v>
      </c>
      <c r="BG125" s="27" t="s">
        <v>2110</v>
      </c>
      <c r="BH125" s="27" t="s">
        <v>360</v>
      </c>
      <c r="BI125" s="27" t="s">
        <v>411</v>
      </c>
      <c r="BJ125" s="27" t="s">
        <v>383</v>
      </c>
      <c r="BK125" s="27" t="s">
        <v>358</v>
      </c>
      <c r="BL125" s="27" t="s">
        <v>2111</v>
      </c>
      <c r="BM125" s="35">
        <v>0</v>
      </c>
    </row>
    <row r="126" spans="1:65" s="19" customFormat="1" x14ac:dyDescent="0.2">
      <c r="A126" s="33">
        <v>591</v>
      </c>
      <c r="B126" s="26">
        <v>146</v>
      </c>
      <c r="C126" s="27" t="s">
        <v>503</v>
      </c>
      <c r="D126" s="27" t="s">
        <v>2112</v>
      </c>
      <c r="E126" s="27" t="s">
        <v>225</v>
      </c>
      <c r="F126" s="27" t="s">
        <v>111</v>
      </c>
      <c r="G126" s="28">
        <v>2026</v>
      </c>
      <c r="H126" s="20" t="str">
        <f>VLOOKUP(U126,'[1]KODE TYPE standar'!$D:$U,17,0)</f>
        <v>HIACE</v>
      </c>
      <c r="I126" s="20" t="str">
        <f>VLOOKUP(U126,'[1]KODE TYPE standar'!$D:$U,16,0)</f>
        <v>HIACE</v>
      </c>
      <c r="J126" s="20" t="str">
        <f>VLOOKUP(U126,'[1]KODE TYPE standar'!$D:$U,18,0)</f>
        <v>HIACE PREMIO</v>
      </c>
      <c r="K126" s="27" t="s">
        <v>119</v>
      </c>
      <c r="L126" s="27" t="s">
        <v>110</v>
      </c>
      <c r="M126" s="27" t="s">
        <v>262</v>
      </c>
      <c r="N126" s="27" t="s">
        <v>141</v>
      </c>
      <c r="O126" s="28" t="s">
        <v>156</v>
      </c>
      <c r="P126" s="29" t="s">
        <v>149</v>
      </c>
      <c r="Q126" s="29" t="s">
        <v>161</v>
      </c>
      <c r="R126" s="29" t="s">
        <v>145</v>
      </c>
      <c r="S126" s="27" t="s">
        <v>601</v>
      </c>
      <c r="T126" s="27" t="s">
        <v>509</v>
      </c>
      <c r="U126" s="27" t="s">
        <v>173</v>
      </c>
      <c r="V126" s="27" t="s">
        <v>99</v>
      </c>
      <c r="W126" s="27" t="s">
        <v>61</v>
      </c>
      <c r="X126" s="27" t="s">
        <v>2113</v>
      </c>
      <c r="Y126" s="27" t="s">
        <v>2114</v>
      </c>
      <c r="Z126" s="27" t="s">
        <v>600</v>
      </c>
      <c r="AA126" s="27" t="s">
        <v>601</v>
      </c>
      <c r="AB126" s="27" t="s">
        <v>509</v>
      </c>
      <c r="AC126" s="27" t="s">
        <v>2115</v>
      </c>
      <c r="AD126" s="27" t="s">
        <v>2116</v>
      </c>
      <c r="AE126" s="27" t="s">
        <v>110</v>
      </c>
      <c r="AF126" s="27" t="s">
        <v>2116</v>
      </c>
      <c r="AG126" s="27" t="s">
        <v>2117</v>
      </c>
      <c r="AH126" s="27" t="s">
        <v>605</v>
      </c>
      <c r="AI126" s="27" t="s">
        <v>141</v>
      </c>
      <c r="AJ126" s="27" t="s">
        <v>262</v>
      </c>
      <c r="AK126" s="27" t="s">
        <v>89</v>
      </c>
      <c r="AL126" s="27" t="s">
        <v>2118</v>
      </c>
      <c r="AM126" s="34">
        <v>678400000</v>
      </c>
      <c r="AN126" s="34">
        <v>525848214</v>
      </c>
      <c r="AO126" s="34">
        <v>89450000</v>
      </c>
      <c r="AP126" s="34">
        <v>59351785</v>
      </c>
      <c r="AQ126" s="34">
        <v>0</v>
      </c>
      <c r="AR126" s="34">
        <v>0</v>
      </c>
      <c r="AS126" s="34">
        <v>31250000</v>
      </c>
      <c r="AT126" s="34">
        <v>643400000</v>
      </c>
      <c r="AU126" s="34">
        <v>0</v>
      </c>
      <c r="AV126" s="34">
        <v>-35000000</v>
      </c>
      <c r="AW126" s="27"/>
      <c r="AX126" s="27"/>
      <c r="AY126" s="27" t="s">
        <v>83</v>
      </c>
      <c r="AZ126" s="27">
        <v>1</v>
      </c>
      <c r="BA126" s="27" t="s">
        <v>163</v>
      </c>
      <c r="BB126" s="27" t="s">
        <v>207</v>
      </c>
      <c r="BC126" s="27" t="s">
        <v>2119</v>
      </c>
      <c r="BD126" s="27" t="s">
        <v>207</v>
      </c>
      <c r="BE126" s="27" t="s">
        <v>207</v>
      </c>
      <c r="BF126" s="27" t="s">
        <v>2120</v>
      </c>
      <c r="BG126" s="27" t="s">
        <v>2121</v>
      </c>
      <c r="BH126" s="27" t="s">
        <v>225</v>
      </c>
      <c r="BI126" s="27" t="s">
        <v>233</v>
      </c>
      <c r="BJ126" s="27" t="s">
        <v>2122</v>
      </c>
      <c r="BK126" s="27" t="s">
        <v>2123</v>
      </c>
      <c r="BL126" s="27" t="s">
        <v>2124</v>
      </c>
      <c r="BM126" s="35">
        <v>0</v>
      </c>
    </row>
    <row r="127" spans="1:65" s="19" customFormat="1" x14ac:dyDescent="0.2">
      <c r="A127" s="33">
        <v>775</v>
      </c>
      <c r="B127" s="26">
        <v>146</v>
      </c>
      <c r="C127" s="36" t="s">
        <v>503</v>
      </c>
      <c r="D127" s="27" t="s">
        <v>2125</v>
      </c>
      <c r="E127" s="27" t="s">
        <v>344</v>
      </c>
      <c r="F127" s="27" t="s">
        <v>389</v>
      </c>
      <c r="G127" s="28">
        <v>2026</v>
      </c>
      <c r="H127" s="20" t="str">
        <f>VLOOKUP(U127,'[1]KODE TYPE standar'!$D:$U,17,0)</f>
        <v>HILUX</v>
      </c>
      <c r="I127" s="20" t="str">
        <f>VLOOKUP(U127,'[1]KODE TYPE standar'!$D:$U,16,0)</f>
        <v>HILUX</v>
      </c>
      <c r="J127" s="20" t="str">
        <f>VLOOKUP(U127,'[1]KODE TYPE standar'!$D:$U,18,0)</f>
        <v>HILUX DC V A/T DIESEL</v>
      </c>
      <c r="K127" s="27" t="s">
        <v>119</v>
      </c>
      <c r="L127" s="27" t="s">
        <v>110</v>
      </c>
      <c r="M127" s="27" t="s">
        <v>262</v>
      </c>
      <c r="N127" s="27" t="s">
        <v>141</v>
      </c>
      <c r="O127" s="28" t="s">
        <v>156</v>
      </c>
      <c r="P127" s="29" t="s">
        <v>151</v>
      </c>
      <c r="Q127" s="29" t="s">
        <v>162</v>
      </c>
      <c r="R127" s="29" t="s">
        <v>145</v>
      </c>
      <c r="S127" s="27" t="s">
        <v>724</v>
      </c>
      <c r="T127" s="27" t="s">
        <v>541</v>
      </c>
      <c r="U127" s="27" t="s">
        <v>113</v>
      </c>
      <c r="V127" s="27" t="s">
        <v>48</v>
      </c>
      <c r="W127" s="27" t="s">
        <v>49</v>
      </c>
      <c r="X127" s="27" t="s">
        <v>2126</v>
      </c>
      <c r="Y127" s="27" t="s">
        <v>2127</v>
      </c>
      <c r="Z127" s="27" t="s">
        <v>723</v>
      </c>
      <c r="AA127" s="27" t="s">
        <v>724</v>
      </c>
      <c r="AB127" s="27" t="s">
        <v>541</v>
      </c>
      <c r="AC127" s="27" t="s">
        <v>2128</v>
      </c>
      <c r="AD127" s="27" t="s">
        <v>2129</v>
      </c>
      <c r="AE127" s="27" t="s">
        <v>110</v>
      </c>
      <c r="AF127" s="27" t="s">
        <v>2130</v>
      </c>
      <c r="AG127" s="27" t="s">
        <v>2131</v>
      </c>
      <c r="AH127" s="27" t="s">
        <v>1349</v>
      </c>
      <c r="AI127" s="27" t="s">
        <v>141</v>
      </c>
      <c r="AJ127" s="27" t="s">
        <v>262</v>
      </c>
      <c r="AK127" s="27" t="s">
        <v>89</v>
      </c>
      <c r="AL127" s="27"/>
      <c r="AM127" s="34">
        <v>545800000</v>
      </c>
      <c r="AN127" s="34">
        <v>421540179</v>
      </c>
      <c r="AO127" s="34">
        <v>73675000</v>
      </c>
      <c r="AP127" s="34">
        <v>47906250</v>
      </c>
      <c r="AQ127" s="34">
        <v>0</v>
      </c>
      <c r="AR127" s="34">
        <v>0</v>
      </c>
      <c r="AS127" s="34">
        <v>22321429</v>
      </c>
      <c r="AT127" s="34">
        <v>520800000</v>
      </c>
      <c r="AU127" s="34">
        <v>273000000</v>
      </c>
      <c r="AV127" s="34">
        <v>-25000000</v>
      </c>
      <c r="AW127" s="27"/>
      <c r="AX127" s="27"/>
      <c r="AY127" s="27" t="s">
        <v>83</v>
      </c>
      <c r="AZ127" s="27">
        <v>1</v>
      </c>
      <c r="BA127" s="27"/>
      <c r="BB127" s="27" t="s">
        <v>392</v>
      </c>
      <c r="BC127" s="27" t="s">
        <v>2132</v>
      </c>
      <c r="BD127" s="27" t="s">
        <v>392</v>
      </c>
      <c r="BE127" s="27" t="s">
        <v>392</v>
      </c>
      <c r="BF127" s="27" t="s">
        <v>2133</v>
      </c>
      <c r="BG127" s="27" t="s">
        <v>2134</v>
      </c>
      <c r="BH127" s="27"/>
      <c r="BI127" s="27" t="s">
        <v>390</v>
      </c>
      <c r="BJ127" s="27" t="s">
        <v>2135</v>
      </c>
      <c r="BK127" s="27" t="s">
        <v>344</v>
      </c>
      <c r="BL127" s="27" t="s">
        <v>2136</v>
      </c>
      <c r="BM127" s="35">
        <v>0</v>
      </c>
    </row>
    <row r="128" spans="1:65" s="19" customFormat="1" x14ac:dyDescent="0.2">
      <c r="A128" s="33">
        <v>776</v>
      </c>
      <c r="B128" s="26">
        <v>146</v>
      </c>
      <c r="C128" s="36" t="s">
        <v>503</v>
      </c>
      <c r="D128" s="27" t="s">
        <v>2137</v>
      </c>
      <c r="E128" s="27" t="s">
        <v>366</v>
      </c>
      <c r="F128" s="27" t="s">
        <v>389</v>
      </c>
      <c r="G128" s="28">
        <v>2026</v>
      </c>
      <c r="H128" s="20" t="str">
        <f>VLOOKUP(U128,'[1]KODE TYPE standar'!$D:$U,17,0)</f>
        <v>INV REBORN</v>
      </c>
      <c r="I128" s="20" t="str">
        <f>VLOOKUP(U128,'[1]KODE TYPE standar'!$D:$U,16,0)</f>
        <v>INNOVA</v>
      </c>
      <c r="J128" s="20" t="str">
        <f>VLOOKUP(U128,'[1]KODE TYPE standar'!$D:$U,18,0)</f>
        <v>INNOVA G A/T DIESEL</v>
      </c>
      <c r="K128" s="27" t="s">
        <v>118</v>
      </c>
      <c r="L128" s="27" t="s">
        <v>110</v>
      </c>
      <c r="M128" s="27" t="s">
        <v>262</v>
      </c>
      <c r="N128" s="27" t="s">
        <v>141</v>
      </c>
      <c r="O128" s="28" t="s">
        <v>156</v>
      </c>
      <c r="P128" s="29" t="s">
        <v>151</v>
      </c>
      <c r="Q128" s="29" t="s">
        <v>162</v>
      </c>
      <c r="R128" s="29" t="s">
        <v>597</v>
      </c>
      <c r="S128" s="27" t="s">
        <v>781</v>
      </c>
      <c r="T128" s="27" t="s">
        <v>585</v>
      </c>
      <c r="U128" s="27" t="s">
        <v>192</v>
      </c>
      <c r="V128" s="27" t="s">
        <v>77</v>
      </c>
      <c r="W128" s="27" t="s">
        <v>78</v>
      </c>
      <c r="X128" s="27" t="s">
        <v>2138</v>
      </c>
      <c r="Y128" s="27" t="s">
        <v>2139</v>
      </c>
      <c r="Z128" s="27" t="s">
        <v>780</v>
      </c>
      <c r="AA128" s="27" t="s">
        <v>781</v>
      </c>
      <c r="AB128" s="27" t="s">
        <v>585</v>
      </c>
      <c r="AC128" s="27" t="s">
        <v>2140</v>
      </c>
      <c r="AD128" s="27" t="s">
        <v>2141</v>
      </c>
      <c r="AE128" s="27" t="s">
        <v>110</v>
      </c>
      <c r="AF128" s="27" t="s">
        <v>2142</v>
      </c>
      <c r="AG128" s="27" t="s">
        <v>2143</v>
      </c>
      <c r="AH128" s="27" t="s">
        <v>1694</v>
      </c>
      <c r="AI128" s="27" t="s">
        <v>141</v>
      </c>
      <c r="AJ128" s="27" t="s">
        <v>262</v>
      </c>
      <c r="AK128" s="27" t="s">
        <v>63</v>
      </c>
      <c r="AL128" s="27"/>
      <c r="AM128" s="34">
        <v>442100000</v>
      </c>
      <c r="AN128" s="34">
        <v>342622768</v>
      </c>
      <c r="AO128" s="34">
        <v>58362500</v>
      </c>
      <c r="AP128" s="34">
        <v>38864732</v>
      </c>
      <c r="AQ128" s="34">
        <v>0</v>
      </c>
      <c r="AR128" s="34">
        <v>0</v>
      </c>
      <c r="AS128" s="34">
        <v>18750000</v>
      </c>
      <c r="AT128" s="34">
        <v>421100000</v>
      </c>
      <c r="AU128" s="34">
        <v>4000000</v>
      </c>
      <c r="AV128" s="34">
        <v>-21000000</v>
      </c>
      <c r="AW128" s="27"/>
      <c r="AX128" s="27"/>
      <c r="AY128" s="27" t="s">
        <v>83</v>
      </c>
      <c r="AZ128" s="27">
        <v>1</v>
      </c>
      <c r="BA128" s="27"/>
      <c r="BB128" s="27" t="s">
        <v>366</v>
      </c>
      <c r="BC128" s="27" t="s">
        <v>2144</v>
      </c>
      <c r="BD128" s="27" t="s">
        <v>342</v>
      </c>
      <c r="BE128" s="27" t="s">
        <v>342</v>
      </c>
      <c r="BF128" s="27" t="s">
        <v>2145</v>
      </c>
      <c r="BG128" s="27" t="s">
        <v>2146</v>
      </c>
      <c r="BH128" s="27" t="s">
        <v>366</v>
      </c>
      <c r="BI128" s="27" t="s">
        <v>396</v>
      </c>
      <c r="BJ128" s="27" t="s">
        <v>2147</v>
      </c>
      <c r="BK128" s="27" t="s">
        <v>342</v>
      </c>
      <c r="BL128" s="27" t="s">
        <v>2148</v>
      </c>
      <c r="BM128" s="35">
        <v>0</v>
      </c>
    </row>
    <row r="129" spans="1:65" s="19" customFormat="1" x14ac:dyDescent="0.2">
      <c r="A129" s="25">
        <v>581</v>
      </c>
      <c r="B129" s="26">
        <v>146</v>
      </c>
      <c r="C129" s="27" t="s">
        <v>503</v>
      </c>
      <c r="D129" s="28" t="s">
        <v>2149</v>
      </c>
      <c r="E129" s="28" t="s">
        <v>277</v>
      </c>
      <c r="F129" s="28" t="s">
        <v>339</v>
      </c>
      <c r="G129" s="28">
        <v>2026</v>
      </c>
      <c r="H129" s="20" t="str">
        <f>VLOOKUP(U129,'[1]KODE TYPE standar'!$D:$U,17,0)</f>
        <v>AVANZA</v>
      </c>
      <c r="I129" s="20" t="str">
        <f>VLOOKUP(U129,'[1]KODE TYPE standar'!$D:$U,16,0)</f>
        <v>AVANZA</v>
      </c>
      <c r="J129" s="20" t="str">
        <f>VLOOKUP(U129,'[1]KODE TYPE standar'!$D:$U,18,0)</f>
        <v>AVANZA E M/T</v>
      </c>
      <c r="K129" s="27" t="s">
        <v>119</v>
      </c>
      <c r="L129" s="28" t="s">
        <v>110</v>
      </c>
      <c r="M129" s="28" t="s">
        <v>262</v>
      </c>
      <c r="N129" s="28" t="s">
        <v>106</v>
      </c>
      <c r="O129" s="28" t="s">
        <v>156</v>
      </c>
      <c r="P129" s="29" t="s">
        <v>151</v>
      </c>
      <c r="Q129" s="29" t="s">
        <v>161</v>
      </c>
      <c r="R129" s="29" t="s">
        <v>145</v>
      </c>
      <c r="S129" s="27" t="s">
        <v>584</v>
      </c>
      <c r="T129" s="30" t="s">
        <v>585</v>
      </c>
      <c r="U129" s="27" t="s">
        <v>386</v>
      </c>
      <c r="V129" s="27" t="s">
        <v>64</v>
      </c>
      <c r="W129" s="27" t="s">
        <v>65</v>
      </c>
      <c r="X129" s="27" t="s">
        <v>2150</v>
      </c>
      <c r="Y129" s="27" t="s">
        <v>2151</v>
      </c>
      <c r="Z129" s="27" t="s">
        <v>583</v>
      </c>
      <c r="AA129" s="27" t="s">
        <v>584</v>
      </c>
      <c r="AB129" s="30" t="s">
        <v>585</v>
      </c>
      <c r="AC129" s="30" t="s">
        <v>2152</v>
      </c>
      <c r="AD129" s="28" t="s">
        <v>2153</v>
      </c>
      <c r="AE129" s="28" t="s">
        <v>110</v>
      </c>
      <c r="AF129" s="28" t="s">
        <v>2154</v>
      </c>
      <c r="AG129" s="28" t="s">
        <v>2155</v>
      </c>
      <c r="AH129" s="28" t="s">
        <v>573</v>
      </c>
      <c r="AI129" s="28" t="s">
        <v>106</v>
      </c>
      <c r="AJ129" s="28" t="s">
        <v>262</v>
      </c>
      <c r="AK129" s="28" t="s">
        <v>89</v>
      </c>
      <c r="AL129" s="28"/>
      <c r="AM129" s="31">
        <v>246700000</v>
      </c>
      <c r="AN129" s="31">
        <v>189966518</v>
      </c>
      <c r="AO129" s="31">
        <v>33937500</v>
      </c>
      <c r="AP129" s="31">
        <v>21081696</v>
      </c>
      <c r="AQ129" s="31">
        <v>0</v>
      </c>
      <c r="AR129" s="31">
        <v>0</v>
      </c>
      <c r="AS129" s="31">
        <v>14285714</v>
      </c>
      <c r="AT129" s="31">
        <v>230700000</v>
      </c>
      <c r="AU129" s="31">
        <v>0</v>
      </c>
      <c r="AV129" s="31">
        <v>-16000000</v>
      </c>
      <c r="AW129" s="28" t="s">
        <v>294</v>
      </c>
      <c r="AX129" s="28" t="s">
        <v>294</v>
      </c>
      <c r="AY129" s="28" t="s">
        <v>83</v>
      </c>
      <c r="AZ129" s="28">
        <v>1</v>
      </c>
      <c r="BA129" s="28"/>
      <c r="BB129" s="28" t="s">
        <v>244</v>
      </c>
      <c r="BC129" s="28" t="s">
        <v>2156</v>
      </c>
      <c r="BD129" s="28" t="s">
        <v>243</v>
      </c>
      <c r="BE129" s="28" t="s">
        <v>243</v>
      </c>
      <c r="BF129" s="28" t="s">
        <v>2157</v>
      </c>
      <c r="BG129" s="28" t="s">
        <v>2158</v>
      </c>
      <c r="BH129" s="28" t="s">
        <v>277</v>
      </c>
      <c r="BI129" s="28" t="s">
        <v>303</v>
      </c>
      <c r="BJ129" s="28" t="s">
        <v>2159</v>
      </c>
      <c r="BK129" s="28" t="s">
        <v>222</v>
      </c>
      <c r="BL129" s="28" t="s">
        <v>2160</v>
      </c>
      <c r="BM129" s="32">
        <v>0</v>
      </c>
    </row>
    <row r="130" spans="1:65" s="19" customFormat="1" x14ac:dyDescent="0.2">
      <c r="A130" s="33">
        <v>601</v>
      </c>
      <c r="B130" s="26">
        <v>146</v>
      </c>
      <c r="C130" s="27" t="s">
        <v>503</v>
      </c>
      <c r="D130" s="27" t="s">
        <v>2161</v>
      </c>
      <c r="E130" s="27" t="s">
        <v>198</v>
      </c>
      <c r="F130" s="27" t="s">
        <v>111</v>
      </c>
      <c r="G130" s="28">
        <v>2026</v>
      </c>
      <c r="H130" s="20" t="str">
        <f>VLOOKUP(U130,'[1]KODE TYPE standar'!$D:$U,17,0)</f>
        <v>CALYA</v>
      </c>
      <c r="I130" s="20" t="str">
        <f>VLOOKUP(U130,'[1]KODE TYPE standar'!$D:$U,16,0)</f>
        <v>CALYA</v>
      </c>
      <c r="J130" s="20" t="str">
        <f>VLOOKUP(U130,'[1]KODE TYPE standar'!$D:$U,18,0)</f>
        <v>CALYA G A/T</v>
      </c>
      <c r="K130" s="27" t="s">
        <v>120</v>
      </c>
      <c r="L130" s="27" t="s">
        <v>110</v>
      </c>
      <c r="M130" s="27" t="s">
        <v>262</v>
      </c>
      <c r="N130" s="27" t="s">
        <v>158</v>
      </c>
      <c r="O130" s="28" t="s">
        <v>6581</v>
      </c>
      <c r="P130" s="29" t="s">
        <v>149</v>
      </c>
      <c r="Q130" s="29" t="s">
        <v>161</v>
      </c>
      <c r="R130" s="29" t="s">
        <v>597</v>
      </c>
      <c r="S130" s="27" t="s">
        <v>709</v>
      </c>
      <c r="T130" s="27" t="s">
        <v>585</v>
      </c>
      <c r="U130" s="27" t="s">
        <v>88</v>
      </c>
      <c r="V130" s="27" t="s">
        <v>77</v>
      </c>
      <c r="W130" s="27" t="s">
        <v>78</v>
      </c>
      <c r="X130" s="27" t="s">
        <v>2162</v>
      </c>
      <c r="Y130" s="27" t="s">
        <v>2163</v>
      </c>
      <c r="Z130" s="27" t="s">
        <v>708</v>
      </c>
      <c r="AA130" s="27" t="s">
        <v>709</v>
      </c>
      <c r="AB130" s="27" t="s">
        <v>585</v>
      </c>
      <c r="AC130" s="27" t="s">
        <v>2164</v>
      </c>
      <c r="AD130" s="27" t="s">
        <v>2165</v>
      </c>
      <c r="AE130" s="27" t="s">
        <v>110</v>
      </c>
      <c r="AF130" s="27" t="s">
        <v>2165</v>
      </c>
      <c r="AG130" s="27" t="s">
        <v>2166</v>
      </c>
      <c r="AH130" s="27" t="s">
        <v>2167</v>
      </c>
      <c r="AI130" s="27" t="s">
        <v>158</v>
      </c>
      <c r="AJ130" s="27" t="s">
        <v>262</v>
      </c>
      <c r="AK130" s="27" t="s">
        <v>2168</v>
      </c>
      <c r="AL130" s="27" t="s">
        <v>2169</v>
      </c>
      <c r="AM130" s="34">
        <v>196400000</v>
      </c>
      <c r="AN130" s="34">
        <v>150312500</v>
      </c>
      <c r="AO130" s="34">
        <v>28050000</v>
      </c>
      <c r="AP130" s="34">
        <v>16323214</v>
      </c>
      <c r="AQ130" s="34">
        <v>0</v>
      </c>
      <c r="AR130" s="34">
        <v>0</v>
      </c>
      <c r="AS130" s="34">
        <v>14285714</v>
      </c>
      <c r="AT130" s="34">
        <v>180400000</v>
      </c>
      <c r="AU130" s="34">
        <v>0</v>
      </c>
      <c r="AV130" s="34">
        <v>-16000000</v>
      </c>
      <c r="AW130" s="27" t="s">
        <v>199</v>
      </c>
      <c r="AX130" s="27" t="s">
        <v>199</v>
      </c>
      <c r="AY130" s="27" t="s">
        <v>83</v>
      </c>
      <c r="AZ130" s="27">
        <v>1</v>
      </c>
      <c r="BA130" s="27" t="s">
        <v>163</v>
      </c>
      <c r="BB130" s="27" t="s">
        <v>182</v>
      </c>
      <c r="BC130" s="27" t="s">
        <v>2170</v>
      </c>
      <c r="BD130" s="27" t="s">
        <v>203</v>
      </c>
      <c r="BE130" s="27" t="s">
        <v>203</v>
      </c>
      <c r="BF130" s="27" t="s">
        <v>2171</v>
      </c>
      <c r="BG130" s="27" t="s">
        <v>2172</v>
      </c>
      <c r="BH130" s="27" t="s">
        <v>198</v>
      </c>
      <c r="BI130" s="27" t="s">
        <v>261</v>
      </c>
      <c r="BJ130" s="27" t="s">
        <v>901</v>
      </c>
      <c r="BK130" s="27" t="s">
        <v>902</v>
      </c>
      <c r="BL130" s="27" t="s">
        <v>2173</v>
      </c>
      <c r="BM130" s="35">
        <v>0</v>
      </c>
    </row>
    <row r="131" spans="1:65" s="19" customFormat="1" x14ac:dyDescent="0.2">
      <c r="A131" s="33">
        <v>782</v>
      </c>
      <c r="B131" s="26">
        <v>146</v>
      </c>
      <c r="C131" s="36" t="s">
        <v>503</v>
      </c>
      <c r="D131" s="27" t="s">
        <v>2174</v>
      </c>
      <c r="E131" s="27" t="s">
        <v>365</v>
      </c>
      <c r="F131" s="27" t="s">
        <v>389</v>
      </c>
      <c r="G131" s="28">
        <v>2026</v>
      </c>
      <c r="H131" s="20" t="str">
        <f>VLOOKUP(U131,'[1]KODE TYPE standar'!$D:$U,17,0)</f>
        <v>INV REBORN</v>
      </c>
      <c r="I131" s="20" t="str">
        <f>VLOOKUP(U131,'[1]KODE TYPE standar'!$D:$U,16,0)</f>
        <v>INNOVA</v>
      </c>
      <c r="J131" s="20" t="str">
        <f>VLOOKUP(U131,'[1]KODE TYPE standar'!$D:$U,18,0)</f>
        <v>INNOVA G A/T DIESEL</v>
      </c>
      <c r="K131" s="27" t="s">
        <v>101</v>
      </c>
      <c r="L131" s="27" t="s">
        <v>110</v>
      </c>
      <c r="M131" s="27" t="s">
        <v>262</v>
      </c>
      <c r="N131" s="27" t="s">
        <v>141</v>
      </c>
      <c r="O131" s="28" t="s">
        <v>156</v>
      </c>
      <c r="P131" s="29" t="s">
        <v>149</v>
      </c>
      <c r="Q131" s="29" t="s">
        <v>162</v>
      </c>
      <c r="R131" s="29" t="s">
        <v>145</v>
      </c>
      <c r="S131" s="27" t="s">
        <v>738</v>
      </c>
      <c r="T131" s="27" t="s">
        <v>585</v>
      </c>
      <c r="U131" s="27" t="s">
        <v>192</v>
      </c>
      <c r="V131" s="27" t="s">
        <v>283</v>
      </c>
      <c r="W131" s="27" t="s">
        <v>284</v>
      </c>
      <c r="X131" s="27" t="s">
        <v>2175</v>
      </c>
      <c r="Y131" s="27" t="s">
        <v>2176</v>
      </c>
      <c r="Z131" s="27" t="s">
        <v>737</v>
      </c>
      <c r="AA131" s="27" t="s">
        <v>738</v>
      </c>
      <c r="AB131" s="27" t="s">
        <v>585</v>
      </c>
      <c r="AC131" s="27" t="s">
        <v>2177</v>
      </c>
      <c r="AD131" s="27" t="s">
        <v>2178</v>
      </c>
      <c r="AE131" s="27" t="s">
        <v>110</v>
      </c>
      <c r="AF131" s="27" t="s">
        <v>2178</v>
      </c>
      <c r="AG131" s="27" t="s">
        <v>2179</v>
      </c>
      <c r="AH131" s="27" t="s">
        <v>1519</v>
      </c>
      <c r="AI131" s="27" t="s">
        <v>141</v>
      </c>
      <c r="AJ131" s="27" t="s">
        <v>262</v>
      </c>
      <c r="AK131" s="27" t="s">
        <v>103</v>
      </c>
      <c r="AL131" s="27"/>
      <c r="AM131" s="34">
        <v>442100000</v>
      </c>
      <c r="AN131" s="34">
        <v>342622768</v>
      </c>
      <c r="AO131" s="34">
        <v>58362500</v>
      </c>
      <c r="AP131" s="34">
        <v>38971875</v>
      </c>
      <c r="AQ131" s="34">
        <v>0</v>
      </c>
      <c r="AR131" s="34">
        <v>0</v>
      </c>
      <c r="AS131" s="34">
        <v>17857143</v>
      </c>
      <c r="AT131" s="34">
        <v>422100000</v>
      </c>
      <c r="AU131" s="34">
        <v>0</v>
      </c>
      <c r="AV131" s="34">
        <v>-20000000</v>
      </c>
      <c r="AW131" s="27" t="s">
        <v>290</v>
      </c>
      <c r="AX131" s="27" t="s">
        <v>290</v>
      </c>
      <c r="AY131" s="27" t="s">
        <v>83</v>
      </c>
      <c r="AZ131" s="27">
        <v>1</v>
      </c>
      <c r="BA131" s="27" t="s">
        <v>163</v>
      </c>
      <c r="BB131" s="27" t="s">
        <v>235</v>
      </c>
      <c r="BC131" s="27" t="s">
        <v>2180</v>
      </c>
      <c r="BD131" s="27" t="s">
        <v>221</v>
      </c>
      <c r="BE131" s="27" t="s">
        <v>221</v>
      </c>
      <c r="BF131" s="27" t="s">
        <v>2181</v>
      </c>
      <c r="BG131" s="27" t="s">
        <v>2182</v>
      </c>
      <c r="BH131" s="27" t="s">
        <v>365</v>
      </c>
      <c r="BI131" s="27" t="s">
        <v>404</v>
      </c>
      <c r="BJ131" s="27" t="s">
        <v>2183</v>
      </c>
      <c r="BK131" s="27" t="s">
        <v>353</v>
      </c>
      <c r="BL131" s="27" t="s">
        <v>2184</v>
      </c>
      <c r="BM131" s="35">
        <v>0</v>
      </c>
    </row>
    <row r="132" spans="1:65" s="19" customFormat="1" x14ac:dyDescent="0.2">
      <c r="A132" s="33">
        <v>684</v>
      </c>
      <c r="B132" s="26">
        <v>146</v>
      </c>
      <c r="C132" s="27" t="s">
        <v>503</v>
      </c>
      <c r="D132" s="27" t="s">
        <v>2185</v>
      </c>
      <c r="E132" s="27" t="s">
        <v>237</v>
      </c>
      <c r="F132" s="27" t="s">
        <v>258</v>
      </c>
      <c r="G132" s="28">
        <v>2026</v>
      </c>
      <c r="H132" s="20" t="str">
        <f>VLOOKUP(U132,'[1]KODE TYPE standar'!$D:$U,17,0)</f>
        <v>CALYA</v>
      </c>
      <c r="I132" s="20" t="str">
        <f>VLOOKUP(U132,'[1]KODE TYPE standar'!$D:$U,16,0)</f>
        <v>CALYA</v>
      </c>
      <c r="J132" s="20" t="str">
        <f>VLOOKUP(U132,'[1]KODE TYPE standar'!$D:$U,18,0)</f>
        <v>CALYA G M/T</v>
      </c>
      <c r="K132" s="27" t="s">
        <v>121</v>
      </c>
      <c r="L132" s="27" t="s">
        <v>110</v>
      </c>
      <c r="M132" s="27" t="s">
        <v>262</v>
      </c>
      <c r="N132" s="27" t="s">
        <v>141</v>
      </c>
      <c r="O132" s="28" t="s">
        <v>156</v>
      </c>
      <c r="P132" s="29" t="s">
        <v>149</v>
      </c>
      <c r="Q132" s="29" t="s">
        <v>162</v>
      </c>
      <c r="R132" s="29" t="s">
        <v>597</v>
      </c>
      <c r="S132" s="27" t="s">
        <v>524</v>
      </c>
      <c r="T132" s="27" t="s">
        <v>509</v>
      </c>
      <c r="U132" s="27" t="s">
        <v>268</v>
      </c>
      <c r="V132" s="27" t="s">
        <v>269</v>
      </c>
      <c r="W132" s="27" t="s">
        <v>270</v>
      </c>
      <c r="X132" s="27" t="s">
        <v>2186</v>
      </c>
      <c r="Y132" s="27" t="s">
        <v>2187</v>
      </c>
      <c r="Z132" s="27" t="s">
        <v>523</v>
      </c>
      <c r="AA132" s="27" t="s">
        <v>524</v>
      </c>
      <c r="AB132" s="27" t="s">
        <v>509</v>
      </c>
      <c r="AC132" s="27" t="s">
        <v>2188</v>
      </c>
      <c r="AD132" s="27" t="s">
        <v>2189</v>
      </c>
      <c r="AE132" s="27" t="s">
        <v>110</v>
      </c>
      <c r="AF132" s="27" t="s">
        <v>2189</v>
      </c>
      <c r="AG132" s="27" t="s">
        <v>2190</v>
      </c>
      <c r="AH132" s="27" t="s">
        <v>1377</v>
      </c>
      <c r="AI132" s="27" t="s">
        <v>141</v>
      </c>
      <c r="AJ132" s="27" t="s">
        <v>262</v>
      </c>
      <c r="AK132" s="27" t="s">
        <v>104</v>
      </c>
      <c r="AL132" s="27"/>
      <c r="AM132" s="34">
        <v>181900000</v>
      </c>
      <c r="AN132" s="34">
        <v>139564732</v>
      </c>
      <c r="AO132" s="34">
        <v>25587500</v>
      </c>
      <c r="AP132" s="34">
        <v>15569196</v>
      </c>
      <c r="AQ132" s="34">
        <v>0</v>
      </c>
      <c r="AR132" s="34">
        <v>0</v>
      </c>
      <c r="AS132" s="34">
        <v>9821429</v>
      </c>
      <c r="AT132" s="34">
        <v>170900000</v>
      </c>
      <c r="AU132" s="34">
        <v>0</v>
      </c>
      <c r="AV132" s="34">
        <v>-11000000</v>
      </c>
      <c r="AW132" s="27"/>
      <c r="AX132" s="27"/>
      <c r="AY132" s="27" t="s">
        <v>83</v>
      </c>
      <c r="AZ132" s="27">
        <v>1</v>
      </c>
      <c r="BA132" s="27"/>
      <c r="BB132" s="27" t="s">
        <v>222</v>
      </c>
      <c r="BC132" s="27" t="s">
        <v>2191</v>
      </c>
      <c r="BD132" s="27" t="s">
        <v>230</v>
      </c>
      <c r="BE132" s="27" t="s">
        <v>230</v>
      </c>
      <c r="BF132" s="27" t="s">
        <v>2192</v>
      </c>
      <c r="BG132" s="27" t="s">
        <v>2193</v>
      </c>
      <c r="BH132" s="27" t="s">
        <v>237</v>
      </c>
      <c r="BI132" s="27" t="s">
        <v>246</v>
      </c>
      <c r="BJ132" s="27" t="s">
        <v>2194</v>
      </c>
      <c r="BK132" s="27" t="s">
        <v>227</v>
      </c>
      <c r="BL132" s="27" t="s">
        <v>2195</v>
      </c>
      <c r="BM132" s="35">
        <v>0</v>
      </c>
    </row>
    <row r="133" spans="1:65" s="19" customFormat="1" x14ac:dyDescent="0.2">
      <c r="A133" s="33">
        <v>711</v>
      </c>
      <c r="B133" s="26">
        <v>146</v>
      </c>
      <c r="C133" s="27" t="s">
        <v>503</v>
      </c>
      <c r="D133" s="27" t="s">
        <v>2196</v>
      </c>
      <c r="E133" s="27" t="s">
        <v>222</v>
      </c>
      <c r="F133" s="27" t="s">
        <v>258</v>
      </c>
      <c r="G133" s="28">
        <v>2026</v>
      </c>
      <c r="H133" s="20" t="str">
        <f>VLOOKUP(U133,'[1]KODE TYPE standar'!$D:$U,17,0)</f>
        <v>CALYA</v>
      </c>
      <c r="I133" s="20" t="str">
        <f>VLOOKUP(U133,'[1]KODE TYPE standar'!$D:$U,16,0)</f>
        <v>CALYA</v>
      </c>
      <c r="J133" s="20" t="str">
        <f>VLOOKUP(U133,'[1]KODE TYPE standar'!$D:$U,18,0)</f>
        <v>CALYA G M/T</v>
      </c>
      <c r="K133" s="27" t="s">
        <v>50</v>
      </c>
      <c r="L133" s="27" t="s">
        <v>110</v>
      </c>
      <c r="M133" s="27" t="s">
        <v>50</v>
      </c>
      <c r="N133" s="27" t="s">
        <v>57</v>
      </c>
      <c r="O133" s="28" t="s">
        <v>6581</v>
      </c>
      <c r="P133" s="29" t="s">
        <v>149</v>
      </c>
      <c r="Q133" s="29" t="s">
        <v>161</v>
      </c>
      <c r="R133" s="29" t="s">
        <v>2197</v>
      </c>
      <c r="S133" s="27" t="s">
        <v>738</v>
      </c>
      <c r="T133" s="27" t="s">
        <v>585</v>
      </c>
      <c r="U133" s="27" t="s">
        <v>268</v>
      </c>
      <c r="V133" s="27" t="s">
        <v>1912</v>
      </c>
      <c r="W133" s="27" t="s">
        <v>1913</v>
      </c>
      <c r="X133" s="27" t="s">
        <v>2198</v>
      </c>
      <c r="Y133" s="27" t="s">
        <v>2199</v>
      </c>
      <c r="Z133" s="27" t="s">
        <v>737</v>
      </c>
      <c r="AA133" s="27" t="s">
        <v>738</v>
      </c>
      <c r="AB133" s="27" t="s">
        <v>585</v>
      </c>
      <c r="AC133" s="27" t="s">
        <v>2200</v>
      </c>
      <c r="AD133" s="27" t="s">
        <v>2201</v>
      </c>
      <c r="AE133" s="27" t="s">
        <v>110</v>
      </c>
      <c r="AF133" s="27" t="s">
        <v>2202</v>
      </c>
      <c r="AG133" s="27" t="s">
        <v>2203</v>
      </c>
      <c r="AH133" s="27" t="s">
        <v>91</v>
      </c>
      <c r="AI133" s="27" t="s">
        <v>57</v>
      </c>
      <c r="AJ133" s="27" t="s">
        <v>50</v>
      </c>
      <c r="AK133" s="27" t="s">
        <v>50</v>
      </c>
      <c r="AL133" s="27"/>
      <c r="AM133" s="34">
        <v>178800000</v>
      </c>
      <c r="AN133" s="34">
        <v>137468750</v>
      </c>
      <c r="AO133" s="34">
        <v>24835000</v>
      </c>
      <c r="AP133" s="34">
        <v>15317678</v>
      </c>
      <c r="AQ133" s="34">
        <v>0</v>
      </c>
      <c r="AR133" s="34">
        <v>0</v>
      </c>
      <c r="AS133" s="34">
        <v>9821429</v>
      </c>
      <c r="AT133" s="34">
        <v>167800000</v>
      </c>
      <c r="AU133" s="34">
        <v>116800000</v>
      </c>
      <c r="AV133" s="34">
        <v>-11000000</v>
      </c>
      <c r="AW133" s="27"/>
      <c r="AX133" s="27"/>
      <c r="AY133" s="27" t="s">
        <v>83</v>
      </c>
      <c r="AZ133" s="27">
        <v>1</v>
      </c>
      <c r="BA133" s="27" t="s">
        <v>163</v>
      </c>
      <c r="BB133" s="27" t="s">
        <v>222</v>
      </c>
      <c r="BC133" s="27" t="s">
        <v>2204</v>
      </c>
      <c r="BD133" s="27" t="s">
        <v>222</v>
      </c>
      <c r="BE133" s="27" t="s">
        <v>222</v>
      </c>
      <c r="BF133" s="27" t="s">
        <v>2205</v>
      </c>
      <c r="BG133" s="27" t="s">
        <v>2206</v>
      </c>
      <c r="BH133" s="27"/>
      <c r="BI133" s="27" t="s">
        <v>273</v>
      </c>
      <c r="BJ133" s="27" t="s">
        <v>1583</v>
      </c>
      <c r="BK133" s="27" t="s">
        <v>260</v>
      </c>
      <c r="BL133" s="27" t="s">
        <v>2207</v>
      </c>
      <c r="BM133" s="35">
        <v>0</v>
      </c>
    </row>
    <row r="134" spans="1:65" s="19" customFormat="1" x14ac:dyDescent="0.2">
      <c r="A134" s="25">
        <v>631</v>
      </c>
      <c r="B134" s="26">
        <v>146</v>
      </c>
      <c r="C134" s="27" t="s">
        <v>503</v>
      </c>
      <c r="D134" s="28" t="s">
        <v>2208</v>
      </c>
      <c r="E134" s="28" t="s">
        <v>254</v>
      </c>
      <c r="F134" s="28" t="s">
        <v>339</v>
      </c>
      <c r="G134" s="28">
        <v>2026</v>
      </c>
      <c r="H134" s="20" t="str">
        <f>VLOOKUP(U134,'[1]KODE TYPE standar'!$D:$U,17,0)</f>
        <v>INV ZENIX HYBRID</v>
      </c>
      <c r="I134" s="20" t="str">
        <f>VLOOKUP(U134,'[1]KODE TYPE standar'!$D:$U,16,0)</f>
        <v>INNOVA</v>
      </c>
      <c r="J134" s="20" t="str">
        <f>VLOOKUP(U134,'[1]KODE TYPE standar'!$D:$U,18,0)</f>
        <v>INNOVA ZENIX V A/T HYBRID</v>
      </c>
      <c r="K134" s="27" t="s">
        <v>120</v>
      </c>
      <c r="L134" s="28" t="s">
        <v>110</v>
      </c>
      <c r="M134" s="28" t="s">
        <v>262</v>
      </c>
      <c r="N134" s="28" t="s">
        <v>139</v>
      </c>
      <c r="O134" s="28" t="s">
        <v>156</v>
      </c>
      <c r="P134" s="29" t="s">
        <v>149</v>
      </c>
      <c r="Q134" s="29" t="s">
        <v>162</v>
      </c>
      <c r="R134" s="29" t="s">
        <v>597</v>
      </c>
      <c r="S134" s="27" t="s">
        <v>524</v>
      </c>
      <c r="T134" s="30" t="s">
        <v>509</v>
      </c>
      <c r="U134" s="27" t="s">
        <v>176</v>
      </c>
      <c r="V134" s="27" t="s">
        <v>51</v>
      </c>
      <c r="W134" s="27" t="s">
        <v>86</v>
      </c>
      <c r="X134" s="27" t="s">
        <v>2209</v>
      </c>
      <c r="Y134" s="27" t="s">
        <v>2210</v>
      </c>
      <c r="Z134" s="27" t="s">
        <v>523</v>
      </c>
      <c r="AA134" s="27" t="s">
        <v>524</v>
      </c>
      <c r="AB134" s="30" t="s">
        <v>509</v>
      </c>
      <c r="AC134" s="30" t="s">
        <v>2211</v>
      </c>
      <c r="AD134" s="28" t="s">
        <v>2212</v>
      </c>
      <c r="AE134" s="28" t="s">
        <v>110</v>
      </c>
      <c r="AF134" s="28" t="s">
        <v>2212</v>
      </c>
      <c r="AG134" s="28" t="s">
        <v>2213</v>
      </c>
      <c r="AH134" s="28" t="s">
        <v>913</v>
      </c>
      <c r="AI134" s="28" t="s">
        <v>139</v>
      </c>
      <c r="AJ134" s="28" t="s">
        <v>262</v>
      </c>
      <c r="AK134" s="28" t="s">
        <v>2214</v>
      </c>
      <c r="AL134" s="28" t="s">
        <v>2215</v>
      </c>
      <c r="AM134" s="31">
        <v>554800000</v>
      </c>
      <c r="AN134" s="31">
        <v>430669643</v>
      </c>
      <c r="AO134" s="31">
        <v>72450000</v>
      </c>
      <c r="AP134" s="31">
        <v>49430357</v>
      </c>
      <c r="AQ134" s="31">
        <v>0</v>
      </c>
      <c r="AR134" s="31">
        <v>0</v>
      </c>
      <c r="AS134" s="31">
        <v>18750000</v>
      </c>
      <c r="AT134" s="31">
        <v>533800000</v>
      </c>
      <c r="AU134" s="31">
        <v>0</v>
      </c>
      <c r="AV134" s="31">
        <v>-21000000</v>
      </c>
      <c r="AW134" s="28" t="s">
        <v>251</v>
      </c>
      <c r="AX134" s="28" t="s">
        <v>251</v>
      </c>
      <c r="AY134" s="28" t="s">
        <v>83</v>
      </c>
      <c r="AZ134" s="28">
        <v>1</v>
      </c>
      <c r="BA134" s="28"/>
      <c r="BB134" s="28" t="s">
        <v>259</v>
      </c>
      <c r="BC134" s="28" t="s">
        <v>2216</v>
      </c>
      <c r="BD134" s="28" t="s">
        <v>259</v>
      </c>
      <c r="BE134" s="28" t="s">
        <v>259</v>
      </c>
      <c r="BF134" s="28" t="s">
        <v>2217</v>
      </c>
      <c r="BG134" s="28" t="s">
        <v>2218</v>
      </c>
      <c r="BH134" s="28" t="s">
        <v>254</v>
      </c>
      <c r="BI134" s="28" t="s">
        <v>265</v>
      </c>
      <c r="BJ134" s="28" t="s">
        <v>2219</v>
      </c>
      <c r="BK134" s="28" t="s">
        <v>228</v>
      </c>
      <c r="BL134" s="28" t="s">
        <v>2220</v>
      </c>
      <c r="BM134" s="32">
        <v>0</v>
      </c>
    </row>
    <row r="135" spans="1:65" s="19" customFormat="1" x14ac:dyDescent="0.2">
      <c r="A135" s="33">
        <v>848</v>
      </c>
      <c r="B135" s="26">
        <v>146</v>
      </c>
      <c r="C135" s="36" t="s">
        <v>503</v>
      </c>
      <c r="D135" s="27" t="s">
        <v>2221</v>
      </c>
      <c r="E135" s="27" t="s">
        <v>365</v>
      </c>
      <c r="F135" s="27" t="s">
        <v>389</v>
      </c>
      <c r="G135" s="28">
        <v>2026</v>
      </c>
      <c r="H135" s="20" t="str">
        <f>VLOOKUP(U135,'[1]KODE TYPE standar'!$D:$U,17,0)</f>
        <v>FORTUNER</v>
      </c>
      <c r="I135" s="20" t="str">
        <f>VLOOKUP(U135,'[1]KODE TYPE standar'!$D:$U,16,0)</f>
        <v>FORTUNER</v>
      </c>
      <c r="J135" s="20" t="str">
        <f>VLOOKUP(U135,'[1]KODE TYPE standar'!$D:$U,18,0)</f>
        <v>FORTUNER 4X2 VRZ A/T DIESEL</v>
      </c>
      <c r="K135" s="27" t="s">
        <v>119</v>
      </c>
      <c r="L135" s="27" t="s">
        <v>110</v>
      </c>
      <c r="M135" s="27" t="s">
        <v>262</v>
      </c>
      <c r="N135" s="27" t="s">
        <v>141</v>
      </c>
      <c r="O135" s="28" t="s">
        <v>156</v>
      </c>
      <c r="P135" s="29" t="s">
        <v>151</v>
      </c>
      <c r="Q135" s="29" t="s">
        <v>161</v>
      </c>
      <c r="R135" s="29" t="s">
        <v>597</v>
      </c>
      <c r="S135" s="27" t="s">
        <v>540</v>
      </c>
      <c r="T135" s="27" t="s">
        <v>541</v>
      </c>
      <c r="U135" s="27" t="s">
        <v>123</v>
      </c>
      <c r="V135" s="27" t="s">
        <v>114</v>
      </c>
      <c r="W135" s="27" t="s">
        <v>115</v>
      </c>
      <c r="X135" s="27" t="s">
        <v>2222</v>
      </c>
      <c r="Y135" s="27" t="s">
        <v>2223</v>
      </c>
      <c r="Z135" s="27" t="s">
        <v>539</v>
      </c>
      <c r="AA135" s="27" t="s">
        <v>540</v>
      </c>
      <c r="AB135" s="27" t="s">
        <v>541</v>
      </c>
      <c r="AC135" s="27" t="s">
        <v>2224</v>
      </c>
      <c r="AD135" s="27" t="s">
        <v>2225</v>
      </c>
      <c r="AE135" s="27" t="s">
        <v>110</v>
      </c>
      <c r="AF135" s="27" t="s">
        <v>2225</v>
      </c>
      <c r="AG135" s="27" t="s">
        <v>2226</v>
      </c>
      <c r="AH135" s="27" t="s">
        <v>1349</v>
      </c>
      <c r="AI135" s="27" t="s">
        <v>141</v>
      </c>
      <c r="AJ135" s="27" t="s">
        <v>262</v>
      </c>
      <c r="AK135" s="27" t="s">
        <v>89</v>
      </c>
      <c r="AL135" s="27"/>
      <c r="AM135" s="34">
        <v>684700000</v>
      </c>
      <c r="AN135" s="34">
        <v>532154018</v>
      </c>
      <c r="AO135" s="34">
        <v>88687500</v>
      </c>
      <c r="AP135" s="34">
        <v>60537053</v>
      </c>
      <c r="AQ135" s="34">
        <v>0</v>
      </c>
      <c r="AR135" s="34">
        <v>0</v>
      </c>
      <c r="AS135" s="34">
        <v>27678571</v>
      </c>
      <c r="AT135" s="34">
        <v>653700000</v>
      </c>
      <c r="AU135" s="34">
        <v>0</v>
      </c>
      <c r="AV135" s="34">
        <v>-31000000</v>
      </c>
      <c r="AW135" s="27" t="s">
        <v>303</v>
      </c>
      <c r="AX135" s="27" t="s">
        <v>303</v>
      </c>
      <c r="AY135" s="27" t="s">
        <v>83</v>
      </c>
      <c r="AZ135" s="27">
        <v>1</v>
      </c>
      <c r="BA135" s="27"/>
      <c r="BB135" s="27" t="s">
        <v>295</v>
      </c>
      <c r="BC135" s="27" t="s">
        <v>2227</v>
      </c>
      <c r="BD135" s="27" t="s">
        <v>277</v>
      </c>
      <c r="BE135" s="27" t="s">
        <v>277</v>
      </c>
      <c r="BF135" s="27" t="s">
        <v>2228</v>
      </c>
      <c r="BG135" s="27" t="s">
        <v>2229</v>
      </c>
      <c r="BH135" s="27" t="s">
        <v>365</v>
      </c>
      <c r="BI135" s="27" t="s">
        <v>404</v>
      </c>
      <c r="BJ135" s="27" t="s">
        <v>2230</v>
      </c>
      <c r="BK135" s="27" t="s">
        <v>410</v>
      </c>
      <c r="BL135" s="27" t="s">
        <v>2231</v>
      </c>
      <c r="BM135" s="35">
        <v>0</v>
      </c>
    </row>
    <row r="136" spans="1:65" s="19" customFormat="1" x14ac:dyDescent="0.2">
      <c r="A136" s="33">
        <v>723</v>
      </c>
      <c r="B136" s="26">
        <v>146</v>
      </c>
      <c r="C136" s="27" t="s">
        <v>503</v>
      </c>
      <c r="D136" s="27" t="s">
        <v>2232</v>
      </c>
      <c r="E136" s="27" t="s">
        <v>260</v>
      </c>
      <c r="F136" s="27" t="s">
        <v>258</v>
      </c>
      <c r="G136" s="28">
        <v>2026</v>
      </c>
      <c r="H136" s="20" t="str">
        <f>VLOOKUP(U136,'[1]KODE TYPE standar'!$D:$U,17,0)</f>
        <v>HIACE</v>
      </c>
      <c r="I136" s="20" t="str">
        <f>VLOOKUP(U136,'[1]KODE TYPE standar'!$D:$U,16,0)</f>
        <v>HIACE</v>
      </c>
      <c r="J136" s="20" t="str">
        <f>VLOOKUP(U136,'[1]KODE TYPE standar'!$D:$U,18,0)</f>
        <v>HIACE COMM</v>
      </c>
      <c r="K136" s="27" t="s">
        <v>120</v>
      </c>
      <c r="L136" s="27" t="s">
        <v>110</v>
      </c>
      <c r="M136" s="27" t="s">
        <v>262</v>
      </c>
      <c r="N136" s="27" t="s">
        <v>140</v>
      </c>
      <c r="O136" s="28" t="s">
        <v>156</v>
      </c>
      <c r="P136" s="29" t="s">
        <v>536</v>
      </c>
      <c r="Q136" s="29" t="s">
        <v>161</v>
      </c>
      <c r="R136" s="29" t="s">
        <v>145</v>
      </c>
      <c r="S136" s="27" t="s">
        <v>951</v>
      </c>
      <c r="T136" s="27" t="s">
        <v>541</v>
      </c>
      <c r="U136" s="27" t="s">
        <v>334</v>
      </c>
      <c r="V136" s="27" t="s">
        <v>99</v>
      </c>
      <c r="W136" s="27" t="s">
        <v>61</v>
      </c>
      <c r="X136" s="27" t="s">
        <v>2233</v>
      </c>
      <c r="Y136" s="27" t="s">
        <v>2234</v>
      </c>
      <c r="Z136" s="27" t="s">
        <v>950</v>
      </c>
      <c r="AA136" s="27" t="s">
        <v>951</v>
      </c>
      <c r="AB136" s="27" t="s">
        <v>541</v>
      </c>
      <c r="AC136" s="27" t="s">
        <v>2235</v>
      </c>
      <c r="AD136" s="27" t="s">
        <v>2236</v>
      </c>
      <c r="AE136" s="27" t="s">
        <v>110</v>
      </c>
      <c r="AF136" s="27" t="s">
        <v>2237</v>
      </c>
      <c r="AG136" s="27" t="s">
        <v>2238</v>
      </c>
      <c r="AH136" s="27" t="s">
        <v>1391</v>
      </c>
      <c r="AI136" s="27" t="s">
        <v>140</v>
      </c>
      <c r="AJ136" s="27" t="s">
        <v>262</v>
      </c>
      <c r="AK136" s="27" t="s">
        <v>1216</v>
      </c>
      <c r="AL136" s="27"/>
      <c r="AM136" s="34">
        <v>578100000</v>
      </c>
      <c r="AN136" s="34">
        <v>451520270</v>
      </c>
      <c r="AO136" s="34">
        <v>76912500</v>
      </c>
      <c r="AP136" s="34">
        <v>47685247</v>
      </c>
      <c r="AQ136" s="34">
        <v>0</v>
      </c>
      <c r="AR136" s="34">
        <v>0</v>
      </c>
      <c r="AS136" s="34">
        <v>18018018</v>
      </c>
      <c r="AT136" s="34">
        <v>558100000</v>
      </c>
      <c r="AU136" s="34">
        <v>20000000</v>
      </c>
      <c r="AV136" s="34">
        <v>-20000000</v>
      </c>
      <c r="AW136" s="27" t="s">
        <v>222</v>
      </c>
      <c r="AX136" s="27" t="s">
        <v>222</v>
      </c>
      <c r="AY136" s="27" t="s">
        <v>83</v>
      </c>
      <c r="AZ136" s="27">
        <v>1</v>
      </c>
      <c r="BA136" s="27" t="s">
        <v>2239</v>
      </c>
      <c r="BB136" s="27" t="s">
        <v>219</v>
      </c>
      <c r="BC136" s="27" t="s">
        <v>2240</v>
      </c>
      <c r="BD136" s="27" t="s">
        <v>220</v>
      </c>
      <c r="BE136" s="27" t="s">
        <v>220</v>
      </c>
      <c r="BF136" s="27" t="s">
        <v>2241</v>
      </c>
      <c r="BG136" s="27" t="s">
        <v>2242</v>
      </c>
      <c r="BH136" s="27" t="s">
        <v>260</v>
      </c>
      <c r="BI136" s="27" t="s">
        <v>242</v>
      </c>
      <c r="BJ136" s="27" t="s">
        <v>2243</v>
      </c>
      <c r="BK136" s="27" t="s">
        <v>191</v>
      </c>
      <c r="BL136" s="27" t="s">
        <v>2244</v>
      </c>
      <c r="BM136" s="35">
        <v>0</v>
      </c>
    </row>
    <row r="137" spans="1:65" s="19" customFormat="1" x14ac:dyDescent="0.2">
      <c r="A137" s="33">
        <v>737</v>
      </c>
      <c r="B137" s="26">
        <v>146</v>
      </c>
      <c r="C137" s="27" t="s">
        <v>503</v>
      </c>
      <c r="D137" s="27" t="s">
        <v>2245</v>
      </c>
      <c r="E137" s="27" t="s">
        <v>222</v>
      </c>
      <c r="F137" s="27" t="s">
        <v>258</v>
      </c>
      <c r="G137" s="28">
        <v>2026</v>
      </c>
      <c r="H137" s="20" t="str">
        <f>VLOOKUP(U137,'[1]KODE TYPE standar'!$D:$U,17,0)</f>
        <v>INV REBORN</v>
      </c>
      <c r="I137" s="20" t="str">
        <f>VLOOKUP(U137,'[1]KODE TYPE standar'!$D:$U,16,0)</f>
        <v>INNOVA</v>
      </c>
      <c r="J137" s="20" t="str">
        <f>VLOOKUP(U137,'[1]KODE TYPE standar'!$D:$U,18,0)</f>
        <v>INNOVA G A/T DIESEL</v>
      </c>
      <c r="K137" s="27" t="s">
        <v>118</v>
      </c>
      <c r="L137" s="27" t="s">
        <v>110</v>
      </c>
      <c r="M137" s="27" t="s">
        <v>262</v>
      </c>
      <c r="N137" s="27" t="s">
        <v>106</v>
      </c>
      <c r="O137" s="28" t="s">
        <v>156</v>
      </c>
      <c r="P137" s="29" t="s">
        <v>151</v>
      </c>
      <c r="Q137" s="29" t="s">
        <v>161</v>
      </c>
      <c r="R137" s="29" t="s">
        <v>145</v>
      </c>
      <c r="S137" s="27" t="s">
        <v>937</v>
      </c>
      <c r="T137" s="27" t="s">
        <v>541</v>
      </c>
      <c r="U137" s="27" t="s">
        <v>192</v>
      </c>
      <c r="V137" s="27" t="s">
        <v>48</v>
      </c>
      <c r="W137" s="27" t="s">
        <v>49</v>
      </c>
      <c r="X137" s="27" t="s">
        <v>2246</v>
      </c>
      <c r="Y137" s="27" t="s">
        <v>2247</v>
      </c>
      <c r="Z137" s="27" t="s">
        <v>936</v>
      </c>
      <c r="AA137" s="27" t="s">
        <v>937</v>
      </c>
      <c r="AB137" s="27" t="s">
        <v>541</v>
      </c>
      <c r="AC137" s="27" t="s">
        <v>2248</v>
      </c>
      <c r="AD137" s="27" t="s">
        <v>2249</v>
      </c>
      <c r="AE137" s="27" t="s">
        <v>110</v>
      </c>
      <c r="AF137" s="27" t="s">
        <v>2250</v>
      </c>
      <c r="AG137" s="27" t="s">
        <v>2251</v>
      </c>
      <c r="AH137" s="27" t="s">
        <v>1087</v>
      </c>
      <c r="AI137" s="27" t="s">
        <v>106</v>
      </c>
      <c r="AJ137" s="27" t="s">
        <v>262</v>
      </c>
      <c r="AK137" s="27" t="s">
        <v>63</v>
      </c>
      <c r="AL137" s="27"/>
      <c r="AM137" s="34">
        <v>442100000</v>
      </c>
      <c r="AN137" s="34">
        <v>342845982</v>
      </c>
      <c r="AO137" s="34">
        <v>58112500</v>
      </c>
      <c r="AP137" s="34">
        <v>38998660</v>
      </c>
      <c r="AQ137" s="34">
        <v>0</v>
      </c>
      <c r="AR137" s="34">
        <v>0</v>
      </c>
      <c r="AS137" s="34">
        <v>17857143</v>
      </c>
      <c r="AT137" s="34">
        <v>422100000</v>
      </c>
      <c r="AU137" s="34">
        <v>5000000</v>
      </c>
      <c r="AV137" s="34">
        <v>-20000000</v>
      </c>
      <c r="AW137" s="27"/>
      <c r="AX137" s="27"/>
      <c r="AY137" s="27" t="s">
        <v>83</v>
      </c>
      <c r="AZ137" s="27">
        <v>1</v>
      </c>
      <c r="BA137" s="27"/>
      <c r="BB137" s="27" t="s">
        <v>233</v>
      </c>
      <c r="BC137" s="27" t="s">
        <v>2252</v>
      </c>
      <c r="BD137" s="27" t="s">
        <v>218</v>
      </c>
      <c r="BE137" s="27" t="s">
        <v>218</v>
      </c>
      <c r="BF137" s="27" t="s">
        <v>2253</v>
      </c>
      <c r="BG137" s="27" t="s">
        <v>2254</v>
      </c>
      <c r="BH137" s="27" t="s">
        <v>222</v>
      </c>
      <c r="BI137" s="27" t="s">
        <v>273</v>
      </c>
      <c r="BJ137" s="27" t="s">
        <v>302</v>
      </c>
      <c r="BK137" s="27" t="s">
        <v>260</v>
      </c>
      <c r="BL137" s="27" t="s">
        <v>2255</v>
      </c>
      <c r="BM137" s="35">
        <v>0</v>
      </c>
    </row>
    <row r="138" spans="1:65" s="19" customFormat="1" x14ac:dyDescent="0.2">
      <c r="A138" s="33">
        <v>750</v>
      </c>
      <c r="B138" s="26">
        <v>146</v>
      </c>
      <c r="C138" s="27" t="s">
        <v>503</v>
      </c>
      <c r="D138" s="27" t="s">
        <v>2256</v>
      </c>
      <c r="E138" s="27" t="s">
        <v>238</v>
      </c>
      <c r="F138" s="27" t="s">
        <v>258</v>
      </c>
      <c r="G138" s="28">
        <v>2026</v>
      </c>
      <c r="H138" s="20" t="str">
        <f>VLOOKUP(U138,'[1]KODE TYPE standar'!$D:$U,17,0)</f>
        <v>HILUX</v>
      </c>
      <c r="I138" s="20" t="str">
        <f>VLOOKUP(U138,'[1]KODE TYPE standar'!$D:$U,16,0)</f>
        <v>HILUX</v>
      </c>
      <c r="J138" s="20" t="str">
        <f>VLOOKUP(U138,'[1]KODE TYPE standar'!$D:$U,18,0)</f>
        <v>HILUX DC V A/T DIESEL</v>
      </c>
      <c r="K138" s="27" t="s">
        <v>50</v>
      </c>
      <c r="L138" s="27" t="s">
        <v>110</v>
      </c>
      <c r="M138" s="27" t="s">
        <v>50</v>
      </c>
      <c r="N138" s="27" t="s">
        <v>56</v>
      </c>
      <c r="O138" s="28" t="s">
        <v>6581</v>
      </c>
      <c r="P138" s="29" t="s">
        <v>151</v>
      </c>
      <c r="Q138" s="29" t="s">
        <v>161</v>
      </c>
      <c r="R138" s="29" t="s">
        <v>145</v>
      </c>
      <c r="S138" s="27" t="s">
        <v>1555</v>
      </c>
      <c r="T138" s="27" t="s">
        <v>585</v>
      </c>
      <c r="U138" s="27" t="s">
        <v>113</v>
      </c>
      <c r="V138" s="27" t="s">
        <v>48</v>
      </c>
      <c r="W138" s="27" t="s">
        <v>49</v>
      </c>
      <c r="X138" s="27" t="s">
        <v>2257</v>
      </c>
      <c r="Y138" s="27" t="s">
        <v>2258</v>
      </c>
      <c r="Z138" s="27" t="s">
        <v>1554</v>
      </c>
      <c r="AA138" s="27" t="s">
        <v>1555</v>
      </c>
      <c r="AB138" s="27" t="s">
        <v>585</v>
      </c>
      <c r="AC138" s="27" t="s">
        <v>2259</v>
      </c>
      <c r="AD138" s="27" t="s">
        <v>2260</v>
      </c>
      <c r="AE138" s="27" t="s">
        <v>110</v>
      </c>
      <c r="AF138" s="27" t="s">
        <v>2260</v>
      </c>
      <c r="AG138" s="27" t="s">
        <v>2261</v>
      </c>
      <c r="AH138" s="27" t="s">
        <v>289</v>
      </c>
      <c r="AI138" s="27" t="s">
        <v>56</v>
      </c>
      <c r="AJ138" s="27" t="s">
        <v>50</v>
      </c>
      <c r="AK138" s="27" t="s">
        <v>50</v>
      </c>
      <c r="AL138" s="27"/>
      <c r="AM138" s="34">
        <v>545900000</v>
      </c>
      <c r="AN138" s="34">
        <v>423854911</v>
      </c>
      <c r="AO138" s="34">
        <v>71182500</v>
      </c>
      <c r="AP138" s="34">
        <v>48184017</v>
      </c>
      <c r="AQ138" s="34">
        <v>0</v>
      </c>
      <c r="AR138" s="34">
        <v>0</v>
      </c>
      <c r="AS138" s="34">
        <v>22321429</v>
      </c>
      <c r="AT138" s="34">
        <v>520900000</v>
      </c>
      <c r="AU138" s="34">
        <v>440900000</v>
      </c>
      <c r="AV138" s="34">
        <v>-25000000</v>
      </c>
      <c r="AW138" s="27"/>
      <c r="AX138" s="27"/>
      <c r="AY138" s="27" t="s">
        <v>83</v>
      </c>
      <c r="AZ138" s="27">
        <v>1</v>
      </c>
      <c r="BA138" s="27" t="s">
        <v>163</v>
      </c>
      <c r="BB138" s="27" t="s">
        <v>228</v>
      </c>
      <c r="BC138" s="27" t="s">
        <v>2262</v>
      </c>
      <c r="BD138" s="27" t="s">
        <v>228</v>
      </c>
      <c r="BE138" s="27" t="s">
        <v>228</v>
      </c>
      <c r="BF138" s="27" t="s">
        <v>2263</v>
      </c>
      <c r="BG138" s="27" t="s">
        <v>2264</v>
      </c>
      <c r="BH138" s="27"/>
      <c r="BI138" s="27" t="s">
        <v>248</v>
      </c>
      <c r="BJ138" s="27" t="s">
        <v>2265</v>
      </c>
      <c r="BK138" s="27" t="s">
        <v>237</v>
      </c>
      <c r="BL138" s="27" t="s">
        <v>2266</v>
      </c>
      <c r="BM138" s="35">
        <v>0</v>
      </c>
    </row>
    <row r="139" spans="1:65" s="19" customFormat="1" x14ac:dyDescent="0.2">
      <c r="A139" s="33">
        <v>672</v>
      </c>
      <c r="B139" s="26">
        <v>146</v>
      </c>
      <c r="C139" s="27" t="s">
        <v>503</v>
      </c>
      <c r="D139" s="27" t="s">
        <v>2267</v>
      </c>
      <c r="E139" s="27" t="s">
        <v>183</v>
      </c>
      <c r="F139" s="27" t="s">
        <v>111</v>
      </c>
      <c r="G139" s="28">
        <v>2026</v>
      </c>
      <c r="H139" s="20" t="str">
        <f>VLOOKUP(U139,'[1]KODE TYPE standar'!$D:$U,17,0)</f>
        <v>INV REBORN</v>
      </c>
      <c r="I139" s="20" t="str">
        <f>VLOOKUP(U139,'[1]KODE TYPE standar'!$D:$U,16,0)</f>
        <v>INNOVA</v>
      </c>
      <c r="J139" s="20" t="str">
        <f>VLOOKUP(U139,'[1]KODE TYPE standar'!$D:$U,18,0)</f>
        <v>INNOVA G A/T DIESEL</v>
      </c>
      <c r="K139" s="27" t="s">
        <v>50</v>
      </c>
      <c r="L139" s="27" t="s">
        <v>110</v>
      </c>
      <c r="M139" s="27" t="s">
        <v>50</v>
      </c>
      <c r="N139" s="27" t="s">
        <v>141</v>
      </c>
      <c r="O139" s="28" t="s">
        <v>156</v>
      </c>
      <c r="P139" s="29" t="s">
        <v>151</v>
      </c>
      <c r="Q139" s="29" t="s">
        <v>161</v>
      </c>
      <c r="R139" s="29" t="s">
        <v>318</v>
      </c>
      <c r="S139" s="27" t="s">
        <v>908</v>
      </c>
      <c r="T139" s="27" t="s">
        <v>509</v>
      </c>
      <c r="U139" s="27" t="s">
        <v>192</v>
      </c>
      <c r="V139" s="27" t="s">
        <v>48</v>
      </c>
      <c r="W139" s="27" t="s">
        <v>49</v>
      </c>
      <c r="X139" s="27" t="s">
        <v>2268</v>
      </c>
      <c r="Y139" s="27" t="s">
        <v>2269</v>
      </c>
      <c r="Z139" s="27" t="s">
        <v>907</v>
      </c>
      <c r="AA139" s="27" t="s">
        <v>908</v>
      </c>
      <c r="AB139" s="27" t="s">
        <v>509</v>
      </c>
      <c r="AC139" s="27" t="s">
        <v>2270</v>
      </c>
      <c r="AD139" s="27" t="s">
        <v>2271</v>
      </c>
      <c r="AE139" s="27" t="s">
        <v>110</v>
      </c>
      <c r="AF139" s="27" t="s">
        <v>2271</v>
      </c>
      <c r="AG139" s="27" t="s">
        <v>2272</v>
      </c>
      <c r="AH139" s="27" t="s">
        <v>1808</v>
      </c>
      <c r="AI139" s="27" t="s">
        <v>141</v>
      </c>
      <c r="AJ139" s="27" t="s">
        <v>50</v>
      </c>
      <c r="AK139" s="27" t="s">
        <v>50</v>
      </c>
      <c r="AL139" s="27" t="s">
        <v>2273</v>
      </c>
      <c r="AM139" s="34">
        <v>442100000</v>
      </c>
      <c r="AN139" s="34">
        <v>342845982</v>
      </c>
      <c r="AO139" s="34">
        <v>58112500</v>
      </c>
      <c r="AP139" s="34">
        <v>38462946</v>
      </c>
      <c r="AQ139" s="34">
        <v>0</v>
      </c>
      <c r="AR139" s="34">
        <v>0</v>
      </c>
      <c r="AS139" s="34">
        <v>22321429</v>
      </c>
      <c r="AT139" s="34">
        <v>417100000</v>
      </c>
      <c r="AU139" s="34">
        <v>0</v>
      </c>
      <c r="AV139" s="34">
        <v>-25000000</v>
      </c>
      <c r="AW139" s="27" t="s">
        <v>186</v>
      </c>
      <c r="AX139" s="27" t="s">
        <v>186</v>
      </c>
      <c r="AY139" s="27" t="s">
        <v>83</v>
      </c>
      <c r="AZ139" s="27">
        <v>1</v>
      </c>
      <c r="BA139" s="27"/>
      <c r="BB139" s="27" t="s">
        <v>202</v>
      </c>
      <c r="BC139" s="27" t="s">
        <v>2274</v>
      </c>
      <c r="BD139" s="27" t="s">
        <v>182</v>
      </c>
      <c r="BE139" s="27" t="s">
        <v>182</v>
      </c>
      <c r="BF139" s="27" t="s">
        <v>2275</v>
      </c>
      <c r="BG139" s="27" t="s">
        <v>2276</v>
      </c>
      <c r="BH139" s="27" t="s">
        <v>183</v>
      </c>
      <c r="BI139" s="27" t="s">
        <v>206</v>
      </c>
      <c r="BJ139" s="27" t="s">
        <v>2277</v>
      </c>
      <c r="BK139" s="27" t="s">
        <v>183</v>
      </c>
      <c r="BL139" s="27" t="s">
        <v>2278</v>
      </c>
      <c r="BM139" s="35">
        <v>0</v>
      </c>
    </row>
    <row r="140" spans="1:65" s="19" customFormat="1" x14ac:dyDescent="0.2">
      <c r="A140" s="25">
        <v>669</v>
      </c>
      <c r="B140" s="26">
        <v>146</v>
      </c>
      <c r="C140" s="27" t="s">
        <v>503</v>
      </c>
      <c r="D140" s="28" t="s">
        <v>2279</v>
      </c>
      <c r="E140" s="28" t="s">
        <v>248</v>
      </c>
      <c r="F140" s="28" t="s">
        <v>339</v>
      </c>
      <c r="G140" s="28">
        <v>2026</v>
      </c>
      <c r="H140" s="20" t="str">
        <f>VLOOKUP(U140,'[1]KODE TYPE standar'!$D:$U,17,0)</f>
        <v>VELOZ</v>
      </c>
      <c r="I140" s="20" t="str">
        <f>VLOOKUP(U140,'[1]KODE TYPE standar'!$D:$U,16,0)</f>
        <v>VELOZ</v>
      </c>
      <c r="J140" s="20" t="str">
        <f>VLOOKUP(U140,'[1]KODE TYPE standar'!$D:$U,18,0)</f>
        <v>VELOZ Q AT HYBRID</v>
      </c>
      <c r="K140" s="27" t="s">
        <v>118</v>
      </c>
      <c r="L140" s="28" t="s">
        <v>110</v>
      </c>
      <c r="M140" s="28" t="s">
        <v>262</v>
      </c>
      <c r="N140" s="28" t="s">
        <v>140</v>
      </c>
      <c r="O140" s="28" t="s">
        <v>156</v>
      </c>
      <c r="P140" s="29" t="s">
        <v>536</v>
      </c>
      <c r="Q140" s="29" t="s">
        <v>161</v>
      </c>
      <c r="R140" s="29" t="s">
        <v>145</v>
      </c>
      <c r="S140" s="27" t="s">
        <v>937</v>
      </c>
      <c r="T140" s="30" t="s">
        <v>541</v>
      </c>
      <c r="U140" s="27" t="s">
        <v>385</v>
      </c>
      <c r="V140" s="27" t="s">
        <v>51</v>
      </c>
      <c r="W140" s="27" t="s">
        <v>286</v>
      </c>
      <c r="X140" s="27" t="s">
        <v>2280</v>
      </c>
      <c r="Y140" s="27" t="s">
        <v>2281</v>
      </c>
      <c r="Z140" s="27" t="s">
        <v>936</v>
      </c>
      <c r="AA140" s="27" t="s">
        <v>937</v>
      </c>
      <c r="AB140" s="30" t="s">
        <v>541</v>
      </c>
      <c r="AC140" s="30" t="s">
        <v>2282</v>
      </c>
      <c r="AD140" s="28" t="s">
        <v>2283</v>
      </c>
      <c r="AE140" s="28" t="s">
        <v>110</v>
      </c>
      <c r="AF140" s="28" t="s">
        <v>2283</v>
      </c>
      <c r="AG140" s="28" t="s">
        <v>2284</v>
      </c>
      <c r="AH140" s="28" t="s">
        <v>844</v>
      </c>
      <c r="AI140" s="28" t="s">
        <v>140</v>
      </c>
      <c r="AJ140" s="28" t="s">
        <v>262</v>
      </c>
      <c r="AK140" s="28" t="s">
        <v>63</v>
      </c>
      <c r="AL140" s="28"/>
      <c r="AM140" s="31">
        <v>351500000</v>
      </c>
      <c r="AN140" s="31">
        <v>271841518</v>
      </c>
      <c r="AO140" s="31">
        <v>47037500</v>
      </c>
      <c r="AP140" s="31">
        <v>32620982</v>
      </c>
      <c r="AQ140" s="31">
        <v>0</v>
      </c>
      <c r="AR140" s="31">
        <v>0</v>
      </c>
      <c r="AS140" s="31">
        <v>0</v>
      </c>
      <c r="AT140" s="31">
        <v>351500000</v>
      </c>
      <c r="AU140" s="31">
        <v>0</v>
      </c>
      <c r="AV140" s="31">
        <v>0</v>
      </c>
      <c r="AW140" s="28" t="s">
        <v>244</v>
      </c>
      <c r="AX140" s="28" t="s">
        <v>244</v>
      </c>
      <c r="AY140" s="28" t="s">
        <v>83</v>
      </c>
      <c r="AZ140" s="28">
        <v>1</v>
      </c>
      <c r="BA140" s="28"/>
      <c r="BB140" s="28" t="s">
        <v>228</v>
      </c>
      <c r="BC140" s="28" t="s">
        <v>2285</v>
      </c>
      <c r="BD140" s="28" t="s">
        <v>260</v>
      </c>
      <c r="BE140" s="28" t="s">
        <v>260</v>
      </c>
      <c r="BF140" s="28" t="s">
        <v>2286</v>
      </c>
      <c r="BG140" s="28" t="s">
        <v>2287</v>
      </c>
      <c r="BH140" s="28" t="s">
        <v>248</v>
      </c>
      <c r="BI140" s="28" t="s">
        <v>294</v>
      </c>
      <c r="BJ140" s="28" t="s">
        <v>2288</v>
      </c>
      <c r="BK140" s="28" t="s">
        <v>273</v>
      </c>
      <c r="BL140" s="28" t="s">
        <v>2289</v>
      </c>
      <c r="BM140" s="32">
        <v>0</v>
      </c>
    </row>
    <row r="141" spans="1:65" s="19" customFormat="1" x14ac:dyDescent="0.2">
      <c r="A141" s="33">
        <v>763</v>
      </c>
      <c r="B141" s="26">
        <v>146</v>
      </c>
      <c r="C141" s="27" t="s">
        <v>503</v>
      </c>
      <c r="D141" s="27" t="s">
        <v>2290</v>
      </c>
      <c r="E141" s="27" t="s">
        <v>241</v>
      </c>
      <c r="F141" s="27" t="s">
        <v>258</v>
      </c>
      <c r="G141" s="28">
        <v>2026</v>
      </c>
      <c r="H141" s="20" t="str">
        <f>VLOOKUP(U141,'[1]KODE TYPE standar'!$D:$U,17,0)</f>
        <v>AVANZA</v>
      </c>
      <c r="I141" s="20" t="str">
        <f>VLOOKUP(U141,'[1]KODE TYPE standar'!$D:$U,16,0)</f>
        <v>AVANZA</v>
      </c>
      <c r="J141" s="20" t="str">
        <f>VLOOKUP(U141,'[1]KODE TYPE standar'!$D:$U,18,0)</f>
        <v>AVANZA G M/T</v>
      </c>
      <c r="K141" s="27" t="s">
        <v>121</v>
      </c>
      <c r="L141" s="27" t="s">
        <v>110</v>
      </c>
      <c r="M141" s="27" t="s">
        <v>262</v>
      </c>
      <c r="N141" s="27" t="s">
        <v>140</v>
      </c>
      <c r="O141" s="28" t="s">
        <v>156</v>
      </c>
      <c r="P141" s="29" t="s">
        <v>536</v>
      </c>
      <c r="Q141" s="29" t="s">
        <v>161</v>
      </c>
      <c r="R141" s="29" t="s">
        <v>145</v>
      </c>
      <c r="S141" s="27" t="s">
        <v>631</v>
      </c>
      <c r="T141" s="27" t="s">
        <v>541</v>
      </c>
      <c r="U141" s="27" t="s">
        <v>59</v>
      </c>
      <c r="V141" s="27" t="s">
        <v>64</v>
      </c>
      <c r="W141" s="27" t="s">
        <v>65</v>
      </c>
      <c r="X141" s="27" t="s">
        <v>2291</v>
      </c>
      <c r="Y141" s="27" t="s">
        <v>2292</v>
      </c>
      <c r="Z141" s="27" t="s">
        <v>630</v>
      </c>
      <c r="AA141" s="27" t="s">
        <v>631</v>
      </c>
      <c r="AB141" s="27" t="s">
        <v>541</v>
      </c>
      <c r="AC141" s="27" t="s">
        <v>2293</v>
      </c>
      <c r="AD141" s="27" t="s">
        <v>2294</v>
      </c>
      <c r="AE141" s="27" t="s">
        <v>110</v>
      </c>
      <c r="AF141" s="27" t="s">
        <v>2294</v>
      </c>
      <c r="AG141" s="27" t="s">
        <v>2295</v>
      </c>
      <c r="AH141" s="27" t="s">
        <v>844</v>
      </c>
      <c r="AI141" s="27" t="s">
        <v>140</v>
      </c>
      <c r="AJ141" s="27" t="s">
        <v>262</v>
      </c>
      <c r="AK141" s="27" t="s">
        <v>104</v>
      </c>
      <c r="AL141" s="27" t="s">
        <v>2296</v>
      </c>
      <c r="AM141" s="34">
        <v>269700000</v>
      </c>
      <c r="AN141" s="34">
        <v>208158482</v>
      </c>
      <c r="AO141" s="34">
        <v>36562500</v>
      </c>
      <c r="AP141" s="34">
        <v>22881597</v>
      </c>
      <c r="AQ141" s="34">
        <v>0</v>
      </c>
      <c r="AR141" s="34">
        <v>0</v>
      </c>
      <c r="AS141" s="34">
        <v>17478500</v>
      </c>
      <c r="AT141" s="34">
        <v>250124080</v>
      </c>
      <c r="AU141" s="34">
        <v>0</v>
      </c>
      <c r="AV141" s="34">
        <v>-20537458</v>
      </c>
      <c r="AW141" s="27" t="s">
        <v>278</v>
      </c>
      <c r="AX141" s="27" t="s">
        <v>278</v>
      </c>
      <c r="AY141" s="27" t="s">
        <v>83</v>
      </c>
      <c r="AZ141" s="27">
        <v>1</v>
      </c>
      <c r="BA141" s="27"/>
      <c r="BB141" s="27" t="s">
        <v>183</v>
      </c>
      <c r="BC141" s="27" t="s">
        <v>2297</v>
      </c>
      <c r="BD141" s="27" t="s">
        <v>202</v>
      </c>
      <c r="BE141" s="27" t="s">
        <v>202</v>
      </c>
      <c r="BF141" s="27" t="s">
        <v>2298</v>
      </c>
      <c r="BG141" s="27" t="s">
        <v>2299</v>
      </c>
      <c r="BH141" s="27" t="s">
        <v>241</v>
      </c>
      <c r="BI141" s="27" t="s">
        <v>254</v>
      </c>
      <c r="BJ141" s="27" t="s">
        <v>2300</v>
      </c>
      <c r="BK141" s="27" t="s">
        <v>203</v>
      </c>
      <c r="BL141" s="27" t="s">
        <v>2301</v>
      </c>
      <c r="BM141" s="35">
        <v>0</v>
      </c>
    </row>
    <row r="142" spans="1:65" s="19" customFormat="1" x14ac:dyDescent="0.2">
      <c r="A142" s="33">
        <v>895</v>
      </c>
      <c r="B142" s="26">
        <v>146</v>
      </c>
      <c r="C142" s="36" t="s">
        <v>503</v>
      </c>
      <c r="D142" s="27" t="s">
        <v>2302</v>
      </c>
      <c r="E142" s="27" t="s">
        <v>404</v>
      </c>
      <c r="F142" s="27" t="s">
        <v>389</v>
      </c>
      <c r="G142" s="28">
        <v>2026</v>
      </c>
      <c r="H142" s="20" t="str">
        <f>VLOOKUP(U142,'[1]KODE TYPE standar'!$D:$U,17,0)</f>
        <v>RAIZE</v>
      </c>
      <c r="I142" s="20" t="str">
        <f>VLOOKUP(U142,'[1]KODE TYPE standar'!$D:$U,16,0)</f>
        <v>RAIZE</v>
      </c>
      <c r="J142" s="20" t="str">
        <f>VLOOKUP(U142,'[1]KODE TYPE standar'!$D:$U,18,0)</f>
        <v>RAIZE S A/T</v>
      </c>
      <c r="K142" s="27" t="s">
        <v>119</v>
      </c>
      <c r="L142" s="27" t="s">
        <v>110</v>
      </c>
      <c r="M142" s="27" t="s">
        <v>262</v>
      </c>
      <c r="N142" s="27" t="s">
        <v>140</v>
      </c>
      <c r="O142" s="28" t="s">
        <v>156</v>
      </c>
      <c r="P142" s="29" t="s">
        <v>319</v>
      </c>
      <c r="Q142" s="29" t="s">
        <v>161</v>
      </c>
      <c r="R142" s="29" t="s">
        <v>597</v>
      </c>
      <c r="S142" s="27" t="s">
        <v>978</v>
      </c>
      <c r="T142" s="27" t="s">
        <v>541</v>
      </c>
      <c r="U142" s="27" t="s">
        <v>245</v>
      </c>
      <c r="V142" s="27" t="s">
        <v>68</v>
      </c>
      <c r="W142" s="27" t="s">
        <v>69</v>
      </c>
      <c r="X142" s="27" t="s">
        <v>2303</v>
      </c>
      <c r="Y142" s="27" t="s">
        <v>2304</v>
      </c>
      <c r="Z142" s="27" t="s">
        <v>977</v>
      </c>
      <c r="AA142" s="27" t="s">
        <v>978</v>
      </c>
      <c r="AB142" s="27" t="s">
        <v>541</v>
      </c>
      <c r="AC142" s="27" t="s">
        <v>2305</v>
      </c>
      <c r="AD142" s="27" t="s">
        <v>2306</v>
      </c>
      <c r="AE142" s="27" t="s">
        <v>110</v>
      </c>
      <c r="AF142" s="27" t="s">
        <v>2307</v>
      </c>
      <c r="AG142" s="27" t="s">
        <v>2308</v>
      </c>
      <c r="AH142" s="27" t="s">
        <v>881</v>
      </c>
      <c r="AI142" s="27" t="s">
        <v>140</v>
      </c>
      <c r="AJ142" s="27" t="s">
        <v>262</v>
      </c>
      <c r="AK142" s="27" t="s">
        <v>89</v>
      </c>
      <c r="AL142" s="27"/>
      <c r="AM142" s="34">
        <v>294800000</v>
      </c>
      <c r="AN142" s="34">
        <v>227544643</v>
      </c>
      <c r="AO142" s="34">
        <v>39950000</v>
      </c>
      <c r="AP142" s="34">
        <v>25698214</v>
      </c>
      <c r="AQ142" s="34">
        <v>0</v>
      </c>
      <c r="AR142" s="34">
        <v>0</v>
      </c>
      <c r="AS142" s="34">
        <v>13392857</v>
      </c>
      <c r="AT142" s="34">
        <v>279800000</v>
      </c>
      <c r="AU142" s="34">
        <v>0</v>
      </c>
      <c r="AV142" s="34">
        <v>-15000000</v>
      </c>
      <c r="AW142" s="27" t="s">
        <v>360</v>
      </c>
      <c r="AX142" s="27" t="s">
        <v>360</v>
      </c>
      <c r="AY142" s="27" t="s">
        <v>83</v>
      </c>
      <c r="AZ142" s="27">
        <v>1</v>
      </c>
      <c r="BA142" s="27"/>
      <c r="BB142" s="27" t="s">
        <v>404</v>
      </c>
      <c r="BC142" s="27" t="s">
        <v>2309</v>
      </c>
      <c r="BD142" s="27" t="s">
        <v>2310</v>
      </c>
      <c r="BE142" s="27" t="s">
        <v>2310</v>
      </c>
      <c r="BF142" s="27" t="s">
        <v>2311</v>
      </c>
      <c r="BG142" s="27" t="s">
        <v>2312</v>
      </c>
      <c r="BH142" s="27" t="s">
        <v>404</v>
      </c>
      <c r="BI142" s="27" t="s">
        <v>405</v>
      </c>
      <c r="BJ142" s="27" t="s">
        <v>2313</v>
      </c>
      <c r="BK142" s="27" t="s">
        <v>221</v>
      </c>
      <c r="BL142" s="27" t="s">
        <v>2314</v>
      </c>
      <c r="BM142" s="35">
        <v>0</v>
      </c>
    </row>
    <row r="143" spans="1:65" s="19" customFormat="1" x14ac:dyDescent="0.2">
      <c r="A143" s="33">
        <v>696</v>
      </c>
      <c r="B143" s="26">
        <v>146</v>
      </c>
      <c r="C143" s="27" t="s">
        <v>503</v>
      </c>
      <c r="D143" s="27" t="s">
        <v>2315</v>
      </c>
      <c r="E143" s="27" t="s">
        <v>213</v>
      </c>
      <c r="F143" s="27" t="s">
        <v>111</v>
      </c>
      <c r="G143" s="28">
        <v>2026</v>
      </c>
      <c r="H143" s="20" t="str">
        <f>VLOOKUP(U143,'[1]KODE TYPE standar'!$D:$U,17,0)</f>
        <v>AVANZA</v>
      </c>
      <c r="I143" s="20" t="str">
        <f>VLOOKUP(U143,'[1]KODE TYPE standar'!$D:$U,16,0)</f>
        <v>AVANZA</v>
      </c>
      <c r="J143" s="20" t="str">
        <f>VLOOKUP(U143,'[1]KODE TYPE standar'!$D:$U,18,0)</f>
        <v>AVANZA E A/T</v>
      </c>
      <c r="K143" s="27" t="s">
        <v>118</v>
      </c>
      <c r="L143" s="27" t="s">
        <v>110</v>
      </c>
      <c r="M143" s="27" t="s">
        <v>262</v>
      </c>
      <c r="N143" s="27" t="s">
        <v>140</v>
      </c>
      <c r="O143" s="28" t="s">
        <v>156</v>
      </c>
      <c r="P143" s="29" t="s">
        <v>149</v>
      </c>
      <c r="Q143" s="29" t="s">
        <v>162</v>
      </c>
      <c r="R143" s="29" t="s">
        <v>597</v>
      </c>
      <c r="S143" s="27" t="s">
        <v>631</v>
      </c>
      <c r="T143" s="27" t="s">
        <v>541</v>
      </c>
      <c r="U143" s="27" t="s">
        <v>84</v>
      </c>
      <c r="V143" s="27" t="s">
        <v>60</v>
      </c>
      <c r="W143" s="27" t="s">
        <v>61</v>
      </c>
      <c r="X143" s="27" t="s">
        <v>2316</v>
      </c>
      <c r="Y143" s="27" t="s">
        <v>2317</v>
      </c>
      <c r="Z143" s="27" t="s">
        <v>630</v>
      </c>
      <c r="AA143" s="27" t="s">
        <v>631</v>
      </c>
      <c r="AB143" s="27" t="s">
        <v>541</v>
      </c>
      <c r="AC143" s="27" t="s">
        <v>2318</v>
      </c>
      <c r="AD143" s="27" t="s">
        <v>2319</v>
      </c>
      <c r="AE143" s="27" t="s">
        <v>110</v>
      </c>
      <c r="AF143" s="27" t="s">
        <v>2319</v>
      </c>
      <c r="AG143" s="27" t="s">
        <v>2320</v>
      </c>
      <c r="AH143" s="27" t="s">
        <v>1215</v>
      </c>
      <c r="AI143" s="27" t="s">
        <v>140</v>
      </c>
      <c r="AJ143" s="27" t="s">
        <v>262</v>
      </c>
      <c r="AK143" s="27" t="s">
        <v>63</v>
      </c>
      <c r="AL143" s="27"/>
      <c r="AM143" s="34">
        <v>261700000</v>
      </c>
      <c r="AN143" s="34">
        <v>201908482</v>
      </c>
      <c r="AO143" s="34">
        <v>35562500</v>
      </c>
      <c r="AP143" s="34">
        <v>22086160</v>
      </c>
      <c r="AQ143" s="34">
        <v>0</v>
      </c>
      <c r="AR143" s="34">
        <v>0</v>
      </c>
      <c r="AS143" s="34">
        <v>17857143</v>
      </c>
      <c r="AT143" s="34">
        <v>241700000</v>
      </c>
      <c r="AU143" s="34">
        <v>0</v>
      </c>
      <c r="AV143" s="34">
        <v>-20000000</v>
      </c>
      <c r="AW143" s="27"/>
      <c r="AX143" s="27"/>
      <c r="AY143" s="27" t="s">
        <v>83</v>
      </c>
      <c r="AZ143" s="27">
        <v>1</v>
      </c>
      <c r="BA143" s="27"/>
      <c r="BB143" s="27" t="s">
        <v>213</v>
      </c>
      <c r="BC143" s="27" t="s">
        <v>2321</v>
      </c>
      <c r="BD143" s="27" t="s">
        <v>213</v>
      </c>
      <c r="BE143" s="27" t="s">
        <v>213</v>
      </c>
      <c r="BF143" s="27" t="s">
        <v>2322</v>
      </c>
      <c r="BG143" s="27" t="s">
        <v>2323</v>
      </c>
      <c r="BH143" s="27" t="s">
        <v>213</v>
      </c>
      <c r="BI143" s="27" t="s">
        <v>232</v>
      </c>
      <c r="BJ143" s="27" t="s">
        <v>2324</v>
      </c>
      <c r="BK143" s="27" t="s">
        <v>213</v>
      </c>
      <c r="BL143" s="27" t="s">
        <v>2325</v>
      </c>
      <c r="BM143" s="35">
        <v>0</v>
      </c>
    </row>
    <row r="144" spans="1:65" s="19" customFormat="1" x14ac:dyDescent="0.2">
      <c r="A144" s="25">
        <v>701</v>
      </c>
      <c r="B144" s="26">
        <v>146</v>
      </c>
      <c r="C144" s="27" t="s">
        <v>503</v>
      </c>
      <c r="D144" s="28" t="s">
        <v>2326</v>
      </c>
      <c r="E144" s="28" t="s">
        <v>248</v>
      </c>
      <c r="F144" s="28" t="s">
        <v>339</v>
      </c>
      <c r="G144" s="28">
        <v>2026</v>
      </c>
      <c r="H144" s="20" t="str">
        <f>VLOOKUP(U144,'[1]KODE TYPE standar'!$D:$U,17,0)</f>
        <v>AVANZA</v>
      </c>
      <c r="I144" s="20" t="str">
        <f>VLOOKUP(U144,'[1]KODE TYPE standar'!$D:$U,16,0)</f>
        <v>AVANZA</v>
      </c>
      <c r="J144" s="20" t="str">
        <f>VLOOKUP(U144,'[1]KODE TYPE standar'!$D:$U,18,0)</f>
        <v>AVANZA E A/T</v>
      </c>
      <c r="K144" s="27" t="s">
        <v>121</v>
      </c>
      <c r="L144" s="28" t="s">
        <v>110</v>
      </c>
      <c r="M144" s="28" t="s">
        <v>262</v>
      </c>
      <c r="N144" s="28" t="s">
        <v>141</v>
      </c>
      <c r="O144" s="28" t="s">
        <v>156</v>
      </c>
      <c r="P144" s="29" t="s">
        <v>149</v>
      </c>
      <c r="Q144" s="29" t="s">
        <v>161</v>
      </c>
      <c r="R144" s="29" t="s">
        <v>318</v>
      </c>
      <c r="S144" s="27" t="s">
        <v>781</v>
      </c>
      <c r="T144" s="30" t="s">
        <v>585</v>
      </c>
      <c r="U144" s="27" t="s">
        <v>328</v>
      </c>
      <c r="V144" s="27" t="s">
        <v>64</v>
      </c>
      <c r="W144" s="27" t="s">
        <v>65</v>
      </c>
      <c r="X144" s="27" t="s">
        <v>2327</v>
      </c>
      <c r="Y144" s="27" t="s">
        <v>2328</v>
      </c>
      <c r="Z144" s="27" t="s">
        <v>780</v>
      </c>
      <c r="AA144" s="27" t="s">
        <v>781</v>
      </c>
      <c r="AB144" s="30" t="s">
        <v>585</v>
      </c>
      <c r="AC144" s="30" t="s">
        <v>2329</v>
      </c>
      <c r="AD144" s="28" t="s">
        <v>2330</v>
      </c>
      <c r="AE144" s="28" t="s">
        <v>110</v>
      </c>
      <c r="AF144" s="28" t="s">
        <v>2330</v>
      </c>
      <c r="AG144" s="28" t="s">
        <v>2331</v>
      </c>
      <c r="AH144" s="28" t="s">
        <v>636</v>
      </c>
      <c r="AI144" s="28" t="s">
        <v>141</v>
      </c>
      <c r="AJ144" s="28" t="s">
        <v>262</v>
      </c>
      <c r="AK144" s="28" t="s">
        <v>104</v>
      </c>
      <c r="AL144" s="28"/>
      <c r="AM144" s="31">
        <v>261700000</v>
      </c>
      <c r="AN144" s="31">
        <v>201685268</v>
      </c>
      <c r="AO144" s="31">
        <v>35812500</v>
      </c>
      <c r="AP144" s="31">
        <v>22487946</v>
      </c>
      <c r="AQ144" s="31">
        <v>0</v>
      </c>
      <c r="AR144" s="31">
        <v>0</v>
      </c>
      <c r="AS144" s="31">
        <v>14285714</v>
      </c>
      <c r="AT144" s="31">
        <v>245700000</v>
      </c>
      <c r="AU144" s="31">
        <v>0</v>
      </c>
      <c r="AV144" s="31">
        <v>-16000000</v>
      </c>
      <c r="AW144" s="28" t="s">
        <v>251</v>
      </c>
      <c r="AX144" s="28" t="s">
        <v>251</v>
      </c>
      <c r="AY144" s="28" t="s">
        <v>83</v>
      </c>
      <c r="AZ144" s="28">
        <v>1</v>
      </c>
      <c r="BA144" s="28" t="s">
        <v>163</v>
      </c>
      <c r="BB144" s="28" t="s">
        <v>242</v>
      </c>
      <c r="BC144" s="28" t="s">
        <v>2332</v>
      </c>
      <c r="BD144" s="28" t="s">
        <v>242</v>
      </c>
      <c r="BE144" s="28" t="s">
        <v>242</v>
      </c>
      <c r="BF144" s="28" t="s">
        <v>2333</v>
      </c>
      <c r="BG144" s="28" t="s">
        <v>2334</v>
      </c>
      <c r="BH144" s="28" t="s">
        <v>248</v>
      </c>
      <c r="BI144" s="28" t="s">
        <v>294</v>
      </c>
      <c r="BJ144" s="28" t="s">
        <v>355</v>
      </c>
      <c r="BK144" s="28" t="s">
        <v>246</v>
      </c>
      <c r="BL144" s="28" t="s">
        <v>2335</v>
      </c>
      <c r="BM144" s="32">
        <v>0</v>
      </c>
    </row>
    <row r="145" spans="1:65" s="19" customFormat="1" x14ac:dyDescent="0.2">
      <c r="A145" s="33">
        <v>791</v>
      </c>
      <c r="B145" s="26">
        <v>146</v>
      </c>
      <c r="C145" s="27" t="s">
        <v>503</v>
      </c>
      <c r="D145" s="27" t="s">
        <v>2336</v>
      </c>
      <c r="E145" s="27" t="s">
        <v>238</v>
      </c>
      <c r="F145" s="27" t="s">
        <v>258</v>
      </c>
      <c r="G145" s="28">
        <v>2026</v>
      </c>
      <c r="H145" s="20" t="str">
        <f>VLOOKUP(U145,'[1]KODE TYPE standar'!$D:$U,17,0)</f>
        <v>INV REBORN</v>
      </c>
      <c r="I145" s="20" t="str">
        <f>VLOOKUP(U145,'[1]KODE TYPE standar'!$D:$U,16,0)</f>
        <v>INNOVA</v>
      </c>
      <c r="J145" s="20" t="str">
        <f>VLOOKUP(U145,'[1]KODE TYPE standar'!$D:$U,18,0)</f>
        <v>INNOVA G A/T DIESEL</v>
      </c>
      <c r="K145" s="27" t="s">
        <v>119</v>
      </c>
      <c r="L145" s="27" t="s">
        <v>110</v>
      </c>
      <c r="M145" s="27" t="s">
        <v>262</v>
      </c>
      <c r="N145" s="27" t="s">
        <v>141</v>
      </c>
      <c r="O145" s="28" t="s">
        <v>156</v>
      </c>
      <c r="P145" s="29" t="s">
        <v>149</v>
      </c>
      <c r="Q145" s="29" t="s">
        <v>161</v>
      </c>
      <c r="R145" s="29" t="s">
        <v>145</v>
      </c>
      <c r="S145" s="27" t="s">
        <v>709</v>
      </c>
      <c r="T145" s="27" t="s">
        <v>585</v>
      </c>
      <c r="U145" s="27" t="s">
        <v>192</v>
      </c>
      <c r="V145" s="27" t="s">
        <v>48</v>
      </c>
      <c r="W145" s="27" t="s">
        <v>49</v>
      </c>
      <c r="X145" s="27" t="s">
        <v>2337</v>
      </c>
      <c r="Y145" s="27" t="s">
        <v>2338</v>
      </c>
      <c r="Z145" s="27" t="s">
        <v>708</v>
      </c>
      <c r="AA145" s="27" t="s">
        <v>709</v>
      </c>
      <c r="AB145" s="27" t="s">
        <v>585</v>
      </c>
      <c r="AC145" s="27" t="s">
        <v>2339</v>
      </c>
      <c r="AD145" s="27" t="s">
        <v>2340</v>
      </c>
      <c r="AE145" s="27" t="s">
        <v>110</v>
      </c>
      <c r="AF145" s="27" t="s">
        <v>2340</v>
      </c>
      <c r="AG145" s="27" t="s">
        <v>2341</v>
      </c>
      <c r="AH145" s="27" t="s">
        <v>1694</v>
      </c>
      <c r="AI145" s="27" t="s">
        <v>141</v>
      </c>
      <c r="AJ145" s="27" t="s">
        <v>262</v>
      </c>
      <c r="AK145" s="27" t="s">
        <v>89</v>
      </c>
      <c r="AL145" s="27"/>
      <c r="AM145" s="34">
        <v>442100000</v>
      </c>
      <c r="AN145" s="34">
        <v>342845982</v>
      </c>
      <c r="AO145" s="34">
        <v>58112500</v>
      </c>
      <c r="AP145" s="34">
        <v>38998660</v>
      </c>
      <c r="AQ145" s="34">
        <v>0</v>
      </c>
      <c r="AR145" s="34">
        <v>0</v>
      </c>
      <c r="AS145" s="34">
        <v>17857143</v>
      </c>
      <c r="AT145" s="34">
        <v>422100000</v>
      </c>
      <c r="AU145" s="34">
        <v>5000000</v>
      </c>
      <c r="AV145" s="34">
        <v>-20000000</v>
      </c>
      <c r="AW145" s="27"/>
      <c r="AX145" s="27"/>
      <c r="AY145" s="27" t="s">
        <v>83</v>
      </c>
      <c r="AZ145" s="27">
        <v>1</v>
      </c>
      <c r="BA145" s="27" t="s">
        <v>163</v>
      </c>
      <c r="BB145" s="27" t="s">
        <v>260</v>
      </c>
      <c r="BC145" s="27" t="s">
        <v>2342</v>
      </c>
      <c r="BD145" s="27" t="s">
        <v>260</v>
      </c>
      <c r="BE145" s="27" t="s">
        <v>260</v>
      </c>
      <c r="BF145" s="27" t="s">
        <v>2343</v>
      </c>
      <c r="BG145" s="27" t="s">
        <v>2344</v>
      </c>
      <c r="BH145" s="27"/>
      <c r="BI145" s="27" t="s">
        <v>248</v>
      </c>
      <c r="BJ145" s="27" t="s">
        <v>2345</v>
      </c>
      <c r="BK145" s="27" t="s">
        <v>228</v>
      </c>
      <c r="BL145" s="27" t="s">
        <v>2346</v>
      </c>
      <c r="BM145" s="35">
        <v>0</v>
      </c>
    </row>
    <row r="146" spans="1:65" s="19" customFormat="1" x14ac:dyDescent="0.2">
      <c r="A146" s="33">
        <v>930</v>
      </c>
      <c r="B146" s="26">
        <v>146</v>
      </c>
      <c r="C146" s="36" t="s">
        <v>503</v>
      </c>
      <c r="D146" s="27" t="s">
        <v>2347</v>
      </c>
      <c r="E146" s="27" t="s">
        <v>394</v>
      </c>
      <c r="F146" s="27" t="s">
        <v>389</v>
      </c>
      <c r="G146" s="28">
        <v>2026</v>
      </c>
      <c r="H146" s="20" t="str">
        <f>VLOOKUP(U146,'[1]KODE TYPE standar'!$D:$U,17,0)</f>
        <v>HIACE</v>
      </c>
      <c r="I146" s="20" t="str">
        <f>VLOOKUP(U146,'[1]KODE TYPE standar'!$D:$U,16,0)</f>
        <v>HIACE</v>
      </c>
      <c r="J146" s="20" t="str">
        <f>VLOOKUP(U146,'[1]KODE TYPE standar'!$D:$U,18,0)</f>
        <v>HIACE PREMIO</v>
      </c>
      <c r="K146" s="27" t="s">
        <v>119</v>
      </c>
      <c r="L146" s="27" t="s">
        <v>110</v>
      </c>
      <c r="M146" s="27" t="s">
        <v>262</v>
      </c>
      <c r="N146" s="27" t="s">
        <v>140</v>
      </c>
      <c r="O146" s="28" t="s">
        <v>156</v>
      </c>
      <c r="P146" s="29" t="s">
        <v>149</v>
      </c>
      <c r="Q146" s="29" t="s">
        <v>161</v>
      </c>
      <c r="R146" s="29" t="s">
        <v>145</v>
      </c>
      <c r="S146" s="27" t="s">
        <v>584</v>
      </c>
      <c r="T146" s="27" t="s">
        <v>585</v>
      </c>
      <c r="U146" s="27" t="s">
        <v>173</v>
      </c>
      <c r="V146" s="27" t="s">
        <v>99</v>
      </c>
      <c r="W146" s="27" t="s">
        <v>61</v>
      </c>
      <c r="X146" s="27" t="s">
        <v>2348</v>
      </c>
      <c r="Y146" s="27" t="s">
        <v>2349</v>
      </c>
      <c r="Z146" s="27" t="s">
        <v>583</v>
      </c>
      <c r="AA146" s="27" t="s">
        <v>584</v>
      </c>
      <c r="AB146" s="27" t="s">
        <v>585</v>
      </c>
      <c r="AC146" s="27" t="s">
        <v>2350</v>
      </c>
      <c r="AD146" s="27" t="s">
        <v>2351</v>
      </c>
      <c r="AE146" s="27" t="s">
        <v>110</v>
      </c>
      <c r="AF146" s="27" t="s">
        <v>2352</v>
      </c>
      <c r="AG146" s="27" t="s">
        <v>1161</v>
      </c>
      <c r="AH146" s="27" t="s">
        <v>844</v>
      </c>
      <c r="AI146" s="27" t="s">
        <v>140</v>
      </c>
      <c r="AJ146" s="27" t="s">
        <v>262</v>
      </c>
      <c r="AK146" s="27" t="s">
        <v>89</v>
      </c>
      <c r="AL146" s="27"/>
      <c r="AM146" s="34">
        <v>678400000</v>
      </c>
      <c r="AN146" s="34">
        <v>525133929</v>
      </c>
      <c r="AO146" s="34">
        <v>90250000</v>
      </c>
      <c r="AP146" s="34">
        <v>60337500</v>
      </c>
      <c r="AQ146" s="34">
        <v>0</v>
      </c>
      <c r="AR146" s="34">
        <v>0</v>
      </c>
      <c r="AS146" s="34">
        <v>22321429</v>
      </c>
      <c r="AT146" s="34">
        <v>653400000</v>
      </c>
      <c r="AU146" s="34">
        <v>0</v>
      </c>
      <c r="AV146" s="34">
        <v>-25000000</v>
      </c>
      <c r="AW146" s="27" t="s">
        <v>367</v>
      </c>
      <c r="AX146" s="27" t="s">
        <v>367</v>
      </c>
      <c r="AY146" s="27" t="s">
        <v>83</v>
      </c>
      <c r="AZ146" s="27">
        <v>1</v>
      </c>
      <c r="BA146" s="27" t="s">
        <v>163</v>
      </c>
      <c r="BB146" s="27" t="s">
        <v>298</v>
      </c>
      <c r="BC146" s="27" t="s">
        <v>2353</v>
      </c>
      <c r="BD146" s="27" t="s">
        <v>298</v>
      </c>
      <c r="BE146" s="27" t="s">
        <v>298</v>
      </c>
      <c r="BF146" s="27" t="s">
        <v>2354</v>
      </c>
      <c r="BG146" s="27" t="s">
        <v>2355</v>
      </c>
      <c r="BH146" s="27" t="s">
        <v>394</v>
      </c>
      <c r="BI146" s="27" t="s">
        <v>392</v>
      </c>
      <c r="BJ146" s="27" t="s">
        <v>578</v>
      </c>
      <c r="BK146" s="27" t="s">
        <v>273</v>
      </c>
      <c r="BL146" s="27" t="s">
        <v>2356</v>
      </c>
      <c r="BM146" s="35">
        <v>0</v>
      </c>
    </row>
    <row r="147" spans="1:65" s="19" customFormat="1" x14ac:dyDescent="0.2">
      <c r="A147" s="25">
        <v>712</v>
      </c>
      <c r="B147" s="26">
        <v>146</v>
      </c>
      <c r="C147" s="27" t="s">
        <v>503</v>
      </c>
      <c r="D147" s="28" t="s">
        <v>2357</v>
      </c>
      <c r="E147" s="28" t="s">
        <v>242</v>
      </c>
      <c r="F147" s="28" t="s">
        <v>339</v>
      </c>
      <c r="G147" s="28">
        <v>2026</v>
      </c>
      <c r="H147" s="20" t="str">
        <f>VLOOKUP(U147,'[1]KODE TYPE standar'!$D:$U,17,0)</f>
        <v>CALYA</v>
      </c>
      <c r="I147" s="20" t="str">
        <f>VLOOKUP(U147,'[1]KODE TYPE standar'!$D:$U,16,0)</f>
        <v>CALYA</v>
      </c>
      <c r="J147" s="20" t="str">
        <f>VLOOKUP(U147,'[1]KODE TYPE standar'!$D:$U,18,0)</f>
        <v>CALYA G A/T</v>
      </c>
      <c r="K147" s="27" t="s">
        <v>118</v>
      </c>
      <c r="L147" s="28" t="s">
        <v>110</v>
      </c>
      <c r="M147" s="28" t="s">
        <v>262</v>
      </c>
      <c r="N147" s="28" t="s">
        <v>140</v>
      </c>
      <c r="O147" s="28" t="s">
        <v>156</v>
      </c>
      <c r="P147" s="29" t="s">
        <v>151</v>
      </c>
      <c r="Q147" s="29" t="s">
        <v>161</v>
      </c>
      <c r="R147" s="29" t="s">
        <v>2197</v>
      </c>
      <c r="S147" s="28" t="s">
        <v>795</v>
      </c>
      <c r="T147" s="28" t="s">
        <v>509</v>
      </c>
      <c r="U147" s="27" t="s">
        <v>88</v>
      </c>
      <c r="V147" s="27" t="s">
        <v>68</v>
      </c>
      <c r="W147" s="27" t="s">
        <v>69</v>
      </c>
      <c r="X147" s="28" t="s">
        <v>2358</v>
      </c>
      <c r="Y147" s="27" t="s">
        <v>2359</v>
      </c>
      <c r="Z147" s="28" t="s">
        <v>794</v>
      </c>
      <c r="AA147" s="28" t="s">
        <v>795</v>
      </c>
      <c r="AB147" s="28" t="s">
        <v>509</v>
      </c>
      <c r="AC147" s="28" t="s">
        <v>2360</v>
      </c>
      <c r="AD147" s="28" t="s">
        <v>2361</v>
      </c>
      <c r="AE147" s="28" t="s">
        <v>110</v>
      </c>
      <c r="AF147" s="28" t="s">
        <v>2361</v>
      </c>
      <c r="AG147" s="28" t="s">
        <v>2362</v>
      </c>
      <c r="AH147" s="28" t="s">
        <v>2363</v>
      </c>
      <c r="AI147" s="28" t="s">
        <v>140</v>
      </c>
      <c r="AJ147" s="28" t="s">
        <v>262</v>
      </c>
      <c r="AK147" s="28" t="s">
        <v>63</v>
      </c>
      <c r="AL147" s="28" t="s">
        <v>2364</v>
      </c>
      <c r="AM147" s="31">
        <v>196400000</v>
      </c>
      <c r="AN147" s="31">
        <v>150669643</v>
      </c>
      <c r="AO147" s="31">
        <v>27650000</v>
      </c>
      <c r="AP147" s="31">
        <v>16901785</v>
      </c>
      <c r="AQ147" s="31">
        <v>0</v>
      </c>
      <c r="AR147" s="31">
        <v>0</v>
      </c>
      <c r="AS147" s="31">
        <v>9821429</v>
      </c>
      <c r="AT147" s="31">
        <v>185400000</v>
      </c>
      <c r="AU147" s="31">
        <v>0</v>
      </c>
      <c r="AV147" s="31">
        <v>-11000000</v>
      </c>
      <c r="AW147" s="28" t="s">
        <v>248</v>
      </c>
      <c r="AX147" s="28" t="s">
        <v>248</v>
      </c>
      <c r="AY147" s="28" t="s">
        <v>83</v>
      </c>
      <c r="AZ147" s="28">
        <v>1</v>
      </c>
      <c r="BA147" s="28"/>
      <c r="BB147" s="28" t="s">
        <v>254</v>
      </c>
      <c r="BC147" s="28" t="s">
        <v>2365</v>
      </c>
      <c r="BD147" s="28" t="s">
        <v>254</v>
      </c>
      <c r="BE147" s="28" t="s">
        <v>254</v>
      </c>
      <c r="BF147" s="28" t="s">
        <v>2366</v>
      </c>
      <c r="BG147" s="28" t="s">
        <v>2367</v>
      </c>
      <c r="BH147" s="28" t="s">
        <v>242</v>
      </c>
      <c r="BI147" s="28" t="s">
        <v>349</v>
      </c>
      <c r="BJ147" s="28" t="s">
        <v>2368</v>
      </c>
      <c r="BK147" s="28" t="s">
        <v>254</v>
      </c>
      <c r="BL147" s="28" t="s">
        <v>2369</v>
      </c>
      <c r="BM147" s="32">
        <v>0</v>
      </c>
    </row>
    <row r="148" spans="1:65" s="19" customFormat="1" x14ac:dyDescent="0.2">
      <c r="A148" s="33">
        <v>715</v>
      </c>
      <c r="B148" s="26">
        <v>146</v>
      </c>
      <c r="C148" s="27" t="s">
        <v>503</v>
      </c>
      <c r="D148" s="27" t="s">
        <v>2370</v>
      </c>
      <c r="E148" s="27" t="s">
        <v>204</v>
      </c>
      <c r="F148" s="27" t="s">
        <v>111</v>
      </c>
      <c r="G148" s="28">
        <v>2026</v>
      </c>
      <c r="H148" s="20" t="str">
        <f>VLOOKUP(U148,'[1]KODE TYPE standar'!$D:$U,17,0)</f>
        <v>AVANZA</v>
      </c>
      <c r="I148" s="20" t="str">
        <f>VLOOKUP(U148,'[1]KODE TYPE standar'!$D:$U,16,0)</f>
        <v>AVANZA</v>
      </c>
      <c r="J148" s="20" t="str">
        <f>VLOOKUP(U148,'[1]KODE TYPE standar'!$D:$U,18,0)</f>
        <v>AVANZA E M/T</v>
      </c>
      <c r="K148" s="27" t="s">
        <v>118</v>
      </c>
      <c r="L148" s="27" t="s">
        <v>110</v>
      </c>
      <c r="M148" s="27" t="s">
        <v>262</v>
      </c>
      <c r="N148" s="27" t="s">
        <v>167</v>
      </c>
      <c r="O148" s="28" t="s">
        <v>6581</v>
      </c>
      <c r="P148" s="29" t="s">
        <v>151</v>
      </c>
      <c r="Q148" s="29" t="s">
        <v>161</v>
      </c>
      <c r="R148" s="29" t="s">
        <v>2197</v>
      </c>
      <c r="S148" s="27" t="s">
        <v>892</v>
      </c>
      <c r="T148" s="27" t="s">
        <v>541</v>
      </c>
      <c r="U148" s="27" t="s">
        <v>386</v>
      </c>
      <c r="V148" s="27" t="s">
        <v>64</v>
      </c>
      <c r="W148" s="27" t="s">
        <v>65</v>
      </c>
      <c r="X148" s="27" t="s">
        <v>2371</v>
      </c>
      <c r="Y148" s="27" t="s">
        <v>2372</v>
      </c>
      <c r="Z148" s="27" t="s">
        <v>891</v>
      </c>
      <c r="AA148" s="27" t="s">
        <v>892</v>
      </c>
      <c r="AB148" s="27" t="s">
        <v>541</v>
      </c>
      <c r="AC148" s="27" t="s">
        <v>2373</v>
      </c>
      <c r="AD148" s="27" t="s">
        <v>2374</v>
      </c>
      <c r="AE148" s="27" t="s">
        <v>110</v>
      </c>
      <c r="AF148" s="27" t="s">
        <v>2374</v>
      </c>
      <c r="AG148" s="27" t="s">
        <v>2375</v>
      </c>
      <c r="AH148" s="27" t="s">
        <v>2376</v>
      </c>
      <c r="AI148" s="27" t="s">
        <v>167</v>
      </c>
      <c r="AJ148" s="27" t="s">
        <v>262</v>
      </c>
      <c r="AK148" s="27" t="s">
        <v>63</v>
      </c>
      <c r="AL148" s="27" t="s">
        <v>2377</v>
      </c>
      <c r="AM148" s="34">
        <v>244500000</v>
      </c>
      <c r="AN148" s="34">
        <v>187676339</v>
      </c>
      <c r="AO148" s="34">
        <v>34302500</v>
      </c>
      <c r="AP148" s="34">
        <v>20378303</v>
      </c>
      <c r="AQ148" s="34">
        <v>0</v>
      </c>
      <c r="AR148" s="34">
        <v>0</v>
      </c>
      <c r="AS148" s="34">
        <v>17857143</v>
      </c>
      <c r="AT148" s="34">
        <v>224500000</v>
      </c>
      <c r="AU148" s="34">
        <v>0</v>
      </c>
      <c r="AV148" s="34">
        <v>-20000000</v>
      </c>
      <c r="AW148" s="27" t="s">
        <v>206</v>
      </c>
      <c r="AX148" s="27" t="s">
        <v>206</v>
      </c>
      <c r="AY148" s="27" t="s">
        <v>83</v>
      </c>
      <c r="AZ148" s="27">
        <v>1</v>
      </c>
      <c r="BA148" s="27"/>
      <c r="BB148" s="27" t="s">
        <v>194</v>
      </c>
      <c r="BC148" s="27" t="s">
        <v>2378</v>
      </c>
      <c r="BD148" s="27" t="s">
        <v>202</v>
      </c>
      <c r="BE148" s="27" t="s">
        <v>202</v>
      </c>
      <c r="BF148" s="27" t="s">
        <v>2379</v>
      </c>
      <c r="BG148" s="27" t="s">
        <v>2380</v>
      </c>
      <c r="BH148" s="27" t="s">
        <v>204</v>
      </c>
      <c r="BI148" s="27" t="s">
        <v>226</v>
      </c>
      <c r="BJ148" s="27" t="s">
        <v>2381</v>
      </c>
      <c r="BK148" s="27" t="s">
        <v>199</v>
      </c>
      <c r="BL148" s="27" t="s">
        <v>2382</v>
      </c>
      <c r="BM148" s="35">
        <v>0</v>
      </c>
    </row>
    <row r="149" spans="1:65" s="19" customFormat="1" x14ac:dyDescent="0.2">
      <c r="A149" s="33">
        <v>952</v>
      </c>
      <c r="B149" s="26">
        <v>146</v>
      </c>
      <c r="C149" s="36" t="s">
        <v>503</v>
      </c>
      <c r="D149" s="27" t="s">
        <v>2383</v>
      </c>
      <c r="E149" s="27" t="s">
        <v>397</v>
      </c>
      <c r="F149" s="27" t="s">
        <v>389</v>
      </c>
      <c r="G149" s="28">
        <v>2026</v>
      </c>
      <c r="H149" s="20" t="str">
        <f>VLOOKUP(U149,'[1]KODE TYPE standar'!$D:$U,17,0)</f>
        <v>CALYA</v>
      </c>
      <c r="I149" s="20" t="str">
        <f>VLOOKUP(U149,'[1]KODE TYPE standar'!$D:$U,16,0)</f>
        <v>CALYA</v>
      </c>
      <c r="J149" s="20" t="str">
        <f>VLOOKUP(U149,'[1]KODE TYPE standar'!$D:$U,18,0)</f>
        <v>CALYA G M/T</v>
      </c>
      <c r="K149" s="27" t="s">
        <v>119</v>
      </c>
      <c r="L149" s="27" t="s">
        <v>110</v>
      </c>
      <c r="M149" s="27" t="s">
        <v>262</v>
      </c>
      <c r="N149" s="27" t="s">
        <v>144</v>
      </c>
      <c r="O149" s="28" t="s">
        <v>6581</v>
      </c>
      <c r="P149" s="29" t="s">
        <v>151</v>
      </c>
      <c r="Q149" s="29" t="s">
        <v>161</v>
      </c>
      <c r="R149" s="29" t="s">
        <v>145</v>
      </c>
      <c r="S149" s="27" t="s">
        <v>892</v>
      </c>
      <c r="T149" s="27" t="s">
        <v>541</v>
      </c>
      <c r="U149" s="27" t="s">
        <v>268</v>
      </c>
      <c r="V149" s="27" t="s">
        <v>68</v>
      </c>
      <c r="W149" s="27" t="s">
        <v>69</v>
      </c>
      <c r="X149" s="27" t="s">
        <v>2384</v>
      </c>
      <c r="Y149" s="27" t="s">
        <v>2385</v>
      </c>
      <c r="Z149" s="27" t="s">
        <v>891</v>
      </c>
      <c r="AA149" s="27" t="s">
        <v>892</v>
      </c>
      <c r="AB149" s="27" t="s">
        <v>541</v>
      </c>
      <c r="AC149" s="27" t="s">
        <v>2386</v>
      </c>
      <c r="AD149" s="27" t="s">
        <v>2387</v>
      </c>
      <c r="AE149" s="27" t="s">
        <v>110</v>
      </c>
      <c r="AF149" s="27" t="s">
        <v>2387</v>
      </c>
      <c r="AG149" s="27" t="s">
        <v>2388</v>
      </c>
      <c r="AH149" s="27" t="s">
        <v>2389</v>
      </c>
      <c r="AI149" s="27" t="s">
        <v>144</v>
      </c>
      <c r="AJ149" s="27" t="s">
        <v>262</v>
      </c>
      <c r="AK149" s="27" t="s">
        <v>89</v>
      </c>
      <c r="AL149" s="27"/>
      <c r="AM149" s="34">
        <v>181900000</v>
      </c>
      <c r="AN149" s="34">
        <v>138582589</v>
      </c>
      <c r="AO149" s="34">
        <v>26687500</v>
      </c>
      <c r="AP149" s="34">
        <v>15558482</v>
      </c>
      <c r="AQ149" s="34">
        <v>0</v>
      </c>
      <c r="AR149" s="34">
        <v>0</v>
      </c>
      <c r="AS149" s="34">
        <v>8928571</v>
      </c>
      <c r="AT149" s="34">
        <v>171900000</v>
      </c>
      <c r="AU149" s="34">
        <v>0</v>
      </c>
      <c r="AV149" s="34">
        <v>-10000000</v>
      </c>
      <c r="AW149" s="27" t="s">
        <v>303</v>
      </c>
      <c r="AX149" s="27" t="s">
        <v>303</v>
      </c>
      <c r="AY149" s="27" t="s">
        <v>83</v>
      </c>
      <c r="AZ149" s="27">
        <v>1</v>
      </c>
      <c r="BA149" s="27"/>
      <c r="BB149" s="27" t="s">
        <v>244</v>
      </c>
      <c r="BC149" s="27" t="s">
        <v>2390</v>
      </c>
      <c r="BD149" s="27" t="s">
        <v>248</v>
      </c>
      <c r="BE149" s="27" t="s">
        <v>248</v>
      </c>
      <c r="BF149" s="27" t="s">
        <v>2391</v>
      </c>
      <c r="BG149" s="27" t="s">
        <v>2392</v>
      </c>
      <c r="BH149" s="27" t="s">
        <v>397</v>
      </c>
      <c r="BI149" s="27" t="s">
        <v>395</v>
      </c>
      <c r="BJ149" s="27" t="s">
        <v>2393</v>
      </c>
      <c r="BK149" s="27" t="s">
        <v>254</v>
      </c>
      <c r="BL149" s="27" t="s">
        <v>2394</v>
      </c>
      <c r="BM149" s="35">
        <v>0</v>
      </c>
    </row>
    <row r="150" spans="1:65" s="19" customFormat="1" x14ac:dyDescent="0.2">
      <c r="A150" s="33">
        <v>978</v>
      </c>
      <c r="B150" s="26">
        <v>146</v>
      </c>
      <c r="C150" s="36" t="s">
        <v>503</v>
      </c>
      <c r="D150" s="27" t="s">
        <v>2395</v>
      </c>
      <c r="E150" s="27" t="s">
        <v>392</v>
      </c>
      <c r="F150" s="27" t="s">
        <v>389</v>
      </c>
      <c r="G150" s="28">
        <v>2026</v>
      </c>
      <c r="H150" s="20" t="str">
        <f>VLOOKUP(U150,'[1]KODE TYPE standar'!$D:$U,17,0)</f>
        <v>CALYA</v>
      </c>
      <c r="I150" s="20" t="str">
        <f>VLOOKUP(U150,'[1]KODE TYPE standar'!$D:$U,16,0)</f>
        <v>CALYA</v>
      </c>
      <c r="J150" s="20" t="str">
        <f>VLOOKUP(U150,'[1]KODE TYPE standar'!$D:$U,18,0)</f>
        <v>CALYA G M/T</v>
      </c>
      <c r="K150" s="27" t="s">
        <v>118</v>
      </c>
      <c r="L150" s="27" t="s">
        <v>110</v>
      </c>
      <c r="M150" s="27" t="s">
        <v>262</v>
      </c>
      <c r="N150" s="27" t="s">
        <v>140</v>
      </c>
      <c r="O150" s="28" t="s">
        <v>156</v>
      </c>
      <c r="P150" s="29" t="s">
        <v>151</v>
      </c>
      <c r="Q150" s="29" t="s">
        <v>161</v>
      </c>
      <c r="R150" s="29" t="s">
        <v>145</v>
      </c>
      <c r="S150" s="27" t="s">
        <v>1171</v>
      </c>
      <c r="T150" s="27" t="s">
        <v>509</v>
      </c>
      <c r="U150" s="27" t="s">
        <v>268</v>
      </c>
      <c r="V150" s="27" t="s">
        <v>60</v>
      </c>
      <c r="W150" s="27" t="s">
        <v>61</v>
      </c>
      <c r="X150" s="27" t="s">
        <v>2396</v>
      </c>
      <c r="Y150" s="27" t="s">
        <v>2397</v>
      </c>
      <c r="Z150" s="27" t="s">
        <v>1170</v>
      </c>
      <c r="AA150" s="27" t="s">
        <v>1171</v>
      </c>
      <c r="AB150" s="27" t="s">
        <v>509</v>
      </c>
      <c r="AC150" s="27" t="s">
        <v>2398</v>
      </c>
      <c r="AD150" s="27" t="s">
        <v>424</v>
      </c>
      <c r="AE150" s="27" t="s">
        <v>110</v>
      </c>
      <c r="AF150" s="27" t="s">
        <v>2399</v>
      </c>
      <c r="AG150" s="27" t="s">
        <v>2400</v>
      </c>
      <c r="AH150" s="27" t="s">
        <v>2401</v>
      </c>
      <c r="AI150" s="27" t="s">
        <v>140</v>
      </c>
      <c r="AJ150" s="27" t="s">
        <v>262</v>
      </c>
      <c r="AK150" s="27" t="s">
        <v>63</v>
      </c>
      <c r="AL150" s="27"/>
      <c r="AM150" s="34">
        <v>181900000</v>
      </c>
      <c r="AN150" s="34">
        <v>139341518</v>
      </c>
      <c r="AO150" s="34">
        <v>25837500</v>
      </c>
      <c r="AP150" s="34">
        <v>15649553</v>
      </c>
      <c r="AQ150" s="34">
        <v>0</v>
      </c>
      <c r="AR150" s="34">
        <v>0</v>
      </c>
      <c r="AS150" s="34">
        <v>8928571</v>
      </c>
      <c r="AT150" s="34">
        <v>171900000</v>
      </c>
      <c r="AU150" s="34">
        <v>2000000</v>
      </c>
      <c r="AV150" s="34">
        <v>-10000000</v>
      </c>
      <c r="AW150" s="27"/>
      <c r="AX150" s="27"/>
      <c r="AY150" s="27" t="s">
        <v>83</v>
      </c>
      <c r="AZ150" s="27">
        <v>1</v>
      </c>
      <c r="BA150" s="27"/>
      <c r="BB150" s="27" t="s">
        <v>399</v>
      </c>
      <c r="BC150" s="27" t="s">
        <v>2402</v>
      </c>
      <c r="BD150" s="27" t="s">
        <v>366</v>
      </c>
      <c r="BE150" s="27" t="s">
        <v>366</v>
      </c>
      <c r="BF150" s="27" t="s">
        <v>2403</v>
      </c>
      <c r="BG150" s="27" t="s">
        <v>2404</v>
      </c>
      <c r="BH150" s="27"/>
      <c r="BI150" s="27" t="s">
        <v>400</v>
      </c>
      <c r="BJ150" s="27" t="s">
        <v>2405</v>
      </c>
      <c r="BK150" s="27" t="s">
        <v>366</v>
      </c>
      <c r="BL150" s="27" t="s">
        <v>2406</v>
      </c>
      <c r="BM150" s="35">
        <v>0</v>
      </c>
    </row>
    <row r="151" spans="1:65" s="19" customFormat="1" x14ac:dyDescent="0.2">
      <c r="A151" s="33">
        <v>986</v>
      </c>
      <c r="B151" s="26">
        <v>146</v>
      </c>
      <c r="C151" s="36" t="s">
        <v>503</v>
      </c>
      <c r="D151" s="27" t="s">
        <v>2407</v>
      </c>
      <c r="E151" s="27" t="s">
        <v>290</v>
      </c>
      <c r="F151" s="27" t="s">
        <v>389</v>
      </c>
      <c r="G151" s="28">
        <v>2026</v>
      </c>
      <c r="H151" s="20" t="str">
        <f>VLOOKUP(U151,'[1]KODE TYPE standar'!$D:$U,17,0)</f>
        <v>INV REBORN</v>
      </c>
      <c r="I151" s="20" t="str">
        <f>VLOOKUP(U151,'[1]KODE TYPE standar'!$D:$U,16,0)</f>
        <v>INNOVA</v>
      </c>
      <c r="J151" s="20" t="str">
        <f>VLOOKUP(U151,'[1]KODE TYPE standar'!$D:$U,18,0)</f>
        <v>INNOVA G M/T DIESEL</v>
      </c>
      <c r="K151" s="27" t="s">
        <v>118</v>
      </c>
      <c r="L151" s="27" t="s">
        <v>110</v>
      </c>
      <c r="M151" s="27" t="s">
        <v>262</v>
      </c>
      <c r="N151" s="27" t="s">
        <v>56</v>
      </c>
      <c r="O151" s="28" t="s">
        <v>6581</v>
      </c>
      <c r="P151" s="29" t="s">
        <v>149</v>
      </c>
      <c r="Q151" s="29" t="s">
        <v>162</v>
      </c>
      <c r="R151" s="29" t="s">
        <v>597</v>
      </c>
      <c r="S151" s="27" t="s">
        <v>795</v>
      </c>
      <c r="T151" s="27" t="s">
        <v>509</v>
      </c>
      <c r="U151" s="27" t="s">
        <v>200</v>
      </c>
      <c r="V151" s="27" t="s">
        <v>48</v>
      </c>
      <c r="W151" s="27" t="s">
        <v>49</v>
      </c>
      <c r="X151" s="27" t="s">
        <v>2408</v>
      </c>
      <c r="Y151" s="27" t="s">
        <v>2409</v>
      </c>
      <c r="Z151" s="27" t="s">
        <v>794</v>
      </c>
      <c r="AA151" s="27" t="s">
        <v>795</v>
      </c>
      <c r="AB151" s="27" t="s">
        <v>509</v>
      </c>
      <c r="AC151" s="27" t="s">
        <v>2410</v>
      </c>
      <c r="AD151" s="27" t="s">
        <v>2411</v>
      </c>
      <c r="AE151" s="27" t="s">
        <v>110</v>
      </c>
      <c r="AF151" s="27" t="s">
        <v>2411</v>
      </c>
      <c r="AG151" s="27" t="s">
        <v>2412</v>
      </c>
      <c r="AH151" s="27" t="s">
        <v>381</v>
      </c>
      <c r="AI151" s="27" t="s">
        <v>56</v>
      </c>
      <c r="AJ151" s="27" t="s">
        <v>262</v>
      </c>
      <c r="AK151" s="27" t="s">
        <v>63</v>
      </c>
      <c r="AL151" s="27"/>
      <c r="AM151" s="34">
        <v>417800000</v>
      </c>
      <c r="AN151" s="34">
        <v>324094643</v>
      </c>
      <c r="AO151" s="34">
        <v>54814000</v>
      </c>
      <c r="AP151" s="34">
        <v>36641357</v>
      </c>
      <c r="AQ151" s="34">
        <v>0</v>
      </c>
      <c r="AR151" s="34">
        <v>0</v>
      </c>
      <c r="AS151" s="34">
        <v>18750000</v>
      </c>
      <c r="AT151" s="34">
        <v>396800000</v>
      </c>
      <c r="AU151" s="34">
        <v>0</v>
      </c>
      <c r="AV151" s="34">
        <v>-21000000</v>
      </c>
      <c r="AW151" s="27" t="s">
        <v>395</v>
      </c>
      <c r="AX151" s="27" t="s">
        <v>395</v>
      </c>
      <c r="AY151" s="27" t="s">
        <v>83</v>
      </c>
      <c r="AZ151" s="27">
        <v>1</v>
      </c>
      <c r="BA151" s="27"/>
      <c r="BB151" s="27" t="s">
        <v>358</v>
      </c>
      <c r="BC151" s="27" t="s">
        <v>2413</v>
      </c>
      <c r="BD151" s="27" t="s">
        <v>358</v>
      </c>
      <c r="BE151" s="27" t="s">
        <v>358</v>
      </c>
      <c r="BF151" s="27" t="s">
        <v>2414</v>
      </c>
      <c r="BG151" s="27" t="s">
        <v>2415</v>
      </c>
      <c r="BH151" s="27" t="s">
        <v>290</v>
      </c>
      <c r="BI151" s="27" t="s">
        <v>399</v>
      </c>
      <c r="BJ151" s="27" t="s">
        <v>2416</v>
      </c>
      <c r="BK151" s="27" t="s">
        <v>232</v>
      </c>
      <c r="BL151" s="27" t="s">
        <v>2417</v>
      </c>
      <c r="BM151" s="35">
        <v>0</v>
      </c>
    </row>
    <row r="152" spans="1:65" s="19" customFormat="1" x14ac:dyDescent="0.2">
      <c r="A152" s="33">
        <v>988</v>
      </c>
      <c r="B152" s="26">
        <v>146</v>
      </c>
      <c r="C152" s="36" t="s">
        <v>503</v>
      </c>
      <c r="D152" s="27" t="s">
        <v>2418</v>
      </c>
      <c r="E152" s="27" t="s">
        <v>395</v>
      </c>
      <c r="F152" s="27" t="s">
        <v>389</v>
      </c>
      <c r="G152" s="28">
        <v>2026</v>
      </c>
      <c r="H152" s="20" t="str">
        <f>VLOOKUP(U152,'[1]KODE TYPE standar'!$D:$U,17,0)</f>
        <v>CALYA</v>
      </c>
      <c r="I152" s="20" t="str">
        <f>VLOOKUP(U152,'[1]KODE TYPE standar'!$D:$U,16,0)</f>
        <v>CALYA</v>
      </c>
      <c r="J152" s="20" t="str">
        <f>VLOOKUP(U152,'[1]KODE TYPE standar'!$D:$U,18,0)</f>
        <v>CALYA G M/T</v>
      </c>
      <c r="K152" s="27" t="s">
        <v>119</v>
      </c>
      <c r="L152" s="27" t="s">
        <v>110</v>
      </c>
      <c r="M152" s="27" t="s">
        <v>262</v>
      </c>
      <c r="N152" s="27" t="s">
        <v>55</v>
      </c>
      <c r="O152" s="28" t="s">
        <v>6581</v>
      </c>
      <c r="P152" s="29" t="s">
        <v>151</v>
      </c>
      <c r="Q152" s="29" t="s">
        <v>161</v>
      </c>
      <c r="R152" s="29" t="s">
        <v>148</v>
      </c>
      <c r="S152" s="27" t="s">
        <v>795</v>
      </c>
      <c r="T152" s="27" t="s">
        <v>509</v>
      </c>
      <c r="U152" s="27" t="s">
        <v>268</v>
      </c>
      <c r="V152" s="27" t="s">
        <v>60</v>
      </c>
      <c r="W152" s="27" t="s">
        <v>61</v>
      </c>
      <c r="X152" s="27" t="s">
        <v>2419</v>
      </c>
      <c r="Y152" s="27" t="s">
        <v>2420</v>
      </c>
      <c r="Z152" s="27" t="s">
        <v>794</v>
      </c>
      <c r="AA152" s="27" t="s">
        <v>795</v>
      </c>
      <c r="AB152" s="27" t="s">
        <v>509</v>
      </c>
      <c r="AC152" s="27" t="s">
        <v>2421</v>
      </c>
      <c r="AD152" s="27" t="s">
        <v>2422</v>
      </c>
      <c r="AE152" s="27" t="s">
        <v>110</v>
      </c>
      <c r="AF152" s="27" t="s">
        <v>2423</v>
      </c>
      <c r="AG152" s="27" t="s">
        <v>2424</v>
      </c>
      <c r="AH152" s="27" t="s">
        <v>2425</v>
      </c>
      <c r="AI152" s="27" t="s">
        <v>55</v>
      </c>
      <c r="AJ152" s="27" t="s">
        <v>262</v>
      </c>
      <c r="AK152" s="27" t="s">
        <v>89</v>
      </c>
      <c r="AL152" s="27"/>
      <c r="AM152" s="34">
        <v>181900000</v>
      </c>
      <c r="AN152" s="34">
        <v>139037946</v>
      </c>
      <c r="AO152" s="34">
        <v>26177500</v>
      </c>
      <c r="AP152" s="34">
        <v>15613125</v>
      </c>
      <c r="AQ152" s="34">
        <v>0</v>
      </c>
      <c r="AR152" s="34">
        <v>0</v>
      </c>
      <c r="AS152" s="34">
        <v>8928571</v>
      </c>
      <c r="AT152" s="34">
        <v>171900000</v>
      </c>
      <c r="AU152" s="34">
        <v>2000000</v>
      </c>
      <c r="AV152" s="34">
        <v>-10000000</v>
      </c>
      <c r="AW152" s="27" t="s">
        <v>399</v>
      </c>
      <c r="AX152" s="27" t="s">
        <v>399</v>
      </c>
      <c r="AY152" s="27" t="s">
        <v>83</v>
      </c>
      <c r="AZ152" s="27">
        <v>1</v>
      </c>
      <c r="BA152" s="27"/>
      <c r="BB152" s="27" t="s">
        <v>308</v>
      </c>
      <c r="BC152" s="27" t="s">
        <v>2426</v>
      </c>
      <c r="BD152" s="27" t="s">
        <v>303</v>
      </c>
      <c r="BE152" s="27" t="s">
        <v>303</v>
      </c>
      <c r="BF152" s="27" t="s">
        <v>2427</v>
      </c>
      <c r="BG152" s="27" t="s">
        <v>2428</v>
      </c>
      <c r="BH152" s="27" t="s">
        <v>395</v>
      </c>
      <c r="BI152" s="27" t="s">
        <v>407</v>
      </c>
      <c r="BJ152" s="27" t="s">
        <v>1129</v>
      </c>
      <c r="BK152" s="27" t="s">
        <v>404</v>
      </c>
      <c r="BL152" s="27" t="s">
        <v>2429</v>
      </c>
      <c r="BM152" s="35">
        <v>0</v>
      </c>
    </row>
    <row r="153" spans="1:65" s="19" customFormat="1" x14ac:dyDescent="0.2">
      <c r="A153" s="33">
        <v>846</v>
      </c>
      <c r="B153" s="26">
        <v>146</v>
      </c>
      <c r="C153" s="27" t="s">
        <v>503</v>
      </c>
      <c r="D153" s="27" t="s">
        <v>2430</v>
      </c>
      <c r="E153" s="27" t="s">
        <v>231</v>
      </c>
      <c r="F153" s="27" t="s">
        <v>258</v>
      </c>
      <c r="G153" s="28">
        <v>2026</v>
      </c>
      <c r="H153" s="20" t="str">
        <f>VLOOKUP(U153,'[1]KODE TYPE standar'!$D:$U,17,0)</f>
        <v>HIACE</v>
      </c>
      <c r="I153" s="20" t="str">
        <f>VLOOKUP(U153,'[1]KODE TYPE standar'!$D:$U,16,0)</f>
        <v>HIACE</v>
      </c>
      <c r="J153" s="20" t="str">
        <f>VLOOKUP(U153,'[1]KODE TYPE standar'!$D:$U,18,0)</f>
        <v>HIACE COMM</v>
      </c>
      <c r="K153" s="27" t="s">
        <v>50</v>
      </c>
      <c r="L153" s="27" t="s">
        <v>110</v>
      </c>
      <c r="M153" s="27" t="s">
        <v>50</v>
      </c>
      <c r="N153" s="27" t="s">
        <v>141</v>
      </c>
      <c r="O153" s="28" t="s">
        <v>156</v>
      </c>
      <c r="P153" s="29" t="s">
        <v>151</v>
      </c>
      <c r="Q153" s="29" t="s">
        <v>162</v>
      </c>
      <c r="R153" s="29" t="s">
        <v>2197</v>
      </c>
      <c r="S153" s="27" t="s">
        <v>923</v>
      </c>
      <c r="T153" s="27" t="s">
        <v>541</v>
      </c>
      <c r="U153" s="27" t="s">
        <v>334</v>
      </c>
      <c r="V153" s="27" t="s">
        <v>99</v>
      </c>
      <c r="W153" s="27" t="s">
        <v>61</v>
      </c>
      <c r="X153" s="27" t="s">
        <v>2431</v>
      </c>
      <c r="Y153" s="27" t="s">
        <v>2432</v>
      </c>
      <c r="Z153" s="27" t="s">
        <v>922</v>
      </c>
      <c r="AA153" s="27" t="s">
        <v>923</v>
      </c>
      <c r="AB153" s="27" t="s">
        <v>541</v>
      </c>
      <c r="AC153" s="27" t="s">
        <v>2433</v>
      </c>
      <c r="AD153" s="27" t="s">
        <v>2434</v>
      </c>
      <c r="AE153" s="27" t="s">
        <v>110</v>
      </c>
      <c r="AF153" s="27" t="s">
        <v>2434</v>
      </c>
      <c r="AG153" s="27" t="s">
        <v>2435</v>
      </c>
      <c r="AH153" s="27" t="s">
        <v>688</v>
      </c>
      <c r="AI153" s="27" t="s">
        <v>141</v>
      </c>
      <c r="AJ153" s="27" t="s">
        <v>50</v>
      </c>
      <c r="AK153" s="27" t="s">
        <v>50</v>
      </c>
      <c r="AL153" s="27" t="s">
        <v>2436</v>
      </c>
      <c r="AM153" s="34">
        <v>578100000</v>
      </c>
      <c r="AN153" s="34">
        <v>451520270</v>
      </c>
      <c r="AO153" s="34">
        <v>76912500</v>
      </c>
      <c r="AP153" s="34">
        <v>47685247</v>
      </c>
      <c r="AQ153" s="34">
        <v>0</v>
      </c>
      <c r="AR153" s="34">
        <v>0</v>
      </c>
      <c r="AS153" s="34">
        <v>18018018</v>
      </c>
      <c r="AT153" s="34">
        <v>558100000</v>
      </c>
      <c r="AU153" s="34">
        <v>0</v>
      </c>
      <c r="AV153" s="34">
        <v>-20000000</v>
      </c>
      <c r="AW153" s="27"/>
      <c r="AX153" s="27"/>
      <c r="AY153" s="27" t="s">
        <v>83</v>
      </c>
      <c r="AZ153" s="27">
        <v>1</v>
      </c>
      <c r="BA153" s="27"/>
      <c r="BB153" s="27" t="s">
        <v>261</v>
      </c>
      <c r="BC153" s="27" t="s">
        <v>2437</v>
      </c>
      <c r="BD153" s="27" t="s">
        <v>261</v>
      </c>
      <c r="BE153" s="27" t="s">
        <v>261</v>
      </c>
      <c r="BF153" s="27" t="s">
        <v>2438</v>
      </c>
      <c r="BG153" s="27" t="s">
        <v>2439</v>
      </c>
      <c r="BH153" s="27" t="s">
        <v>231</v>
      </c>
      <c r="BI153" s="27" t="s">
        <v>259</v>
      </c>
      <c r="BJ153" s="27" t="s">
        <v>2440</v>
      </c>
      <c r="BK153" s="27" t="s">
        <v>199</v>
      </c>
      <c r="BL153" s="27" t="s">
        <v>2441</v>
      </c>
      <c r="BM153" s="35">
        <v>0</v>
      </c>
    </row>
    <row r="154" spans="1:65" s="19" customFormat="1" x14ac:dyDescent="0.2">
      <c r="A154" s="25">
        <v>757</v>
      </c>
      <c r="B154" s="26">
        <v>146</v>
      </c>
      <c r="C154" s="27" t="s">
        <v>503</v>
      </c>
      <c r="D154" s="28" t="s">
        <v>2442</v>
      </c>
      <c r="E154" s="28" t="s">
        <v>252</v>
      </c>
      <c r="F154" s="28" t="s">
        <v>339</v>
      </c>
      <c r="G154" s="28">
        <v>2026</v>
      </c>
      <c r="H154" s="20" t="str">
        <f>VLOOKUP(U154,'[1]KODE TYPE standar'!$D:$U,17,0)</f>
        <v>INV REBORN</v>
      </c>
      <c r="I154" s="20" t="str">
        <f>VLOOKUP(U154,'[1]KODE TYPE standar'!$D:$U,16,0)</f>
        <v>INNOVA</v>
      </c>
      <c r="J154" s="20" t="str">
        <f>VLOOKUP(U154,'[1]KODE TYPE standar'!$D:$U,18,0)</f>
        <v>INNOVA G M/T DIESEL</v>
      </c>
      <c r="K154" s="27" t="s">
        <v>119</v>
      </c>
      <c r="L154" s="28" t="s">
        <v>110</v>
      </c>
      <c r="M154" s="28" t="s">
        <v>262</v>
      </c>
      <c r="N154" s="28" t="s">
        <v>141</v>
      </c>
      <c r="O154" s="28" t="s">
        <v>156</v>
      </c>
      <c r="P154" s="29" t="s">
        <v>149</v>
      </c>
      <c r="Q154" s="29" t="s">
        <v>161</v>
      </c>
      <c r="R154" s="29" t="s">
        <v>145</v>
      </c>
      <c r="S154" s="27" t="s">
        <v>647</v>
      </c>
      <c r="T154" s="30" t="s">
        <v>509</v>
      </c>
      <c r="U154" s="27" t="s">
        <v>200</v>
      </c>
      <c r="V154" s="27" t="s">
        <v>48</v>
      </c>
      <c r="W154" s="27" t="s">
        <v>49</v>
      </c>
      <c r="X154" s="27" t="s">
        <v>2443</v>
      </c>
      <c r="Y154" s="27" t="s">
        <v>2444</v>
      </c>
      <c r="Z154" s="27" t="s">
        <v>646</v>
      </c>
      <c r="AA154" s="27" t="s">
        <v>647</v>
      </c>
      <c r="AB154" s="30" t="s">
        <v>509</v>
      </c>
      <c r="AC154" s="30" t="s">
        <v>2445</v>
      </c>
      <c r="AD154" s="28" t="s">
        <v>2446</v>
      </c>
      <c r="AE154" s="28" t="s">
        <v>110</v>
      </c>
      <c r="AF154" s="28" t="s">
        <v>2447</v>
      </c>
      <c r="AG154" s="28" t="s">
        <v>2448</v>
      </c>
      <c r="AH154" s="28" t="s">
        <v>2449</v>
      </c>
      <c r="AI154" s="28" t="s">
        <v>141</v>
      </c>
      <c r="AJ154" s="28" t="s">
        <v>262</v>
      </c>
      <c r="AK154" s="28" t="s">
        <v>89</v>
      </c>
      <c r="AL154" s="28" t="s">
        <v>2450</v>
      </c>
      <c r="AM154" s="31">
        <v>420300000</v>
      </c>
      <c r="AN154" s="31">
        <v>325591518</v>
      </c>
      <c r="AO154" s="31">
        <v>55637500</v>
      </c>
      <c r="AP154" s="31">
        <v>36820982</v>
      </c>
      <c r="AQ154" s="31">
        <v>0</v>
      </c>
      <c r="AR154" s="31">
        <v>0</v>
      </c>
      <c r="AS154" s="31">
        <v>18750000</v>
      </c>
      <c r="AT154" s="31">
        <v>399300000</v>
      </c>
      <c r="AU154" s="31">
        <v>0</v>
      </c>
      <c r="AV154" s="31">
        <v>-21000000</v>
      </c>
      <c r="AW154" s="28" t="s">
        <v>273</v>
      </c>
      <c r="AX154" s="28" t="s">
        <v>273</v>
      </c>
      <c r="AY154" s="28" t="s">
        <v>83</v>
      </c>
      <c r="AZ154" s="28">
        <v>1</v>
      </c>
      <c r="BA154" s="28"/>
      <c r="BB154" s="28" t="s">
        <v>238</v>
      </c>
      <c r="BC154" s="28" t="s">
        <v>2451</v>
      </c>
      <c r="BD154" s="28" t="s">
        <v>228</v>
      </c>
      <c r="BE154" s="28" t="s">
        <v>228</v>
      </c>
      <c r="BF154" s="28" t="s">
        <v>2452</v>
      </c>
      <c r="BG154" s="28" t="s">
        <v>2453</v>
      </c>
      <c r="BH154" s="28" t="s">
        <v>252</v>
      </c>
      <c r="BI154" s="28" t="s">
        <v>350</v>
      </c>
      <c r="BJ154" s="28" t="s">
        <v>2454</v>
      </c>
      <c r="BK154" s="28" t="s">
        <v>261</v>
      </c>
      <c r="BL154" s="28" t="s">
        <v>2455</v>
      </c>
      <c r="BM154" s="32">
        <v>0</v>
      </c>
    </row>
    <row r="155" spans="1:65" s="19" customFormat="1" x14ac:dyDescent="0.2">
      <c r="A155" s="33">
        <v>850</v>
      </c>
      <c r="B155" s="26">
        <v>146</v>
      </c>
      <c r="C155" s="27" t="s">
        <v>503</v>
      </c>
      <c r="D155" s="27" t="s">
        <v>2456</v>
      </c>
      <c r="E155" s="27" t="s">
        <v>224</v>
      </c>
      <c r="F155" s="27" t="s">
        <v>258</v>
      </c>
      <c r="G155" s="28">
        <v>2026</v>
      </c>
      <c r="H155" s="20" t="str">
        <f>VLOOKUP(U155,'[1]KODE TYPE standar'!$D:$U,17,0)</f>
        <v>CALYA</v>
      </c>
      <c r="I155" s="20" t="str">
        <f>VLOOKUP(U155,'[1]KODE TYPE standar'!$D:$U,16,0)</f>
        <v>CALYA</v>
      </c>
      <c r="J155" s="20" t="str">
        <f>VLOOKUP(U155,'[1]KODE TYPE standar'!$D:$U,18,0)</f>
        <v>CALYA G M/T</v>
      </c>
      <c r="K155" s="27" t="s">
        <v>118</v>
      </c>
      <c r="L155" s="27" t="s">
        <v>110</v>
      </c>
      <c r="M155" s="27" t="s">
        <v>262</v>
      </c>
      <c r="N155" s="27" t="s">
        <v>140</v>
      </c>
      <c r="O155" s="28" t="s">
        <v>156</v>
      </c>
      <c r="P155" s="29" t="s">
        <v>536</v>
      </c>
      <c r="Q155" s="29" t="s">
        <v>161</v>
      </c>
      <c r="R155" s="29" t="s">
        <v>597</v>
      </c>
      <c r="S155" s="27" t="s">
        <v>978</v>
      </c>
      <c r="T155" s="27" t="s">
        <v>541</v>
      </c>
      <c r="U155" s="27" t="s">
        <v>268</v>
      </c>
      <c r="V155" s="27" t="s">
        <v>77</v>
      </c>
      <c r="W155" s="27" t="s">
        <v>78</v>
      </c>
      <c r="X155" s="27" t="s">
        <v>2457</v>
      </c>
      <c r="Y155" s="27" t="s">
        <v>2458</v>
      </c>
      <c r="Z155" s="27" t="s">
        <v>977</v>
      </c>
      <c r="AA155" s="27" t="s">
        <v>978</v>
      </c>
      <c r="AB155" s="27" t="s">
        <v>541</v>
      </c>
      <c r="AC155" s="27" t="s">
        <v>2459</v>
      </c>
      <c r="AD155" s="27" t="s">
        <v>2460</v>
      </c>
      <c r="AE155" s="27" t="s">
        <v>110</v>
      </c>
      <c r="AF155" s="27" t="s">
        <v>2461</v>
      </c>
      <c r="AG155" s="27" t="s">
        <v>2462</v>
      </c>
      <c r="AH155" s="27" t="s">
        <v>514</v>
      </c>
      <c r="AI155" s="27" t="s">
        <v>140</v>
      </c>
      <c r="AJ155" s="27" t="s">
        <v>262</v>
      </c>
      <c r="AK155" s="27" t="s">
        <v>63</v>
      </c>
      <c r="AL155" s="27"/>
      <c r="AM155" s="34">
        <v>181900000</v>
      </c>
      <c r="AN155" s="34">
        <v>139564732</v>
      </c>
      <c r="AO155" s="34">
        <v>25587500</v>
      </c>
      <c r="AP155" s="34">
        <v>15569196</v>
      </c>
      <c r="AQ155" s="34">
        <v>0</v>
      </c>
      <c r="AR155" s="34">
        <v>0</v>
      </c>
      <c r="AS155" s="34">
        <v>9821429</v>
      </c>
      <c r="AT155" s="34">
        <v>170900000</v>
      </c>
      <c r="AU155" s="34">
        <v>730000</v>
      </c>
      <c r="AV155" s="34">
        <v>-11000000</v>
      </c>
      <c r="AW155" s="27"/>
      <c r="AX155" s="27"/>
      <c r="AY155" s="27" t="s">
        <v>83</v>
      </c>
      <c r="AZ155" s="27">
        <v>1</v>
      </c>
      <c r="BA155" s="27"/>
      <c r="BB155" s="27" t="s">
        <v>224</v>
      </c>
      <c r="BC155" s="27" t="s">
        <v>2463</v>
      </c>
      <c r="BD155" s="27" t="s">
        <v>224</v>
      </c>
      <c r="BE155" s="27" t="s">
        <v>224</v>
      </c>
      <c r="BF155" s="27" t="s">
        <v>2464</v>
      </c>
      <c r="BG155" s="27" t="s">
        <v>2465</v>
      </c>
      <c r="BH155" s="27" t="s">
        <v>224</v>
      </c>
      <c r="BI155" s="27" t="s">
        <v>263</v>
      </c>
      <c r="BJ155" s="27" t="s">
        <v>2466</v>
      </c>
      <c r="BK155" s="27" t="s">
        <v>275</v>
      </c>
      <c r="BL155" s="27" t="s">
        <v>2467</v>
      </c>
      <c r="BM155" s="35">
        <v>0</v>
      </c>
    </row>
    <row r="156" spans="1:65" s="19" customFormat="1" x14ac:dyDescent="0.2">
      <c r="A156" s="25">
        <v>758</v>
      </c>
      <c r="B156" s="26">
        <v>146</v>
      </c>
      <c r="C156" s="27" t="s">
        <v>503</v>
      </c>
      <c r="D156" s="28" t="s">
        <v>2468</v>
      </c>
      <c r="E156" s="28" t="s">
        <v>255</v>
      </c>
      <c r="F156" s="28" t="s">
        <v>339</v>
      </c>
      <c r="G156" s="28">
        <v>2026</v>
      </c>
      <c r="H156" s="20" t="str">
        <f>VLOOKUP(U156,'[1]KODE TYPE standar'!$D:$U,17,0)</f>
        <v>HIACE</v>
      </c>
      <c r="I156" s="20" t="str">
        <f>VLOOKUP(U156,'[1]KODE TYPE standar'!$D:$U,16,0)</f>
        <v>HIACE</v>
      </c>
      <c r="J156" s="20" t="str">
        <f>VLOOKUP(U156,'[1]KODE TYPE standar'!$D:$U,18,0)</f>
        <v>HIACE COMM</v>
      </c>
      <c r="K156" s="27" t="s">
        <v>120</v>
      </c>
      <c r="L156" s="28" t="s">
        <v>110</v>
      </c>
      <c r="M156" s="28" t="s">
        <v>262</v>
      </c>
      <c r="N156" s="28" t="s">
        <v>140</v>
      </c>
      <c r="O156" s="28" t="s">
        <v>156</v>
      </c>
      <c r="P156" s="29" t="s">
        <v>149</v>
      </c>
      <c r="Q156" s="29" t="s">
        <v>162</v>
      </c>
      <c r="R156" s="29" t="s">
        <v>145</v>
      </c>
      <c r="S156" s="27" t="s">
        <v>524</v>
      </c>
      <c r="T156" s="30" t="s">
        <v>509</v>
      </c>
      <c r="U156" s="27" t="s">
        <v>2469</v>
      </c>
      <c r="V156" s="27" t="s">
        <v>331</v>
      </c>
      <c r="W156" s="27" t="s">
        <v>2470</v>
      </c>
      <c r="X156" s="27" t="s">
        <v>2471</v>
      </c>
      <c r="Y156" s="27" t="s">
        <v>2472</v>
      </c>
      <c r="Z156" s="27" t="s">
        <v>523</v>
      </c>
      <c r="AA156" s="27" t="s">
        <v>524</v>
      </c>
      <c r="AB156" s="30" t="s">
        <v>509</v>
      </c>
      <c r="AC156" s="30" t="s">
        <v>2473</v>
      </c>
      <c r="AD156" s="28" t="s">
        <v>2474</v>
      </c>
      <c r="AE156" s="28" t="s">
        <v>110</v>
      </c>
      <c r="AF156" s="28" t="s">
        <v>2475</v>
      </c>
      <c r="AG156" s="28" t="s">
        <v>2476</v>
      </c>
      <c r="AH156" s="28" t="s">
        <v>1035</v>
      </c>
      <c r="AI156" s="28" t="s">
        <v>140</v>
      </c>
      <c r="AJ156" s="28" t="s">
        <v>262</v>
      </c>
      <c r="AK156" s="28" t="s">
        <v>2168</v>
      </c>
      <c r="AL156" s="28"/>
      <c r="AM156" s="31">
        <v>578100000</v>
      </c>
      <c r="AN156" s="31">
        <v>450799550</v>
      </c>
      <c r="AO156" s="31">
        <v>77712500</v>
      </c>
      <c r="AP156" s="31">
        <v>45623986</v>
      </c>
      <c r="AQ156" s="31">
        <v>0</v>
      </c>
      <c r="AR156" s="31">
        <v>0</v>
      </c>
      <c r="AS156" s="31">
        <v>36036036</v>
      </c>
      <c r="AT156" s="31">
        <v>538100000</v>
      </c>
      <c r="AU156" s="31">
        <v>0</v>
      </c>
      <c r="AV156" s="31">
        <v>-40000000</v>
      </c>
      <c r="AW156" s="28" t="s">
        <v>248</v>
      </c>
      <c r="AX156" s="28" t="s">
        <v>248</v>
      </c>
      <c r="AY156" s="28" t="s">
        <v>83</v>
      </c>
      <c r="AZ156" s="28">
        <v>1</v>
      </c>
      <c r="BA156" s="28"/>
      <c r="BB156" s="28" t="s">
        <v>260</v>
      </c>
      <c r="BC156" s="28" t="s">
        <v>2477</v>
      </c>
      <c r="BD156" s="28" t="s">
        <v>238</v>
      </c>
      <c r="BE156" s="28" t="s">
        <v>238</v>
      </c>
      <c r="BF156" s="28" t="s">
        <v>2478</v>
      </c>
      <c r="BG156" s="28" t="s">
        <v>2479</v>
      </c>
      <c r="BH156" s="28" t="s">
        <v>255</v>
      </c>
      <c r="BI156" s="28" t="s">
        <v>295</v>
      </c>
      <c r="BJ156" s="28" t="s">
        <v>2480</v>
      </c>
      <c r="BK156" s="28" t="s">
        <v>206</v>
      </c>
      <c r="BL156" s="28" t="s">
        <v>2481</v>
      </c>
      <c r="BM156" s="32">
        <v>0</v>
      </c>
    </row>
    <row r="157" spans="1:65" s="19" customFormat="1" x14ac:dyDescent="0.2">
      <c r="A157" s="33">
        <v>1001</v>
      </c>
      <c r="B157" s="26">
        <v>146</v>
      </c>
      <c r="C157" s="36" t="s">
        <v>503</v>
      </c>
      <c r="D157" s="27" t="s">
        <v>2482</v>
      </c>
      <c r="E157" s="27" t="s">
        <v>360</v>
      </c>
      <c r="F157" s="27" t="s">
        <v>389</v>
      </c>
      <c r="G157" s="28">
        <v>2026</v>
      </c>
      <c r="H157" s="20" t="str">
        <f>VLOOKUP(U157,'[1]KODE TYPE standar'!$D:$U,17,0)</f>
        <v>CALYA</v>
      </c>
      <c r="I157" s="20" t="str">
        <f>VLOOKUP(U157,'[1]KODE TYPE standar'!$D:$U,16,0)</f>
        <v>CALYA</v>
      </c>
      <c r="J157" s="20" t="str">
        <f>VLOOKUP(U157,'[1]KODE TYPE standar'!$D:$U,18,0)</f>
        <v>CALYA G A/T</v>
      </c>
      <c r="K157" s="27" t="s">
        <v>118</v>
      </c>
      <c r="L157" s="27" t="s">
        <v>110</v>
      </c>
      <c r="M157" s="27" t="s">
        <v>262</v>
      </c>
      <c r="N157" s="27" t="s">
        <v>106</v>
      </c>
      <c r="O157" s="28" t="s">
        <v>156</v>
      </c>
      <c r="P157" s="29" t="s">
        <v>149</v>
      </c>
      <c r="Q157" s="29" t="s">
        <v>161</v>
      </c>
      <c r="R157" s="29" t="s">
        <v>597</v>
      </c>
      <c r="S157" s="27" t="s">
        <v>2486</v>
      </c>
      <c r="T157" s="27" t="s">
        <v>541</v>
      </c>
      <c r="U157" s="27" t="s">
        <v>88</v>
      </c>
      <c r="V157" s="27" t="s">
        <v>77</v>
      </c>
      <c r="W157" s="27" t="s">
        <v>78</v>
      </c>
      <c r="X157" s="27" t="s">
        <v>2483</v>
      </c>
      <c r="Y157" s="27" t="s">
        <v>2484</v>
      </c>
      <c r="Z157" s="27" t="s">
        <v>2485</v>
      </c>
      <c r="AA157" s="27" t="s">
        <v>2486</v>
      </c>
      <c r="AB157" s="27" t="s">
        <v>541</v>
      </c>
      <c r="AC157" s="27" t="s">
        <v>2487</v>
      </c>
      <c r="AD157" s="27" t="s">
        <v>2488</v>
      </c>
      <c r="AE157" s="27" t="s">
        <v>110</v>
      </c>
      <c r="AF157" s="27" t="s">
        <v>2489</v>
      </c>
      <c r="AG157" s="27" t="s">
        <v>2490</v>
      </c>
      <c r="AH157" s="27" t="s">
        <v>2491</v>
      </c>
      <c r="AI157" s="27" t="s">
        <v>106</v>
      </c>
      <c r="AJ157" s="27" t="s">
        <v>262</v>
      </c>
      <c r="AK157" s="27" t="s">
        <v>63</v>
      </c>
      <c r="AL157" s="27"/>
      <c r="AM157" s="34">
        <v>196400000</v>
      </c>
      <c r="AN157" s="34">
        <v>150669643</v>
      </c>
      <c r="AO157" s="34">
        <v>27650000</v>
      </c>
      <c r="AP157" s="34">
        <v>17008928</v>
      </c>
      <c r="AQ157" s="34">
        <v>0</v>
      </c>
      <c r="AR157" s="34">
        <v>0</v>
      </c>
      <c r="AS157" s="34">
        <v>8928571</v>
      </c>
      <c r="AT157" s="34">
        <v>186400000</v>
      </c>
      <c r="AU157" s="34">
        <v>2000000</v>
      </c>
      <c r="AV157" s="34">
        <v>-10000000</v>
      </c>
      <c r="AW157" s="27" t="s">
        <v>399</v>
      </c>
      <c r="AX157" s="27" t="s">
        <v>399</v>
      </c>
      <c r="AY157" s="27" t="s">
        <v>83</v>
      </c>
      <c r="AZ157" s="27">
        <v>1</v>
      </c>
      <c r="BA157" s="27"/>
      <c r="BB157" s="27" t="s">
        <v>360</v>
      </c>
      <c r="BC157" s="27" t="s">
        <v>2492</v>
      </c>
      <c r="BD157" s="27" t="s">
        <v>347</v>
      </c>
      <c r="BE157" s="27" t="s">
        <v>347</v>
      </c>
      <c r="BF157" s="27" t="s">
        <v>420</v>
      </c>
      <c r="BG157" s="27" t="s">
        <v>2493</v>
      </c>
      <c r="BH157" s="27" t="s">
        <v>360</v>
      </c>
      <c r="BI157" s="27" t="s">
        <v>411</v>
      </c>
      <c r="BJ157" s="27" t="s">
        <v>2494</v>
      </c>
      <c r="BK157" s="27" t="s">
        <v>395</v>
      </c>
      <c r="BL157" s="27" t="s">
        <v>2495</v>
      </c>
      <c r="BM157" s="35">
        <v>0</v>
      </c>
    </row>
    <row r="158" spans="1:65" s="19" customFormat="1" x14ac:dyDescent="0.2">
      <c r="A158" s="33">
        <v>759</v>
      </c>
      <c r="B158" s="26">
        <v>146</v>
      </c>
      <c r="C158" s="27" t="s">
        <v>503</v>
      </c>
      <c r="D158" s="27" t="s">
        <v>2496</v>
      </c>
      <c r="E158" s="27" t="s">
        <v>183</v>
      </c>
      <c r="F158" s="27" t="s">
        <v>111</v>
      </c>
      <c r="G158" s="28">
        <v>2026</v>
      </c>
      <c r="H158" s="20" t="str">
        <f>VLOOKUP(U158,'[1]KODE TYPE standar'!$D:$U,17,0)</f>
        <v>AVANZA</v>
      </c>
      <c r="I158" s="20" t="str">
        <f>VLOOKUP(U158,'[1]KODE TYPE standar'!$D:$U,16,0)</f>
        <v>AVANZA</v>
      </c>
      <c r="J158" s="20" t="str">
        <f>VLOOKUP(U158,'[1]KODE TYPE standar'!$D:$U,18,0)</f>
        <v>AVANZA G M/T</v>
      </c>
      <c r="K158" s="27" t="s">
        <v>118</v>
      </c>
      <c r="L158" s="27" t="s">
        <v>110</v>
      </c>
      <c r="M158" s="27" t="s">
        <v>262</v>
      </c>
      <c r="N158" s="27" t="s">
        <v>144</v>
      </c>
      <c r="O158" s="28" t="s">
        <v>6581</v>
      </c>
      <c r="P158" s="29" t="s">
        <v>536</v>
      </c>
      <c r="Q158" s="29" t="s">
        <v>162</v>
      </c>
      <c r="R158" s="29" t="s">
        <v>145</v>
      </c>
      <c r="S158" s="27" t="s">
        <v>554</v>
      </c>
      <c r="T158" s="27" t="s">
        <v>509</v>
      </c>
      <c r="U158" s="27" t="s">
        <v>59</v>
      </c>
      <c r="V158" s="27" t="s">
        <v>64</v>
      </c>
      <c r="W158" s="27" t="s">
        <v>65</v>
      </c>
      <c r="X158" s="27" t="s">
        <v>2497</v>
      </c>
      <c r="Y158" s="27" t="s">
        <v>2498</v>
      </c>
      <c r="Z158" s="27" t="s">
        <v>553</v>
      </c>
      <c r="AA158" s="27" t="s">
        <v>554</v>
      </c>
      <c r="AB158" s="27" t="s">
        <v>509</v>
      </c>
      <c r="AC158" s="27" t="s">
        <v>2499</v>
      </c>
      <c r="AD158" s="27" t="s">
        <v>2500</v>
      </c>
      <c r="AE158" s="27" t="s">
        <v>110</v>
      </c>
      <c r="AF158" s="27" t="s">
        <v>2501</v>
      </c>
      <c r="AG158" s="27" t="s">
        <v>2502</v>
      </c>
      <c r="AH158" s="27" t="s">
        <v>2503</v>
      </c>
      <c r="AI158" s="27" t="s">
        <v>144</v>
      </c>
      <c r="AJ158" s="27" t="s">
        <v>262</v>
      </c>
      <c r="AK158" s="27" t="s">
        <v>63</v>
      </c>
      <c r="AL158" s="27" t="s">
        <v>2504</v>
      </c>
      <c r="AM158" s="34">
        <v>269700000</v>
      </c>
      <c r="AN158" s="34">
        <v>207667411</v>
      </c>
      <c r="AO158" s="34">
        <v>37112500</v>
      </c>
      <c r="AP158" s="34">
        <v>22777232</v>
      </c>
      <c r="AQ158" s="34">
        <v>0</v>
      </c>
      <c r="AR158" s="34">
        <v>0</v>
      </c>
      <c r="AS158" s="34">
        <v>17857143</v>
      </c>
      <c r="AT158" s="34">
        <v>249700000</v>
      </c>
      <c r="AU158" s="34">
        <v>0</v>
      </c>
      <c r="AV158" s="34">
        <v>-20000000</v>
      </c>
      <c r="AW158" s="27" t="s">
        <v>217</v>
      </c>
      <c r="AX158" s="27" t="s">
        <v>217</v>
      </c>
      <c r="AY158" s="27" t="s">
        <v>83</v>
      </c>
      <c r="AZ158" s="27">
        <v>1</v>
      </c>
      <c r="BA158" s="27" t="s">
        <v>2505</v>
      </c>
      <c r="BB158" s="27" t="s">
        <v>181</v>
      </c>
      <c r="BC158" s="27" t="s">
        <v>2506</v>
      </c>
      <c r="BD158" s="27" t="s">
        <v>2507</v>
      </c>
      <c r="BE158" s="27" t="s">
        <v>2507</v>
      </c>
      <c r="BF158" s="27" t="s">
        <v>2508</v>
      </c>
      <c r="BG158" s="27" t="s">
        <v>2509</v>
      </c>
      <c r="BH158" s="27" t="s">
        <v>183</v>
      </c>
      <c r="BI158" s="27" t="s">
        <v>234</v>
      </c>
      <c r="BJ158" s="27" t="s">
        <v>2300</v>
      </c>
      <c r="BK158" s="27" t="s">
        <v>203</v>
      </c>
      <c r="BL158" s="27" t="s">
        <v>2510</v>
      </c>
      <c r="BM158" s="35">
        <v>0</v>
      </c>
    </row>
    <row r="159" spans="1:65" s="19" customFormat="1" x14ac:dyDescent="0.2">
      <c r="A159" s="33">
        <v>1016</v>
      </c>
      <c r="B159" s="26">
        <v>146</v>
      </c>
      <c r="C159" s="36" t="s">
        <v>503</v>
      </c>
      <c r="D159" s="27" t="s">
        <v>2511</v>
      </c>
      <c r="E159" s="27" t="s">
        <v>344</v>
      </c>
      <c r="F159" s="27" t="s">
        <v>389</v>
      </c>
      <c r="G159" s="28">
        <v>2026</v>
      </c>
      <c r="H159" s="20" t="str">
        <f>VLOOKUP(U159,'[1]KODE TYPE standar'!$D:$U,17,0)</f>
        <v>INV ZENIX HYBRID</v>
      </c>
      <c r="I159" s="20" t="str">
        <f>VLOOKUP(U159,'[1]KODE TYPE standar'!$D:$U,16,0)</f>
        <v>INNOVA</v>
      </c>
      <c r="J159" s="20" t="str">
        <f>VLOOKUP(U159,'[1]KODE TYPE standar'!$D:$U,18,0)</f>
        <v>INNOVA ZENIX V A/T HYBRID</v>
      </c>
      <c r="K159" s="27" t="s">
        <v>50</v>
      </c>
      <c r="L159" s="27" t="s">
        <v>110</v>
      </c>
      <c r="M159" s="27" t="s">
        <v>50</v>
      </c>
      <c r="N159" s="27" t="s">
        <v>140</v>
      </c>
      <c r="O159" s="28" t="s">
        <v>156</v>
      </c>
      <c r="P159" s="29" t="s">
        <v>149</v>
      </c>
      <c r="Q159" s="29" t="s">
        <v>162</v>
      </c>
      <c r="R159" s="29" t="s">
        <v>1016</v>
      </c>
      <c r="S159" s="27" t="s">
        <v>753</v>
      </c>
      <c r="T159" s="27" t="s">
        <v>541</v>
      </c>
      <c r="U159" s="27" t="s">
        <v>176</v>
      </c>
      <c r="V159" s="27" t="s">
        <v>51</v>
      </c>
      <c r="W159" s="27" t="s">
        <v>86</v>
      </c>
      <c r="X159" s="27" t="s">
        <v>2512</v>
      </c>
      <c r="Y159" s="27" t="s">
        <v>2513</v>
      </c>
      <c r="Z159" s="27" t="s">
        <v>752</v>
      </c>
      <c r="AA159" s="27" t="s">
        <v>753</v>
      </c>
      <c r="AB159" s="27" t="s">
        <v>541</v>
      </c>
      <c r="AC159" s="27" t="s">
        <v>2514</v>
      </c>
      <c r="AD159" s="27" t="s">
        <v>2515</v>
      </c>
      <c r="AE159" s="27" t="s">
        <v>110</v>
      </c>
      <c r="AF159" s="27" t="s">
        <v>2516</v>
      </c>
      <c r="AG159" s="27" t="s">
        <v>2517</v>
      </c>
      <c r="AH159" s="27" t="s">
        <v>1391</v>
      </c>
      <c r="AI159" s="27" t="s">
        <v>140</v>
      </c>
      <c r="AJ159" s="27" t="s">
        <v>50</v>
      </c>
      <c r="AK159" s="27" t="s">
        <v>50</v>
      </c>
      <c r="AL159" s="27"/>
      <c r="AM159" s="34">
        <v>554800000</v>
      </c>
      <c r="AN159" s="34">
        <v>430669643</v>
      </c>
      <c r="AO159" s="34">
        <v>72450000</v>
      </c>
      <c r="AP159" s="34">
        <v>49430357</v>
      </c>
      <c r="AQ159" s="34">
        <v>0</v>
      </c>
      <c r="AR159" s="34">
        <v>0</v>
      </c>
      <c r="AS159" s="34">
        <v>18750000</v>
      </c>
      <c r="AT159" s="34">
        <v>533800000</v>
      </c>
      <c r="AU159" s="34">
        <v>9000000</v>
      </c>
      <c r="AV159" s="34">
        <v>-21000000</v>
      </c>
      <c r="AW159" s="27"/>
      <c r="AX159" s="27"/>
      <c r="AY159" s="27" t="s">
        <v>83</v>
      </c>
      <c r="AZ159" s="27">
        <v>1</v>
      </c>
      <c r="BA159" s="27"/>
      <c r="BB159" s="27" t="s">
        <v>344</v>
      </c>
      <c r="BC159" s="27" t="s">
        <v>2518</v>
      </c>
      <c r="BD159" s="27" t="s">
        <v>344</v>
      </c>
      <c r="BE159" s="27" t="s">
        <v>344</v>
      </c>
      <c r="BF159" s="27" t="s">
        <v>2519</v>
      </c>
      <c r="BG159" s="27" t="s">
        <v>2520</v>
      </c>
      <c r="BH159" s="27"/>
      <c r="BI159" s="27" t="s">
        <v>390</v>
      </c>
      <c r="BJ159" s="27" t="s">
        <v>2521</v>
      </c>
      <c r="BK159" s="27" t="s">
        <v>368</v>
      </c>
      <c r="BL159" s="27" t="s">
        <v>2522</v>
      </c>
      <c r="BM159" s="35">
        <v>0</v>
      </c>
    </row>
    <row r="160" spans="1:65" s="19" customFormat="1" x14ac:dyDescent="0.2">
      <c r="A160" s="25">
        <v>775</v>
      </c>
      <c r="B160" s="26">
        <v>146</v>
      </c>
      <c r="C160" s="27" t="s">
        <v>503</v>
      </c>
      <c r="D160" s="28" t="s">
        <v>2523</v>
      </c>
      <c r="E160" s="28" t="s">
        <v>246</v>
      </c>
      <c r="F160" s="28" t="s">
        <v>339</v>
      </c>
      <c r="G160" s="28">
        <v>2026</v>
      </c>
      <c r="H160" s="20" t="str">
        <f>VLOOKUP(U160,'[1]KODE TYPE standar'!$D:$U,17,0)</f>
        <v>AVANZA</v>
      </c>
      <c r="I160" s="20" t="str">
        <f>VLOOKUP(U160,'[1]KODE TYPE standar'!$D:$U,16,0)</f>
        <v>AVANZA</v>
      </c>
      <c r="J160" s="20" t="str">
        <f>VLOOKUP(U160,'[1]KODE TYPE standar'!$D:$U,18,0)</f>
        <v>AVANZA G A/T</v>
      </c>
      <c r="K160" s="27" t="s">
        <v>118</v>
      </c>
      <c r="L160" s="28" t="s">
        <v>110</v>
      </c>
      <c r="M160" s="28" t="s">
        <v>262</v>
      </c>
      <c r="N160" s="28" t="s">
        <v>141</v>
      </c>
      <c r="O160" s="28" t="s">
        <v>156</v>
      </c>
      <c r="P160" s="29" t="s">
        <v>149</v>
      </c>
      <c r="Q160" s="29" t="s">
        <v>162</v>
      </c>
      <c r="R160" s="29" t="s">
        <v>145</v>
      </c>
      <c r="S160" s="27" t="s">
        <v>631</v>
      </c>
      <c r="T160" s="28" t="s">
        <v>541</v>
      </c>
      <c r="U160" s="27" t="s">
        <v>329</v>
      </c>
      <c r="V160" s="27" t="s">
        <v>60</v>
      </c>
      <c r="W160" s="27" t="s">
        <v>61</v>
      </c>
      <c r="X160" s="27" t="s">
        <v>2524</v>
      </c>
      <c r="Y160" s="27" t="s">
        <v>2525</v>
      </c>
      <c r="Z160" s="27" t="s">
        <v>630</v>
      </c>
      <c r="AA160" s="27" t="s">
        <v>631</v>
      </c>
      <c r="AB160" s="28" t="s">
        <v>541</v>
      </c>
      <c r="AC160" s="28" t="s">
        <v>2526</v>
      </c>
      <c r="AD160" s="28" t="s">
        <v>2527</v>
      </c>
      <c r="AE160" s="28" t="s">
        <v>110</v>
      </c>
      <c r="AF160" s="28" t="s">
        <v>2527</v>
      </c>
      <c r="AG160" s="28" t="s">
        <v>2528</v>
      </c>
      <c r="AH160" s="28" t="s">
        <v>757</v>
      </c>
      <c r="AI160" s="28" t="s">
        <v>141</v>
      </c>
      <c r="AJ160" s="28" t="s">
        <v>262</v>
      </c>
      <c r="AK160" s="28" t="s">
        <v>63</v>
      </c>
      <c r="AL160" s="28"/>
      <c r="AM160" s="31">
        <v>284500000</v>
      </c>
      <c r="AN160" s="31">
        <v>219497768</v>
      </c>
      <c r="AO160" s="31">
        <v>38662500</v>
      </c>
      <c r="AP160" s="31">
        <v>24625446</v>
      </c>
      <c r="AQ160" s="31">
        <v>0</v>
      </c>
      <c r="AR160" s="31">
        <v>0</v>
      </c>
      <c r="AS160" s="31">
        <v>14285714</v>
      </c>
      <c r="AT160" s="31">
        <v>268500000</v>
      </c>
      <c r="AU160" s="31">
        <v>0</v>
      </c>
      <c r="AV160" s="31">
        <v>-16000000</v>
      </c>
      <c r="AW160" s="28" t="s">
        <v>244</v>
      </c>
      <c r="AX160" s="28" t="s">
        <v>244</v>
      </c>
      <c r="AY160" s="28" t="s">
        <v>83</v>
      </c>
      <c r="AZ160" s="28">
        <v>1</v>
      </c>
      <c r="BA160" s="28"/>
      <c r="BB160" s="28" t="s">
        <v>216</v>
      </c>
      <c r="BC160" s="28" t="s">
        <v>2529</v>
      </c>
      <c r="BD160" s="28" t="s">
        <v>189</v>
      </c>
      <c r="BE160" s="28" t="s">
        <v>189</v>
      </c>
      <c r="BF160" s="28" t="s">
        <v>2530</v>
      </c>
      <c r="BG160" s="28" t="s">
        <v>2531</v>
      </c>
      <c r="BH160" s="28" t="s">
        <v>246</v>
      </c>
      <c r="BI160" s="28" t="s">
        <v>277</v>
      </c>
      <c r="BJ160" s="28" t="s">
        <v>2532</v>
      </c>
      <c r="BK160" s="28" t="s">
        <v>263</v>
      </c>
      <c r="BL160" s="28" t="s">
        <v>2533</v>
      </c>
      <c r="BM160" s="32">
        <v>0</v>
      </c>
    </row>
    <row r="161" spans="1:65" s="19" customFormat="1" x14ac:dyDescent="0.2">
      <c r="A161" s="33">
        <v>882</v>
      </c>
      <c r="B161" s="26">
        <v>146</v>
      </c>
      <c r="C161" s="27" t="s">
        <v>503</v>
      </c>
      <c r="D161" s="27" t="s">
        <v>2534</v>
      </c>
      <c r="E161" s="27" t="s">
        <v>227</v>
      </c>
      <c r="F161" s="27" t="s">
        <v>258</v>
      </c>
      <c r="G161" s="28">
        <v>2026</v>
      </c>
      <c r="H161" s="20" t="str">
        <f>VLOOKUP(U161,'[1]KODE TYPE standar'!$D:$U,17,0)</f>
        <v>CALYA</v>
      </c>
      <c r="I161" s="20" t="str">
        <f>VLOOKUP(U161,'[1]KODE TYPE standar'!$D:$U,16,0)</f>
        <v>CALYA</v>
      </c>
      <c r="J161" s="20" t="str">
        <f>VLOOKUP(U161,'[1]KODE TYPE standar'!$D:$U,18,0)</f>
        <v>CALYA G M/T</v>
      </c>
      <c r="K161" s="27" t="s">
        <v>118</v>
      </c>
      <c r="L161" s="27" t="s">
        <v>110</v>
      </c>
      <c r="M161" s="27" t="s">
        <v>262</v>
      </c>
      <c r="N161" s="27" t="s">
        <v>141</v>
      </c>
      <c r="O161" s="28" t="s">
        <v>156</v>
      </c>
      <c r="P161" s="29" t="s">
        <v>149</v>
      </c>
      <c r="Q161" s="29" t="s">
        <v>147</v>
      </c>
      <c r="R161" s="29" t="s">
        <v>597</v>
      </c>
      <c r="S161" s="27" t="s">
        <v>877</v>
      </c>
      <c r="T161" s="27" t="s">
        <v>585</v>
      </c>
      <c r="U161" s="27" t="s">
        <v>268</v>
      </c>
      <c r="V161" s="27" t="s">
        <v>60</v>
      </c>
      <c r="W161" s="27" t="s">
        <v>61</v>
      </c>
      <c r="X161" s="27" t="s">
        <v>2535</v>
      </c>
      <c r="Y161" s="27" t="s">
        <v>2536</v>
      </c>
      <c r="Z161" s="27" t="s">
        <v>876</v>
      </c>
      <c r="AA161" s="27" t="s">
        <v>877</v>
      </c>
      <c r="AB161" s="27" t="s">
        <v>585</v>
      </c>
      <c r="AC161" s="27" t="s">
        <v>2537</v>
      </c>
      <c r="AD161" s="27" t="s">
        <v>2538</v>
      </c>
      <c r="AE161" s="27" t="s">
        <v>110</v>
      </c>
      <c r="AF161" s="27" t="s">
        <v>2538</v>
      </c>
      <c r="AG161" s="27" t="s">
        <v>2539</v>
      </c>
      <c r="AH161" s="27" t="s">
        <v>1720</v>
      </c>
      <c r="AI161" s="27" t="s">
        <v>141</v>
      </c>
      <c r="AJ161" s="27" t="s">
        <v>262</v>
      </c>
      <c r="AK161" s="27" t="s">
        <v>63</v>
      </c>
      <c r="AL161" s="27" t="s">
        <v>2540</v>
      </c>
      <c r="AM161" s="34">
        <v>181900000</v>
      </c>
      <c r="AN161" s="34">
        <v>139564732</v>
      </c>
      <c r="AO161" s="34">
        <v>25587500</v>
      </c>
      <c r="AP161" s="34">
        <v>15676339</v>
      </c>
      <c r="AQ161" s="34">
        <v>0</v>
      </c>
      <c r="AR161" s="34">
        <v>0</v>
      </c>
      <c r="AS161" s="34">
        <v>8928571</v>
      </c>
      <c r="AT161" s="34">
        <v>171900000</v>
      </c>
      <c r="AU161" s="34">
        <v>0</v>
      </c>
      <c r="AV161" s="34">
        <v>-10000000</v>
      </c>
      <c r="AW161" s="27" t="s">
        <v>228</v>
      </c>
      <c r="AX161" s="27" t="s">
        <v>228</v>
      </c>
      <c r="AY161" s="27" t="s">
        <v>83</v>
      </c>
      <c r="AZ161" s="27">
        <v>1</v>
      </c>
      <c r="BA161" s="27" t="s">
        <v>163</v>
      </c>
      <c r="BB161" s="27" t="s">
        <v>218</v>
      </c>
      <c r="BC161" s="27" t="s">
        <v>2541</v>
      </c>
      <c r="BD161" s="27" t="s">
        <v>235</v>
      </c>
      <c r="BE161" s="27" t="s">
        <v>235</v>
      </c>
      <c r="BF161" s="27" t="s">
        <v>2542</v>
      </c>
      <c r="BG161" s="27" t="s">
        <v>2543</v>
      </c>
      <c r="BH161" s="27" t="s">
        <v>227</v>
      </c>
      <c r="BI161" s="27" t="s">
        <v>254</v>
      </c>
      <c r="BJ161" s="27" t="s">
        <v>2544</v>
      </c>
      <c r="BK161" s="27" t="s">
        <v>218</v>
      </c>
      <c r="BL161" s="27" t="s">
        <v>2545</v>
      </c>
      <c r="BM161" s="35">
        <v>0</v>
      </c>
    </row>
    <row r="162" spans="1:65" s="19" customFormat="1" x14ac:dyDescent="0.2">
      <c r="A162" s="33">
        <v>773</v>
      </c>
      <c r="B162" s="26">
        <v>146</v>
      </c>
      <c r="C162" s="27" t="s">
        <v>503</v>
      </c>
      <c r="D162" s="27" t="s">
        <v>2546</v>
      </c>
      <c r="E162" s="27" t="s">
        <v>203</v>
      </c>
      <c r="F162" s="27" t="s">
        <v>111</v>
      </c>
      <c r="G162" s="28">
        <v>2026</v>
      </c>
      <c r="H162" s="20" t="str">
        <f>VLOOKUP(U162,'[1]KODE TYPE standar'!$D:$U,17,0)</f>
        <v>FORTUNER</v>
      </c>
      <c r="I162" s="20" t="str">
        <f>VLOOKUP(U162,'[1]KODE TYPE standar'!$D:$U,16,0)</f>
        <v>FORTUNER</v>
      </c>
      <c r="J162" s="20" t="str">
        <f>VLOOKUP(U162,'[1]KODE TYPE standar'!$D:$U,18,0)</f>
        <v>FORTUNER 4X2 VRZ A/T DIESEL</v>
      </c>
      <c r="K162" s="27" t="s">
        <v>118</v>
      </c>
      <c r="L162" s="27" t="s">
        <v>110</v>
      </c>
      <c r="M162" s="27" t="s">
        <v>262</v>
      </c>
      <c r="N162" s="27" t="s">
        <v>141</v>
      </c>
      <c r="O162" s="28" t="s">
        <v>156</v>
      </c>
      <c r="P162" s="29" t="s">
        <v>149</v>
      </c>
      <c r="Q162" s="29" t="s">
        <v>161</v>
      </c>
      <c r="R162" s="29" t="s">
        <v>1016</v>
      </c>
      <c r="S162" s="27" t="s">
        <v>647</v>
      </c>
      <c r="T162" s="27" t="s">
        <v>509</v>
      </c>
      <c r="U162" s="27" t="s">
        <v>122</v>
      </c>
      <c r="V162" s="27" t="s">
        <v>48</v>
      </c>
      <c r="W162" s="27" t="s">
        <v>49</v>
      </c>
      <c r="X162" s="27" t="s">
        <v>2547</v>
      </c>
      <c r="Y162" s="27" t="s">
        <v>2548</v>
      </c>
      <c r="Z162" s="27" t="s">
        <v>646</v>
      </c>
      <c r="AA162" s="27" t="s">
        <v>647</v>
      </c>
      <c r="AB162" s="27" t="s">
        <v>509</v>
      </c>
      <c r="AC162" s="27" t="s">
        <v>2549</v>
      </c>
      <c r="AD162" s="27" t="s">
        <v>2550</v>
      </c>
      <c r="AE162" s="27" t="s">
        <v>110</v>
      </c>
      <c r="AF162" s="27" t="s">
        <v>2550</v>
      </c>
      <c r="AG162" s="27" t="s">
        <v>2551</v>
      </c>
      <c r="AH162" s="27" t="s">
        <v>620</v>
      </c>
      <c r="AI162" s="27" t="s">
        <v>141</v>
      </c>
      <c r="AJ162" s="27" t="s">
        <v>262</v>
      </c>
      <c r="AK162" s="27" t="s">
        <v>63</v>
      </c>
      <c r="AL162" s="27" t="s">
        <v>2552</v>
      </c>
      <c r="AM162" s="34">
        <v>679700000</v>
      </c>
      <c r="AN162" s="34">
        <v>528470982</v>
      </c>
      <c r="AO162" s="34">
        <v>87812500</v>
      </c>
      <c r="AP162" s="34">
        <v>58059375</v>
      </c>
      <c r="AQ162" s="34">
        <v>0</v>
      </c>
      <c r="AR162" s="34">
        <v>0</v>
      </c>
      <c r="AS162" s="34">
        <v>44642857</v>
      </c>
      <c r="AT162" s="34">
        <v>629700000</v>
      </c>
      <c r="AU162" s="34">
        <v>0</v>
      </c>
      <c r="AV162" s="34">
        <v>-50000000</v>
      </c>
      <c r="AW162" s="27" t="s">
        <v>183</v>
      </c>
      <c r="AX162" s="27" t="s">
        <v>183</v>
      </c>
      <c r="AY162" s="27" t="s">
        <v>83</v>
      </c>
      <c r="AZ162" s="27">
        <v>1</v>
      </c>
      <c r="BA162" s="27" t="s">
        <v>163</v>
      </c>
      <c r="BB162" s="27" t="s">
        <v>212</v>
      </c>
      <c r="BC162" s="27" t="s">
        <v>2553</v>
      </c>
      <c r="BD162" s="27" t="s">
        <v>185</v>
      </c>
      <c r="BE162" s="27" t="s">
        <v>185</v>
      </c>
      <c r="BF162" s="27" t="s">
        <v>2554</v>
      </c>
      <c r="BG162" s="27" t="s">
        <v>2555</v>
      </c>
      <c r="BH162" s="27" t="s">
        <v>203</v>
      </c>
      <c r="BI162" s="27" t="s">
        <v>210</v>
      </c>
      <c r="BJ162" s="27" t="s">
        <v>2556</v>
      </c>
      <c r="BK162" s="27" t="s">
        <v>189</v>
      </c>
      <c r="BL162" s="27" t="s">
        <v>2557</v>
      </c>
      <c r="BM162" s="35">
        <v>0</v>
      </c>
    </row>
    <row r="163" spans="1:65" s="19" customFormat="1" x14ac:dyDescent="0.2">
      <c r="A163" s="25">
        <v>789</v>
      </c>
      <c r="B163" s="26">
        <v>146</v>
      </c>
      <c r="C163" s="27" t="s">
        <v>503</v>
      </c>
      <c r="D163" s="28" t="s">
        <v>2558</v>
      </c>
      <c r="E163" s="28" t="s">
        <v>297</v>
      </c>
      <c r="F163" s="28" t="s">
        <v>339</v>
      </c>
      <c r="G163" s="28">
        <v>2026</v>
      </c>
      <c r="H163" s="20" t="str">
        <f>VLOOKUP(U163,'[1]KODE TYPE standar'!$D:$U,17,0)</f>
        <v>AVANZA</v>
      </c>
      <c r="I163" s="20" t="str">
        <f>VLOOKUP(U163,'[1]KODE TYPE standar'!$D:$U,16,0)</f>
        <v>AVANZA</v>
      </c>
      <c r="J163" s="20" t="str">
        <f>VLOOKUP(U163,'[1]KODE TYPE standar'!$D:$U,18,0)</f>
        <v>AVANZA G M/T</v>
      </c>
      <c r="K163" s="27" t="s">
        <v>121</v>
      </c>
      <c r="L163" s="28" t="s">
        <v>110</v>
      </c>
      <c r="M163" s="28" t="s">
        <v>262</v>
      </c>
      <c r="N163" s="28" t="s">
        <v>141</v>
      </c>
      <c r="O163" s="28" t="s">
        <v>156</v>
      </c>
      <c r="P163" s="29" t="s">
        <v>149</v>
      </c>
      <c r="Q163" s="29" t="s">
        <v>161</v>
      </c>
      <c r="R163" s="29" t="s">
        <v>597</v>
      </c>
      <c r="S163" s="27" t="s">
        <v>1966</v>
      </c>
      <c r="T163" s="30" t="s">
        <v>509</v>
      </c>
      <c r="U163" s="27" t="s">
        <v>373</v>
      </c>
      <c r="V163" s="27" t="s">
        <v>64</v>
      </c>
      <c r="W163" s="27" t="s">
        <v>65</v>
      </c>
      <c r="X163" s="27" t="s">
        <v>2559</v>
      </c>
      <c r="Y163" s="27" t="s">
        <v>2560</v>
      </c>
      <c r="Z163" s="27" t="s">
        <v>1965</v>
      </c>
      <c r="AA163" s="27" t="s">
        <v>1966</v>
      </c>
      <c r="AB163" s="30" t="s">
        <v>509</v>
      </c>
      <c r="AC163" s="30" t="s">
        <v>2561</v>
      </c>
      <c r="AD163" s="28" t="s">
        <v>2562</v>
      </c>
      <c r="AE163" s="28" t="s">
        <v>110</v>
      </c>
      <c r="AF163" s="28" t="s">
        <v>2562</v>
      </c>
      <c r="AG163" s="28" t="s">
        <v>2563</v>
      </c>
      <c r="AH163" s="28" t="s">
        <v>1694</v>
      </c>
      <c r="AI163" s="28" t="s">
        <v>141</v>
      </c>
      <c r="AJ163" s="28" t="s">
        <v>262</v>
      </c>
      <c r="AK163" s="28" t="s">
        <v>104</v>
      </c>
      <c r="AL163" s="28"/>
      <c r="AM163" s="31">
        <v>269700000</v>
      </c>
      <c r="AN163" s="31">
        <v>207935268</v>
      </c>
      <c r="AO163" s="31">
        <v>36812500</v>
      </c>
      <c r="AP163" s="31">
        <v>23237946</v>
      </c>
      <c r="AQ163" s="31">
        <v>0</v>
      </c>
      <c r="AR163" s="31">
        <v>0</v>
      </c>
      <c r="AS163" s="31">
        <v>14285714</v>
      </c>
      <c r="AT163" s="31">
        <v>253700000</v>
      </c>
      <c r="AU163" s="31">
        <v>6000000</v>
      </c>
      <c r="AV163" s="31">
        <v>-16000000</v>
      </c>
      <c r="AW163" s="28"/>
      <c r="AX163" s="28"/>
      <c r="AY163" s="28" t="s">
        <v>83</v>
      </c>
      <c r="AZ163" s="28">
        <v>1</v>
      </c>
      <c r="BA163" s="28"/>
      <c r="BB163" s="28" t="s">
        <v>297</v>
      </c>
      <c r="BC163" s="28" t="s">
        <v>2564</v>
      </c>
      <c r="BD163" s="28" t="s">
        <v>295</v>
      </c>
      <c r="BE163" s="28" t="s">
        <v>295</v>
      </c>
      <c r="BF163" s="28" t="s">
        <v>2565</v>
      </c>
      <c r="BG163" s="28" t="s">
        <v>2566</v>
      </c>
      <c r="BH163" s="28" t="s">
        <v>297</v>
      </c>
      <c r="BI163" s="28" t="s">
        <v>282</v>
      </c>
      <c r="BJ163" s="28" t="s">
        <v>2567</v>
      </c>
      <c r="BK163" s="28" t="s">
        <v>251</v>
      </c>
      <c r="BL163" s="28" t="s">
        <v>2568</v>
      </c>
      <c r="BM163" s="32">
        <v>0</v>
      </c>
    </row>
    <row r="164" spans="1:65" s="19" customFormat="1" x14ac:dyDescent="0.2">
      <c r="A164" s="33">
        <v>1055</v>
      </c>
      <c r="B164" s="26">
        <v>146</v>
      </c>
      <c r="C164" s="36" t="s">
        <v>503</v>
      </c>
      <c r="D164" s="27" t="s">
        <v>2569</v>
      </c>
      <c r="E164" s="27" t="s">
        <v>394</v>
      </c>
      <c r="F164" s="27" t="s">
        <v>389</v>
      </c>
      <c r="G164" s="28">
        <v>2026</v>
      </c>
      <c r="H164" s="20" t="str">
        <f>VLOOKUP(U164,'[1]KODE TYPE standar'!$D:$U,17,0)</f>
        <v>INV REBORN</v>
      </c>
      <c r="I164" s="20" t="str">
        <f>VLOOKUP(U164,'[1]KODE TYPE standar'!$D:$U,16,0)</f>
        <v>INNOVA</v>
      </c>
      <c r="J164" s="20" t="str">
        <f>VLOOKUP(U164,'[1]KODE TYPE standar'!$D:$U,18,0)</f>
        <v>INNOVA G A/T DIESEL</v>
      </c>
      <c r="K164" s="27" t="s">
        <v>50</v>
      </c>
      <c r="L164" s="27" t="s">
        <v>110</v>
      </c>
      <c r="M164" s="27" t="s">
        <v>50</v>
      </c>
      <c r="N164" s="27" t="s">
        <v>140</v>
      </c>
      <c r="O164" s="28" t="s">
        <v>156</v>
      </c>
      <c r="P164" s="29" t="s">
        <v>149</v>
      </c>
      <c r="Q164" s="29" t="s">
        <v>161</v>
      </c>
      <c r="R164" s="29" t="s">
        <v>145</v>
      </c>
      <c r="S164" s="27" t="s">
        <v>569</v>
      </c>
      <c r="T164" s="27" t="s">
        <v>509</v>
      </c>
      <c r="U164" s="27" t="s">
        <v>192</v>
      </c>
      <c r="V164" s="27" t="s">
        <v>93</v>
      </c>
      <c r="W164" s="27" t="s">
        <v>81</v>
      </c>
      <c r="X164" s="27" t="s">
        <v>2570</v>
      </c>
      <c r="Y164" s="27" t="s">
        <v>2571</v>
      </c>
      <c r="Z164" s="27" t="s">
        <v>568</v>
      </c>
      <c r="AA164" s="27" t="s">
        <v>569</v>
      </c>
      <c r="AB164" s="27" t="s">
        <v>509</v>
      </c>
      <c r="AC164" s="27" t="s">
        <v>2572</v>
      </c>
      <c r="AD164" s="27" t="s">
        <v>2573</v>
      </c>
      <c r="AE164" s="27" t="s">
        <v>110</v>
      </c>
      <c r="AF164" s="27" t="s">
        <v>2573</v>
      </c>
      <c r="AG164" s="27" t="s">
        <v>2574</v>
      </c>
      <c r="AH164" s="27" t="s">
        <v>2575</v>
      </c>
      <c r="AI164" s="27" t="s">
        <v>140</v>
      </c>
      <c r="AJ164" s="27" t="s">
        <v>50</v>
      </c>
      <c r="AK164" s="27" t="s">
        <v>50</v>
      </c>
      <c r="AL164" s="27"/>
      <c r="AM164" s="34">
        <v>442100000</v>
      </c>
      <c r="AN164" s="34">
        <v>342622768</v>
      </c>
      <c r="AO164" s="34">
        <v>58362500</v>
      </c>
      <c r="AP164" s="34">
        <v>38864732</v>
      </c>
      <c r="AQ164" s="34">
        <v>0</v>
      </c>
      <c r="AR164" s="34">
        <v>0</v>
      </c>
      <c r="AS164" s="34">
        <v>18750000</v>
      </c>
      <c r="AT164" s="34">
        <v>421100000</v>
      </c>
      <c r="AU164" s="34">
        <v>0</v>
      </c>
      <c r="AV164" s="34">
        <v>-21000000</v>
      </c>
      <c r="AW164" s="27" t="s">
        <v>393</v>
      </c>
      <c r="AX164" s="27" t="s">
        <v>393</v>
      </c>
      <c r="AY164" s="27" t="s">
        <v>83</v>
      </c>
      <c r="AZ164" s="27">
        <v>1</v>
      </c>
      <c r="BA164" s="27" t="s">
        <v>163</v>
      </c>
      <c r="BB164" s="27" t="s">
        <v>308</v>
      </c>
      <c r="BC164" s="27" t="s">
        <v>2576</v>
      </c>
      <c r="BD164" s="27" t="s">
        <v>303</v>
      </c>
      <c r="BE164" s="27" t="s">
        <v>303</v>
      </c>
      <c r="BF164" s="27" t="s">
        <v>2577</v>
      </c>
      <c r="BG164" s="27" t="s">
        <v>2578</v>
      </c>
      <c r="BH164" s="27" t="s">
        <v>394</v>
      </c>
      <c r="BI164" s="27" t="s">
        <v>391</v>
      </c>
      <c r="BJ164" s="27" t="s">
        <v>2579</v>
      </c>
      <c r="BK164" s="27" t="s">
        <v>394</v>
      </c>
      <c r="BL164" s="27" t="s">
        <v>2580</v>
      </c>
      <c r="BM164" s="35">
        <v>0</v>
      </c>
    </row>
    <row r="165" spans="1:65" s="19" customFormat="1" x14ac:dyDescent="0.2">
      <c r="A165" s="33">
        <v>1057</v>
      </c>
      <c r="B165" s="26">
        <v>146</v>
      </c>
      <c r="C165" s="36" t="s">
        <v>503</v>
      </c>
      <c r="D165" s="27" t="s">
        <v>2581</v>
      </c>
      <c r="E165" s="27" t="s">
        <v>347</v>
      </c>
      <c r="F165" s="27" t="s">
        <v>389</v>
      </c>
      <c r="G165" s="28">
        <v>2026</v>
      </c>
      <c r="H165" s="20" t="str">
        <f>VLOOKUP(U165,'[1]KODE TYPE standar'!$D:$U,17,0)</f>
        <v>CALYA</v>
      </c>
      <c r="I165" s="20" t="str">
        <f>VLOOKUP(U165,'[1]KODE TYPE standar'!$D:$U,16,0)</f>
        <v>CALYA</v>
      </c>
      <c r="J165" s="20" t="str">
        <f>VLOOKUP(U165,'[1]KODE TYPE standar'!$D:$U,18,0)</f>
        <v>CALYA G M/T</v>
      </c>
      <c r="K165" s="27" t="s">
        <v>121</v>
      </c>
      <c r="L165" s="27" t="s">
        <v>110</v>
      </c>
      <c r="M165" s="27" t="s">
        <v>262</v>
      </c>
      <c r="N165" s="27" t="s">
        <v>140</v>
      </c>
      <c r="O165" s="28" t="s">
        <v>156</v>
      </c>
      <c r="P165" s="29" t="s">
        <v>151</v>
      </c>
      <c r="Q165" s="29" t="s">
        <v>161</v>
      </c>
      <c r="R165" s="29" t="s">
        <v>597</v>
      </c>
      <c r="S165" s="27" t="s">
        <v>1476</v>
      </c>
      <c r="T165" s="27" t="s">
        <v>541</v>
      </c>
      <c r="U165" s="27" t="s">
        <v>268</v>
      </c>
      <c r="V165" s="27" t="s">
        <v>77</v>
      </c>
      <c r="W165" s="27" t="s">
        <v>78</v>
      </c>
      <c r="X165" s="27" t="s">
        <v>2582</v>
      </c>
      <c r="Y165" s="27" t="s">
        <v>2583</v>
      </c>
      <c r="Z165" s="27" t="s">
        <v>1475</v>
      </c>
      <c r="AA165" s="27" t="s">
        <v>1476</v>
      </c>
      <c r="AB165" s="27" t="s">
        <v>541</v>
      </c>
      <c r="AC165" s="27" t="s">
        <v>2584</v>
      </c>
      <c r="AD165" s="27" t="s">
        <v>2585</v>
      </c>
      <c r="AE165" s="27" t="s">
        <v>110</v>
      </c>
      <c r="AF165" s="27" t="s">
        <v>2585</v>
      </c>
      <c r="AG165" s="27" t="s">
        <v>2586</v>
      </c>
      <c r="AH165" s="27" t="s">
        <v>2587</v>
      </c>
      <c r="AI165" s="27" t="s">
        <v>140</v>
      </c>
      <c r="AJ165" s="27" t="s">
        <v>262</v>
      </c>
      <c r="AK165" s="27" t="s">
        <v>104</v>
      </c>
      <c r="AL165" s="27"/>
      <c r="AM165" s="34">
        <v>181900000</v>
      </c>
      <c r="AN165" s="34">
        <v>139341518</v>
      </c>
      <c r="AO165" s="34">
        <v>25837500</v>
      </c>
      <c r="AP165" s="34">
        <v>15649553</v>
      </c>
      <c r="AQ165" s="34">
        <v>0</v>
      </c>
      <c r="AR165" s="34">
        <v>0</v>
      </c>
      <c r="AS165" s="34">
        <v>8928571</v>
      </c>
      <c r="AT165" s="34">
        <v>171900000</v>
      </c>
      <c r="AU165" s="34">
        <v>0</v>
      </c>
      <c r="AV165" s="34">
        <v>-10000000</v>
      </c>
      <c r="AW165" s="27" t="s">
        <v>342</v>
      </c>
      <c r="AX165" s="27" t="s">
        <v>342</v>
      </c>
      <c r="AY165" s="27" t="s">
        <v>83</v>
      </c>
      <c r="AZ165" s="27">
        <v>1</v>
      </c>
      <c r="BA165" s="27"/>
      <c r="BB165" s="27" t="s">
        <v>290</v>
      </c>
      <c r="BC165" s="27" t="s">
        <v>2588</v>
      </c>
      <c r="BD165" s="27" t="s">
        <v>309</v>
      </c>
      <c r="BE165" s="27" t="s">
        <v>309</v>
      </c>
      <c r="BF165" s="27" t="s">
        <v>2589</v>
      </c>
      <c r="BG165" s="27" t="s">
        <v>2590</v>
      </c>
      <c r="BH165" s="27" t="s">
        <v>347</v>
      </c>
      <c r="BI165" s="27" t="s">
        <v>401</v>
      </c>
      <c r="BJ165" s="27" t="s">
        <v>2591</v>
      </c>
      <c r="BK165" s="27" t="s">
        <v>290</v>
      </c>
      <c r="BL165" s="27" t="s">
        <v>2592</v>
      </c>
      <c r="BM165" s="35">
        <v>0</v>
      </c>
    </row>
    <row r="166" spans="1:65" s="19" customFormat="1" x14ac:dyDescent="0.2">
      <c r="A166" s="33">
        <v>1089</v>
      </c>
      <c r="B166" s="26">
        <v>146</v>
      </c>
      <c r="C166" s="36" t="s">
        <v>503</v>
      </c>
      <c r="D166" s="27" t="s">
        <v>2593</v>
      </c>
      <c r="E166" s="27" t="s">
        <v>394</v>
      </c>
      <c r="F166" s="27" t="s">
        <v>389</v>
      </c>
      <c r="G166" s="28">
        <v>2026</v>
      </c>
      <c r="H166" s="20" t="str">
        <f>VLOOKUP(U166,'[1]KODE TYPE standar'!$D:$U,17,0)</f>
        <v>HILUX</v>
      </c>
      <c r="I166" s="20" t="str">
        <f>VLOOKUP(U166,'[1]KODE TYPE standar'!$D:$U,16,0)</f>
        <v>HILUX</v>
      </c>
      <c r="J166" s="20" t="str">
        <f>VLOOKUP(U166,'[1]KODE TYPE standar'!$D:$U,18,0)</f>
        <v>RANGGA-HILUX PU DIESEL A/T</v>
      </c>
      <c r="K166" s="27" t="s">
        <v>50</v>
      </c>
      <c r="L166" s="27" t="s">
        <v>110</v>
      </c>
      <c r="M166" s="27" t="s">
        <v>50</v>
      </c>
      <c r="N166" s="27" t="s">
        <v>141</v>
      </c>
      <c r="O166" s="28" t="s">
        <v>156</v>
      </c>
      <c r="P166" s="29" t="s">
        <v>149</v>
      </c>
      <c r="Q166" s="29" t="s">
        <v>161</v>
      </c>
      <c r="R166" s="29" t="s">
        <v>145</v>
      </c>
      <c r="S166" s="27" t="s">
        <v>631</v>
      </c>
      <c r="T166" s="27" t="s">
        <v>541</v>
      </c>
      <c r="U166" s="27" t="s">
        <v>486</v>
      </c>
      <c r="V166" s="27" t="s">
        <v>99</v>
      </c>
      <c r="W166" s="27" t="s">
        <v>61</v>
      </c>
      <c r="X166" s="27" t="s">
        <v>2594</v>
      </c>
      <c r="Y166" s="27" t="s">
        <v>2595</v>
      </c>
      <c r="Z166" s="27" t="s">
        <v>630</v>
      </c>
      <c r="AA166" s="27" t="s">
        <v>631</v>
      </c>
      <c r="AB166" s="27" t="s">
        <v>541</v>
      </c>
      <c r="AC166" s="27" t="s">
        <v>2596</v>
      </c>
      <c r="AD166" s="27" t="s">
        <v>2597</v>
      </c>
      <c r="AE166" s="27" t="s">
        <v>110</v>
      </c>
      <c r="AF166" s="27" t="s">
        <v>2597</v>
      </c>
      <c r="AG166" s="27" t="s">
        <v>2598</v>
      </c>
      <c r="AH166" s="27" t="s">
        <v>1879</v>
      </c>
      <c r="AI166" s="27" t="s">
        <v>141</v>
      </c>
      <c r="AJ166" s="27" t="s">
        <v>50</v>
      </c>
      <c r="AK166" s="27" t="s">
        <v>50</v>
      </c>
      <c r="AL166" s="27"/>
      <c r="AM166" s="34">
        <v>315000000</v>
      </c>
      <c r="AN166" s="34">
        <v>243400901</v>
      </c>
      <c r="AO166" s="34">
        <v>44825000</v>
      </c>
      <c r="AP166" s="34">
        <v>25783108</v>
      </c>
      <c r="AQ166" s="34">
        <v>0</v>
      </c>
      <c r="AR166" s="34">
        <v>0</v>
      </c>
      <c r="AS166" s="34">
        <v>9009009</v>
      </c>
      <c r="AT166" s="34">
        <v>305000000</v>
      </c>
      <c r="AU166" s="34">
        <v>0</v>
      </c>
      <c r="AV166" s="34">
        <v>-10000000</v>
      </c>
      <c r="AW166" s="27" t="s">
        <v>393</v>
      </c>
      <c r="AX166" s="27" t="s">
        <v>393</v>
      </c>
      <c r="AY166" s="27" t="s">
        <v>83</v>
      </c>
      <c r="AZ166" s="27">
        <v>1</v>
      </c>
      <c r="BA166" s="27"/>
      <c r="BB166" s="27" t="s">
        <v>358</v>
      </c>
      <c r="BC166" s="27" t="s">
        <v>2599</v>
      </c>
      <c r="BD166" s="27" t="s">
        <v>397</v>
      </c>
      <c r="BE166" s="27" t="s">
        <v>397</v>
      </c>
      <c r="BF166" s="27" t="s">
        <v>2600</v>
      </c>
      <c r="BG166" s="27" t="s">
        <v>2601</v>
      </c>
      <c r="BH166" s="27" t="s">
        <v>394</v>
      </c>
      <c r="BI166" s="27" t="s">
        <v>391</v>
      </c>
      <c r="BJ166" s="27" t="s">
        <v>2602</v>
      </c>
      <c r="BK166" s="27" t="s">
        <v>271</v>
      </c>
      <c r="BL166" s="27" t="s">
        <v>2603</v>
      </c>
      <c r="BM166" s="35">
        <v>0</v>
      </c>
    </row>
    <row r="167" spans="1:65" s="19" customFormat="1" x14ac:dyDescent="0.2">
      <c r="A167" s="33">
        <v>815</v>
      </c>
      <c r="B167" s="26">
        <v>146</v>
      </c>
      <c r="C167" s="27" t="s">
        <v>503</v>
      </c>
      <c r="D167" s="27" t="s">
        <v>2604</v>
      </c>
      <c r="E167" s="27" t="s">
        <v>204</v>
      </c>
      <c r="F167" s="27" t="s">
        <v>111</v>
      </c>
      <c r="G167" s="28">
        <v>2026</v>
      </c>
      <c r="H167" s="20" t="str">
        <f>VLOOKUP(U167,'[1]KODE TYPE standar'!$D:$U,17,0)</f>
        <v>AVANZA</v>
      </c>
      <c r="I167" s="20" t="str">
        <f>VLOOKUP(U167,'[1]KODE TYPE standar'!$D:$U,16,0)</f>
        <v>AVANZA</v>
      </c>
      <c r="J167" s="20" t="str">
        <f>VLOOKUP(U167,'[1]KODE TYPE standar'!$D:$U,18,0)</f>
        <v>AVANZA G M/T</v>
      </c>
      <c r="K167" s="27" t="s">
        <v>119</v>
      </c>
      <c r="L167" s="27" t="s">
        <v>110</v>
      </c>
      <c r="M167" s="27" t="s">
        <v>262</v>
      </c>
      <c r="N167" s="27" t="s">
        <v>106</v>
      </c>
      <c r="O167" s="28" t="s">
        <v>156</v>
      </c>
      <c r="P167" s="29" t="s">
        <v>149</v>
      </c>
      <c r="Q167" s="29" t="s">
        <v>161</v>
      </c>
      <c r="R167" s="29" t="s">
        <v>145</v>
      </c>
      <c r="S167" s="27" t="s">
        <v>923</v>
      </c>
      <c r="T167" s="27" t="s">
        <v>541</v>
      </c>
      <c r="U167" s="27" t="s">
        <v>59</v>
      </c>
      <c r="V167" s="27" t="s">
        <v>64</v>
      </c>
      <c r="W167" s="27" t="s">
        <v>65</v>
      </c>
      <c r="X167" s="27" t="s">
        <v>2605</v>
      </c>
      <c r="Y167" s="27" t="s">
        <v>2606</v>
      </c>
      <c r="Z167" s="27" t="s">
        <v>922</v>
      </c>
      <c r="AA167" s="27" t="s">
        <v>923</v>
      </c>
      <c r="AB167" s="27" t="s">
        <v>541</v>
      </c>
      <c r="AC167" s="27" t="s">
        <v>2607</v>
      </c>
      <c r="AD167" s="27" t="s">
        <v>2608</v>
      </c>
      <c r="AE167" s="27" t="s">
        <v>110</v>
      </c>
      <c r="AF167" s="27" t="s">
        <v>2608</v>
      </c>
      <c r="AG167" s="27" t="s">
        <v>2609</v>
      </c>
      <c r="AH167" s="27" t="s">
        <v>2610</v>
      </c>
      <c r="AI167" s="27" t="s">
        <v>106</v>
      </c>
      <c r="AJ167" s="27" t="s">
        <v>262</v>
      </c>
      <c r="AK167" s="27" t="s">
        <v>89</v>
      </c>
      <c r="AL167" s="27" t="s">
        <v>2611</v>
      </c>
      <c r="AM167" s="34">
        <v>269700000</v>
      </c>
      <c r="AN167" s="34">
        <v>208158482</v>
      </c>
      <c r="AO167" s="34">
        <v>36562500</v>
      </c>
      <c r="AP167" s="34">
        <v>22836160</v>
      </c>
      <c r="AQ167" s="34">
        <v>0</v>
      </c>
      <c r="AR167" s="34">
        <v>0</v>
      </c>
      <c r="AS167" s="34">
        <v>17857143</v>
      </c>
      <c r="AT167" s="34">
        <v>249700000</v>
      </c>
      <c r="AU167" s="34">
        <v>0</v>
      </c>
      <c r="AV167" s="34">
        <v>-20000000</v>
      </c>
      <c r="AW167" s="27" t="s">
        <v>190</v>
      </c>
      <c r="AX167" s="27" t="s">
        <v>190</v>
      </c>
      <c r="AY167" s="27" t="s">
        <v>83</v>
      </c>
      <c r="AZ167" s="27">
        <v>1</v>
      </c>
      <c r="BA167" s="27"/>
      <c r="BB167" s="27" t="s">
        <v>225</v>
      </c>
      <c r="BC167" s="27" t="s">
        <v>2612</v>
      </c>
      <c r="BD167" s="27" t="s">
        <v>225</v>
      </c>
      <c r="BE167" s="27" t="s">
        <v>225</v>
      </c>
      <c r="BF167" s="27" t="s">
        <v>2613</v>
      </c>
      <c r="BG167" s="27" t="s">
        <v>2614</v>
      </c>
      <c r="BH167" s="27" t="s">
        <v>204</v>
      </c>
      <c r="BI167" s="27" t="s">
        <v>226</v>
      </c>
      <c r="BJ167" s="27" t="s">
        <v>2300</v>
      </c>
      <c r="BK167" s="27" t="s">
        <v>203</v>
      </c>
      <c r="BL167" s="27" t="s">
        <v>2615</v>
      </c>
      <c r="BM167" s="35">
        <v>0</v>
      </c>
    </row>
    <row r="168" spans="1:65" s="19" customFormat="1" x14ac:dyDescent="0.2">
      <c r="A168" s="33">
        <v>883</v>
      </c>
      <c r="B168" s="26">
        <v>146</v>
      </c>
      <c r="C168" s="27" t="s">
        <v>503</v>
      </c>
      <c r="D168" s="27" t="s">
        <v>2616</v>
      </c>
      <c r="E168" s="27" t="s">
        <v>195</v>
      </c>
      <c r="F168" s="27" t="s">
        <v>111</v>
      </c>
      <c r="G168" s="28">
        <v>2026</v>
      </c>
      <c r="H168" s="20" t="str">
        <f>VLOOKUP(U168,'[1]KODE TYPE standar'!$D:$U,17,0)</f>
        <v>HILUX</v>
      </c>
      <c r="I168" s="20" t="str">
        <f>VLOOKUP(U168,'[1]KODE TYPE standar'!$D:$U,16,0)</f>
        <v>HILUX</v>
      </c>
      <c r="J168" s="20" t="str">
        <f>VLOOKUP(U168,'[1]KODE TYPE standar'!$D:$U,18,0)</f>
        <v>HILUX SC M/T DIESEL</v>
      </c>
      <c r="K168" s="27" t="s">
        <v>119</v>
      </c>
      <c r="L168" s="27" t="s">
        <v>109</v>
      </c>
      <c r="M168" s="27" t="s">
        <v>262</v>
      </c>
      <c r="N168" s="27" t="s">
        <v>56</v>
      </c>
      <c r="O168" s="28" t="s">
        <v>6581</v>
      </c>
      <c r="P168" s="29" t="s">
        <v>150</v>
      </c>
      <c r="Q168" s="29" t="s">
        <v>162</v>
      </c>
      <c r="R168" s="29" t="s">
        <v>109</v>
      </c>
      <c r="S168" s="27" t="s">
        <v>524</v>
      </c>
      <c r="T168" s="27" t="s">
        <v>541</v>
      </c>
      <c r="U168" s="27" t="s">
        <v>2617</v>
      </c>
      <c r="V168" s="27" t="s">
        <v>48</v>
      </c>
      <c r="W168" s="27" t="s">
        <v>49</v>
      </c>
      <c r="X168" s="27" t="s">
        <v>2618</v>
      </c>
      <c r="Y168" s="27" t="s">
        <v>2619</v>
      </c>
      <c r="Z168" s="27" t="s">
        <v>523</v>
      </c>
      <c r="AA168" s="27" t="s">
        <v>524</v>
      </c>
      <c r="AB168" s="27" t="s">
        <v>541</v>
      </c>
      <c r="AC168" s="27" t="s">
        <v>2620</v>
      </c>
      <c r="AD168" s="27" t="s">
        <v>2621</v>
      </c>
      <c r="AE168" s="27" t="s">
        <v>109</v>
      </c>
      <c r="AF168" s="27" t="s">
        <v>2622</v>
      </c>
      <c r="AG168" s="27" t="s">
        <v>2623</v>
      </c>
      <c r="AH168" s="27" t="s">
        <v>381</v>
      </c>
      <c r="AI168" s="27" t="s">
        <v>56</v>
      </c>
      <c r="AJ168" s="27" t="s">
        <v>262</v>
      </c>
      <c r="AK168" s="27" t="s">
        <v>89</v>
      </c>
      <c r="AL168" s="27" t="s">
        <v>2624</v>
      </c>
      <c r="AM168" s="34">
        <v>416800000</v>
      </c>
      <c r="AN168" s="34">
        <v>325905405</v>
      </c>
      <c r="AO168" s="34">
        <v>55045000</v>
      </c>
      <c r="AP168" s="34">
        <v>32827072</v>
      </c>
      <c r="AQ168" s="34">
        <v>0</v>
      </c>
      <c r="AR168" s="34">
        <v>0</v>
      </c>
      <c r="AS168" s="34">
        <v>27477477</v>
      </c>
      <c r="AT168" s="34">
        <v>386300000</v>
      </c>
      <c r="AU168" s="34">
        <v>0</v>
      </c>
      <c r="AV168" s="34">
        <v>-30500000</v>
      </c>
      <c r="AW168" s="27" t="s">
        <v>199</v>
      </c>
      <c r="AX168" s="27" t="s">
        <v>199</v>
      </c>
      <c r="AY168" s="27" t="s">
        <v>83</v>
      </c>
      <c r="AZ168" s="27">
        <v>1</v>
      </c>
      <c r="BA168" s="27" t="s">
        <v>2625</v>
      </c>
      <c r="BB168" s="27" t="s">
        <v>202</v>
      </c>
      <c r="BC168" s="27" t="s">
        <v>2626</v>
      </c>
      <c r="BD168" s="27" t="s">
        <v>183</v>
      </c>
      <c r="BE168" s="27" t="s">
        <v>183</v>
      </c>
      <c r="BF168" s="27" t="s">
        <v>2627</v>
      </c>
      <c r="BG168" s="27" t="s">
        <v>2628</v>
      </c>
      <c r="BH168" s="27" t="s">
        <v>195</v>
      </c>
      <c r="BI168" s="27" t="s">
        <v>215</v>
      </c>
      <c r="BJ168" s="27" t="s">
        <v>2629</v>
      </c>
      <c r="BK168" s="27" t="s">
        <v>178</v>
      </c>
      <c r="BL168" s="27" t="s">
        <v>2630</v>
      </c>
      <c r="BM168" s="35">
        <v>0</v>
      </c>
    </row>
    <row r="169" spans="1:65" s="19" customFormat="1" x14ac:dyDescent="0.2">
      <c r="A169" s="33">
        <v>909</v>
      </c>
      <c r="B169" s="26">
        <v>146</v>
      </c>
      <c r="C169" s="27" t="s">
        <v>503</v>
      </c>
      <c r="D169" s="27" t="s">
        <v>2631</v>
      </c>
      <c r="E169" s="27" t="s">
        <v>204</v>
      </c>
      <c r="F169" s="27" t="s">
        <v>111</v>
      </c>
      <c r="G169" s="28">
        <v>2026</v>
      </c>
      <c r="H169" s="20" t="str">
        <f>VLOOKUP(U169,'[1]KODE TYPE standar'!$D:$U,17,0)</f>
        <v>HILUX</v>
      </c>
      <c r="I169" s="20" t="str">
        <f>VLOOKUP(U169,'[1]KODE TYPE standar'!$D:$U,16,0)</f>
        <v>HILUX</v>
      </c>
      <c r="J169" s="20" t="str">
        <f>VLOOKUP(U169,'[1]KODE TYPE standar'!$D:$U,18,0)</f>
        <v>RANGGA-HILUX PU DIESEL M/T</v>
      </c>
      <c r="K169" s="27" t="s">
        <v>119</v>
      </c>
      <c r="L169" s="27" t="s">
        <v>109</v>
      </c>
      <c r="M169" s="27" t="s">
        <v>262</v>
      </c>
      <c r="N169" s="27" t="s">
        <v>140</v>
      </c>
      <c r="O169" s="28" t="s">
        <v>156</v>
      </c>
      <c r="P169" s="29" t="s">
        <v>149</v>
      </c>
      <c r="Q169" s="29" t="s">
        <v>161</v>
      </c>
      <c r="R169" s="29" t="s">
        <v>109</v>
      </c>
      <c r="S169" s="27" t="s">
        <v>1184</v>
      </c>
      <c r="T169" s="27" t="s">
        <v>585</v>
      </c>
      <c r="U169" s="27" t="s">
        <v>457</v>
      </c>
      <c r="V169" s="27" t="s">
        <v>99</v>
      </c>
      <c r="W169" s="27" t="s">
        <v>61</v>
      </c>
      <c r="X169" s="27" t="s">
        <v>2632</v>
      </c>
      <c r="Y169" s="27" t="s">
        <v>2633</v>
      </c>
      <c r="Z169" s="27" t="s">
        <v>1183</v>
      </c>
      <c r="AA169" s="27" t="s">
        <v>1184</v>
      </c>
      <c r="AB169" s="27" t="s">
        <v>585</v>
      </c>
      <c r="AC169" s="27" t="s">
        <v>2634</v>
      </c>
      <c r="AD169" s="27" t="s">
        <v>2635</v>
      </c>
      <c r="AE169" s="27" t="s">
        <v>109</v>
      </c>
      <c r="AF169" s="27" t="s">
        <v>2636</v>
      </c>
      <c r="AG169" s="27" t="s">
        <v>2637</v>
      </c>
      <c r="AH169" s="27" t="s">
        <v>1745</v>
      </c>
      <c r="AI169" s="27" t="s">
        <v>140</v>
      </c>
      <c r="AJ169" s="27" t="s">
        <v>262</v>
      </c>
      <c r="AK169" s="27" t="s">
        <v>89</v>
      </c>
      <c r="AL169" s="27" t="s">
        <v>2638</v>
      </c>
      <c r="AM169" s="34">
        <v>259200000</v>
      </c>
      <c r="AN169" s="34">
        <v>200135135</v>
      </c>
      <c r="AO169" s="34">
        <v>37050000</v>
      </c>
      <c r="AP169" s="34">
        <v>20528378</v>
      </c>
      <c r="AQ169" s="34">
        <v>0</v>
      </c>
      <c r="AR169" s="34">
        <v>0</v>
      </c>
      <c r="AS169" s="34">
        <v>13513514</v>
      </c>
      <c r="AT169" s="34">
        <v>244200000</v>
      </c>
      <c r="AU169" s="34">
        <v>0</v>
      </c>
      <c r="AV169" s="34">
        <v>-15000000</v>
      </c>
      <c r="AW169" s="27"/>
      <c r="AX169" s="27"/>
      <c r="AY169" s="27" t="s">
        <v>83</v>
      </c>
      <c r="AZ169" s="27">
        <v>1</v>
      </c>
      <c r="BA169" s="27" t="s">
        <v>163</v>
      </c>
      <c r="BB169" s="27" t="s">
        <v>204</v>
      </c>
      <c r="BC169" s="27" t="s">
        <v>2639</v>
      </c>
      <c r="BD169" s="27" t="s">
        <v>204</v>
      </c>
      <c r="BE169" s="27" t="s">
        <v>204</v>
      </c>
      <c r="BF169" s="27" t="s">
        <v>2640</v>
      </c>
      <c r="BG169" s="27" t="s">
        <v>2641</v>
      </c>
      <c r="BH169" s="27"/>
      <c r="BI169" s="27" t="s">
        <v>226</v>
      </c>
      <c r="BJ169" s="27" t="s">
        <v>2642</v>
      </c>
      <c r="BK169" s="27" t="s">
        <v>191</v>
      </c>
      <c r="BL169" s="27" t="s">
        <v>2643</v>
      </c>
      <c r="BM169" s="35">
        <v>0</v>
      </c>
    </row>
    <row r="170" spans="1:65" s="19" customFormat="1" x14ac:dyDescent="0.2">
      <c r="A170" s="25">
        <v>874</v>
      </c>
      <c r="B170" s="26">
        <v>146</v>
      </c>
      <c r="C170" s="27" t="s">
        <v>503</v>
      </c>
      <c r="D170" s="28" t="s">
        <v>2644</v>
      </c>
      <c r="E170" s="28" t="s">
        <v>244</v>
      </c>
      <c r="F170" s="28" t="s">
        <v>339</v>
      </c>
      <c r="G170" s="28">
        <v>2026</v>
      </c>
      <c r="H170" s="20" t="str">
        <f>VLOOKUP(U170,'[1]KODE TYPE standar'!$D:$U,17,0)</f>
        <v>INV ZENIX HYBRID</v>
      </c>
      <c r="I170" s="20" t="str">
        <f>VLOOKUP(U170,'[1]KODE TYPE standar'!$D:$U,16,0)</f>
        <v>INNOVA</v>
      </c>
      <c r="J170" s="20" t="str">
        <f>VLOOKUP(U170,'[1]KODE TYPE standar'!$D:$U,18,0)</f>
        <v>INNOVA ZENIX V A/T HYBRID</v>
      </c>
      <c r="K170" s="27" t="s">
        <v>118</v>
      </c>
      <c r="L170" s="28" t="s">
        <v>109</v>
      </c>
      <c r="M170" s="28" t="s">
        <v>262</v>
      </c>
      <c r="N170" s="28" t="s">
        <v>141</v>
      </c>
      <c r="O170" s="28" t="s">
        <v>156</v>
      </c>
      <c r="P170" s="29" t="s">
        <v>151</v>
      </c>
      <c r="Q170" s="29" t="s">
        <v>161</v>
      </c>
      <c r="R170" s="29" t="s">
        <v>109</v>
      </c>
      <c r="S170" s="27" t="s">
        <v>1171</v>
      </c>
      <c r="T170" s="30" t="s">
        <v>509</v>
      </c>
      <c r="U170" s="27" t="s">
        <v>175</v>
      </c>
      <c r="V170" s="27" t="s">
        <v>48</v>
      </c>
      <c r="W170" s="27" t="s">
        <v>49</v>
      </c>
      <c r="X170" s="27" t="s">
        <v>2645</v>
      </c>
      <c r="Y170" s="27" t="s">
        <v>2646</v>
      </c>
      <c r="Z170" s="27" t="s">
        <v>1170</v>
      </c>
      <c r="AA170" s="27" t="s">
        <v>1171</v>
      </c>
      <c r="AB170" s="30" t="s">
        <v>509</v>
      </c>
      <c r="AC170" s="30" t="s">
        <v>2647</v>
      </c>
      <c r="AD170" s="28" t="s">
        <v>2648</v>
      </c>
      <c r="AE170" s="28" t="s">
        <v>109</v>
      </c>
      <c r="AF170" s="28" t="s">
        <v>2649</v>
      </c>
      <c r="AG170" s="28" t="s">
        <v>2650</v>
      </c>
      <c r="AH170" s="28" t="s">
        <v>1720</v>
      </c>
      <c r="AI170" s="28" t="s">
        <v>141</v>
      </c>
      <c r="AJ170" s="28" t="s">
        <v>262</v>
      </c>
      <c r="AK170" s="28" t="s">
        <v>63</v>
      </c>
      <c r="AL170" s="28"/>
      <c r="AM170" s="31">
        <v>551900000</v>
      </c>
      <c r="AN170" s="31">
        <v>428404018</v>
      </c>
      <c r="AO170" s="31">
        <v>72087500</v>
      </c>
      <c r="AP170" s="31">
        <v>49158482</v>
      </c>
      <c r="AQ170" s="31">
        <v>0</v>
      </c>
      <c r="AR170" s="31">
        <v>0</v>
      </c>
      <c r="AS170" s="31">
        <v>18750000</v>
      </c>
      <c r="AT170" s="31">
        <v>530900000</v>
      </c>
      <c r="AU170" s="31">
        <v>0</v>
      </c>
      <c r="AV170" s="31">
        <v>-21000000</v>
      </c>
      <c r="AW170" s="28" t="s">
        <v>251</v>
      </c>
      <c r="AX170" s="28" t="s">
        <v>251</v>
      </c>
      <c r="AY170" s="28" t="s">
        <v>83</v>
      </c>
      <c r="AZ170" s="28">
        <v>1</v>
      </c>
      <c r="BA170" s="28" t="s">
        <v>2651</v>
      </c>
      <c r="BB170" s="28" t="s">
        <v>248</v>
      </c>
      <c r="BC170" s="28" t="s">
        <v>2652</v>
      </c>
      <c r="BD170" s="28" t="s">
        <v>248</v>
      </c>
      <c r="BE170" s="28" t="s">
        <v>248</v>
      </c>
      <c r="BF170" s="28" t="s">
        <v>2653</v>
      </c>
      <c r="BG170" s="28" t="s">
        <v>2654</v>
      </c>
      <c r="BH170" s="28" t="s">
        <v>244</v>
      </c>
      <c r="BI170" s="28" t="s">
        <v>297</v>
      </c>
      <c r="BJ170" s="28" t="s">
        <v>2655</v>
      </c>
      <c r="BK170" s="28" t="s">
        <v>275</v>
      </c>
      <c r="BL170" s="28" t="s">
        <v>2656</v>
      </c>
      <c r="BM170" s="32">
        <v>0</v>
      </c>
    </row>
    <row r="171" spans="1:65" s="19" customFormat="1" x14ac:dyDescent="0.2">
      <c r="A171" s="33">
        <v>911</v>
      </c>
      <c r="B171" s="26">
        <v>146</v>
      </c>
      <c r="C171" s="27" t="s">
        <v>503</v>
      </c>
      <c r="D171" s="27" t="s">
        <v>2657</v>
      </c>
      <c r="E171" s="27" t="s">
        <v>206</v>
      </c>
      <c r="F171" s="27" t="s">
        <v>111</v>
      </c>
      <c r="G171" s="28">
        <v>2026</v>
      </c>
      <c r="H171" s="20" t="str">
        <f>VLOOKUP(U171,'[1]KODE TYPE standar'!$D:$U,17,0)</f>
        <v>INV ZENIX HYBRID</v>
      </c>
      <c r="I171" s="20" t="str">
        <f>VLOOKUP(U171,'[1]KODE TYPE standar'!$D:$U,16,0)</f>
        <v>INNOVA</v>
      </c>
      <c r="J171" s="20" t="str">
        <f>VLOOKUP(U171,'[1]KODE TYPE standar'!$D:$U,18,0)</f>
        <v>INNOVA ZENIX Q A/T HYBRID</v>
      </c>
      <c r="K171" s="27" t="s">
        <v>119</v>
      </c>
      <c r="L171" s="27" t="s">
        <v>109</v>
      </c>
      <c r="M171" s="27" t="s">
        <v>262</v>
      </c>
      <c r="N171" s="27" t="s">
        <v>106</v>
      </c>
      <c r="O171" s="28" t="s">
        <v>156</v>
      </c>
      <c r="P171" s="29" t="s">
        <v>149</v>
      </c>
      <c r="Q171" s="29" t="s">
        <v>162</v>
      </c>
      <c r="R171" s="29" t="s">
        <v>109</v>
      </c>
      <c r="S171" s="27" t="s">
        <v>978</v>
      </c>
      <c r="T171" s="27" t="s">
        <v>541</v>
      </c>
      <c r="U171" s="27" t="s">
        <v>208</v>
      </c>
      <c r="V171" s="27" t="s">
        <v>51</v>
      </c>
      <c r="W171" s="27" t="s">
        <v>86</v>
      </c>
      <c r="X171" s="27" t="s">
        <v>2658</v>
      </c>
      <c r="Y171" s="27" t="s">
        <v>2659</v>
      </c>
      <c r="Z171" s="27" t="s">
        <v>977</v>
      </c>
      <c r="AA171" s="27" t="s">
        <v>978</v>
      </c>
      <c r="AB171" s="27" t="s">
        <v>541</v>
      </c>
      <c r="AC171" s="27" t="s">
        <v>2660</v>
      </c>
      <c r="AD171" s="27" t="s">
        <v>2661</v>
      </c>
      <c r="AE171" s="27" t="s">
        <v>109</v>
      </c>
      <c r="AF171" s="27" t="s">
        <v>2662</v>
      </c>
      <c r="AG171" s="27" t="s">
        <v>2663</v>
      </c>
      <c r="AH171" s="27" t="s">
        <v>2107</v>
      </c>
      <c r="AI171" s="27" t="s">
        <v>106</v>
      </c>
      <c r="AJ171" s="27" t="s">
        <v>262</v>
      </c>
      <c r="AK171" s="27" t="s">
        <v>89</v>
      </c>
      <c r="AL171" s="27" t="s">
        <v>2664</v>
      </c>
      <c r="AM171" s="34">
        <v>630000000</v>
      </c>
      <c r="AN171" s="34">
        <v>489642857</v>
      </c>
      <c r="AO171" s="34">
        <v>81600000</v>
      </c>
      <c r="AP171" s="34">
        <v>55757142</v>
      </c>
      <c r="AQ171" s="34">
        <v>0</v>
      </c>
      <c r="AR171" s="34">
        <v>0</v>
      </c>
      <c r="AS171" s="34">
        <v>25000000</v>
      </c>
      <c r="AT171" s="34">
        <v>602000000</v>
      </c>
      <c r="AU171" s="34">
        <v>0</v>
      </c>
      <c r="AV171" s="34">
        <v>-28000000</v>
      </c>
      <c r="AW171" s="27"/>
      <c r="AX171" s="27"/>
      <c r="AY171" s="27" t="s">
        <v>83</v>
      </c>
      <c r="AZ171" s="27">
        <v>1</v>
      </c>
      <c r="BA171" s="27"/>
      <c r="BB171" s="27" t="s">
        <v>204</v>
      </c>
      <c r="BC171" s="27" t="s">
        <v>2665</v>
      </c>
      <c r="BD171" s="27" t="s">
        <v>191</v>
      </c>
      <c r="BE171" s="27" t="s">
        <v>191</v>
      </c>
      <c r="BF171" s="27" t="s">
        <v>2666</v>
      </c>
      <c r="BG171" s="27" t="s">
        <v>2667</v>
      </c>
      <c r="BH171" s="27" t="s">
        <v>206</v>
      </c>
      <c r="BI171" s="27" t="s">
        <v>224</v>
      </c>
      <c r="BJ171" s="27" t="s">
        <v>2668</v>
      </c>
      <c r="BK171" s="27" t="s">
        <v>214</v>
      </c>
      <c r="BL171" s="27" t="s">
        <v>2669</v>
      </c>
      <c r="BM171" s="35">
        <v>0</v>
      </c>
    </row>
    <row r="172" spans="1:65" s="19" customFormat="1" x14ac:dyDescent="0.2">
      <c r="A172" s="33">
        <v>912</v>
      </c>
      <c r="B172" s="26">
        <v>146</v>
      </c>
      <c r="C172" s="27" t="s">
        <v>503</v>
      </c>
      <c r="D172" s="27" t="s">
        <v>2670</v>
      </c>
      <c r="E172" s="27" t="s">
        <v>206</v>
      </c>
      <c r="F172" s="27" t="s">
        <v>111</v>
      </c>
      <c r="G172" s="28">
        <v>2026</v>
      </c>
      <c r="H172" s="20" t="str">
        <f>VLOOKUP(U172,'[1]KODE TYPE standar'!$D:$U,17,0)</f>
        <v>INV ZENIX HYBRID</v>
      </c>
      <c r="I172" s="20" t="str">
        <f>VLOOKUP(U172,'[1]KODE TYPE standar'!$D:$U,16,0)</f>
        <v>INNOVA</v>
      </c>
      <c r="J172" s="20" t="str">
        <f>VLOOKUP(U172,'[1]KODE TYPE standar'!$D:$U,18,0)</f>
        <v>INNOVA ZENIX Q A/T HYBRID</v>
      </c>
      <c r="K172" s="27" t="s">
        <v>119</v>
      </c>
      <c r="L172" s="27" t="s">
        <v>109</v>
      </c>
      <c r="M172" s="27" t="s">
        <v>262</v>
      </c>
      <c r="N172" s="27" t="s">
        <v>106</v>
      </c>
      <c r="O172" s="28" t="s">
        <v>156</v>
      </c>
      <c r="P172" s="29" t="s">
        <v>149</v>
      </c>
      <c r="Q172" s="29" t="s">
        <v>162</v>
      </c>
      <c r="R172" s="29" t="s">
        <v>109</v>
      </c>
      <c r="S172" s="27" t="s">
        <v>978</v>
      </c>
      <c r="T172" s="27" t="s">
        <v>541</v>
      </c>
      <c r="U172" s="27" t="s">
        <v>174</v>
      </c>
      <c r="V172" s="27" t="s">
        <v>48</v>
      </c>
      <c r="W172" s="27" t="s">
        <v>49</v>
      </c>
      <c r="X172" s="27" t="s">
        <v>2671</v>
      </c>
      <c r="Y172" s="27" t="s">
        <v>2672</v>
      </c>
      <c r="Z172" s="27" t="s">
        <v>977</v>
      </c>
      <c r="AA172" s="27" t="s">
        <v>978</v>
      </c>
      <c r="AB172" s="27" t="s">
        <v>541</v>
      </c>
      <c r="AC172" s="27" t="s">
        <v>2673</v>
      </c>
      <c r="AD172" s="27" t="s">
        <v>2674</v>
      </c>
      <c r="AE172" s="27" t="s">
        <v>109</v>
      </c>
      <c r="AF172" s="27" t="s">
        <v>2675</v>
      </c>
      <c r="AG172" s="27" t="s">
        <v>2676</v>
      </c>
      <c r="AH172" s="27" t="s">
        <v>2107</v>
      </c>
      <c r="AI172" s="27" t="s">
        <v>106</v>
      </c>
      <c r="AJ172" s="27" t="s">
        <v>262</v>
      </c>
      <c r="AK172" s="27" t="s">
        <v>89</v>
      </c>
      <c r="AL172" s="27" t="s">
        <v>2677</v>
      </c>
      <c r="AM172" s="34">
        <v>627100000</v>
      </c>
      <c r="AN172" s="34">
        <v>487377232</v>
      </c>
      <c r="AO172" s="34">
        <v>81237500</v>
      </c>
      <c r="AP172" s="34">
        <v>55485267</v>
      </c>
      <c r="AQ172" s="34">
        <v>0</v>
      </c>
      <c r="AR172" s="34">
        <v>0</v>
      </c>
      <c r="AS172" s="34">
        <v>25000000</v>
      </c>
      <c r="AT172" s="34">
        <v>599100000</v>
      </c>
      <c r="AU172" s="34">
        <v>0</v>
      </c>
      <c r="AV172" s="34">
        <v>-28000000</v>
      </c>
      <c r="AW172" s="27"/>
      <c r="AX172" s="27"/>
      <c r="AY172" s="27" t="s">
        <v>83</v>
      </c>
      <c r="AZ172" s="27">
        <v>1</v>
      </c>
      <c r="BA172" s="27"/>
      <c r="BB172" s="27" t="s">
        <v>204</v>
      </c>
      <c r="BC172" s="27" t="s">
        <v>2678</v>
      </c>
      <c r="BD172" s="27" t="s">
        <v>191</v>
      </c>
      <c r="BE172" s="27" t="s">
        <v>191</v>
      </c>
      <c r="BF172" s="27" t="s">
        <v>2679</v>
      </c>
      <c r="BG172" s="27" t="s">
        <v>2680</v>
      </c>
      <c r="BH172" s="27" t="s">
        <v>206</v>
      </c>
      <c r="BI172" s="27" t="s">
        <v>224</v>
      </c>
      <c r="BJ172" s="27" t="s">
        <v>2681</v>
      </c>
      <c r="BK172" s="27" t="s">
        <v>191</v>
      </c>
      <c r="BL172" s="27" t="s">
        <v>2682</v>
      </c>
      <c r="BM172" s="35">
        <v>0</v>
      </c>
    </row>
    <row r="173" spans="1:65" s="19" customFormat="1" x14ac:dyDescent="0.2">
      <c r="A173" s="33">
        <v>913</v>
      </c>
      <c r="B173" s="26">
        <v>146</v>
      </c>
      <c r="C173" s="27" t="s">
        <v>503</v>
      </c>
      <c r="D173" s="27" t="s">
        <v>2683</v>
      </c>
      <c r="E173" s="27" t="s">
        <v>186</v>
      </c>
      <c r="F173" s="27" t="s">
        <v>111</v>
      </c>
      <c r="G173" s="28">
        <v>2026</v>
      </c>
      <c r="H173" s="20" t="str">
        <f>VLOOKUP(U173,'[1]KODE TYPE standar'!$D:$U,17,0)</f>
        <v>INV ZENIX HYBRID</v>
      </c>
      <c r="I173" s="20" t="str">
        <f>VLOOKUP(U173,'[1]KODE TYPE standar'!$D:$U,16,0)</f>
        <v>INNOVA</v>
      </c>
      <c r="J173" s="20" t="str">
        <f>VLOOKUP(U173,'[1]KODE TYPE standar'!$D:$U,18,0)</f>
        <v>INNOVA ZENIX Q A/T HYBRID</v>
      </c>
      <c r="K173" s="27" t="s">
        <v>119</v>
      </c>
      <c r="L173" s="27" t="s">
        <v>109</v>
      </c>
      <c r="M173" s="27" t="s">
        <v>262</v>
      </c>
      <c r="N173" s="27" t="s">
        <v>106</v>
      </c>
      <c r="O173" s="28" t="s">
        <v>156</v>
      </c>
      <c r="P173" s="29" t="s">
        <v>149</v>
      </c>
      <c r="Q173" s="29" t="s">
        <v>162</v>
      </c>
      <c r="R173" s="29" t="s">
        <v>109</v>
      </c>
      <c r="S173" s="27" t="s">
        <v>978</v>
      </c>
      <c r="T173" s="27" t="s">
        <v>541</v>
      </c>
      <c r="U173" s="27" t="s">
        <v>208</v>
      </c>
      <c r="V173" s="27" t="s">
        <v>51</v>
      </c>
      <c r="W173" s="27" t="s">
        <v>86</v>
      </c>
      <c r="X173" s="27" t="s">
        <v>2684</v>
      </c>
      <c r="Y173" s="27" t="s">
        <v>2685</v>
      </c>
      <c r="Z173" s="27" t="s">
        <v>977</v>
      </c>
      <c r="AA173" s="27" t="s">
        <v>978</v>
      </c>
      <c r="AB173" s="27" t="s">
        <v>541</v>
      </c>
      <c r="AC173" s="27" t="s">
        <v>2686</v>
      </c>
      <c r="AD173" s="27" t="s">
        <v>2674</v>
      </c>
      <c r="AE173" s="27" t="s">
        <v>109</v>
      </c>
      <c r="AF173" s="27" t="s">
        <v>2675</v>
      </c>
      <c r="AG173" s="27" t="s">
        <v>2676</v>
      </c>
      <c r="AH173" s="27" t="s">
        <v>2107</v>
      </c>
      <c r="AI173" s="27" t="s">
        <v>106</v>
      </c>
      <c r="AJ173" s="27" t="s">
        <v>262</v>
      </c>
      <c r="AK173" s="27" t="s">
        <v>89</v>
      </c>
      <c r="AL173" s="27" t="s">
        <v>2687</v>
      </c>
      <c r="AM173" s="34">
        <v>630000000</v>
      </c>
      <c r="AN173" s="34">
        <v>489642857</v>
      </c>
      <c r="AO173" s="34">
        <v>81600000</v>
      </c>
      <c r="AP173" s="34">
        <v>55757142</v>
      </c>
      <c r="AQ173" s="34">
        <v>0</v>
      </c>
      <c r="AR173" s="34">
        <v>0</v>
      </c>
      <c r="AS173" s="34">
        <v>25000000</v>
      </c>
      <c r="AT173" s="34">
        <v>602000000</v>
      </c>
      <c r="AU173" s="34">
        <v>0</v>
      </c>
      <c r="AV173" s="34">
        <v>-28000000</v>
      </c>
      <c r="AW173" s="27"/>
      <c r="AX173" s="27"/>
      <c r="AY173" s="27" t="s">
        <v>83</v>
      </c>
      <c r="AZ173" s="27">
        <v>1</v>
      </c>
      <c r="BA173" s="27"/>
      <c r="BB173" s="27" t="s">
        <v>204</v>
      </c>
      <c r="BC173" s="27" t="s">
        <v>2688</v>
      </c>
      <c r="BD173" s="27" t="s">
        <v>191</v>
      </c>
      <c r="BE173" s="27" t="s">
        <v>191</v>
      </c>
      <c r="BF173" s="27" t="s">
        <v>2689</v>
      </c>
      <c r="BG173" s="27" t="s">
        <v>2690</v>
      </c>
      <c r="BH173" s="27" t="s">
        <v>186</v>
      </c>
      <c r="BI173" s="27" t="s">
        <v>237</v>
      </c>
      <c r="BJ173" s="27" t="s">
        <v>2691</v>
      </c>
      <c r="BK173" s="27" t="s">
        <v>206</v>
      </c>
      <c r="BL173" s="27" t="s">
        <v>2692</v>
      </c>
      <c r="BM173" s="35">
        <v>0</v>
      </c>
    </row>
    <row r="174" spans="1:65" s="19" customFormat="1" x14ac:dyDescent="0.2">
      <c r="A174" s="33">
        <v>1201</v>
      </c>
      <c r="B174" s="26">
        <v>146</v>
      </c>
      <c r="C174" s="36" t="s">
        <v>503</v>
      </c>
      <c r="D174" s="27" t="s">
        <v>2693</v>
      </c>
      <c r="E174" s="27" t="s">
        <v>366</v>
      </c>
      <c r="F174" s="27" t="s">
        <v>389</v>
      </c>
      <c r="G174" s="28">
        <v>2026</v>
      </c>
      <c r="H174" s="20" t="str">
        <f>VLOOKUP(U174,'[1]KODE TYPE standar'!$D:$U,17,0)</f>
        <v>AVANZA</v>
      </c>
      <c r="I174" s="20" t="str">
        <f>VLOOKUP(U174,'[1]KODE TYPE standar'!$D:$U,16,0)</f>
        <v>AVANZA</v>
      </c>
      <c r="J174" s="20" t="str">
        <f>VLOOKUP(U174,'[1]KODE TYPE standar'!$D:$U,18,0)</f>
        <v>AVANZA G A/T</v>
      </c>
      <c r="K174" s="27" t="s">
        <v>101</v>
      </c>
      <c r="L174" s="27" t="s">
        <v>109</v>
      </c>
      <c r="M174" s="27" t="s">
        <v>262</v>
      </c>
      <c r="N174" s="27" t="s">
        <v>141</v>
      </c>
      <c r="O174" s="28" t="s">
        <v>156</v>
      </c>
      <c r="P174" s="29" t="s">
        <v>1248</v>
      </c>
      <c r="Q174" s="29" t="s">
        <v>162</v>
      </c>
      <c r="R174" s="29" t="s">
        <v>109</v>
      </c>
      <c r="S174" s="27" t="s">
        <v>923</v>
      </c>
      <c r="T174" s="27" t="s">
        <v>541</v>
      </c>
      <c r="U174" s="27" t="s">
        <v>329</v>
      </c>
      <c r="V174" s="27" t="s">
        <v>64</v>
      </c>
      <c r="W174" s="27" t="s">
        <v>65</v>
      </c>
      <c r="X174" s="27" t="s">
        <v>2694</v>
      </c>
      <c r="Y174" s="27" t="s">
        <v>2695</v>
      </c>
      <c r="Z174" s="27" t="s">
        <v>922</v>
      </c>
      <c r="AA174" s="27" t="s">
        <v>923</v>
      </c>
      <c r="AB174" s="27" t="s">
        <v>541</v>
      </c>
      <c r="AC174" s="27" t="s">
        <v>2696</v>
      </c>
      <c r="AD174" s="27" t="s">
        <v>2697</v>
      </c>
      <c r="AE174" s="27" t="s">
        <v>109</v>
      </c>
      <c r="AF174" s="27" t="s">
        <v>2698</v>
      </c>
      <c r="AG174" s="27" t="s">
        <v>2699</v>
      </c>
      <c r="AH174" s="27" t="s">
        <v>1349</v>
      </c>
      <c r="AI174" s="27" t="s">
        <v>141</v>
      </c>
      <c r="AJ174" s="27" t="s">
        <v>262</v>
      </c>
      <c r="AK174" s="27" t="s">
        <v>103</v>
      </c>
      <c r="AL174" s="27"/>
      <c r="AM174" s="34">
        <v>284500000</v>
      </c>
      <c r="AN174" s="34">
        <v>219497768</v>
      </c>
      <c r="AO174" s="34">
        <v>38662500</v>
      </c>
      <c r="AP174" s="34">
        <v>24732589</v>
      </c>
      <c r="AQ174" s="34">
        <v>0</v>
      </c>
      <c r="AR174" s="34">
        <v>0</v>
      </c>
      <c r="AS174" s="34">
        <v>13392857</v>
      </c>
      <c r="AT174" s="34">
        <v>269500000</v>
      </c>
      <c r="AU174" s="34">
        <v>5500000</v>
      </c>
      <c r="AV174" s="34">
        <v>-15000000</v>
      </c>
      <c r="AW174" s="27"/>
      <c r="AX174" s="27"/>
      <c r="AY174" s="27" t="s">
        <v>83</v>
      </c>
      <c r="AZ174" s="27">
        <v>1</v>
      </c>
      <c r="BA174" s="27"/>
      <c r="BB174" s="27" t="s">
        <v>2310</v>
      </c>
      <c r="BC174" s="27" t="s">
        <v>2700</v>
      </c>
      <c r="BD174" s="27" t="s">
        <v>347</v>
      </c>
      <c r="BE174" s="27" t="s">
        <v>347</v>
      </c>
      <c r="BF174" s="27" t="s">
        <v>2701</v>
      </c>
      <c r="BG174" s="27" t="s">
        <v>2702</v>
      </c>
      <c r="BH174" s="27" t="s">
        <v>366</v>
      </c>
      <c r="BI174" s="27" t="s">
        <v>396</v>
      </c>
      <c r="BJ174" s="27" t="s">
        <v>2703</v>
      </c>
      <c r="BK174" s="27" t="s">
        <v>391</v>
      </c>
      <c r="BL174" s="27" t="s">
        <v>2704</v>
      </c>
      <c r="BM174" s="35">
        <v>0</v>
      </c>
    </row>
    <row r="175" spans="1:65" s="19" customFormat="1" x14ac:dyDescent="0.2">
      <c r="A175" s="33">
        <v>1202</v>
      </c>
      <c r="B175" s="26">
        <v>146</v>
      </c>
      <c r="C175" s="36" t="s">
        <v>503</v>
      </c>
      <c r="D175" s="27" t="s">
        <v>2705</v>
      </c>
      <c r="E175" s="27" t="s">
        <v>391</v>
      </c>
      <c r="F175" s="27" t="s">
        <v>389</v>
      </c>
      <c r="G175" s="28">
        <v>2026</v>
      </c>
      <c r="H175" s="20" t="str">
        <f>VLOOKUP(U175,'[1]KODE TYPE standar'!$D:$U,17,0)</f>
        <v>INV REBORN</v>
      </c>
      <c r="I175" s="20" t="str">
        <f>VLOOKUP(U175,'[1]KODE TYPE standar'!$D:$U,16,0)</f>
        <v>INNOVA</v>
      </c>
      <c r="J175" s="20" t="str">
        <f>VLOOKUP(U175,'[1]KODE TYPE standar'!$D:$U,18,0)</f>
        <v>INNOVA G A/T DIESEL</v>
      </c>
      <c r="K175" s="27" t="s">
        <v>101</v>
      </c>
      <c r="L175" s="27" t="s">
        <v>109</v>
      </c>
      <c r="M175" s="27" t="s">
        <v>262</v>
      </c>
      <c r="N175" s="27" t="s">
        <v>141</v>
      </c>
      <c r="O175" s="28" t="s">
        <v>156</v>
      </c>
      <c r="P175" s="29" t="s">
        <v>1248</v>
      </c>
      <c r="Q175" s="29" t="s">
        <v>162</v>
      </c>
      <c r="R175" s="29" t="s">
        <v>109</v>
      </c>
      <c r="S175" s="27" t="s">
        <v>923</v>
      </c>
      <c r="T175" s="27" t="s">
        <v>541</v>
      </c>
      <c r="U175" s="27" t="s">
        <v>192</v>
      </c>
      <c r="V175" s="27" t="s">
        <v>48</v>
      </c>
      <c r="W175" s="27" t="s">
        <v>49</v>
      </c>
      <c r="X175" s="27" t="s">
        <v>2706</v>
      </c>
      <c r="Y175" s="27" t="s">
        <v>2707</v>
      </c>
      <c r="Z175" s="27" t="s">
        <v>922</v>
      </c>
      <c r="AA175" s="27" t="s">
        <v>923</v>
      </c>
      <c r="AB175" s="27" t="s">
        <v>541</v>
      </c>
      <c r="AC175" s="27" t="s">
        <v>2696</v>
      </c>
      <c r="AD175" s="27" t="s">
        <v>2697</v>
      </c>
      <c r="AE175" s="27" t="s">
        <v>109</v>
      </c>
      <c r="AF175" s="27" t="s">
        <v>2698</v>
      </c>
      <c r="AG175" s="27" t="s">
        <v>2699</v>
      </c>
      <c r="AH175" s="27" t="s">
        <v>1349</v>
      </c>
      <c r="AI175" s="27" t="s">
        <v>141</v>
      </c>
      <c r="AJ175" s="27" t="s">
        <v>262</v>
      </c>
      <c r="AK175" s="27" t="s">
        <v>103</v>
      </c>
      <c r="AL175" s="27"/>
      <c r="AM175" s="34">
        <v>442100000</v>
      </c>
      <c r="AN175" s="34">
        <v>342622768</v>
      </c>
      <c r="AO175" s="34">
        <v>58362500</v>
      </c>
      <c r="AP175" s="34">
        <v>38864732</v>
      </c>
      <c r="AQ175" s="34">
        <v>0</v>
      </c>
      <c r="AR175" s="34">
        <v>0</v>
      </c>
      <c r="AS175" s="34">
        <v>18750000</v>
      </c>
      <c r="AT175" s="34">
        <v>421100000</v>
      </c>
      <c r="AU175" s="34">
        <v>4000000</v>
      </c>
      <c r="AV175" s="34">
        <v>-21000000</v>
      </c>
      <c r="AW175" s="27"/>
      <c r="AX175" s="27"/>
      <c r="AY175" s="27" t="s">
        <v>83</v>
      </c>
      <c r="AZ175" s="27">
        <v>1</v>
      </c>
      <c r="BA175" s="27"/>
      <c r="BB175" s="27" t="s">
        <v>2310</v>
      </c>
      <c r="BC175" s="27" t="s">
        <v>2708</v>
      </c>
      <c r="BD175" s="27" t="s">
        <v>347</v>
      </c>
      <c r="BE175" s="27" t="s">
        <v>347</v>
      </c>
      <c r="BF175" s="27" t="s">
        <v>2709</v>
      </c>
      <c r="BG175" s="27" t="s">
        <v>2710</v>
      </c>
      <c r="BH175" s="27" t="s">
        <v>391</v>
      </c>
      <c r="BI175" s="27" t="s">
        <v>406</v>
      </c>
      <c r="BJ175" s="27" t="s">
        <v>2711</v>
      </c>
      <c r="BK175" s="27" t="s">
        <v>360</v>
      </c>
      <c r="BL175" s="27" t="s">
        <v>2712</v>
      </c>
      <c r="BM175" s="35">
        <v>0</v>
      </c>
    </row>
    <row r="176" spans="1:65" s="19" customFormat="1" x14ac:dyDescent="0.2">
      <c r="A176" s="33">
        <v>1215</v>
      </c>
      <c r="B176" s="26">
        <v>146</v>
      </c>
      <c r="C176" s="36" t="s">
        <v>503</v>
      </c>
      <c r="D176" s="27" t="s">
        <v>2713</v>
      </c>
      <c r="E176" s="27" t="s">
        <v>282</v>
      </c>
      <c r="F176" s="27" t="s">
        <v>389</v>
      </c>
      <c r="G176" s="28">
        <v>2026</v>
      </c>
      <c r="H176" s="20" t="str">
        <f>VLOOKUP(U176,'[1]KODE TYPE standar'!$D:$U,17,0)</f>
        <v>ALPHARD HYBRID</v>
      </c>
      <c r="I176" s="20" t="str">
        <f>VLOOKUP(U176,'[1]KODE TYPE standar'!$D:$U,16,0)</f>
        <v>ALPHARD</v>
      </c>
      <c r="J176" s="20" t="str">
        <f>VLOOKUP(U176,'[1]KODE TYPE standar'!$D:$U,18,0)</f>
        <v>ALPHARD A/T HYBRID</v>
      </c>
      <c r="K176" s="27" t="s">
        <v>50</v>
      </c>
      <c r="L176" s="27" t="s">
        <v>109</v>
      </c>
      <c r="M176" s="27" t="s">
        <v>50</v>
      </c>
      <c r="N176" s="27" t="s">
        <v>141</v>
      </c>
      <c r="O176" s="28" t="s">
        <v>156</v>
      </c>
      <c r="P176" s="29" t="s">
        <v>149</v>
      </c>
      <c r="Q176" s="29" t="s">
        <v>162</v>
      </c>
      <c r="R176" s="29" t="s">
        <v>109</v>
      </c>
      <c r="S176" s="27" t="s">
        <v>978</v>
      </c>
      <c r="T176" s="27" t="s">
        <v>541</v>
      </c>
      <c r="U176" s="27" t="s">
        <v>487</v>
      </c>
      <c r="V176" s="27" t="s">
        <v>51</v>
      </c>
      <c r="W176" s="27" t="s">
        <v>286</v>
      </c>
      <c r="X176" s="27" t="s">
        <v>2714</v>
      </c>
      <c r="Y176" s="27" t="s">
        <v>2715</v>
      </c>
      <c r="Z176" s="27" t="s">
        <v>977</v>
      </c>
      <c r="AA176" s="27" t="s">
        <v>978</v>
      </c>
      <c r="AB176" s="27" t="s">
        <v>541</v>
      </c>
      <c r="AC176" s="27" t="s">
        <v>2716</v>
      </c>
      <c r="AD176" s="27" t="s">
        <v>2717</v>
      </c>
      <c r="AE176" s="27" t="s">
        <v>109</v>
      </c>
      <c r="AF176" s="27" t="s">
        <v>2718</v>
      </c>
      <c r="AG176" s="27" t="s">
        <v>2719</v>
      </c>
      <c r="AH176" s="27" t="s">
        <v>815</v>
      </c>
      <c r="AI176" s="27" t="s">
        <v>141</v>
      </c>
      <c r="AJ176" s="27" t="s">
        <v>50</v>
      </c>
      <c r="AK176" s="27" t="s">
        <v>50</v>
      </c>
      <c r="AL176" s="27"/>
      <c r="AM176" s="34">
        <v>1734400000</v>
      </c>
      <c r="AN176" s="34">
        <v>1350133929</v>
      </c>
      <c r="AO176" s="34">
        <v>222250000</v>
      </c>
      <c r="AP176" s="34">
        <v>159016071</v>
      </c>
      <c r="AQ176" s="34">
        <v>0</v>
      </c>
      <c r="AR176" s="34">
        <v>0</v>
      </c>
      <c r="AS176" s="34">
        <v>25000000</v>
      </c>
      <c r="AT176" s="34">
        <v>1706400000</v>
      </c>
      <c r="AU176" s="34">
        <v>0</v>
      </c>
      <c r="AV176" s="34">
        <v>-28000000</v>
      </c>
      <c r="AW176" s="27" t="s">
        <v>347</v>
      </c>
      <c r="AX176" s="27" t="s">
        <v>347</v>
      </c>
      <c r="AY176" s="27" t="s">
        <v>83</v>
      </c>
      <c r="AZ176" s="27">
        <v>1</v>
      </c>
      <c r="BA176" s="27" t="s">
        <v>2720</v>
      </c>
      <c r="BB176" s="27" t="s">
        <v>2721</v>
      </c>
      <c r="BC176" s="27" t="s">
        <v>2722</v>
      </c>
      <c r="BD176" s="27" t="s">
        <v>2721</v>
      </c>
      <c r="BE176" s="27" t="s">
        <v>2721</v>
      </c>
      <c r="BF176" s="27" t="s">
        <v>2723</v>
      </c>
      <c r="BG176" s="27" t="s">
        <v>2724</v>
      </c>
      <c r="BH176" s="27" t="s">
        <v>282</v>
      </c>
      <c r="BI176" s="27" t="s">
        <v>393</v>
      </c>
      <c r="BJ176" s="27" t="s">
        <v>2725</v>
      </c>
      <c r="BK176" s="27" t="s">
        <v>303</v>
      </c>
      <c r="BL176" s="27" t="s">
        <v>2726</v>
      </c>
      <c r="BM176" s="35">
        <v>0</v>
      </c>
    </row>
    <row r="177" spans="1:65" s="19" customFormat="1" x14ac:dyDescent="0.2">
      <c r="A177" s="25">
        <v>907</v>
      </c>
      <c r="B177" s="26">
        <v>146</v>
      </c>
      <c r="C177" s="27" t="s">
        <v>503</v>
      </c>
      <c r="D177" s="28" t="s">
        <v>2727</v>
      </c>
      <c r="E177" s="28" t="s">
        <v>274</v>
      </c>
      <c r="F177" s="28" t="s">
        <v>339</v>
      </c>
      <c r="G177" s="28">
        <v>2026</v>
      </c>
      <c r="H177" s="20" t="str">
        <f>VLOOKUP(U177,'[1]KODE TYPE standar'!$D:$U,17,0)</f>
        <v>VELOZ</v>
      </c>
      <c r="I177" s="20" t="str">
        <f>VLOOKUP(U177,'[1]KODE TYPE standar'!$D:$U,16,0)</f>
        <v>VELOZ</v>
      </c>
      <c r="J177" s="20" t="str">
        <f>VLOOKUP(U177,'[1]KODE TYPE standar'!$D:$U,18,0)</f>
        <v>VELOZ V AT HYBRID</v>
      </c>
      <c r="K177" s="27" t="s">
        <v>50</v>
      </c>
      <c r="L177" s="28" t="s">
        <v>109</v>
      </c>
      <c r="M177" s="28" t="s">
        <v>50</v>
      </c>
      <c r="N177" s="28" t="s">
        <v>141</v>
      </c>
      <c r="O177" s="28" t="s">
        <v>156</v>
      </c>
      <c r="P177" s="29" t="s">
        <v>149</v>
      </c>
      <c r="Q177" s="29" t="s">
        <v>162</v>
      </c>
      <c r="R177" s="29" t="s">
        <v>109</v>
      </c>
      <c r="S177" s="27" t="s">
        <v>877</v>
      </c>
      <c r="T177" s="30" t="s">
        <v>585</v>
      </c>
      <c r="U177" s="27" t="s">
        <v>335</v>
      </c>
      <c r="V177" s="27" t="s">
        <v>51</v>
      </c>
      <c r="W177" s="27" t="s">
        <v>286</v>
      </c>
      <c r="X177" s="27" t="s">
        <v>2728</v>
      </c>
      <c r="Y177" s="27" t="s">
        <v>2729</v>
      </c>
      <c r="Z177" s="27" t="s">
        <v>876</v>
      </c>
      <c r="AA177" s="27" t="s">
        <v>877</v>
      </c>
      <c r="AB177" s="30" t="s">
        <v>585</v>
      </c>
      <c r="AC177" s="30" t="s">
        <v>2730</v>
      </c>
      <c r="AD177" s="28" t="s">
        <v>2731</v>
      </c>
      <c r="AE177" s="28" t="s">
        <v>109</v>
      </c>
      <c r="AF177" s="28" t="s">
        <v>2731</v>
      </c>
      <c r="AG177" s="28" t="s">
        <v>2732</v>
      </c>
      <c r="AH177" s="28" t="s">
        <v>1149</v>
      </c>
      <c r="AI177" s="28" t="s">
        <v>141</v>
      </c>
      <c r="AJ177" s="28" t="s">
        <v>50</v>
      </c>
      <c r="AK177" s="28" t="s">
        <v>50</v>
      </c>
      <c r="AL177" s="28" t="s">
        <v>2733</v>
      </c>
      <c r="AM177" s="31">
        <v>304500000</v>
      </c>
      <c r="AN177" s="31">
        <v>235122768</v>
      </c>
      <c r="AO177" s="31">
        <v>41162500</v>
      </c>
      <c r="AP177" s="31">
        <v>28214732</v>
      </c>
      <c r="AQ177" s="31">
        <v>0</v>
      </c>
      <c r="AR177" s="31">
        <v>0</v>
      </c>
      <c r="AS177" s="31">
        <v>0</v>
      </c>
      <c r="AT177" s="31">
        <v>304500000</v>
      </c>
      <c r="AU177" s="31">
        <v>0</v>
      </c>
      <c r="AV177" s="31">
        <v>0</v>
      </c>
      <c r="AW177" s="28" t="s">
        <v>255</v>
      </c>
      <c r="AX177" s="28" t="s">
        <v>255</v>
      </c>
      <c r="AY177" s="28" t="s">
        <v>83</v>
      </c>
      <c r="AZ177" s="28">
        <v>1</v>
      </c>
      <c r="BA177" s="28"/>
      <c r="BB177" s="28" t="s">
        <v>902</v>
      </c>
      <c r="BC177" s="28" t="s">
        <v>2734</v>
      </c>
      <c r="BD177" s="28" t="s">
        <v>2721</v>
      </c>
      <c r="BE177" s="28" t="s">
        <v>2721</v>
      </c>
      <c r="BF177" s="28" t="s">
        <v>2735</v>
      </c>
      <c r="BG177" s="28" t="s">
        <v>2736</v>
      </c>
      <c r="BH177" s="28" t="s">
        <v>274</v>
      </c>
      <c r="BI177" s="28" t="s">
        <v>352</v>
      </c>
      <c r="BJ177" s="28" t="s">
        <v>2737</v>
      </c>
      <c r="BK177" s="28" t="s">
        <v>259</v>
      </c>
      <c r="BL177" s="28" t="s">
        <v>2738</v>
      </c>
      <c r="BM177" s="32">
        <v>0</v>
      </c>
    </row>
    <row r="178" spans="1:65" s="19" customFormat="1" x14ac:dyDescent="0.2">
      <c r="A178" s="33">
        <v>1124</v>
      </c>
      <c r="B178" s="26">
        <v>146</v>
      </c>
      <c r="C178" s="27" t="s">
        <v>503</v>
      </c>
      <c r="D178" s="27" t="s">
        <v>2739</v>
      </c>
      <c r="E178" s="27" t="s">
        <v>234</v>
      </c>
      <c r="F178" s="27" t="s">
        <v>258</v>
      </c>
      <c r="G178" s="28">
        <v>2026</v>
      </c>
      <c r="H178" s="20" t="str">
        <f>VLOOKUP(U178,'[1]KODE TYPE standar'!$D:$U,17,0)</f>
        <v>AVANZA</v>
      </c>
      <c r="I178" s="20" t="str">
        <f>VLOOKUP(U178,'[1]KODE TYPE standar'!$D:$U,16,0)</f>
        <v>AVANZA</v>
      </c>
      <c r="J178" s="20" t="str">
        <f>VLOOKUP(U178,'[1]KODE TYPE standar'!$D:$U,18,0)</f>
        <v>AVANZA G A/T</v>
      </c>
      <c r="K178" s="27" t="s">
        <v>50</v>
      </c>
      <c r="L178" s="27" t="s">
        <v>109</v>
      </c>
      <c r="M178" s="27" t="s">
        <v>50</v>
      </c>
      <c r="N178" s="27" t="s">
        <v>140</v>
      </c>
      <c r="O178" s="28" t="s">
        <v>156</v>
      </c>
      <c r="P178" s="29" t="s">
        <v>149</v>
      </c>
      <c r="Q178" s="29" t="s">
        <v>161</v>
      </c>
      <c r="R178" s="29" t="s">
        <v>109</v>
      </c>
      <c r="S178" s="27" t="s">
        <v>1198</v>
      </c>
      <c r="T178" s="27" t="s">
        <v>585</v>
      </c>
      <c r="U178" s="27" t="s">
        <v>66</v>
      </c>
      <c r="V178" s="27" t="s">
        <v>269</v>
      </c>
      <c r="W178" s="27" t="s">
        <v>270</v>
      </c>
      <c r="X178" s="27" t="s">
        <v>2740</v>
      </c>
      <c r="Y178" s="27" t="s">
        <v>2741</v>
      </c>
      <c r="Z178" s="27" t="s">
        <v>1197</v>
      </c>
      <c r="AA178" s="27" t="s">
        <v>1198</v>
      </c>
      <c r="AB178" s="27" t="s">
        <v>585</v>
      </c>
      <c r="AC178" s="27" t="s">
        <v>2742</v>
      </c>
      <c r="AD178" s="27" t="s">
        <v>2743</v>
      </c>
      <c r="AE178" s="27" t="s">
        <v>109</v>
      </c>
      <c r="AF178" s="27" t="s">
        <v>2744</v>
      </c>
      <c r="AG178" s="27" t="s">
        <v>2745</v>
      </c>
      <c r="AH178" s="27" t="s">
        <v>881</v>
      </c>
      <c r="AI178" s="27" t="s">
        <v>140</v>
      </c>
      <c r="AJ178" s="27" t="s">
        <v>50</v>
      </c>
      <c r="AK178" s="27" t="s">
        <v>50</v>
      </c>
      <c r="AL178" s="27" t="s">
        <v>2746</v>
      </c>
      <c r="AM178" s="34">
        <v>284500000</v>
      </c>
      <c r="AN178" s="34">
        <v>219720982</v>
      </c>
      <c r="AO178" s="34">
        <v>38412500</v>
      </c>
      <c r="AP178" s="34">
        <v>25080803</v>
      </c>
      <c r="AQ178" s="34">
        <v>0</v>
      </c>
      <c r="AR178" s="34">
        <v>0</v>
      </c>
      <c r="AS178" s="34">
        <v>10714286</v>
      </c>
      <c r="AT178" s="34">
        <v>272500000</v>
      </c>
      <c r="AU178" s="34">
        <v>0</v>
      </c>
      <c r="AV178" s="34">
        <v>-17000000</v>
      </c>
      <c r="AW178" s="27" t="s">
        <v>233</v>
      </c>
      <c r="AX178" s="27" t="s">
        <v>233</v>
      </c>
      <c r="AY178" s="27" t="s">
        <v>83</v>
      </c>
      <c r="AZ178" s="27">
        <v>1</v>
      </c>
      <c r="BA178" s="27"/>
      <c r="BB178" s="27" t="s">
        <v>241</v>
      </c>
      <c r="BC178" s="27" t="s">
        <v>2747</v>
      </c>
      <c r="BD178" s="27" t="s">
        <v>211</v>
      </c>
      <c r="BE178" s="27" t="s">
        <v>211</v>
      </c>
      <c r="BF178" s="27" t="s">
        <v>2748</v>
      </c>
      <c r="BG178" s="27" t="s">
        <v>2749</v>
      </c>
      <c r="BH178" s="27" t="s">
        <v>234</v>
      </c>
      <c r="BI178" s="27" t="s">
        <v>224</v>
      </c>
      <c r="BJ178" s="27" t="s">
        <v>236</v>
      </c>
      <c r="BK178" s="27" t="s">
        <v>191</v>
      </c>
      <c r="BL178" s="27" t="s">
        <v>2750</v>
      </c>
      <c r="BM178" s="35">
        <v>5000000</v>
      </c>
    </row>
    <row r="179" spans="1:65" s="19" customFormat="1" x14ac:dyDescent="0.2">
      <c r="A179" s="33">
        <v>1000</v>
      </c>
      <c r="B179" s="26">
        <v>146</v>
      </c>
      <c r="C179" s="27" t="s">
        <v>503</v>
      </c>
      <c r="D179" s="27" t="s">
        <v>2751</v>
      </c>
      <c r="E179" s="27" t="s">
        <v>197</v>
      </c>
      <c r="F179" s="27" t="s">
        <v>111</v>
      </c>
      <c r="G179" s="28">
        <v>2026</v>
      </c>
      <c r="H179" s="20" t="str">
        <f>VLOOKUP(U179,'[1]KODE TYPE standar'!$D:$U,17,0)</f>
        <v>HIACE</v>
      </c>
      <c r="I179" s="20" t="str">
        <f>VLOOKUP(U179,'[1]KODE TYPE standar'!$D:$U,16,0)</f>
        <v>HIACE</v>
      </c>
      <c r="J179" s="20" t="str">
        <f>VLOOKUP(U179,'[1]KODE TYPE standar'!$D:$U,18,0)</f>
        <v>HIACE PREMIO</v>
      </c>
      <c r="K179" s="27" t="s">
        <v>119</v>
      </c>
      <c r="L179" s="27" t="s">
        <v>109</v>
      </c>
      <c r="M179" s="27" t="s">
        <v>262</v>
      </c>
      <c r="N179" s="27" t="s">
        <v>141</v>
      </c>
      <c r="O179" s="28" t="s">
        <v>156</v>
      </c>
      <c r="P179" s="29" t="s">
        <v>149</v>
      </c>
      <c r="Q179" s="29" t="s">
        <v>161</v>
      </c>
      <c r="R179" s="29" t="s">
        <v>109</v>
      </c>
      <c r="S179" s="27" t="s">
        <v>709</v>
      </c>
      <c r="T179" s="27" t="s">
        <v>585</v>
      </c>
      <c r="U179" s="27" t="s">
        <v>2752</v>
      </c>
      <c r="V179" s="27" t="s">
        <v>331</v>
      </c>
      <c r="W179" s="27" t="s">
        <v>81</v>
      </c>
      <c r="X179" s="27" t="s">
        <v>2753</v>
      </c>
      <c r="Y179" s="27" t="s">
        <v>2754</v>
      </c>
      <c r="Z179" s="27" t="s">
        <v>708</v>
      </c>
      <c r="AA179" s="27" t="s">
        <v>709</v>
      </c>
      <c r="AB179" s="27" t="s">
        <v>585</v>
      </c>
      <c r="AC179" s="27" t="s">
        <v>2755</v>
      </c>
      <c r="AD179" s="27" t="s">
        <v>2756</v>
      </c>
      <c r="AE179" s="27" t="s">
        <v>109</v>
      </c>
      <c r="AF179" s="27" t="s">
        <v>2757</v>
      </c>
      <c r="AG179" s="27" t="s">
        <v>2758</v>
      </c>
      <c r="AH179" s="27" t="s">
        <v>757</v>
      </c>
      <c r="AI179" s="27" t="s">
        <v>141</v>
      </c>
      <c r="AJ179" s="27" t="s">
        <v>262</v>
      </c>
      <c r="AK179" s="27" t="s">
        <v>89</v>
      </c>
      <c r="AL179" s="27" t="s">
        <v>2759</v>
      </c>
      <c r="AM179" s="34">
        <v>678400000</v>
      </c>
      <c r="AN179" s="34">
        <v>525848214</v>
      </c>
      <c r="AO179" s="34">
        <v>89450000</v>
      </c>
      <c r="AP179" s="34">
        <v>59244642</v>
      </c>
      <c r="AQ179" s="34">
        <v>0</v>
      </c>
      <c r="AR179" s="34">
        <v>0</v>
      </c>
      <c r="AS179" s="34">
        <v>32142857</v>
      </c>
      <c r="AT179" s="34">
        <v>642400000</v>
      </c>
      <c r="AU179" s="34">
        <v>0</v>
      </c>
      <c r="AV179" s="34">
        <v>-36000000</v>
      </c>
      <c r="AW179" s="27"/>
      <c r="AX179" s="27"/>
      <c r="AY179" s="27" t="s">
        <v>83</v>
      </c>
      <c r="AZ179" s="27">
        <v>1</v>
      </c>
      <c r="BA179" s="27" t="s">
        <v>2760</v>
      </c>
      <c r="BB179" s="27" t="s">
        <v>195</v>
      </c>
      <c r="BC179" s="27" t="s">
        <v>2761</v>
      </c>
      <c r="BD179" s="27" t="s">
        <v>188</v>
      </c>
      <c r="BE179" s="27" t="s">
        <v>188</v>
      </c>
      <c r="BF179" s="27" t="s">
        <v>2762</v>
      </c>
      <c r="BG179" s="27" t="s">
        <v>2763</v>
      </c>
      <c r="BH179" s="27"/>
      <c r="BI179" s="27" t="s">
        <v>223</v>
      </c>
      <c r="BJ179" s="27" t="s">
        <v>2764</v>
      </c>
      <c r="BK179" s="27" t="s">
        <v>194</v>
      </c>
      <c r="BL179" s="27" t="s">
        <v>2765</v>
      </c>
      <c r="BM179" s="35">
        <v>0</v>
      </c>
    </row>
    <row r="180" spans="1:65" s="19" customFormat="1" x14ac:dyDescent="0.2">
      <c r="A180" s="33">
        <v>1147</v>
      </c>
      <c r="B180" s="26">
        <v>146</v>
      </c>
      <c r="C180" s="27" t="s">
        <v>503</v>
      </c>
      <c r="D180" s="27" t="s">
        <v>2766</v>
      </c>
      <c r="E180" s="27" t="s">
        <v>218</v>
      </c>
      <c r="F180" s="27" t="s">
        <v>258</v>
      </c>
      <c r="G180" s="28">
        <v>2026</v>
      </c>
      <c r="H180" s="20" t="str">
        <f>VLOOKUP(U180,'[1]KODE TYPE standar'!$D:$U,17,0)</f>
        <v>AVANZA</v>
      </c>
      <c r="I180" s="20" t="str">
        <f>VLOOKUP(U180,'[1]KODE TYPE standar'!$D:$U,16,0)</f>
        <v>AVANZA</v>
      </c>
      <c r="J180" s="20" t="str">
        <f>VLOOKUP(U180,'[1]KODE TYPE standar'!$D:$U,18,0)</f>
        <v>AVANZA G A/T</v>
      </c>
      <c r="K180" s="27" t="s">
        <v>119</v>
      </c>
      <c r="L180" s="27" t="s">
        <v>109</v>
      </c>
      <c r="M180" s="27" t="s">
        <v>262</v>
      </c>
      <c r="N180" s="27" t="s">
        <v>141</v>
      </c>
      <c r="O180" s="28" t="s">
        <v>156</v>
      </c>
      <c r="P180" s="29" t="s">
        <v>536</v>
      </c>
      <c r="Q180" s="29" t="s">
        <v>162</v>
      </c>
      <c r="R180" s="29" t="s">
        <v>109</v>
      </c>
      <c r="S180" s="27" t="s">
        <v>540</v>
      </c>
      <c r="T180" s="27" t="s">
        <v>541</v>
      </c>
      <c r="U180" s="27" t="s">
        <v>66</v>
      </c>
      <c r="V180" s="27" t="s">
        <v>64</v>
      </c>
      <c r="W180" s="27" t="s">
        <v>65</v>
      </c>
      <c r="X180" s="27" t="s">
        <v>2767</v>
      </c>
      <c r="Y180" s="27" t="s">
        <v>2768</v>
      </c>
      <c r="Z180" s="27" t="s">
        <v>539</v>
      </c>
      <c r="AA180" s="27" t="s">
        <v>540</v>
      </c>
      <c r="AB180" s="27" t="s">
        <v>541</v>
      </c>
      <c r="AC180" s="27" t="s">
        <v>2769</v>
      </c>
      <c r="AD180" s="27" t="s">
        <v>2770</v>
      </c>
      <c r="AE180" s="27" t="s">
        <v>109</v>
      </c>
      <c r="AF180" s="27" t="s">
        <v>2771</v>
      </c>
      <c r="AG180" s="27" t="s">
        <v>2772</v>
      </c>
      <c r="AH180" s="27" t="s">
        <v>1879</v>
      </c>
      <c r="AI180" s="27" t="s">
        <v>141</v>
      </c>
      <c r="AJ180" s="27" t="s">
        <v>262</v>
      </c>
      <c r="AK180" s="27" t="s">
        <v>89</v>
      </c>
      <c r="AL180" s="27" t="s">
        <v>2773</v>
      </c>
      <c r="AM180" s="34">
        <v>284500000</v>
      </c>
      <c r="AN180" s="34">
        <v>219720982</v>
      </c>
      <c r="AO180" s="34">
        <v>38412500</v>
      </c>
      <c r="AP180" s="34">
        <v>24545089</v>
      </c>
      <c r="AQ180" s="34">
        <v>0</v>
      </c>
      <c r="AR180" s="34">
        <v>0</v>
      </c>
      <c r="AS180" s="34">
        <v>15178571</v>
      </c>
      <c r="AT180" s="34">
        <v>267500000</v>
      </c>
      <c r="AU180" s="34">
        <v>0</v>
      </c>
      <c r="AV180" s="34">
        <v>-17000000</v>
      </c>
      <c r="AW180" s="27" t="s">
        <v>227</v>
      </c>
      <c r="AX180" s="27" t="s">
        <v>227</v>
      </c>
      <c r="AY180" s="27" t="s">
        <v>83</v>
      </c>
      <c r="AZ180" s="27">
        <v>1</v>
      </c>
      <c r="BA180" s="27"/>
      <c r="BB180" s="27" t="s">
        <v>278</v>
      </c>
      <c r="BC180" s="27" t="s">
        <v>2774</v>
      </c>
      <c r="BD180" s="27" t="s">
        <v>210</v>
      </c>
      <c r="BE180" s="27" t="s">
        <v>210</v>
      </c>
      <c r="BF180" s="27" t="s">
        <v>2775</v>
      </c>
      <c r="BG180" s="27" t="s">
        <v>2776</v>
      </c>
      <c r="BH180" s="27" t="s">
        <v>218</v>
      </c>
      <c r="BI180" s="27" t="s">
        <v>243</v>
      </c>
      <c r="BJ180" s="27" t="s">
        <v>2777</v>
      </c>
      <c r="BK180" s="27" t="s">
        <v>213</v>
      </c>
      <c r="BL180" s="27" t="s">
        <v>2778</v>
      </c>
      <c r="BM180" s="35">
        <v>0</v>
      </c>
    </row>
    <row r="181" spans="1:65" s="19" customFormat="1" x14ac:dyDescent="0.2">
      <c r="A181" s="33">
        <v>1295</v>
      </c>
      <c r="B181" s="26">
        <v>146</v>
      </c>
      <c r="C181" s="36" t="s">
        <v>503</v>
      </c>
      <c r="D181" s="27" t="s">
        <v>2779</v>
      </c>
      <c r="E181" s="27" t="s">
        <v>282</v>
      </c>
      <c r="F181" s="27" t="s">
        <v>389</v>
      </c>
      <c r="G181" s="28">
        <v>2026</v>
      </c>
      <c r="H181" s="20" t="str">
        <f>VLOOKUP(U181,'[1]KODE TYPE standar'!$D:$U,17,0)</f>
        <v>INV ZENIX HYBRID</v>
      </c>
      <c r="I181" s="20" t="str">
        <f>VLOOKUP(U181,'[1]KODE TYPE standar'!$D:$U,16,0)</f>
        <v>INNOVA</v>
      </c>
      <c r="J181" s="20" t="str">
        <f>VLOOKUP(U181,'[1]KODE TYPE standar'!$D:$U,18,0)</f>
        <v>INNOVA ZENIX Q A/T HYBRID</v>
      </c>
      <c r="K181" s="27" t="s">
        <v>50</v>
      </c>
      <c r="L181" s="27" t="s">
        <v>109</v>
      </c>
      <c r="M181" s="27" t="s">
        <v>50</v>
      </c>
      <c r="N181" s="27" t="s">
        <v>141</v>
      </c>
      <c r="O181" s="28" t="s">
        <v>156</v>
      </c>
      <c r="P181" s="29" t="s">
        <v>150</v>
      </c>
      <c r="Q181" s="29" t="s">
        <v>162</v>
      </c>
      <c r="R181" s="29" t="s">
        <v>109</v>
      </c>
      <c r="S181" s="27" t="s">
        <v>795</v>
      </c>
      <c r="T181" s="27" t="s">
        <v>509</v>
      </c>
      <c r="U181" s="27" t="s">
        <v>174</v>
      </c>
      <c r="V181" s="27" t="s">
        <v>48</v>
      </c>
      <c r="W181" s="27" t="s">
        <v>49</v>
      </c>
      <c r="X181" s="27" t="s">
        <v>2780</v>
      </c>
      <c r="Y181" s="27" t="s">
        <v>2781</v>
      </c>
      <c r="Z181" s="27" t="s">
        <v>794</v>
      </c>
      <c r="AA181" s="27" t="s">
        <v>795</v>
      </c>
      <c r="AB181" s="27" t="s">
        <v>509</v>
      </c>
      <c r="AC181" s="27" t="s">
        <v>2782</v>
      </c>
      <c r="AD181" s="27" t="s">
        <v>314</v>
      </c>
      <c r="AE181" s="27" t="s">
        <v>109</v>
      </c>
      <c r="AF181" s="27" t="s">
        <v>314</v>
      </c>
      <c r="AG181" s="27" t="s">
        <v>2783</v>
      </c>
      <c r="AH181" s="27" t="s">
        <v>1494</v>
      </c>
      <c r="AI181" s="27" t="s">
        <v>141</v>
      </c>
      <c r="AJ181" s="27" t="s">
        <v>50</v>
      </c>
      <c r="AK181" s="27" t="s">
        <v>50</v>
      </c>
      <c r="AL181" s="27"/>
      <c r="AM181" s="34">
        <v>627100000</v>
      </c>
      <c r="AN181" s="34">
        <v>487154018</v>
      </c>
      <c r="AO181" s="34">
        <v>81487500</v>
      </c>
      <c r="AP181" s="34">
        <v>55672767</v>
      </c>
      <c r="AQ181" s="34">
        <v>0</v>
      </c>
      <c r="AR181" s="34">
        <v>0</v>
      </c>
      <c r="AS181" s="34">
        <v>23214286</v>
      </c>
      <c r="AT181" s="34">
        <v>601100000</v>
      </c>
      <c r="AU181" s="34">
        <v>601100000</v>
      </c>
      <c r="AV181" s="34">
        <v>-26264886</v>
      </c>
      <c r="AW181" s="27"/>
      <c r="AX181" s="27"/>
      <c r="AY181" s="27" t="s">
        <v>83</v>
      </c>
      <c r="AZ181" s="27">
        <v>1</v>
      </c>
      <c r="BA181" s="27" t="s">
        <v>316</v>
      </c>
      <c r="BB181" s="27" t="s">
        <v>282</v>
      </c>
      <c r="BC181" s="27" t="s">
        <v>2784</v>
      </c>
      <c r="BD181" s="27" t="s">
        <v>282</v>
      </c>
      <c r="BE181" s="27" t="s">
        <v>282</v>
      </c>
      <c r="BF181" s="27" t="s">
        <v>2785</v>
      </c>
      <c r="BG181" s="27" t="s">
        <v>2786</v>
      </c>
      <c r="BH181" s="27" t="s">
        <v>282</v>
      </c>
      <c r="BI181" s="27" t="s">
        <v>400</v>
      </c>
      <c r="BJ181" s="27" t="s">
        <v>2787</v>
      </c>
      <c r="BK181" s="27" t="s">
        <v>303</v>
      </c>
      <c r="BL181" s="27" t="s">
        <v>2788</v>
      </c>
      <c r="BM181" s="35">
        <v>0</v>
      </c>
    </row>
    <row r="182" spans="1:65" s="19" customFormat="1" x14ac:dyDescent="0.2">
      <c r="A182" s="33">
        <v>1157</v>
      </c>
      <c r="B182" s="26">
        <v>146</v>
      </c>
      <c r="C182" s="27" t="s">
        <v>503</v>
      </c>
      <c r="D182" s="27" t="s">
        <v>2789</v>
      </c>
      <c r="E182" s="27" t="s">
        <v>218</v>
      </c>
      <c r="F182" s="27" t="s">
        <v>258</v>
      </c>
      <c r="G182" s="28">
        <v>2026</v>
      </c>
      <c r="H182" s="20" t="str">
        <f>VLOOKUP(U182,'[1]KODE TYPE standar'!$D:$U,17,0)</f>
        <v>AVANZA</v>
      </c>
      <c r="I182" s="20" t="str">
        <f>VLOOKUP(U182,'[1]KODE TYPE standar'!$D:$U,16,0)</f>
        <v>AVANZA</v>
      </c>
      <c r="J182" s="20" t="str">
        <f>VLOOKUP(U182,'[1]KODE TYPE standar'!$D:$U,18,0)</f>
        <v>AVANZA E M/T</v>
      </c>
      <c r="K182" s="27" t="s">
        <v>50</v>
      </c>
      <c r="L182" s="27" t="s">
        <v>109</v>
      </c>
      <c r="M182" s="27" t="s">
        <v>50</v>
      </c>
      <c r="N182" s="27" t="s">
        <v>141</v>
      </c>
      <c r="O182" s="28" t="s">
        <v>156</v>
      </c>
      <c r="P182" s="29" t="s">
        <v>150</v>
      </c>
      <c r="Q182" s="29" t="s">
        <v>162</v>
      </c>
      <c r="R182" s="29" t="s">
        <v>109</v>
      </c>
      <c r="S182" s="27" t="s">
        <v>795</v>
      </c>
      <c r="T182" s="27" t="s">
        <v>509</v>
      </c>
      <c r="U182" s="27" t="s">
        <v>386</v>
      </c>
      <c r="V182" s="27" t="s">
        <v>64</v>
      </c>
      <c r="W182" s="27" t="s">
        <v>65</v>
      </c>
      <c r="X182" s="27" t="s">
        <v>2790</v>
      </c>
      <c r="Y182" s="27" t="s">
        <v>2791</v>
      </c>
      <c r="Z182" s="27" t="s">
        <v>794</v>
      </c>
      <c r="AA182" s="27" t="s">
        <v>795</v>
      </c>
      <c r="AB182" s="27" t="s">
        <v>509</v>
      </c>
      <c r="AC182" s="27" t="s">
        <v>2782</v>
      </c>
      <c r="AD182" s="27" t="s">
        <v>314</v>
      </c>
      <c r="AE182" s="27" t="s">
        <v>109</v>
      </c>
      <c r="AF182" s="27" t="s">
        <v>314</v>
      </c>
      <c r="AG182" s="27" t="s">
        <v>2783</v>
      </c>
      <c r="AH182" s="27" t="s">
        <v>1377</v>
      </c>
      <c r="AI182" s="27" t="s">
        <v>141</v>
      </c>
      <c r="AJ182" s="27" t="s">
        <v>50</v>
      </c>
      <c r="AK182" s="27" t="s">
        <v>50</v>
      </c>
      <c r="AL182" s="27" t="s">
        <v>2792</v>
      </c>
      <c r="AM182" s="34">
        <v>246700000</v>
      </c>
      <c r="AN182" s="34">
        <v>190189732</v>
      </c>
      <c r="AO182" s="34">
        <v>33687500</v>
      </c>
      <c r="AP182" s="34">
        <v>19822767</v>
      </c>
      <c r="AQ182" s="34">
        <v>0</v>
      </c>
      <c r="AR182" s="34">
        <v>0</v>
      </c>
      <c r="AS182" s="34">
        <v>25000000</v>
      </c>
      <c r="AT182" s="34">
        <v>218700000</v>
      </c>
      <c r="AU182" s="34">
        <v>218700000</v>
      </c>
      <c r="AV182" s="34">
        <v>-28264886</v>
      </c>
      <c r="AW182" s="27" t="s">
        <v>230</v>
      </c>
      <c r="AX182" s="27" t="s">
        <v>230</v>
      </c>
      <c r="AY182" s="27" t="s">
        <v>83</v>
      </c>
      <c r="AZ182" s="27">
        <v>1</v>
      </c>
      <c r="BA182" s="27" t="s">
        <v>316</v>
      </c>
      <c r="BB182" s="27" t="s">
        <v>190</v>
      </c>
      <c r="BC182" s="27" t="s">
        <v>2793</v>
      </c>
      <c r="BD182" s="27" t="s">
        <v>190</v>
      </c>
      <c r="BE182" s="27" t="s">
        <v>190</v>
      </c>
      <c r="BF182" s="27" t="s">
        <v>2794</v>
      </c>
      <c r="BG182" s="27" t="s">
        <v>2795</v>
      </c>
      <c r="BH182" s="27" t="s">
        <v>218</v>
      </c>
      <c r="BI182" s="27" t="s">
        <v>297</v>
      </c>
      <c r="BJ182" s="27" t="s">
        <v>2796</v>
      </c>
      <c r="BK182" s="27" t="s">
        <v>235</v>
      </c>
      <c r="BL182" s="27" t="s">
        <v>2797</v>
      </c>
      <c r="BM182" s="35">
        <v>0</v>
      </c>
    </row>
    <row r="183" spans="1:65" s="19" customFormat="1" x14ac:dyDescent="0.2">
      <c r="A183" s="33">
        <v>1158</v>
      </c>
      <c r="B183" s="26">
        <v>146</v>
      </c>
      <c r="C183" s="27" t="s">
        <v>503</v>
      </c>
      <c r="D183" s="27" t="s">
        <v>2798</v>
      </c>
      <c r="E183" s="27" t="s">
        <v>218</v>
      </c>
      <c r="F183" s="27" t="s">
        <v>258</v>
      </c>
      <c r="G183" s="28">
        <v>2026</v>
      </c>
      <c r="H183" s="20" t="str">
        <f>VLOOKUP(U183,'[1]KODE TYPE standar'!$D:$U,17,0)</f>
        <v>AVANZA</v>
      </c>
      <c r="I183" s="20" t="str">
        <f>VLOOKUP(U183,'[1]KODE TYPE standar'!$D:$U,16,0)</f>
        <v>AVANZA</v>
      </c>
      <c r="J183" s="20" t="str">
        <f>VLOOKUP(U183,'[1]KODE TYPE standar'!$D:$U,18,0)</f>
        <v>AVANZA E M/T</v>
      </c>
      <c r="K183" s="27" t="s">
        <v>50</v>
      </c>
      <c r="L183" s="27" t="s">
        <v>109</v>
      </c>
      <c r="M183" s="27" t="s">
        <v>50</v>
      </c>
      <c r="N183" s="27" t="s">
        <v>141</v>
      </c>
      <c r="O183" s="28" t="s">
        <v>156</v>
      </c>
      <c r="P183" s="29" t="s">
        <v>150</v>
      </c>
      <c r="Q183" s="29" t="s">
        <v>162</v>
      </c>
      <c r="R183" s="29" t="s">
        <v>109</v>
      </c>
      <c r="S183" s="27" t="s">
        <v>1373</v>
      </c>
      <c r="T183" s="27" t="s">
        <v>509</v>
      </c>
      <c r="U183" s="27" t="s">
        <v>386</v>
      </c>
      <c r="V183" s="27" t="s">
        <v>64</v>
      </c>
      <c r="W183" s="27" t="s">
        <v>65</v>
      </c>
      <c r="X183" s="27" t="s">
        <v>2799</v>
      </c>
      <c r="Y183" s="27" t="s">
        <v>2800</v>
      </c>
      <c r="Z183" s="27" t="s">
        <v>1372</v>
      </c>
      <c r="AA183" s="27" t="s">
        <v>1373</v>
      </c>
      <c r="AB183" s="27" t="s">
        <v>509</v>
      </c>
      <c r="AC183" s="27" t="s">
        <v>2801</v>
      </c>
      <c r="AD183" s="27" t="s">
        <v>314</v>
      </c>
      <c r="AE183" s="27" t="s">
        <v>109</v>
      </c>
      <c r="AF183" s="27" t="s">
        <v>314</v>
      </c>
      <c r="AG183" s="27" t="s">
        <v>2783</v>
      </c>
      <c r="AH183" s="27" t="s">
        <v>1377</v>
      </c>
      <c r="AI183" s="27" t="s">
        <v>141</v>
      </c>
      <c r="AJ183" s="27" t="s">
        <v>50</v>
      </c>
      <c r="AK183" s="27" t="s">
        <v>50</v>
      </c>
      <c r="AL183" s="27" t="s">
        <v>2802</v>
      </c>
      <c r="AM183" s="34">
        <v>246700000</v>
      </c>
      <c r="AN183" s="34">
        <v>190189732</v>
      </c>
      <c r="AO183" s="34">
        <v>33687500</v>
      </c>
      <c r="AP183" s="34">
        <v>19822767</v>
      </c>
      <c r="AQ183" s="34">
        <v>0</v>
      </c>
      <c r="AR183" s="34">
        <v>0</v>
      </c>
      <c r="AS183" s="34">
        <v>25000000</v>
      </c>
      <c r="AT183" s="34">
        <v>218700000</v>
      </c>
      <c r="AU183" s="34">
        <v>218700000</v>
      </c>
      <c r="AV183" s="34">
        <v>-28264886</v>
      </c>
      <c r="AW183" s="27" t="s">
        <v>230</v>
      </c>
      <c r="AX183" s="27" t="s">
        <v>230</v>
      </c>
      <c r="AY183" s="27" t="s">
        <v>83</v>
      </c>
      <c r="AZ183" s="27">
        <v>1</v>
      </c>
      <c r="BA183" s="27" t="s">
        <v>316</v>
      </c>
      <c r="BB183" s="27" t="s">
        <v>190</v>
      </c>
      <c r="BC183" s="27" t="s">
        <v>2803</v>
      </c>
      <c r="BD183" s="27" t="s">
        <v>190</v>
      </c>
      <c r="BE183" s="27" t="s">
        <v>190</v>
      </c>
      <c r="BF183" s="27" t="s">
        <v>2804</v>
      </c>
      <c r="BG183" s="27" t="s">
        <v>2805</v>
      </c>
      <c r="BH183" s="27" t="s">
        <v>218</v>
      </c>
      <c r="BI183" s="27" t="s">
        <v>297</v>
      </c>
      <c r="BJ183" s="27" t="s">
        <v>2796</v>
      </c>
      <c r="BK183" s="27" t="s">
        <v>235</v>
      </c>
      <c r="BL183" s="27" t="s">
        <v>2806</v>
      </c>
      <c r="BM183" s="35">
        <v>0</v>
      </c>
    </row>
    <row r="184" spans="1:65" s="19" customFormat="1" x14ac:dyDescent="0.2">
      <c r="A184" s="33">
        <v>1159</v>
      </c>
      <c r="B184" s="26">
        <v>146</v>
      </c>
      <c r="C184" s="27" t="s">
        <v>503</v>
      </c>
      <c r="D184" s="27" t="s">
        <v>2807</v>
      </c>
      <c r="E184" s="27" t="s">
        <v>218</v>
      </c>
      <c r="F184" s="27" t="s">
        <v>258</v>
      </c>
      <c r="G184" s="28">
        <v>2026</v>
      </c>
      <c r="H184" s="20" t="str">
        <f>VLOOKUP(U184,'[1]KODE TYPE standar'!$D:$U,17,0)</f>
        <v>AVANZA</v>
      </c>
      <c r="I184" s="20" t="str">
        <f>VLOOKUP(U184,'[1]KODE TYPE standar'!$D:$U,16,0)</f>
        <v>AVANZA</v>
      </c>
      <c r="J184" s="20" t="str">
        <f>VLOOKUP(U184,'[1]KODE TYPE standar'!$D:$U,18,0)</f>
        <v>AVANZA E M/T</v>
      </c>
      <c r="K184" s="27" t="s">
        <v>50</v>
      </c>
      <c r="L184" s="27" t="s">
        <v>109</v>
      </c>
      <c r="M184" s="27" t="s">
        <v>50</v>
      </c>
      <c r="N184" s="27" t="s">
        <v>141</v>
      </c>
      <c r="O184" s="28" t="s">
        <v>156</v>
      </c>
      <c r="P184" s="29" t="s">
        <v>150</v>
      </c>
      <c r="Q184" s="29" t="s">
        <v>162</v>
      </c>
      <c r="R184" s="29" t="s">
        <v>109</v>
      </c>
      <c r="S184" s="27" t="s">
        <v>1373</v>
      </c>
      <c r="T184" s="27" t="s">
        <v>509</v>
      </c>
      <c r="U184" s="27" t="s">
        <v>386</v>
      </c>
      <c r="V184" s="27" t="s">
        <v>64</v>
      </c>
      <c r="W184" s="27" t="s">
        <v>65</v>
      </c>
      <c r="X184" s="27" t="s">
        <v>2808</v>
      </c>
      <c r="Y184" s="27" t="s">
        <v>2809</v>
      </c>
      <c r="Z184" s="27" t="s">
        <v>1372</v>
      </c>
      <c r="AA184" s="27" t="s">
        <v>1373</v>
      </c>
      <c r="AB184" s="27" t="s">
        <v>509</v>
      </c>
      <c r="AC184" s="27" t="s">
        <v>2801</v>
      </c>
      <c r="AD184" s="27" t="s">
        <v>314</v>
      </c>
      <c r="AE184" s="27" t="s">
        <v>109</v>
      </c>
      <c r="AF184" s="27" t="s">
        <v>314</v>
      </c>
      <c r="AG184" s="27" t="s">
        <v>2783</v>
      </c>
      <c r="AH184" s="27" t="s">
        <v>1377</v>
      </c>
      <c r="AI184" s="27" t="s">
        <v>141</v>
      </c>
      <c r="AJ184" s="27" t="s">
        <v>50</v>
      </c>
      <c r="AK184" s="27" t="s">
        <v>50</v>
      </c>
      <c r="AL184" s="27" t="s">
        <v>2810</v>
      </c>
      <c r="AM184" s="34">
        <v>246700000</v>
      </c>
      <c r="AN184" s="34">
        <v>190189732</v>
      </c>
      <c r="AO184" s="34">
        <v>33687500</v>
      </c>
      <c r="AP184" s="34">
        <v>19822767</v>
      </c>
      <c r="AQ184" s="34">
        <v>0</v>
      </c>
      <c r="AR184" s="34">
        <v>0</v>
      </c>
      <c r="AS184" s="34">
        <v>25000000</v>
      </c>
      <c r="AT184" s="34">
        <v>218700000</v>
      </c>
      <c r="AU184" s="34">
        <v>218700000</v>
      </c>
      <c r="AV184" s="34">
        <v>-28264886</v>
      </c>
      <c r="AW184" s="27" t="s">
        <v>230</v>
      </c>
      <c r="AX184" s="27" t="s">
        <v>230</v>
      </c>
      <c r="AY184" s="27" t="s">
        <v>83</v>
      </c>
      <c r="AZ184" s="27">
        <v>1</v>
      </c>
      <c r="BA184" s="27" t="s">
        <v>316</v>
      </c>
      <c r="BB184" s="27" t="s">
        <v>190</v>
      </c>
      <c r="BC184" s="27" t="s">
        <v>2811</v>
      </c>
      <c r="BD184" s="27" t="s">
        <v>190</v>
      </c>
      <c r="BE184" s="27" t="s">
        <v>190</v>
      </c>
      <c r="BF184" s="27" t="s">
        <v>2812</v>
      </c>
      <c r="BG184" s="27" t="s">
        <v>2813</v>
      </c>
      <c r="BH184" s="27" t="s">
        <v>218</v>
      </c>
      <c r="BI184" s="27" t="s">
        <v>297</v>
      </c>
      <c r="BJ184" s="27" t="s">
        <v>2796</v>
      </c>
      <c r="BK184" s="27" t="s">
        <v>235</v>
      </c>
      <c r="BL184" s="27" t="s">
        <v>2814</v>
      </c>
      <c r="BM184" s="35">
        <v>0</v>
      </c>
    </row>
    <row r="185" spans="1:65" s="19" customFormat="1" x14ac:dyDescent="0.2">
      <c r="A185" s="33">
        <v>1160</v>
      </c>
      <c r="B185" s="26">
        <v>146</v>
      </c>
      <c r="C185" s="27" t="s">
        <v>503</v>
      </c>
      <c r="D185" s="27" t="s">
        <v>2815</v>
      </c>
      <c r="E185" s="27" t="s">
        <v>218</v>
      </c>
      <c r="F185" s="27" t="s">
        <v>258</v>
      </c>
      <c r="G185" s="28">
        <v>2026</v>
      </c>
      <c r="H185" s="20" t="str">
        <f>VLOOKUP(U185,'[1]KODE TYPE standar'!$D:$U,17,0)</f>
        <v>AVANZA</v>
      </c>
      <c r="I185" s="20" t="str">
        <f>VLOOKUP(U185,'[1]KODE TYPE standar'!$D:$U,16,0)</f>
        <v>AVANZA</v>
      </c>
      <c r="J185" s="20" t="str">
        <f>VLOOKUP(U185,'[1]KODE TYPE standar'!$D:$U,18,0)</f>
        <v>AVANZA E M/T</v>
      </c>
      <c r="K185" s="27" t="s">
        <v>50</v>
      </c>
      <c r="L185" s="27" t="s">
        <v>109</v>
      </c>
      <c r="M185" s="27" t="s">
        <v>50</v>
      </c>
      <c r="N185" s="27" t="s">
        <v>141</v>
      </c>
      <c r="O185" s="28" t="s">
        <v>156</v>
      </c>
      <c r="P185" s="29" t="s">
        <v>150</v>
      </c>
      <c r="Q185" s="29" t="s">
        <v>162</v>
      </c>
      <c r="R185" s="29" t="s">
        <v>109</v>
      </c>
      <c r="S185" s="27" t="s">
        <v>1373</v>
      </c>
      <c r="T185" s="27" t="s">
        <v>509</v>
      </c>
      <c r="U185" s="27" t="s">
        <v>386</v>
      </c>
      <c r="V185" s="27" t="s">
        <v>64</v>
      </c>
      <c r="W185" s="27" t="s">
        <v>65</v>
      </c>
      <c r="X185" s="27" t="s">
        <v>2816</v>
      </c>
      <c r="Y185" s="27" t="s">
        <v>2817</v>
      </c>
      <c r="Z185" s="27" t="s">
        <v>1372</v>
      </c>
      <c r="AA185" s="27" t="s">
        <v>1373</v>
      </c>
      <c r="AB185" s="27" t="s">
        <v>509</v>
      </c>
      <c r="AC185" s="27" t="s">
        <v>2801</v>
      </c>
      <c r="AD185" s="27" t="s">
        <v>314</v>
      </c>
      <c r="AE185" s="27" t="s">
        <v>109</v>
      </c>
      <c r="AF185" s="27" t="s">
        <v>314</v>
      </c>
      <c r="AG185" s="27" t="s">
        <v>2783</v>
      </c>
      <c r="AH185" s="27" t="s">
        <v>1377</v>
      </c>
      <c r="AI185" s="27" t="s">
        <v>141</v>
      </c>
      <c r="AJ185" s="27" t="s">
        <v>50</v>
      </c>
      <c r="AK185" s="27" t="s">
        <v>50</v>
      </c>
      <c r="AL185" s="27" t="s">
        <v>2818</v>
      </c>
      <c r="AM185" s="34">
        <v>246700000</v>
      </c>
      <c r="AN185" s="34">
        <v>190189732</v>
      </c>
      <c r="AO185" s="34">
        <v>33687500</v>
      </c>
      <c r="AP185" s="34">
        <v>19822767</v>
      </c>
      <c r="AQ185" s="34">
        <v>0</v>
      </c>
      <c r="AR185" s="34">
        <v>0</v>
      </c>
      <c r="AS185" s="34">
        <v>25000000</v>
      </c>
      <c r="AT185" s="34">
        <v>218700000</v>
      </c>
      <c r="AU185" s="34">
        <v>218700000</v>
      </c>
      <c r="AV185" s="34">
        <v>-28264886</v>
      </c>
      <c r="AW185" s="27" t="s">
        <v>230</v>
      </c>
      <c r="AX185" s="27" t="s">
        <v>230</v>
      </c>
      <c r="AY185" s="27" t="s">
        <v>83</v>
      </c>
      <c r="AZ185" s="27">
        <v>1</v>
      </c>
      <c r="BA185" s="27" t="s">
        <v>316</v>
      </c>
      <c r="BB185" s="27" t="s">
        <v>190</v>
      </c>
      <c r="BC185" s="27" t="s">
        <v>2819</v>
      </c>
      <c r="BD185" s="27" t="s">
        <v>190</v>
      </c>
      <c r="BE185" s="27" t="s">
        <v>190</v>
      </c>
      <c r="BF185" s="27" t="s">
        <v>2820</v>
      </c>
      <c r="BG185" s="27" t="s">
        <v>2821</v>
      </c>
      <c r="BH185" s="27" t="s">
        <v>218</v>
      </c>
      <c r="BI185" s="27" t="s">
        <v>297</v>
      </c>
      <c r="BJ185" s="27" t="s">
        <v>2796</v>
      </c>
      <c r="BK185" s="27" t="s">
        <v>235</v>
      </c>
      <c r="BL185" s="27" t="s">
        <v>2822</v>
      </c>
      <c r="BM185" s="35">
        <v>0</v>
      </c>
    </row>
    <row r="186" spans="1:65" s="19" customFormat="1" x14ac:dyDescent="0.2">
      <c r="A186" s="33">
        <v>1172</v>
      </c>
      <c r="B186" s="26">
        <v>146</v>
      </c>
      <c r="C186" s="27" t="s">
        <v>503</v>
      </c>
      <c r="D186" s="27" t="s">
        <v>2823</v>
      </c>
      <c r="E186" s="27" t="s">
        <v>235</v>
      </c>
      <c r="F186" s="27" t="s">
        <v>258</v>
      </c>
      <c r="G186" s="28">
        <v>2026</v>
      </c>
      <c r="H186" s="20" t="str">
        <f>VLOOKUP(U186,'[1]KODE TYPE standar'!$D:$U,17,0)</f>
        <v>AVANZA</v>
      </c>
      <c r="I186" s="20" t="str">
        <f>VLOOKUP(U186,'[1]KODE TYPE standar'!$D:$U,16,0)</f>
        <v>AVANZA</v>
      </c>
      <c r="J186" s="20" t="str">
        <f>VLOOKUP(U186,'[1]KODE TYPE standar'!$D:$U,18,0)</f>
        <v>AVANZA E M/T</v>
      </c>
      <c r="K186" s="27" t="s">
        <v>50</v>
      </c>
      <c r="L186" s="27" t="s">
        <v>109</v>
      </c>
      <c r="M186" s="27" t="s">
        <v>50</v>
      </c>
      <c r="N186" s="27" t="s">
        <v>141</v>
      </c>
      <c r="O186" s="28" t="s">
        <v>156</v>
      </c>
      <c r="P186" s="29" t="s">
        <v>150</v>
      </c>
      <c r="Q186" s="29" t="s">
        <v>162</v>
      </c>
      <c r="R186" s="29" t="s">
        <v>109</v>
      </c>
      <c r="S186" s="27" t="s">
        <v>795</v>
      </c>
      <c r="T186" s="27" t="s">
        <v>509</v>
      </c>
      <c r="U186" s="27" t="s">
        <v>386</v>
      </c>
      <c r="V186" s="27" t="s">
        <v>64</v>
      </c>
      <c r="W186" s="27" t="s">
        <v>65</v>
      </c>
      <c r="X186" s="27" t="s">
        <v>2824</v>
      </c>
      <c r="Y186" s="27" t="s">
        <v>2825</v>
      </c>
      <c r="Z186" s="27" t="s">
        <v>794</v>
      </c>
      <c r="AA186" s="27" t="s">
        <v>795</v>
      </c>
      <c r="AB186" s="27" t="s">
        <v>509</v>
      </c>
      <c r="AC186" s="27" t="s">
        <v>2782</v>
      </c>
      <c r="AD186" s="27" t="s">
        <v>314</v>
      </c>
      <c r="AE186" s="27" t="s">
        <v>109</v>
      </c>
      <c r="AF186" s="27" t="s">
        <v>314</v>
      </c>
      <c r="AG186" s="27" t="s">
        <v>2783</v>
      </c>
      <c r="AH186" s="27" t="s">
        <v>1377</v>
      </c>
      <c r="AI186" s="27" t="s">
        <v>141</v>
      </c>
      <c r="AJ186" s="27" t="s">
        <v>50</v>
      </c>
      <c r="AK186" s="27" t="s">
        <v>50</v>
      </c>
      <c r="AL186" s="27" t="s">
        <v>2826</v>
      </c>
      <c r="AM186" s="34">
        <v>246700000</v>
      </c>
      <c r="AN186" s="34">
        <v>190189732</v>
      </c>
      <c r="AO186" s="34">
        <v>33687500</v>
      </c>
      <c r="AP186" s="34">
        <v>19822767</v>
      </c>
      <c r="AQ186" s="34">
        <v>0</v>
      </c>
      <c r="AR186" s="34">
        <v>0</v>
      </c>
      <c r="AS186" s="34">
        <v>25000000</v>
      </c>
      <c r="AT186" s="34">
        <v>218700000</v>
      </c>
      <c r="AU186" s="34">
        <v>218700000</v>
      </c>
      <c r="AV186" s="34">
        <v>-28264886</v>
      </c>
      <c r="AW186" s="27" t="s">
        <v>230</v>
      </c>
      <c r="AX186" s="27" t="s">
        <v>230</v>
      </c>
      <c r="AY186" s="27" t="s">
        <v>83</v>
      </c>
      <c r="AZ186" s="27">
        <v>1</v>
      </c>
      <c r="BA186" s="27" t="s">
        <v>316</v>
      </c>
      <c r="BB186" s="27" t="s">
        <v>190</v>
      </c>
      <c r="BC186" s="27" t="s">
        <v>2827</v>
      </c>
      <c r="BD186" s="27" t="s">
        <v>190</v>
      </c>
      <c r="BE186" s="27" t="s">
        <v>190</v>
      </c>
      <c r="BF186" s="27" t="s">
        <v>2828</v>
      </c>
      <c r="BG186" s="27" t="s">
        <v>2829</v>
      </c>
      <c r="BH186" s="27" t="s">
        <v>235</v>
      </c>
      <c r="BI186" s="27" t="s">
        <v>312</v>
      </c>
      <c r="BJ186" s="27" t="s">
        <v>2830</v>
      </c>
      <c r="BK186" s="27" t="s">
        <v>235</v>
      </c>
      <c r="BL186" s="27" t="s">
        <v>2831</v>
      </c>
      <c r="BM186" s="35">
        <v>0</v>
      </c>
    </row>
    <row r="187" spans="1:65" s="19" customFormat="1" x14ac:dyDescent="0.2">
      <c r="A187" s="33">
        <v>1173</v>
      </c>
      <c r="B187" s="26">
        <v>146</v>
      </c>
      <c r="C187" s="27" t="s">
        <v>503</v>
      </c>
      <c r="D187" s="27" t="s">
        <v>2832</v>
      </c>
      <c r="E187" s="27" t="s">
        <v>235</v>
      </c>
      <c r="F187" s="27" t="s">
        <v>258</v>
      </c>
      <c r="G187" s="28">
        <v>2026</v>
      </c>
      <c r="H187" s="20" t="str">
        <f>VLOOKUP(U187,'[1]KODE TYPE standar'!$D:$U,17,0)</f>
        <v>AVANZA</v>
      </c>
      <c r="I187" s="20" t="str">
        <f>VLOOKUP(U187,'[1]KODE TYPE standar'!$D:$U,16,0)</f>
        <v>AVANZA</v>
      </c>
      <c r="J187" s="20" t="str">
        <f>VLOOKUP(U187,'[1]KODE TYPE standar'!$D:$U,18,0)</f>
        <v>AVANZA E M/T</v>
      </c>
      <c r="K187" s="27" t="s">
        <v>50</v>
      </c>
      <c r="L187" s="27" t="s">
        <v>109</v>
      </c>
      <c r="M187" s="27" t="s">
        <v>50</v>
      </c>
      <c r="N187" s="27" t="s">
        <v>141</v>
      </c>
      <c r="O187" s="28" t="s">
        <v>156</v>
      </c>
      <c r="P187" s="29" t="s">
        <v>149</v>
      </c>
      <c r="Q187" s="29" t="s">
        <v>162</v>
      </c>
      <c r="R187" s="29" t="s">
        <v>109</v>
      </c>
      <c r="S187" s="27" t="s">
        <v>795</v>
      </c>
      <c r="T187" s="27" t="s">
        <v>509</v>
      </c>
      <c r="U187" s="27" t="s">
        <v>386</v>
      </c>
      <c r="V187" s="27" t="s">
        <v>64</v>
      </c>
      <c r="W187" s="27" t="s">
        <v>65</v>
      </c>
      <c r="X187" s="27" t="s">
        <v>2833</v>
      </c>
      <c r="Y187" s="27" t="s">
        <v>2834</v>
      </c>
      <c r="Z187" s="27" t="s">
        <v>794</v>
      </c>
      <c r="AA187" s="27" t="s">
        <v>795</v>
      </c>
      <c r="AB187" s="27" t="s">
        <v>509</v>
      </c>
      <c r="AC187" s="27" t="s">
        <v>2782</v>
      </c>
      <c r="AD187" s="27" t="s">
        <v>314</v>
      </c>
      <c r="AE187" s="27" t="s">
        <v>109</v>
      </c>
      <c r="AF187" s="27" t="s">
        <v>314</v>
      </c>
      <c r="AG187" s="27" t="s">
        <v>2783</v>
      </c>
      <c r="AH187" s="27" t="s">
        <v>1377</v>
      </c>
      <c r="AI187" s="27" t="s">
        <v>141</v>
      </c>
      <c r="AJ187" s="27" t="s">
        <v>50</v>
      </c>
      <c r="AK187" s="27" t="s">
        <v>50</v>
      </c>
      <c r="AL187" s="27" t="s">
        <v>2835</v>
      </c>
      <c r="AM187" s="34">
        <v>246700000</v>
      </c>
      <c r="AN187" s="34">
        <v>190189732</v>
      </c>
      <c r="AO187" s="34">
        <v>33687500</v>
      </c>
      <c r="AP187" s="34">
        <v>19822767</v>
      </c>
      <c r="AQ187" s="34">
        <v>0</v>
      </c>
      <c r="AR187" s="34">
        <v>0</v>
      </c>
      <c r="AS187" s="34">
        <v>25000000</v>
      </c>
      <c r="AT187" s="34">
        <v>218700000</v>
      </c>
      <c r="AU187" s="34">
        <v>218700000</v>
      </c>
      <c r="AV187" s="34">
        <v>-28264886</v>
      </c>
      <c r="AW187" s="27" t="s">
        <v>230</v>
      </c>
      <c r="AX187" s="27" t="s">
        <v>230</v>
      </c>
      <c r="AY187" s="27" t="s">
        <v>83</v>
      </c>
      <c r="AZ187" s="27">
        <v>1</v>
      </c>
      <c r="BA187" s="27" t="s">
        <v>316</v>
      </c>
      <c r="BB187" s="27" t="s">
        <v>197</v>
      </c>
      <c r="BC187" s="27" t="s">
        <v>2836</v>
      </c>
      <c r="BD187" s="27" t="s">
        <v>190</v>
      </c>
      <c r="BE187" s="27" t="s">
        <v>190</v>
      </c>
      <c r="BF187" s="27" t="s">
        <v>2837</v>
      </c>
      <c r="BG187" s="27" t="s">
        <v>2838</v>
      </c>
      <c r="BH187" s="27" t="s">
        <v>235</v>
      </c>
      <c r="BI187" s="27" t="s">
        <v>312</v>
      </c>
      <c r="BJ187" s="27" t="s">
        <v>2839</v>
      </c>
      <c r="BK187" s="27" t="s">
        <v>235</v>
      </c>
      <c r="BL187" s="27" t="s">
        <v>2840</v>
      </c>
      <c r="BM187" s="35">
        <v>0</v>
      </c>
    </row>
    <row r="188" spans="1:65" s="19" customFormat="1" x14ac:dyDescent="0.2">
      <c r="A188" s="33">
        <v>1174</v>
      </c>
      <c r="B188" s="26">
        <v>146</v>
      </c>
      <c r="C188" s="27" t="s">
        <v>503</v>
      </c>
      <c r="D188" s="27" t="s">
        <v>2841</v>
      </c>
      <c r="E188" s="27" t="s">
        <v>235</v>
      </c>
      <c r="F188" s="27" t="s">
        <v>258</v>
      </c>
      <c r="G188" s="28">
        <v>2026</v>
      </c>
      <c r="H188" s="20" t="str">
        <f>VLOOKUP(U188,'[1]KODE TYPE standar'!$D:$U,17,0)</f>
        <v>AVANZA</v>
      </c>
      <c r="I188" s="20" t="str">
        <f>VLOOKUP(U188,'[1]KODE TYPE standar'!$D:$U,16,0)</f>
        <v>AVANZA</v>
      </c>
      <c r="J188" s="20" t="str">
        <f>VLOOKUP(U188,'[1]KODE TYPE standar'!$D:$U,18,0)</f>
        <v>AVANZA E M/T</v>
      </c>
      <c r="K188" s="27" t="s">
        <v>50</v>
      </c>
      <c r="L188" s="27" t="s">
        <v>109</v>
      </c>
      <c r="M188" s="27" t="s">
        <v>50</v>
      </c>
      <c r="N188" s="27" t="s">
        <v>141</v>
      </c>
      <c r="O188" s="28" t="s">
        <v>156</v>
      </c>
      <c r="P188" s="29" t="s">
        <v>150</v>
      </c>
      <c r="Q188" s="29" t="s">
        <v>162</v>
      </c>
      <c r="R188" s="29" t="s">
        <v>109</v>
      </c>
      <c r="S188" s="27" t="s">
        <v>795</v>
      </c>
      <c r="T188" s="27" t="s">
        <v>509</v>
      </c>
      <c r="U188" s="27" t="s">
        <v>386</v>
      </c>
      <c r="V188" s="27" t="s">
        <v>64</v>
      </c>
      <c r="W188" s="27" t="s">
        <v>65</v>
      </c>
      <c r="X188" s="27" t="s">
        <v>2842</v>
      </c>
      <c r="Y188" s="27" t="s">
        <v>2843</v>
      </c>
      <c r="Z188" s="27" t="s">
        <v>794</v>
      </c>
      <c r="AA188" s="27" t="s">
        <v>795</v>
      </c>
      <c r="AB188" s="27" t="s">
        <v>509</v>
      </c>
      <c r="AC188" s="27" t="s">
        <v>2782</v>
      </c>
      <c r="AD188" s="27" t="s">
        <v>314</v>
      </c>
      <c r="AE188" s="27" t="s">
        <v>109</v>
      </c>
      <c r="AF188" s="27" t="s">
        <v>314</v>
      </c>
      <c r="AG188" s="27" t="s">
        <v>2783</v>
      </c>
      <c r="AH188" s="27" t="s">
        <v>1377</v>
      </c>
      <c r="AI188" s="27" t="s">
        <v>141</v>
      </c>
      <c r="AJ188" s="27" t="s">
        <v>50</v>
      </c>
      <c r="AK188" s="27" t="s">
        <v>50</v>
      </c>
      <c r="AL188" s="27" t="s">
        <v>2844</v>
      </c>
      <c r="AM188" s="34">
        <v>246700000</v>
      </c>
      <c r="AN188" s="34">
        <v>190189732</v>
      </c>
      <c r="AO188" s="34">
        <v>33687500</v>
      </c>
      <c r="AP188" s="34">
        <v>19822767</v>
      </c>
      <c r="AQ188" s="34">
        <v>0</v>
      </c>
      <c r="AR188" s="34">
        <v>0</v>
      </c>
      <c r="AS188" s="34">
        <v>25000000</v>
      </c>
      <c r="AT188" s="34">
        <v>218700000</v>
      </c>
      <c r="AU188" s="34">
        <v>218700000</v>
      </c>
      <c r="AV188" s="34">
        <v>-28264886</v>
      </c>
      <c r="AW188" s="27" t="s">
        <v>230</v>
      </c>
      <c r="AX188" s="27" t="s">
        <v>230</v>
      </c>
      <c r="AY188" s="27" t="s">
        <v>83</v>
      </c>
      <c r="AZ188" s="27">
        <v>1</v>
      </c>
      <c r="BA188" s="27" t="s">
        <v>316</v>
      </c>
      <c r="BB188" s="27" t="s">
        <v>190</v>
      </c>
      <c r="BC188" s="27" t="s">
        <v>2845</v>
      </c>
      <c r="BD188" s="27" t="s">
        <v>190</v>
      </c>
      <c r="BE188" s="27" t="s">
        <v>190</v>
      </c>
      <c r="BF188" s="27" t="s">
        <v>2846</v>
      </c>
      <c r="BG188" s="27" t="s">
        <v>2847</v>
      </c>
      <c r="BH188" s="27" t="s">
        <v>235</v>
      </c>
      <c r="BI188" s="27" t="s">
        <v>312</v>
      </c>
      <c r="BJ188" s="27" t="s">
        <v>2848</v>
      </c>
      <c r="BK188" s="27" t="s">
        <v>234</v>
      </c>
      <c r="BL188" s="27" t="s">
        <v>2849</v>
      </c>
      <c r="BM188" s="35">
        <v>0</v>
      </c>
    </row>
    <row r="189" spans="1:65" s="19" customFormat="1" x14ac:dyDescent="0.2">
      <c r="A189" s="33">
        <v>1175</v>
      </c>
      <c r="B189" s="26">
        <v>146</v>
      </c>
      <c r="C189" s="27" t="s">
        <v>503</v>
      </c>
      <c r="D189" s="27" t="s">
        <v>2850</v>
      </c>
      <c r="E189" s="27" t="s">
        <v>235</v>
      </c>
      <c r="F189" s="27" t="s">
        <v>258</v>
      </c>
      <c r="G189" s="28">
        <v>2026</v>
      </c>
      <c r="H189" s="20" t="str">
        <f>VLOOKUP(U189,'[1]KODE TYPE standar'!$D:$U,17,0)</f>
        <v>AVANZA</v>
      </c>
      <c r="I189" s="20" t="str">
        <f>VLOOKUP(U189,'[1]KODE TYPE standar'!$D:$U,16,0)</f>
        <v>AVANZA</v>
      </c>
      <c r="J189" s="20" t="str">
        <f>VLOOKUP(U189,'[1]KODE TYPE standar'!$D:$U,18,0)</f>
        <v>AVANZA E M/T</v>
      </c>
      <c r="K189" s="27" t="s">
        <v>50</v>
      </c>
      <c r="L189" s="27" t="s">
        <v>109</v>
      </c>
      <c r="M189" s="27" t="s">
        <v>50</v>
      </c>
      <c r="N189" s="27" t="s">
        <v>141</v>
      </c>
      <c r="O189" s="28" t="s">
        <v>156</v>
      </c>
      <c r="P189" s="29" t="s">
        <v>150</v>
      </c>
      <c r="Q189" s="29" t="s">
        <v>162</v>
      </c>
      <c r="R189" s="29" t="s">
        <v>109</v>
      </c>
      <c r="S189" s="27" t="s">
        <v>795</v>
      </c>
      <c r="T189" s="27" t="s">
        <v>509</v>
      </c>
      <c r="U189" s="27" t="s">
        <v>386</v>
      </c>
      <c r="V189" s="27" t="s">
        <v>64</v>
      </c>
      <c r="W189" s="27" t="s">
        <v>65</v>
      </c>
      <c r="X189" s="27" t="s">
        <v>2851</v>
      </c>
      <c r="Y189" s="27" t="s">
        <v>2852</v>
      </c>
      <c r="Z189" s="27" t="s">
        <v>794</v>
      </c>
      <c r="AA189" s="27" t="s">
        <v>795</v>
      </c>
      <c r="AB189" s="27" t="s">
        <v>509</v>
      </c>
      <c r="AC189" s="27" t="s">
        <v>2782</v>
      </c>
      <c r="AD189" s="27" t="s">
        <v>314</v>
      </c>
      <c r="AE189" s="27" t="s">
        <v>109</v>
      </c>
      <c r="AF189" s="27" t="s">
        <v>314</v>
      </c>
      <c r="AG189" s="27" t="s">
        <v>2783</v>
      </c>
      <c r="AH189" s="27" t="s">
        <v>1377</v>
      </c>
      <c r="AI189" s="27" t="s">
        <v>141</v>
      </c>
      <c r="AJ189" s="27" t="s">
        <v>50</v>
      </c>
      <c r="AK189" s="27" t="s">
        <v>50</v>
      </c>
      <c r="AL189" s="27" t="s">
        <v>2853</v>
      </c>
      <c r="AM189" s="34">
        <v>246700000</v>
      </c>
      <c r="AN189" s="34">
        <v>190189732</v>
      </c>
      <c r="AO189" s="34">
        <v>33687500</v>
      </c>
      <c r="AP189" s="34">
        <v>19822767</v>
      </c>
      <c r="AQ189" s="34">
        <v>0</v>
      </c>
      <c r="AR189" s="34">
        <v>0</v>
      </c>
      <c r="AS189" s="34">
        <v>25000000</v>
      </c>
      <c r="AT189" s="34">
        <v>218700000</v>
      </c>
      <c r="AU189" s="34">
        <v>218700000</v>
      </c>
      <c r="AV189" s="34">
        <v>-28264886</v>
      </c>
      <c r="AW189" s="27" t="s">
        <v>230</v>
      </c>
      <c r="AX189" s="27" t="s">
        <v>230</v>
      </c>
      <c r="AY189" s="27" t="s">
        <v>83</v>
      </c>
      <c r="AZ189" s="27">
        <v>1</v>
      </c>
      <c r="BA189" s="27" t="s">
        <v>316</v>
      </c>
      <c r="BB189" s="27" t="s">
        <v>190</v>
      </c>
      <c r="BC189" s="27" t="s">
        <v>2854</v>
      </c>
      <c r="BD189" s="27" t="s">
        <v>190</v>
      </c>
      <c r="BE189" s="27" t="s">
        <v>190</v>
      </c>
      <c r="BF189" s="27" t="s">
        <v>2855</v>
      </c>
      <c r="BG189" s="27" t="s">
        <v>2856</v>
      </c>
      <c r="BH189" s="27" t="s">
        <v>235</v>
      </c>
      <c r="BI189" s="27" t="s">
        <v>312</v>
      </c>
      <c r="BJ189" s="27" t="s">
        <v>2848</v>
      </c>
      <c r="BK189" s="27" t="s">
        <v>234</v>
      </c>
      <c r="BL189" s="27" t="s">
        <v>2857</v>
      </c>
      <c r="BM189" s="35">
        <v>0</v>
      </c>
    </row>
    <row r="190" spans="1:65" s="19" customFormat="1" x14ac:dyDescent="0.2">
      <c r="A190" s="33">
        <v>1176</v>
      </c>
      <c r="B190" s="26">
        <v>146</v>
      </c>
      <c r="C190" s="27" t="s">
        <v>503</v>
      </c>
      <c r="D190" s="27" t="s">
        <v>2858</v>
      </c>
      <c r="E190" s="27" t="s">
        <v>235</v>
      </c>
      <c r="F190" s="27" t="s">
        <v>258</v>
      </c>
      <c r="G190" s="28">
        <v>2026</v>
      </c>
      <c r="H190" s="20" t="str">
        <f>VLOOKUP(U190,'[1]KODE TYPE standar'!$D:$U,17,0)</f>
        <v>AVANZA</v>
      </c>
      <c r="I190" s="20" t="str">
        <f>VLOOKUP(U190,'[1]KODE TYPE standar'!$D:$U,16,0)</f>
        <v>AVANZA</v>
      </c>
      <c r="J190" s="20" t="str">
        <f>VLOOKUP(U190,'[1]KODE TYPE standar'!$D:$U,18,0)</f>
        <v>AVANZA E M/T</v>
      </c>
      <c r="K190" s="27" t="s">
        <v>50</v>
      </c>
      <c r="L190" s="27" t="s">
        <v>109</v>
      </c>
      <c r="M190" s="27" t="s">
        <v>50</v>
      </c>
      <c r="N190" s="27" t="s">
        <v>141</v>
      </c>
      <c r="O190" s="28" t="s">
        <v>156</v>
      </c>
      <c r="P190" s="29" t="s">
        <v>150</v>
      </c>
      <c r="Q190" s="29" t="s">
        <v>162</v>
      </c>
      <c r="R190" s="29" t="s">
        <v>109</v>
      </c>
      <c r="S190" s="27" t="s">
        <v>795</v>
      </c>
      <c r="T190" s="27" t="s">
        <v>509</v>
      </c>
      <c r="U190" s="27" t="s">
        <v>386</v>
      </c>
      <c r="V190" s="27" t="s">
        <v>64</v>
      </c>
      <c r="W190" s="27" t="s">
        <v>65</v>
      </c>
      <c r="X190" s="27" t="s">
        <v>2859</v>
      </c>
      <c r="Y190" s="27" t="s">
        <v>2860</v>
      </c>
      <c r="Z190" s="27" t="s">
        <v>794</v>
      </c>
      <c r="AA190" s="27" t="s">
        <v>795</v>
      </c>
      <c r="AB190" s="27" t="s">
        <v>509</v>
      </c>
      <c r="AC190" s="27" t="s">
        <v>2782</v>
      </c>
      <c r="AD190" s="27" t="s">
        <v>314</v>
      </c>
      <c r="AE190" s="27" t="s">
        <v>109</v>
      </c>
      <c r="AF190" s="27" t="s">
        <v>314</v>
      </c>
      <c r="AG190" s="27" t="s">
        <v>2783</v>
      </c>
      <c r="AH190" s="27" t="s">
        <v>1377</v>
      </c>
      <c r="AI190" s="27" t="s">
        <v>141</v>
      </c>
      <c r="AJ190" s="27" t="s">
        <v>50</v>
      </c>
      <c r="AK190" s="27" t="s">
        <v>50</v>
      </c>
      <c r="AL190" s="27" t="s">
        <v>2861</v>
      </c>
      <c r="AM190" s="34">
        <v>246700000</v>
      </c>
      <c r="AN190" s="34">
        <v>190189732</v>
      </c>
      <c r="AO190" s="34">
        <v>33687500</v>
      </c>
      <c r="AP190" s="34">
        <v>19822767</v>
      </c>
      <c r="AQ190" s="34">
        <v>0</v>
      </c>
      <c r="AR190" s="34">
        <v>0</v>
      </c>
      <c r="AS190" s="34">
        <v>25000000</v>
      </c>
      <c r="AT190" s="34">
        <v>218700000</v>
      </c>
      <c r="AU190" s="34">
        <v>218700000</v>
      </c>
      <c r="AV190" s="34">
        <v>-28264886</v>
      </c>
      <c r="AW190" s="27" t="s">
        <v>230</v>
      </c>
      <c r="AX190" s="27" t="s">
        <v>230</v>
      </c>
      <c r="AY190" s="27" t="s">
        <v>83</v>
      </c>
      <c r="AZ190" s="27">
        <v>1</v>
      </c>
      <c r="BA190" s="27" t="s">
        <v>316</v>
      </c>
      <c r="BB190" s="27" t="s">
        <v>190</v>
      </c>
      <c r="BC190" s="27" t="s">
        <v>2862</v>
      </c>
      <c r="BD190" s="27" t="s">
        <v>190</v>
      </c>
      <c r="BE190" s="27" t="s">
        <v>190</v>
      </c>
      <c r="BF190" s="27" t="s">
        <v>2863</v>
      </c>
      <c r="BG190" s="27" t="s">
        <v>2864</v>
      </c>
      <c r="BH190" s="27" t="s">
        <v>235</v>
      </c>
      <c r="BI190" s="27" t="s">
        <v>312</v>
      </c>
      <c r="BJ190" s="27" t="s">
        <v>2848</v>
      </c>
      <c r="BK190" s="27" t="s">
        <v>234</v>
      </c>
      <c r="BL190" s="27" t="s">
        <v>2865</v>
      </c>
      <c r="BM190" s="35">
        <v>0</v>
      </c>
    </row>
    <row r="191" spans="1:65" s="19" customFormat="1" x14ac:dyDescent="0.2">
      <c r="A191" s="33">
        <v>1177</v>
      </c>
      <c r="B191" s="26">
        <v>146</v>
      </c>
      <c r="C191" s="27" t="s">
        <v>503</v>
      </c>
      <c r="D191" s="27" t="s">
        <v>2866</v>
      </c>
      <c r="E191" s="27" t="s">
        <v>235</v>
      </c>
      <c r="F191" s="27" t="s">
        <v>258</v>
      </c>
      <c r="G191" s="28">
        <v>2026</v>
      </c>
      <c r="H191" s="20" t="str">
        <f>VLOOKUP(U191,'[1]KODE TYPE standar'!$D:$U,17,0)</f>
        <v>AVANZA</v>
      </c>
      <c r="I191" s="20" t="str">
        <f>VLOOKUP(U191,'[1]KODE TYPE standar'!$D:$U,16,0)</f>
        <v>AVANZA</v>
      </c>
      <c r="J191" s="20" t="str">
        <f>VLOOKUP(U191,'[1]KODE TYPE standar'!$D:$U,18,0)</f>
        <v>AVANZA E M/T</v>
      </c>
      <c r="K191" s="27" t="s">
        <v>50</v>
      </c>
      <c r="L191" s="27" t="s">
        <v>109</v>
      </c>
      <c r="M191" s="27" t="s">
        <v>50</v>
      </c>
      <c r="N191" s="27" t="s">
        <v>141</v>
      </c>
      <c r="O191" s="28" t="s">
        <v>156</v>
      </c>
      <c r="P191" s="29" t="s">
        <v>150</v>
      </c>
      <c r="Q191" s="29" t="s">
        <v>162</v>
      </c>
      <c r="R191" s="29" t="s">
        <v>109</v>
      </c>
      <c r="S191" s="27" t="s">
        <v>795</v>
      </c>
      <c r="T191" s="27" t="s">
        <v>509</v>
      </c>
      <c r="U191" s="27" t="s">
        <v>386</v>
      </c>
      <c r="V191" s="27" t="s">
        <v>64</v>
      </c>
      <c r="W191" s="27" t="s">
        <v>65</v>
      </c>
      <c r="X191" s="27" t="s">
        <v>2867</v>
      </c>
      <c r="Y191" s="27" t="s">
        <v>2868</v>
      </c>
      <c r="Z191" s="27" t="s">
        <v>794</v>
      </c>
      <c r="AA191" s="27" t="s">
        <v>795</v>
      </c>
      <c r="AB191" s="27" t="s">
        <v>509</v>
      </c>
      <c r="AC191" s="27" t="s">
        <v>2782</v>
      </c>
      <c r="AD191" s="27" t="s">
        <v>314</v>
      </c>
      <c r="AE191" s="27" t="s">
        <v>109</v>
      </c>
      <c r="AF191" s="27" t="s">
        <v>314</v>
      </c>
      <c r="AG191" s="27" t="s">
        <v>2783</v>
      </c>
      <c r="AH191" s="27" t="s">
        <v>1377</v>
      </c>
      <c r="AI191" s="27" t="s">
        <v>141</v>
      </c>
      <c r="AJ191" s="27" t="s">
        <v>50</v>
      </c>
      <c r="AK191" s="27" t="s">
        <v>50</v>
      </c>
      <c r="AL191" s="27" t="s">
        <v>2869</v>
      </c>
      <c r="AM191" s="34">
        <v>246700000</v>
      </c>
      <c r="AN191" s="34">
        <v>190189732</v>
      </c>
      <c r="AO191" s="34">
        <v>33687500</v>
      </c>
      <c r="AP191" s="34">
        <v>19822767</v>
      </c>
      <c r="AQ191" s="34">
        <v>0</v>
      </c>
      <c r="AR191" s="34">
        <v>0</v>
      </c>
      <c r="AS191" s="34">
        <v>25000000</v>
      </c>
      <c r="AT191" s="34">
        <v>218700000</v>
      </c>
      <c r="AU191" s="34">
        <v>218700000</v>
      </c>
      <c r="AV191" s="34">
        <v>-28264886</v>
      </c>
      <c r="AW191" s="27" t="s">
        <v>230</v>
      </c>
      <c r="AX191" s="27" t="s">
        <v>230</v>
      </c>
      <c r="AY191" s="27" t="s">
        <v>83</v>
      </c>
      <c r="AZ191" s="27">
        <v>1</v>
      </c>
      <c r="BA191" s="27" t="s">
        <v>316</v>
      </c>
      <c r="BB191" s="27" t="s">
        <v>190</v>
      </c>
      <c r="BC191" s="27" t="s">
        <v>2870</v>
      </c>
      <c r="BD191" s="27" t="s">
        <v>190</v>
      </c>
      <c r="BE191" s="27" t="s">
        <v>190</v>
      </c>
      <c r="BF191" s="27" t="s">
        <v>2871</v>
      </c>
      <c r="BG191" s="27" t="s">
        <v>2872</v>
      </c>
      <c r="BH191" s="27" t="s">
        <v>235</v>
      </c>
      <c r="BI191" s="27" t="s">
        <v>312</v>
      </c>
      <c r="BJ191" s="27" t="s">
        <v>2848</v>
      </c>
      <c r="BK191" s="27" t="s">
        <v>234</v>
      </c>
      <c r="BL191" s="27" t="s">
        <v>2873</v>
      </c>
      <c r="BM191" s="35">
        <v>0</v>
      </c>
    </row>
    <row r="192" spans="1:65" s="19" customFormat="1" x14ac:dyDescent="0.2">
      <c r="A192" s="33">
        <v>1178</v>
      </c>
      <c r="B192" s="26">
        <v>146</v>
      </c>
      <c r="C192" s="27" t="s">
        <v>503</v>
      </c>
      <c r="D192" s="27" t="s">
        <v>2874</v>
      </c>
      <c r="E192" s="27" t="s">
        <v>235</v>
      </c>
      <c r="F192" s="27" t="s">
        <v>258</v>
      </c>
      <c r="G192" s="28">
        <v>2026</v>
      </c>
      <c r="H192" s="20" t="str">
        <f>VLOOKUP(U192,'[1]KODE TYPE standar'!$D:$U,17,0)</f>
        <v>AVANZA</v>
      </c>
      <c r="I192" s="20" t="str">
        <f>VLOOKUP(U192,'[1]KODE TYPE standar'!$D:$U,16,0)</f>
        <v>AVANZA</v>
      </c>
      <c r="J192" s="20" t="str">
        <f>VLOOKUP(U192,'[1]KODE TYPE standar'!$D:$U,18,0)</f>
        <v>AVANZA E M/T</v>
      </c>
      <c r="K192" s="27" t="s">
        <v>50</v>
      </c>
      <c r="L192" s="27" t="s">
        <v>109</v>
      </c>
      <c r="M192" s="27" t="s">
        <v>50</v>
      </c>
      <c r="N192" s="27" t="s">
        <v>141</v>
      </c>
      <c r="O192" s="28" t="s">
        <v>156</v>
      </c>
      <c r="P192" s="29" t="s">
        <v>149</v>
      </c>
      <c r="Q192" s="29" t="s">
        <v>162</v>
      </c>
      <c r="R192" s="29" t="s">
        <v>109</v>
      </c>
      <c r="S192" s="27" t="s">
        <v>795</v>
      </c>
      <c r="T192" s="27" t="s">
        <v>509</v>
      </c>
      <c r="U192" s="27" t="s">
        <v>386</v>
      </c>
      <c r="V192" s="27" t="s">
        <v>64</v>
      </c>
      <c r="W192" s="27" t="s">
        <v>65</v>
      </c>
      <c r="X192" s="27" t="s">
        <v>2875</v>
      </c>
      <c r="Y192" s="27" t="s">
        <v>2876</v>
      </c>
      <c r="Z192" s="27" t="s">
        <v>794</v>
      </c>
      <c r="AA192" s="27" t="s">
        <v>795</v>
      </c>
      <c r="AB192" s="27" t="s">
        <v>509</v>
      </c>
      <c r="AC192" s="27" t="s">
        <v>2782</v>
      </c>
      <c r="AD192" s="27" t="s">
        <v>314</v>
      </c>
      <c r="AE192" s="27" t="s">
        <v>109</v>
      </c>
      <c r="AF192" s="27" t="s">
        <v>314</v>
      </c>
      <c r="AG192" s="27" t="s">
        <v>2783</v>
      </c>
      <c r="AH192" s="27" t="s">
        <v>1377</v>
      </c>
      <c r="AI192" s="27" t="s">
        <v>141</v>
      </c>
      <c r="AJ192" s="27" t="s">
        <v>50</v>
      </c>
      <c r="AK192" s="27" t="s">
        <v>50</v>
      </c>
      <c r="AL192" s="27" t="s">
        <v>2877</v>
      </c>
      <c r="AM192" s="34">
        <v>246700000</v>
      </c>
      <c r="AN192" s="34">
        <v>190189732</v>
      </c>
      <c r="AO192" s="34">
        <v>33687500</v>
      </c>
      <c r="AP192" s="34">
        <v>19822767</v>
      </c>
      <c r="AQ192" s="34">
        <v>0</v>
      </c>
      <c r="AR192" s="34">
        <v>0</v>
      </c>
      <c r="AS192" s="34">
        <v>25000000</v>
      </c>
      <c r="AT192" s="34">
        <v>218700000</v>
      </c>
      <c r="AU192" s="34">
        <v>218700000</v>
      </c>
      <c r="AV192" s="34">
        <v>-28264886</v>
      </c>
      <c r="AW192" s="27" t="s">
        <v>230</v>
      </c>
      <c r="AX192" s="27" t="s">
        <v>230</v>
      </c>
      <c r="AY192" s="27" t="s">
        <v>83</v>
      </c>
      <c r="AZ192" s="27">
        <v>1</v>
      </c>
      <c r="BA192" s="27" t="s">
        <v>316</v>
      </c>
      <c r="BB192" s="27" t="s">
        <v>213</v>
      </c>
      <c r="BC192" s="27" t="s">
        <v>2878</v>
      </c>
      <c r="BD192" s="27" t="s">
        <v>190</v>
      </c>
      <c r="BE192" s="27" t="s">
        <v>190</v>
      </c>
      <c r="BF192" s="27" t="s">
        <v>2879</v>
      </c>
      <c r="BG192" s="27" t="s">
        <v>2880</v>
      </c>
      <c r="BH192" s="27" t="s">
        <v>235</v>
      </c>
      <c r="BI192" s="27" t="s">
        <v>312</v>
      </c>
      <c r="BJ192" s="27" t="s">
        <v>2848</v>
      </c>
      <c r="BK192" s="27" t="s">
        <v>234</v>
      </c>
      <c r="BL192" s="27" t="s">
        <v>2881</v>
      </c>
      <c r="BM192" s="35">
        <v>0</v>
      </c>
    </row>
    <row r="193" spans="1:65" s="19" customFormat="1" x14ac:dyDescent="0.2">
      <c r="A193" s="33">
        <v>1179</v>
      </c>
      <c r="B193" s="26">
        <v>146</v>
      </c>
      <c r="C193" s="27" t="s">
        <v>503</v>
      </c>
      <c r="D193" s="27" t="s">
        <v>2882</v>
      </c>
      <c r="E193" s="27" t="s">
        <v>235</v>
      </c>
      <c r="F193" s="27" t="s">
        <v>258</v>
      </c>
      <c r="G193" s="28">
        <v>2026</v>
      </c>
      <c r="H193" s="20" t="str">
        <f>VLOOKUP(U193,'[1]KODE TYPE standar'!$D:$U,17,0)</f>
        <v>AVANZA</v>
      </c>
      <c r="I193" s="20" t="str">
        <f>VLOOKUP(U193,'[1]KODE TYPE standar'!$D:$U,16,0)</f>
        <v>AVANZA</v>
      </c>
      <c r="J193" s="20" t="str">
        <f>VLOOKUP(U193,'[1]KODE TYPE standar'!$D:$U,18,0)</f>
        <v>AVANZA E M/T</v>
      </c>
      <c r="K193" s="27" t="s">
        <v>50</v>
      </c>
      <c r="L193" s="27" t="s">
        <v>109</v>
      </c>
      <c r="M193" s="27" t="s">
        <v>50</v>
      </c>
      <c r="N193" s="27" t="s">
        <v>141</v>
      </c>
      <c r="O193" s="28" t="s">
        <v>156</v>
      </c>
      <c r="P193" s="29" t="s">
        <v>149</v>
      </c>
      <c r="Q193" s="29" t="s">
        <v>162</v>
      </c>
      <c r="R193" s="29" t="s">
        <v>109</v>
      </c>
      <c r="S193" s="27" t="s">
        <v>795</v>
      </c>
      <c r="T193" s="27" t="s">
        <v>509</v>
      </c>
      <c r="U193" s="27" t="s">
        <v>386</v>
      </c>
      <c r="V193" s="27" t="s">
        <v>64</v>
      </c>
      <c r="W193" s="27" t="s">
        <v>65</v>
      </c>
      <c r="X193" s="27" t="s">
        <v>2883</v>
      </c>
      <c r="Y193" s="27" t="s">
        <v>2884</v>
      </c>
      <c r="Z193" s="27" t="s">
        <v>794</v>
      </c>
      <c r="AA193" s="27" t="s">
        <v>795</v>
      </c>
      <c r="AB193" s="27" t="s">
        <v>509</v>
      </c>
      <c r="AC193" s="27" t="s">
        <v>2782</v>
      </c>
      <c r="AD193" s="27" t="s">
        <v>314</v>
      </c>
      <c r="AE193" s="27" t="s">
        <v>109</v>
      </c>
      <c r="AF193" s="27" t="s">
        <v>314</v>
      </c>
      <c r="AG193" s="27" t="s">
        <v>2783</v>
      </c>
      <c r="AH193" s="27" t="s">
        <v>1377</v>
      </c>
      <c r="AI193" s="27" t="s">
        <v>141</v>
      </c>
      <c r="AJ193" s="27" t="s">
        <v>50</v>
      </c>
      <c r="AK193" s="27" t="s">
        <v>50</v>
      </c>
      <c r="AL193" s="27" t="s">
        <v>2885</v>
      </c>
      <c r="AM193" s="34">
        <v>246700000</v>
      </c>
      <c r="AN193" s="34">
        <v>190189732</v>
      </c>
      <c r="AO193" s="34">
        <v>33687500</v>
      </c>
      <c r="AP193" s="34">
        <v>19822767</v>
      </c>
      <c r="AQ193" s="34">
        <v>0</v>
      </c>
      <c r="AR193" s="34">
        <v>0</v>
      </c>
      <c r="AS193" s="34">
        <v>25000000</v>
      </c>
      <c r="AT193" s="34">
        <v>218700000</v>
      </c>
      <c r="AU193" s="34">
        <v>218700000</v>
      </c>
      <c r="AV193" s="34">
        <v>-28264886</v>
      </c>
      <c r="AW193" s="27" t="s">
        <v>230</v>
      </c>
      <c r="AX193" s="27" t="s">
        <v>230</v>
      </c>
      <c r="AY193" s="27" t="s">
        <v>83</v>
      </c>
      <c r="AZ193" s="27">
        <v>1</v>
      </c>
      <c r="BA193" s="27" t="s">
        <v>316</v>
      </c>
      <c r="BB193" s="27" t="s">
        <v>197</v>
      </c>
      <c r="BC193" s="27" t="s">
        <v>2886</v>
      </c>
      <c r="BD193" s="27" t="s">
        <v>190</v>
      </c>
      <c r="BE193" s="27" t="s">
        <v>190</v>
      </c>
      <c r="BF193" s="27" t="s">
        <v>2887</v>
      </c>
      <c r="BG193" s="27" t="s">
        <v>2888</v>
      </c>
      <c r="BH193" s="27" t="s">
        <v>235</v>
      </c>
      <c r="BI193" s="27" t="s">
        <v>312</v>
      </c>
      <c r="BJ193" s="27" t="s">
        <v>2848</v>
      </c>
      <c r="BK193" s="27" t="s">
        <v>234</v>
      </c>
      <c r="BL193" s="27" t="s">
        <v>2889</v>
      </c>
      <c r="BM193" s="35">
        <v>0</v>
      </c>
    </row>
    <row r="194" spans="1:65" s="19" customFormat="1" x14ac:dyDescent="0.2">
      <c r="A194" s="33">
        <v>1180</v>
      </c>
      <c r="B194" s="26">
        <v>146</v>
      </c>
      <c r="C194" s="27" t="s">
        <v>503</v>
      </c>
      <c r="D194" s="27" t="s">
        <v>2890</v>
      </c>
      <c r="E194" s="27" t="s">
        <v>235</v>
      </c>
      <c r="F194" s="27" t="s">
        <v>258</v>
      </c>
      <c r="G194" s="28">
        <v>2026</v>
      </c>
      <c r="H194" s="20" t="str">
        <f>VLOOKUP(U194,'[1]KODE TYPE standar'!$D:$U,17,0)</f>
        <v>AVANZA</v>
      </c>
      <c r="I194" s="20" t="str">
        <f>VLOOKUP(U194,'[1]KODE TYPE standar'!$D:$U,16,0)</f>
        <v>AVANZA</v>
      </c>
      <c r="J194" s="20" t="str">
        <f>VLOOKUP(U194,'[1]KODE TYPE standar'!$D:$U,18,0)</f>
        <v>AVANZA E M/T</v>
      </c>
      <c r="K194" s="27" t="s">
        <v>50</v>
      </c>
      <c r="L194" s="27" t="s">
        <v>109</v>
      </c>
      <c r="M194" s="27" t="s">
        <v>50</v>
      </c>
      <c r="N194" s="27" t="s">
        <v>141</v>
      </c>
      <c r="O194" s="28" t="s">
        <v>156</v>
      </c>
      <c r="P194" s="29" t="s">
        <v>150</v>
      </c>
      <c r="Q194" s="29" t="s">
        <v>162</v>
      </c>
      <c r="R194" s="29" t="s">
        <v>109</v>
      </c>
      <c r="S194" s="27" t="s">
        <v>795</v>
      </c>
      <c r="T194" s="27" t="s">
        <v>509</v>
      </c>
      <c r="U194" s="27" t="s">
        <v>386</v>
      </c>
      <c r="V194" s="27" t="s">
        <v>64</v>
      </c>
      <c r="W194" s="27" t="s">
        <v>65</v>
      </c>
      <c r="X194" s="27" t="s">
        <v>2891</v>
      </c>
      <c r="Y194" s="27" t="s">
        <v>2892</v>
      </c>
      <c r="Z194" s="27" t="s">
        <v>794</v>
      </c>
      <c r="AA194" s="27" t="s">
        <v>795</v>
      </c>
      <c r="AB194" s="27" t="s">
        <v>509</v>
      </c>
      <c r="AC194" s="27" t="s">
        <v>2782</v>
      </c>
      <c r="AD194" s="27" t="s">
        <v>314</v>
      </c>
      <c r="AE194" s="27" t="s">
        <v>109</v>
      </c>
      <c r="AF194" s="27" t="s">
        <v>314</v>
      </c>
      <c r="AG194" s="27" t="s">
        <v>2783</v>
      </c>
      <c r="AH194" s="27" t="s">
        <v>1377</v>
      </c>
      <c r="AI194" s="27" t="s">
        <v>141</v>
      </c>
      <c r="AJ194" s="27" t="s">
        <v>50</v>
      </c>
      <c r="AK194" s="27" t="s">
        <v>50</v>
      </c>
      <c r="AL194" s="27" t="s">
        <v>2893</v>
      </c>
      <c r="AM194" s="34">
        <v>246700000</v>
      </c>
      <c r="AN194" s="34">
        <v>190189732</v>
      </c>
      <c r="AO194" s="34">
        <v>33687500</v>
      </c>
      <c r="AP194" s="34">
        <v>19822767</v>
      </c>
      <c r="AQ194" s="34">
        <v>0</v>
      </c>
      <c r="AR194" s="34">
        <v>0</v>
      </c>
      <c r="AS194" s="34">
        <v>25000000</v>
      </c>
      <c r="AT194" s="34">
        <v>218700000</v>
      </c>
      <c r="AU194" s="34">
        <v>218700000</v>
      </c>
      <c r="AV194" s="34">
        <v>-28264886</v>
      </c>
      <c r="AW194" s="27" t="s">
        <v>230</v>
      </c>
      <c r="AX194" s="27" t="s">
        <v>230</v>
      </c>
      <c r="AY194" s="27" t="s">
        <v>83</v>
      </c>
      <c r="AZ194" s="27">
        <v>1</v>
      </c>
      <c r="BA194" s="27" t="s">
        <v>316</v>
      </c>
      <c r="BB194" s="27" t="s">
        <v>190</v>
      </c>
      <c r="BC194" s="27" t="s">
        <v>2894</v>
      </c>
      <c r="BD194" s="27" t="s">
        <v>190</v>
      </c>
      <c r="BE194" s="27" t="s">
        <v>190</v>
      </c>
      <c r="BF194" s="27" t="s">
        <v>2895</v>
      </c>
      <c r="BG194" s="27" t="s">
        <v>2896</v>
      </c>
      <c r="BH194" s="27" t="s">
        <v>235</v>
      </c>
      <c r="BI194" s="27" t="s">
        <v>312</v>
      </c>
      <c r="BJ194" s="27" t="s">
        <v>2897</v>
      </c>
      <c r="BK194" s="27" t="s">
        <v>235</v>
      </c>
      <c r="BL194" s="27" t="s">
        <v>2898</v>
      </c>
      <c r="BM194" s="35">
        <v>0</v>
      </c>
    </row>
    <row r="195" spans="1:65" s="1" customFormat="1" x14ac:dyDescent="0.2">
      <c r="A195" s="33">
        <v>1181</v>
      </c>
      <c r="B195" s="26">
        <v>146</v>
      </c>
      <c r="C195" s="27" t="s">
        <v>503</v>
      </c>
      <c r="D195" s="27" t="s">
        <v>2899</v>
      </c>
      <c r="E195" s="27" t="s">
        <v>235</v>
      </c>
      <c r="F195" s="27" t="s">
        <v>258</v>
      </c>
      <c r="G195" s="28">
        <v>2026</v>
      </c>
      <c r="H195" s="20" t="str">
        <f>VLOOKUP(U195,'[1]KODE TYPE standar'!$D:$U,17,0)</f>
        <v>INV ZENIX GAS</v>
      </c>
      <c r="I195" s="20" t="str">
        <f>VLOOKUP(U195,'[1]KODE TYPE standar'!$D:$U,16,0)</f>
        <v>INNOVA</v>
      </c>
      <c r="J195" s="20" t="str">
        <f>VLOOKUP(U195,'[1]KODE TYPE standar'!$D:$U,18,0)</f>
        <v>INNOVA ZENIX G A/T</v>
      </c>
      <c r="K195" s="27" t="s">
        <v>50</v>
      </c>
      <c r="L195" s="27" t="s">
        <v>109</v>
      </c>
      <c r="M195" s="27" t="s">
        <v>50</v>
      </c>
      <c r="N195" s="27" t="s">
        <v>141</v>
      </c>
      <c r="O195" s="28" t="s">
        <v>156</v>
      </c>
      <c r="P195" s="29" t="s">
        <v>150</v>
      </c>
      <c r="Q195" s="29" t="s">
        <v>162</v>
      </c>
      <c r="R195" s="29" t="s">
        <v>109</v>
      </c>
      <c r="S195" s="27" t="s">
        <v>1373</v>
      </c>
      <c r="T195" s="27" t="s">
        <v>509</v>
      </c>
      <c r="U195" s="27" t="s">
        <v>293</v>
      </c>
      <c r="V195" s="27" t="s">
        <v>48</v>
      </c>
      <c r="W195" s="27" t="s">
        <v>49</v>
      </c>
      <c r="X195" s="27" t="s">
        <v>2900</v>
      </c>
      <c r="Y195" s="27" t="s">
        <v>2901</v>
      </c>
      <c r="Z195" s="27" t="s">
        <v>1372</v>
      </c>
      <c r="AA195" s="27" t="s">
        <v>1373</v>
      </c>
      <c r="AB195" s="27" t="s">
        <v>509</v>
      </c>
      <c r="AC195" s="27" t="s">
        <v>2801</v>
      </c>
      <c r="AD195" s="27" t="s">
        <v>314</v>
      </c>
      <c r="AE195" s="27" t="s">
        <v>109</v>
      </c>
      <c r="AF195" s="27" t="s">
        <v>314</v>
      </c>
      <c r="AG195" s="27" t="s">
        <v>2783</v>
      </c>
      <c r="AH195" s="27" t="s">
        <v>1377</v>
      </c>
      <c r="AI195" s="27" t="s">
        <v>141</v>
      </c>
      <c r="AJ195" s="27" t="s">
        <v>50</v>
      </c>
      <c r="AK195" s="27" t="s">
        <v>50</v>
      </c>
      <c r="AL195" s="27" t="s">
        <v>2902</v>
      </c>
      <c r="AM195" s="34">
        <v>439300000</v>
      </c>
      <c r="AN195" s="34">
        <v>340658482</v>
      </c>
      <c r="AO195" s="34">
        <v>57762500</v>
      </c>
      <c r="AP195" s="34">
        <v>37107589</v>
      </c>
      <c r="AQ195" s="34">
        <v>0</v>
      </c>
      <c r="AR195" s="34">
        <v>0</v>
      </c>
      <c r="AS195" s="34">
        <v>31428571</v>
      </c>
      <c r="AT195" s="34">
        <v>404100000</v>
      </c>
      <c r="AU195" s="34">
        <v>404100000</v>
      </c>
      <c r="AV195" s="34">
        <v>-35464886</v>
      </c>
      <c r="AW195" s="27" t="s">
        <v>230</v>
      </c>
      <c r="AX195" s="27" t="s">
        <v>230</v>
      </c>
      <c r="AY195" s="27" t="s">
        <v>83</v>
      </c>
      <c r="AZ195" s="27">
        <v>1</v>
      </c>
      <c r="BA195" s="27" t="s">
        <v>316</v>
      </c>
      <c r="BB195" s="27" t="s">
        <v>190</v>
      </c>
      <c r="BC195" s="27" t="s">
        <v>2903</v>
      </c>
      <c r="BD195" s="27" t="s">
        <v>190</v>
      </c>
      <c r="BE195" s="27" t="s">
        <v>190</v>
      </c>
      <c r="BF195" s="27" t="s">
        <v>2904</v>
      </c>
      <c r="BG195" s="27" t="s">
        <v>2905</v>
      </c>
      <c r="BH195" s="27" t="s">
        <v>235</v>
      </c>
      <c r="BI195" s="27" t="s">
        <v>312</v>
      </c>
      <c r="BJ195" s="27" t="s">
        <v>296</v>
      </c>
      <c r="BK195" s="27" t="s">
        <v>234</v>
      </c>
      <c r="BL195" s="27" t="s">
        <v>2906</v>
      </c>
      <c r="BM195" s="35">
        <v>0</v>
      </c>
    </row>
    <row r="196" spans="1:65" s="1" customFormat="1" x14ac:dyDescent="0.2">
      <c r="A196" s="33">
        <v>1192</v>
      </c>
      <c r="B196" s="26">
        <v>146</v>
      </c>
      <c r="C196" s="27" t="s">
        <v>503</v>
      </c>
      <c r="D196" s="27" t="s">
        <v>2907</v>
      </c>
      <c r="E196" s="27" t="s">
        <v>210</v>
      </c>
      <c r="F196" s="27" t="s">
        <v>258</v>
      </c>
      <c r="G196" s="28">
        <v>2026</v>
      </c>
      <c r="H196" s="20" t="str">
        <f>VLOOKUP(U196,'[1]KODE TYPE standar'!$D:$U,17,0)</f>
        <v>AVANZA</v>
      </c>
      <c r="I196" s="20" t="str">
        <f>VLOOKUP(U196,'[1]KODE TYPE standar'!$D:$U,16,0)</f>
        <v>AVANZA</v>
      </c>
      <c r="J196" s="20" t="str">
        <f>VLOOKUP(U196,'[1]KODE TYPE standar'!$D:$U,18,0)</f>
        <v>AVANZA E M/T</v>
      </c>
      <c r="K196" s="27" t="s">
        <v>50</v>
      </c>
      <c r="L196" s="27" t="s">
        <v>109</v>
      </c>
      <c r="M196" s="27" t="s">
        <v>50</v>
      </c>
      <c r="N196" s="27" t="s">
        <v>141</v>
      </c>
      <c r="O196" s="28" t="s">
        <v>156</v>
      </c>
      <c r="P196" s="29" t="s">
        <v>150</v>
      </c>
      <c r="Q196" s="29" t="s">
        <v>162</v>
      </c>
      <c r="R196" s="29" t="s">
        <v>109</v>
      </c>
      <c r="S196" s="27" t="s">
        <v>1373</v>
      </c>
      <c r="T196" s="27" t="s">
        <v>509</v>
      </c>
      <c r="U196" s="27" t="s">
        <v>386</v>
      </c>
      <c r="V196" s="27" t="s">
        <v>64</v>
      </c>
      <c r="W196" s="27" t="s">
        <v>65</v>
      </c>
      <c r="X196" s="27" t="s">
        <v>2908</v>
      </c>
      <c r="Y196" s="27" t="s">
        <v>2909</v>
      </c>
      <c r="Z196" s="27" t="s">
        <v>1372</v>
      </c>
      <c r="AA196" s="27" t="s">
        <v>1373</v>
      </c>
      <c r="AB196" s="27" t="s">
        <v>509</v>
      </c>
      <c r="AC196" s="27" t="s">
        <v>2801</v>
      </c>
      <c r="AD196" s="27" t="s">
        <v>314</v>
      </c>
      <c r="AE196" s="27" t="s">
        <v>109</v>
      </c>
      <c r="AF196" s="27" t="s">
        <v>314</v>
      </c>
      <c r="AG196" s="27" t="s">
        <v>2783</v>
      </c>
      <c r="AH196" s="27" t="s">
        <v>1377</v>
      </c>
      <c r="AI196" s="27" t="s">
        <v>141</v>
      </c>
      <c r="AJ196" s="27" t="s">
        <v>50</v>
      </c>
      <c r="AK196" s="27" t="s">
        <v>50</v>
      </c>
      <c r="AL196" s="27" t="s">
        <v>2910</v>
      </c>
      <c r="AM196" s="34">
        <v>246700000</v>
      </c>
      <c r="AN196" s="34">
        <v>190189732</v>
      </c>
      <c r="AO196" s="34">
        <v>33687500</v>
      </c>
      <c r="AP196" s="34">
        <v>19822767</v>
      </c>
      <c r="AQ196" s="34">
        <v>0</v>
      </c>
      <c r="AR196" s="34">
        <v>0</v>
      </c>
      <c r="AS196" s="34">
        <v>25000000</v>
      </c>
      <c r="AT196" s="34">
        <v>218700000</v>
      </c>
      <c r="AU196" s="34">
        <v>218700000</v>
      </c>
      <c r="AV196" s="34">
        <v>-28264886</v>
      </c>
      <c r="AW196" s="27" t="s">
        <v>230</v>
      </c>
      <c r="AX196" s="27" t="s">
        <v>230</v>
      </c>
      <c r="AY196" s="27" t="s">
        <v>83</v>
      </c>
      <c r="AZ196" s="27">
        <v>1</v>
      </c>
      <c r="BA196" s="27" t="s">
        <v>316</v>
      </c>
      <c r="BB196" s="27" t="s">
        <v>190</v>
      </c>
      <c r="BC196" s="27" t="s">
        <v>2911</v>
      </c>
      <c r="BD196" s="27" t="s">
        <v>190</v>
      </c>
      <c r="BE196" s="27" t="s">
        <v>190</v>
      </c>
      <c r="BF196" s="27" t="s">
        <v>2912</v>
      </c>
      <c r="BG196" s="27" t="s">
        <v>2913</v>
      </c>
      <c r="BH196" s="27" t="s">
        <v>210</v>
      </c>
      <c r="BI196" s="27" t="s">
        <v>349</v>
      </c>
      <c r="BJ196" s="27" t="s">
        <v>2914</v>
      </c>
      <c r="BK196" s="27" t="s">
        <v>211</v>
      </c>
      <c r="BL196" s="27" t="s">
        <v>2915</v>
      </c>
      <c r="BM196" s="35">
        <v>0</v>
      </c>
    </row>
    <row r="197" spans="1:65" s="1" customFormat="1" x14ac:dyDescent="0.2">
      <c r="A197" s="33">
        <v>1194</v>
      </c>
      <c r="B197" s="26">
        <v>146</v>
      </c>
      <c r="C197" s="27" t="s">
        <v>503</v>
      </c>
      <c r="D197" s="27" t="s">
        <v>2916</v>
      </c>
      <c r="E197" s="27" t="s">
        <v>234</v>
      </c>
      <c r="F197" s="27" t="s">
        <v>258</v>
      </c>
      <c r="G197" s="28">
        <v>2026</v>
      </c>
      <c r="H197" s="20" t="str">
        <f>VLOOKUP(U197,'[1]KODE TYPE standar'!$D:$U,17,0)</f>
        <v>INV ZENIX GAS</v>
      </c>
      <c r="I197" s="20" t="str">
        <f>VLOOKUP(U197,'[1]KODE TYPE standar'!$D:$U,16,0)</f>
        <v>INNOVA</v>
      </c>
      <c r="J197" s="20" t="str">
        <f>VLOOKUP(U197,'[1]KODE TYPE standar'!$D:$U,18,0)</f>
        <v>INNOVA ZENIX G A/T</v>
      </c>
      <c r="K197" s="27" t="s">
        <v>50</v>
      </c>
      <c r="L197" s="27" t="s">
        <v>109</v>
      </c>
      <c r="M197" s="27" t="s">
        <v>50</v>
      </c>
      <c r="N197" s="27" t="s">
        <v>141</v>
      </c>
      <c r="O197" s="28" t="s">
        <v>156</v>
      </c>
      <c r="P197" s="29" t="s">
        <v>150</v>
      </c>
      <c r="Q197" s="29" t="s">
        <v>162</v>
      </c>
      <c r="R197" s="29" t="s">
        <v>109</v>
      </c>
      <c r="S197" s="27" t="s">
        <v>1373</v>
      </c>
      <c r="T197" s="27" t="s">
        <v>509</v>
      </c>
      <c r="U197" s="27" t="s">
        <v>293</v>
      </c>
      <c r="V197" s="27" t="s">
        <v>48</v>
      </c>
      <c r="W197" s="27" t="s">
        <v>49</v>
      </c>
      <c r="X197" s="27" t="s">
        <v>2917</v>
      </c>
      <c r="Y197" s="27" t="s">
        <v>2918</v>
      </c>
      <c r="Z197" s="27" t="s">
        <v>1372</v>
      </c>
      <c r="AA197" s="27" t="s">
        <v>1373</v>
      </c>
      <c r="AB197" s="27" t="s">
        <v>509</v>
      </c>
      <c r="AC197" s="27" t="s">
        <v>2801</v>
      </c>
      <c r="AD197" s="27" t="s">
        <v>314</v>
      </c>
      <c r="AE197" s="27" t="s">
        <v>109</v>
      </c>
      <c r="AF197" s="27" t="s">
        <v>314</v>
      </c>
      <c r="AG197" s="27" t="s">
        <v>2783</v>
      </c>
      <c r="AH197" s="27" t="s">
        <v>1377</v>
      </c>
      <c r="AI197" s="27" t="s">
        <v>141</v>
      </c>
      <c r="AJ197" s="27" t="s">
        <v>50</v>
      </c>
      <c r="AK197" s="27" t="s">
        <v>50</v>
      </c>
      <c r="AL197" s="27" t="s">
        <v>2919</v>
      </c>
      <c r="AM197" s="34">
        <v>439300000</v>
      </c>
      <c r="AN197" s="34">
        <v>340658482</v>
      </c>
      <c r="AO197" s="34">
        <v>57762500</v>
      </c>
      <c r="AP197" s="34">
        <v>37107589</v>
      </c>
      <c r="AQ197" s="34">
        <v>0</v>
      </c>
      <c r="AR197" s="34">
        <v>0</v>
      </c>
      <c r="AS197" s="34">
        <v>31428571</v>
      </c>
      <c r="AT197" s="34">
        <v>404100000</v>
      </c>
      <c r="AU197" s="34">
        <v>404100000</v>
      </c>
      <c r="AV197" s="34">
        <v>-35464886</v>
      </c>
      <c r="AW197" s="27" t="s">
        <v>230</v>
      </c>
      <c r="AX197" s="27" t="s">
        <v>230</v>
      </c>
      <c r="AY197" s="27" t="s">
        <v>83</v>
      </c>
      <c r="AZ197" s="27">
        <v>1</v>
      </c>
      <c r="BA197" s="27" t="s">
        <v>316</v>
      </c>
      <c r="BB197" s="27" t="s">
        <v>190</v>
      </c>
      <c r="BC197" s="27" t="s">
        <v>2920</v>
      </c>
      <c r="BD197" s="27" t="s">
        <v>190</v>
      </c>
      <c r="BE197" s="27" t="s">
        <v>190</v>
      </c>
      <c r="BF197" s="27" t="s">
        <v>2921</v>
      </c>
      <c r="BG197" s="27" t="s">
        <v>2922</v>
      </c>
      <c r="BH197" s="27" t="s">
        <v>234</v>
      </c>
      <c r="BI197" s="27" t="s">
        <v>294</v>
      </c>
      <c r="BJ197" s="27" t="s">
        <v>2923</v>
      </c>
      <c r="BK197" s="27" t="s">
        <v>219</v>
      </c>
      <c r="BL197" s="27" t="s">
        <v>2924</v>
      </c>
      <c r="BM197" s="35">
        <v>0</v>
      </c>
    </row>
    <row r="198" spans="1:65" s="1" customFormat="1" x14ac:dyDescent="0.2">
      <c r="A198" s="33">
        <v>1195</v>
      </c>
      <c r="B198" s="26">
        <v>146</v>
      </c>
      <c r="C198" s="27" t="s">
        <v>503</v>
      </c>
      <c r="D198" s="27" t="s">
        <v>2925</v>
      </c>
      <c r="E198" s="27" t="s">
        <v>234</v>
      </c>
      <c r="F198" s="27" t="s">
        <v>258</v>
      </c>
      <c r="G198" s="28">
        <v>2026</v>
      </c>
      <c r="H198" s="20" t="str">
        <f>VLOOKUP(U198,'[1]KODE TYPE standar'!$D:$U,17,0)</f>
        <v>INV ZENIX GAS</v>
      </c>
      <c r="I198" s="20" t="str">
        <f>VLOOKUP(U198,'[1]KODE TYPE standar'!$D:$U,16,0)</f>
        <v>INNOVA</v>
      </c>
      <c r="J198" s="20" t="str">
        <f>VLOOKUP(U198,'[1]KODE TYPE standar'!$D:$U,18,0)</f>
        <v>INNOVA ZENIX G A/T</v>
      </c>
      <c r="K198" s="27" t="s">
        <v>50</v>
      </c>
      <c r="L198" s="27" t="s">
        <v>109</v>
      </c>
      <c r="M198" s="27" t="s">
        <v>50</v>
      </c>
      <c r="N198" s="27" t="s">
        <v>141</v>
      </c>
      <c r="O198" s="28" t="s">
        <v>156</v>
      </c>
      <c r="P198" s="29" t="s">
        <v>150</v>
      </c>
      <c r="Q198" s="29" t="s">
        <v>162</v>
      </c>
      <c r="R198" s="29" t="s">
        <v>109</v>
      </c>
      <c r="S198" s="27" t="s">
        <v>1373</v>
      </c>
      <c r="T198" s="27" t="s">
        <v>509</v>
      </c>
      <c r="U198" s="27" t="s">
        <v>293</v>
      </c>
      <c r="V198" s="27" t="s">
        <v>48</v>
      </c>
      <c r="W198" s="27" t="s">
        <v>49</v>
      </c>
      <c r="X198" s="27" t="s">
        <v>2926</v>
      </c>
      <c r="Y198" s="27" t="s">
        <v>2927</v>
      </c>
      <c r="Z198" s="27" t="s">
        <v>1372</v>
      </c>
      <c r="AA198" s="27" t="s">
        <v>1373</v>
      </c>
      <c r="AB198" s="27" t="s">
        <v>509</v>
      </c>
      <c r="AC198" s="27" t="s">
        <v>2801</v>
      </c>
      <c r="AD198" s="27" t="s">
        <v>314</v>
      </c>
      <c r="AE198" s="27" t="s">
        <v>109</v>
      </c>
      <c r="AF198" s="27" t="s">
        <v>314</v>
      </c>
      <c r="AG198" s="27" t="s">
        <v>2783</v>
      </c>
      <c r="AH198" s="27" t="s">
        <v>1377</v>
      </c>
      <c r="AI198" s="27" t="s">
        <v>141</v>
      </c>
      <c r="AJ198" s="27" t="s">
        <v>50</v>
      </c>
      <c r="AK198" s="27" t="s">
        <v>50</v>
      </c>
      <c r="AL198" s="27" t="s">
        <v>2928</v>
      </c>
      <c r="AM198" s="34">
        <v>439300000</v>
      </c>
      <c r="AN198" s="34">
        <v>340658482</v>
      </c>
      <c r="AO198" s="34">
        <v>57762500</v>
      </c>
      <c r="AP198" s="34">
        <v>37107589</v>
      </c>
      <c r="AQ198" s="34">
        <v>0</v>
      </c>
      <c r="AR198" s="34">
        <v>0</v>
      </c>
      <c r="AS198" s="34">
        <v>31428571</v>
      </c>
      <c r="AT198" s="34">
        <v>404100000</v>
      </c>
      <c r="AU198" s="34">
        <v>404100000</v>
      </c>
      <c r="AV198" s="34">
        <v>-35464886</v>
      </c>
      <c r="AW198" s="27" t="s">
        <v>230</v>
      </c>
      <c r="AX198" s="27" t="s">
        <v>230</v>
      </c>
      <c r="AY198" s="27" t="s">
        <v>83</v>
      </c>
      <c r="AZ198" s="27">
        <v>1</v>
      </c>
      <c r="BA198" s="27" t="s">
        <v>316</v>
      </c>
      <c r="BB198" s="27" t="s">
        <v>190</v>
      </c>
      <c r="BC198" s="27" t="s">
        <v>2929</v>
      </c>
      <c r="BD198" s="27" t="s">
        <v>190</v>
      </c>
      <c r="BE198" s="27" t="s">
        <v>190</v>
      </c>
      <c r="BF198" s="27" t="s">
        <v>2930</v>
      </c>
      <c r="BG198" s="27" t="s">
        <v>2931</v>
      </c>
      <c r="BH198" s="27" t="s">
        <v>234</v>
      </c>
      <c r="BI198" s="27" t="s">
        <v>294</v>
      </c>
      <c r="BJ198" s="27" t="s">
        <v>317</v>
      </c>
      <c r="BK198" s="27" t="s">
        <v>221</v>
      </c>
      <c r="BL198" s="27" t="s">
        <v>2932</v>
      </c>
      <c r="BM198" s="35">
        <v>0</v>
      </c>
    </row>
    <row r="199" spans="1:65" s="1" customFormat="1" x14ac:dyDescent="0.2">
      <c r="A199" s="33">
        <v>1196</v>
      </c>
      <c r="B199" s="26">
        <v>146</v>
      </c>
      <c r="C199" s="27" t="s">
        <v>503</v>
      </c>
      <c r="D199" s="27" t="s">
        <v>2933</v>
      </c>
      <c r="E199" s="27" t="s">
        <v>234</v>
      </c>
      <c r="F199" s="27" t="s">
        <v>258</v>
      </c>
      <c r="G199" s="28">
        <v>2026</v>
      </c>
      <c r="H199" s="20" t="str">
        <f>VLOOKUP(U199,'[1]KODE TYPE standar'!$D:$U,17,0)</f>
        <v>AVANZA</v>
      </c>
      <c r="I199" s="20" t="str">
        <f>VLOOKUP(U199,'[1]KODE TYPE standar'!$D:$U,16,0)</f>
        <v>AVANZA</v>
      </c>
      <c r="J199" s="20" t="str">
        <f>VLOOKUP(U199,'[1]KODE TYPE standar'!$D:$U,18,0)</f>
        <v>AVANZA E M/T</v>
      </c>
      <c r="K199" s="27" t="s">
        <v>50</v>
      </c>
      <c r="L199" s="27" t="s">
        <v>109</v>
      </c>
      <c r="M199" s="27" t="s">
        <v>50</v>
      </c>
      <c r="N199" s="27" t="s">
        <v>141</v>
      </c>
      <c r="O199" s="28" t="s">
        <v>156</v>
      </c>
      <c r="P199" s="29" t="s">
        <v>150</v>
      </c>
      <c r="Q199" s="29" t="s">
        <v>162</v>
      </c>
      <c r="R199" s="29" t="s">
        <v>109</v>
      </c>
      <c r="S199" s="27" t="s">
        <v>1373</v>
      </c>
      <c r="T199" s="27" t="s">
        <v>509</v>
      </c>
      <c r="U199" s="27" t="s">
        <v>386</v>
      </c>
      <c r="V199" s="27" t="s">
        <v>64</v>
      </c>
      <c r="W199" s="27" t="s">
        <v>65</v>
      </c>
      <c r="X199" s="27" t="s">
        <v>2934</v>
      </c>
      <c r="Y199" s="27" t="s">
        <v>2935</v>
      </c>
      <c r="Z199" s="27" t="s">
        <v>1372</v>
      </c>
      <c r="AA199" s="27" t="s">
        <v>1373</v>
      </c>
      <c r="AB199" s="27" t="s">
        <v>509</v>
      </c>
      <c r="AC199" s="27" t="s">
        <v>2801</v>
      </c>
      <c r="AD199" s="27" t="s">
        <v>314</v>
      </c>
      <c r="AE199" s="27" t="s">
        <v>109</v>
      </c>
      <c r="AF199" s="27" t="s">
        <v>314</v>
      </c>
      <c r="AG199" s="27" t="s">
        <v>2783</v>
      </c>
      <c r="AH199" s="27" t="s">
        <v>1377</v>
      </c>
      <c r="AI199" s="27" t="s">
        <v>141</v>
      </c>
      <c r="AJ199" s="27" t="s">
        <v>50</v>
      </c>
      <c r="AK199" s="27" t="s">
        <v>50</v>
      </c>
      <c r="AL199" s="27" t="s">
        <v>2936</v>
      </c>
      <c r="AM199" s="34">
        <v>246700000</v>
      </c>
      <c r="AN199" s="34">
        <v>190189732</v>
      </c>
      <c r="AO199" s="34">
        <v>33687500</v>
      </c>
      <c r="AP199" s="34">
        <v>19822767</v>
      </c>
      <c r="AQ199" s="34">
        <v>0</v>
      </c>
      <c r="AR199" s="34">
        <v>0</v>
      </c>
      <c r="AS199" s="34">
        <v>25000000</v>
      </c>
      <c r="AT199" s="34">
        <v>218700000</v>
      </c>
      <c r="AU199" s="34">
        <v>218700000</v>
      </c>
      <c r="AV199" s="34">
        <v>-28264886</v>
      </c>
      <c r="AW199" s="27" t="s">
        <v>230</v>
      </c>
      <c r="AX199" s="27" t="s">
        <v>230</v>
      </c>
      <c r="AY199" s="27" t="s">
        <v>83</v>
      </c>
      <c r="AZ199" s="27">
        <v>1</v>
      </c>
      <c r="BA199" s="27" t="s">
        <v>316</v>
      </c>
      <c r="BB199" s="27" t="s">
        <v>190</v>
      </c>
      <c r="BC199" s="27" t="s">
        <v>2937</v>
      </c>
      <c r="BD199" s="27" t="s">
        <v>190</v>
      </c>
      <c r="BE199" s="27" t="s">
        <v>190</v>
      </c>
      <c r="BF199" s="27" t="s">
        <v>2938</v>
      </c>
      <c r="BG199" s="27" t="s">
        <v>2939</v>
      </c>
      <c r="BH199" s="27" t="s">
        <v>234</v>
      </c>
      <c r="BI199" s="27" t="s">
        <v>294</v>
      </c>
      <c r="BJ199" s="27" t="s">
        <v>2940</v>
      </c>
      <c r="BK199" s="27" t="s">
        <v>221</v>
      </c>
      <c r="BL199" s="27" t="s">
        <v>2941</v>
      </c>
      <c r="BM199" s="35">
        <v>0</v>
      </c>
    </row>
    <row r="200" spans="1:65" s="1" customFormat="1" x14ac:dyDescent="0.2">
      <c r="A200" s="33">
        <v>1226</v>
      </c>
      <c r="B200" s="26">
        <v>146</v>
      </c>
      <c r="C200" s="27" t="s">
        <v>503</v>
      </c>
      <c r="D200" s="27" t="s">
        <v>2942</v>
      </c>
      <c r="E200" s="27" t="s">
        <v>241</v>
      </c>
      <c r="F200" s="27" t="s">
        <v>258</v>
      </c>
      <c r="G200" s="28">
        <v>2026</v>
      </c>
      <c r="H200" s="20" t="str">
        <f>VLOOKUP(U200,'[1]KODE TYPE standar'!$D:$U,17,0)</f>
        <v>AVANZA</v>
      </c>
      <c r="I200" s="20" t="str">
        <f>VLOOKUP(U200,'[1]KODE TYPE standar'!$D:$U,16,0)</f>
        <v>AVANZA</v>
      </c>
      <c r="J200" s="20" t="str">
        <f>VLOOKUP(U200,'[1]KODE TYPE standar'!$D:$U,18,0)</f>
        <v>AVANZA E M/T</v>
      </c>
      <c r="K200" s="27" t="s">
        <v>50</v>
      </c>
      <c r="L200" s="27" t="s">
        <v>109</v>
      </c>
      <c r="M200" s="27" t="s">
        <v>50</v>
      </c>
      <c r="N200" s="27" t="s">
        <v>141</v>
      </c>
      <c r="O200" s="28" t="s">
        <v>156</v>
      </c>
      <c r="P200" s="29" t="s">
        <v>150</v>
      </c>
      <c r="Q200" s="29" t="s">
        <v>162</v>
      </c>
      <c r="R200" s="29" t="s">
        <v>109</v>
      </c>
      <c r="S200" s="27" t="s">
        <v>1373</v>
      </c>
      <c r="T200" s="27" t="s">
        <v>509</v>
      </c>
      <c r="U200" s="27" t="s">
        <v>386</v>
      </c>
      <c r="V200" s="27" t="s">
        <v>64</v>
      </c>
      <c r="W200" s="27" t="s">
        <v>65</v>
      </c>
      <c r="X200" s="27" t="s">
        <v>2943</v>
      </c>
      <c r="Y200" s="27" t="s">
        <v>2944</v>
      </c>
      <c r="Z200" s="27" t="s">
        <v>1372</v>
      </c>
      <c r="AA200" s="27" t="s">
        <v>1373</v>
      </c>
      <c r="AB200" s="27" t="s">
        <v>509</v>
      </c>
      <c r="AC200" s="27" t="s">
        <v>2801</v>
      </c>
      <c r="AD200" s="27" t="s">
        <v>314</v>
      </c>
      <c r="AE200" s="27" t="s">
        <v>109</v>
      </c>
      <c r="AF200" s="27" t="s">
        <v>314</v>
      </c>
      <c r="AG200" s="27" t="s">
        <v>2783</v>
      </c>
      <c r="AH200" s="27" t="s">
        <v>1377</v>
      </c>
      <c r="AI200" s="27" t="s">
        <v>141</v>
      </c>
      <c r="AJ200" s="27" t="s">
        <v>50</v>
      </c>
      <c r="AK200" s="27" t="s">
        <v>50</v>
      </c>
      <c r="AL200" s="27" t="s">
        <v>2945</v>
      </c>
      <c r="AM200" s="34">
        <v>246700000</v>
      </c>
      <c r="AN200" s="34">
        <v>190189732</v>
      </c>
      <c r="AO200" s="34">
        <v>33687500</v>
      </c>
      <c r="AP200" s="34">
        <v>19822767</v>
      </c>
      <c r="AQ200" s="34">
        <v>0</v>
      </c>
      <c r="AR200" s="34">
        <v>0</v>
      </c>
      <c r="AS200" s="34">
        <v>25000000</v>
      </c>
      <c r="AT200" s="34">
        <v>218700000</v>
      </c>
      <c r="AU200" s="34">
        <v>218700000</v>
      </c>
      <c r="AV200" s="34">
        <v>-28264886</v>
      </c>
      <c r="AW200" s="27" t="s">
        <v>230</v>
      </c>
      <c r="AX200" s="27" t="s">
        <v>230</v>
      </c>
      <c r="AY200" s="27" t="s">
        <v>83</v>
      </c>
      <c r="AZ200" s="27">
        <v>1</v>
      </c>
      <c r="BA200" s="27" t="s">
        <v>316</v>
      </c>
      <c r="BB200" s="27" t="s">
        <v>190</v>
      </c>
      <c r="BC200" s="27" t="s">
        <v>2946</v>
      </c>
      <c r="BD200" s="27" t="s">
        <v>190</v>
      </c>
      <c r="BE200" s="27" t="s">
        <v>190</v>
      </c>
      <c r="BF200" s="27" t="s">
        <v>2947</v>
      </c>
      <c r="BG200" s="27" t="s">
        <v>2948</v>
      </c>
      <c r="BH200" s="27" t="s">
        <v>241</v>
      </c>
      <c r="BI200" s="27" t="s">
        <v>350</v>
      </c>
      <c r="BJ200" s="27" t="s">
        <v>2949</v>
      </c>
      <c r="BK200" s="27" t="s">
        <v>211</v>
      </c>
      <c r="BL200" s="27" t="s">
        <v>2950</v>
      </c>
      <c r="BM200" s="35">
        <v>0</v>
      </c>
    </row>
    <row r="201" spans="1:65" s="1" customFormat="1" x14ac:dyDescent="0.2">
      <c r="A201" s="33">
        <v>1227</v>
      </c>
      <c r="B201" s="26">
        <v>146</v>
      </c>
      <c r="C201" s="27" t="s">
        <v>503</v>
      </c>
      <c r="D201" s="27" t="s">
        <v>2951</v>
      </c>
      <c r="E201" s="27" t="s">
        <v>220</v>
      </c>
      <c r="F201" s="27" t="s">
        <v>258</v>
      </c>
      <c r="G201" s="28">
        <v>2026</v>
      </c>
      <c r="H201" s="20" t="str">
        <f>VLOOKUP(U201,'[1]KODE TYPE standar'!$D:$U,17,0)</f>
        <v>AVANZA</v>
      </c>
      <c r="I201" s="20" t="str">
        <f>VLOOKUP(U201,'[1]KODE TYPE standar'!$D:$U,16,0)</f>
        <v>AVANZA</v>
      </c>
      <c r="J201" s="20" t="str">
        <f>VLOOKUP(U201,'[1]KODE TYPE standar'!$D:$U,18,0)</f>
        <v>AVANZA E M/T</v>
      </c>
      <c r="K201" s="27" t="s">
        <v>50</v>
      </c>
      <c r="L201" s="27" t="s">
        <v>109</v>
      </c>
      <c r="M201" s="27" t="s">
        <v>50</v>
      </c>
      <c r="N201" s="27" t="s">
        <v>141</v>
      </c>
      <c r="O201" s="28" t="s">
        <v>156</v>
      </c>
      <c r="P201" s="29" t="s">
        <v>150</v>
      </c>
      <c r="Q201" s="29" t="s">
        <v>162</v>
      </c>
      <c r="R201" s="29" t="s">
        <v>109</v>
      </c>
      <c r="S201" s="27" t="s">
        <v>1373</v>
      </c>
      <c r="T201" s="27" t="s">
        <v>509</v>
      </c>
      <c r="U201" s="27" t="s">
        <v>386</v>
      </c>
      <c r="V201" s="27" t="s">
        <v>64</v>
      </c>
      <c r="W201" s="27" t="s">
        <v>65</v>
      </c>
      <c r="X201" s="27" t="s">
        <v>2952</v>
      </c>
      <c r="Y201" s="27" t="s">
        <v>2953</v>
      </c>
      <c r="Z201" s="27" t="s">
        <v>1372</v>
      </c>
      <c r="AA201" s="27" t="s">
        <v>1373</v>
      </c>
      <c r="AB201" s="27" t="s">
        <v>509</v>
      </c>
      <c r="AC201" s="27" t="s">
        <v>2801</v>
      </c>
      <c r="AD201" s="27" t="s">
        <v>314</v>
      </c>
      <c r="AE201" s="27" t="s">
        <v>109</v>
      </c>
      <c r="AF201" s="27" t="s">
        <v>314</v>
      </c>
      <c r="AG201" s="27" t="s">
        <v>2783</v>
      </c>
      <c r="AH201" s="27" t="s">
        <v>1377</v>
      </c>
      <c r="AI201" s="27" t="s">
        <v>141</v>
      </c>
      <c r="AJ201" s="27" t="s">
        <v>50</v>
      </c>
      <c r="AK201" s="27" t="s">
        <v>50</v>
      </c>
      <c r="AL201" s="27" t="s">
        <v>2954</v>
      </c>
      <c r="AM201" s="34">
        <v>246700000</v>
      </c>
      <c r="AN201" s="34">
        <v>190189732</v>
      </c>
      <c r="AO201" s="34">
        <v>33687500</v>
      </c>
      <c r="AP201" s="34">
        <v>19822767</v>
      </c>
      <c r="AQ201" s="34">
        <v>0</v>
      </c>
      <c r="AR201" s="34">
        <v>0</v>
      </c>
      <c r="AS201" s="34">
        <v>25000000</v>
      </c>
      <c r="AT201" s="34">
        <v>218700000</v>
      </c>
      <c r="AU201" s="34">
        <v>218700000</v>
      </c>
      <c r="AV201" s="34">
        <v>-28264886</v>
      </c>
      <c r="AW201" s="27" t="s">
        <v>230</v>
      </c>
      <c r="AX201" s="27" t="s">
        <v>230</v>
      </c>
      <c r="AY201" s="27" t="s">
        <v>83</v>
      </c>
      <c r="AZ201" s="27">
        <v>1</v>
      </c>
      <c r="BA201" s="27" t="s">
        <v>316</v>
      </c>
      <c r="BB201" s="27" t="s">
        <v>190</v>
      </c>
      <c r="BC201" s="27" t="s">
        <v>2955</v>
      </c>
      <c r="BD201" s="27" t="s">
        <v>190</v>
      </c>
      <c r="BE201" s="27" t="s">
        <v>190</v>
      </c>
      <c r="BF201" s="27" t="s">
        <v>2956</v>
      </c>
      <c r="BG201" s="27" t="s">
        <v>2957</v>
      </c>
      <c r="BH201" s="27" t="s">
        <v>220</v>
      </c>
      <c r="BI201" s="27" t="s">
        <v>299</v>
      </c>
      <c r="BJ201" s="27" t="s">
        <v>2958</v>
      </c>
      <c r="BK201" s="27" t="s">
        <v>241</v>
      </c>
      <c r="BL201" s="27" t="s">
        <v>2959</v>
      </c>
      <c r="BM201" s="35">
        <v>0</v>
      </c>
    </row>
    <row r="202" spans="1:65" s="1" customFormat="1" x14ac:dyDescent="0.2">
      <c r="A202" s="33">
        <v>1013</v>
      </c>
      <c r="B202" s="26">
        <v>146</v>
      </c>
      <c r="C202" s="27" t="s">
        <v>503</v>
      </c>
      <c r="D202" s="27" t="s">
        <v>2960</v>
      </c>
      <c r="E202" s="27" t="s">
        <v>216</v>
      </c>
      <c r="F202" s="27" t="s">
        <v>111</v>
      </c>
      <c r="G202" s="28">
        <v>2026</v>
      </c>
      <c r="H202" s="20" t="str">
        <f>VLOOKUP(U202,'[1]KODE TYPE standar'!$D:$U,17,0)</f>
        <v>AVANZA</v>
      </c>
      <c r="I202" s="20" t="str">
        <f>VLOOKUP(U202,'[1]KODE TYPE standar'!$D:$U,16,0)</f>
        <v>AVANZA</v>
      </c>
      <c r="J202" s="20" t="str">
        <f>VLOOKUP(U202,'[1]KODE TYPE standar'!$D:$U,18,0)</f>
        <v>AVANZA G M/T</v>
      </c>
      <c r="K202" s="27" t="s">
        <v>50</v>
      </c>
      <c r="L202" s="27" t="s">
        <v>109</v>
      </c>
      <c r="M202" s="27" t="s">
        <v>50</v>
      </c>
      <c r="N202" s="27" t="s">
        <v>141</v>
      </c>
      <c r="O202" s="28" t="s">
        <v>156</v>
      </c>
      <c r="P202" s="29" t="s">
        <v>150</v>
      </c>
      <c r="Q202" s="29" t="s">
        <v>162</v>
      </c>
      <c r="R202" s="29" t="s">
        <v>109</v>
      </c>
      <c r="S202" s="27" t="s">
        <v>795</v>
      </c>
      <c r="T202" s="27" t="s">
        <v>509</v>
      </c>
      <c r="U202" s="27" t="s">
        <v>59</v>
      </c>
      <c r="V202" s="27" t="s">
        <v>269</v>
      </c>
      <c r="W202" s="27" t="s">
        <v>270</v>
      </c>
      <c r="X202" s="27" t="s">
        <v>2961</v>
      </c>
      <c r="Y202" s="27" t="s">
        <v>2962</v>
      </c>
      <c r="Z202" s="27" t="s">
        <v>794</v>
      </c>
      <c r="AA202" s="27" t="s">
        <v>795</v>
      </c>
      <c r="AB202" s="27" t="s">
        <v>509</v>
      </c>
      <c r="AC202" s="27" t="s">
        <v>2782</v>
      </c>
      <c r="AD202" s="27" t="s">
        <v>314</v>
      </c>
      <c r="AE202" s="27" t="s">
        <v>109</v>
      </c>
      <c r="AF202" s="27" t="s">
        <v>314</v>
      </c>
      <c r="AG202" s="27" t="s">
        <v>2783</v>
      </c>
      <c r="AH202" s="27" t="s">
        <v>1377</v>
      </c>
      <c r="AI202" s="27" t="s">
        <v>141</v>
      </c>
      <c r="AJ202" s="27" t="s">
        <v>50</v>
      </c>
      <c r="AK202" s="27" t="s">
        <v>50</v>
      </c>
      <c r="AL202" s="27" t="s">
        <v>2963</v>
      </c>
      <c r="AM202" s="34">
        <v>269700000</v>
      </c>
      <c r="AN202" s="34">
        <v>208158482</v>
      </c>
      <c r="AO202" s="34">
        <v>36562500</v>
      </c>
      <c r="AP202" s="34">
        <v>22836160</v>
      </c>
      <c r="AQ202" s="34">
        <v>0</v>
      </c>
      <c r="AR202" s="34">
        <v>0</v>
      </c>
      <c r="AS202" s="34">
        <v>17857143</v>
      </c>
      <c r="AT202" s="34">
        <v>249700000</v>
      </c>
      <c r="AU202" s="34">
        <v>249700000</v>
      </c>
      <c r="AV202" s="34">
        <v>-20264886</v>
      </c>
      <c r="AW202" s="27"/>
      <c r="AX202" s="27"/>
      <c r="AY202" s="27" t="s">
        <v>83</v>
      </c>
      <c r="AZ202" s="27">
        <v>1</v>
      </c>
      <c r="BA202" s="27" t="s">
        <v>316</v>
      </c>
      <c r="BB202" s="27" t="s">
        <v>206</v>
      </c>
      <c r="BC202" s="27" t="s">
        <v>2964</v>
      </c>
      <c r="BD202" s="27" t="s">
        <v>186</v>
      </c>
      <c r="BE202" s="27" t="s">
        <v>186</v>
      </c>
      <c r="BF202" s="27" t="s">
        <v>2965</v>
      </c>
      <c r="BG202" s="27" t="s">
        <v>2966</v>
      </c>
      <c r="BH202" s="27" t="s">
        <v>216</v>
      </c>
      <c r="BI202" s="27" t="s">
        <v>248</v>
      </c>
      <c r="BJ202" s="27" t="s">
        <v>2967</v>
      </c>
      <c r="BK202" s="27" t="s">
        <v>186</v>
      </c>
      <c r="BL202" s="27" t="s">
        <v>2968</v>
      </c>
      <c r="BM202" s="35">
        <v>0</v>
      </c>
    </row>
    <row r="203" spans="1:65" s="1" customFormat="1" x14ac:dyDescent="0.2">
      <c r="A203" s="33">
        <v>1021</v>
      </c>
      <c r="B203" s="26">
        <v>146</v>
      </c>
      <c r="C203" s="27" t="s">
        <v>503</v>
      </c>
      <c r="D203" s="27" t="s">
        <v>2969</v>
      </c>
      <c r="E203" s="27" t="s">
        <v>204</v>
      </c>
      <c r="F203" s="27" t="s">
        <v>111</v>
      </c>
      <c r="G203" s="28">
        <v>2026</v>
      </c>
      <c r="H203" s="20" t="str">
        <f>VLOOKUP(U203,'[1]KODE TYPE standar'!$D:$U,17,0)</f>
        <v>AVANZA</v>
      </c>
      <c r="I203" s="20" t="str">
        <f>VLOOKUP(U203,'[1]KODE TYPE standar'!$D:$U,16,0)</f>
        <v>AVANZA</v>
      </c>
      <c r="J203" s="20" t="str">
        <f>VLOOKUP(U203,'[1]KODE TYPE standar'!$D:$U,18,0)</f>
        <v>AVANZA G A/T</v>
      </c>
      <c r="K203" s="27" t="s">
        <v>50</v>
      </c>
      <c r="L203" s="27" t="s">
        <v>109</v>
      </c>
      <c r="M203" s="27" t="s">
        <v>50</v>
      </c>
      <c r="N203" s="27" t="s">
        <v>141</v>
      </c>
      <c r="O203" s="28" t="s">
        <v>156</v>
      </c>
      <c r="P203" s="29" t="s">
        <v>149</v>
      </c>
      <c r="Q203" s="29" t="s">
        <v>161</v>
      </c>
      <c r="R203" s="29" t="s">
        <v>109</v>
      </c>
      <c r="S203" s="27" t="s">
        <v>508</v>
      </c>
      <c r="T203" s="27" t="s">
        <v>509</v>
      </c>
      <c r="U203" s="27" t="s">
        <v>66</v>
      </c>
      <c r="V203" s="27" t="s">
        <v>64</v>
      </c>
      <c r="W203" s="27" t="s">
        <v>65</v>
      </c>
      <c r="X203" s="27" t="s">
        <v>2970</v>
      </c>
      <c r="Y203" s="27" t="s">
        <v>2971</v>
      </c>
      <c r="Z203" s="27" t="s">
        <v>507</v>
      </c>
      <c r="AA203" s="27" t="s">
        <v>508</v>
      </c>
      <c r="AB203" s="27" t="s">
        <v>509</v>
      </c>
      <c r="AC203" s="27" t="s">
        <v>2972</v>
      </c>
      <c r="AD203" s="27" t="s">
        <v>314</v>
      </c>
      <c r="AE203" s="27" t="s">
        <v>109</v>
      </c>
      <c r="AF203" s="27" t="s">
        <v>314</v>
      </c>
      <c r="AG203" s="27" t="s">
        <v>2973</v>
      </c>
      <c r="AH203" s="27" t="s">
        <v>605</v>
      </c>
      <c r="AI203" s="27" t="s">
        <v>141</v>
      </c>
      <c r="AJ203" s="27" t="s">
        <v>50</v>
      </c>
      <c r="AK203" s="27" t="s">
        <v>50</v>
      </c>
      <c r="AL203" s="27" t="s">
        <v>2974</v>
      </c>
      <c r="AM203" s="34">
        <v>284500000</v>
      </c>
      <c r="AN203" s="34">
        <v>219720982</v>
      </c>
      <c r="AO203" s="34">
        <v>38412500</v>
      </c>
      <c r="AP203" s="34">
        <v>24009375</v>
      </c>
      <c r="AQ203" s="34">
        <v>0</v>
      </c>
      <c r="AR203" s="34">
        <v>0</v>
      </c>
      <c r="AS203" s="34">
        <v>19642857</v>
      </c>
      <c r="AT203" s="34">
        <v>262500000</v>
      </c>
      <c r="AU203" s="34">
        <v>262500000</v>
      </c>
      <c r="AV203" s="34">
        <v>-22264886</v>
      </c>
      <c r="AW203" s="27"/>
      <c r="AX203" s="27"/>
      <c r="AY203" s="27" t="s">
        <v>83</v>
      </c>
      <c r="AZ203" s="27">
        <v>1</v>
      </c>
      <c r="BA203" s="27" t="s">
        <v>316</v>
      </c>
      <c r="BB203" s="27" t="s">
        <v>204</v>
      </c>
      <c r="BC203" s="27" t="s">
        <v>2975</v>
      </c>
      <c r="BD203" s="27" t="s">
        <v>204</v>
      </c>
      <c r="BE203" s="27" t="s">
        <v>204</v>
      </c>
      <c r="BF203" s="27" t="s">
        <v>2976</v>
      </c>
      <c r="BG203" s="27" t="s">
        <v>2977</v>
      </c>
      <c r="BH203" s="27" t="s">
        <v>186</v>
      </c>
      <c r="BI203" s="27" t="s">
        <v>210</v>
      </c>
      <c r="BJ203" s="27" t="s">
        <v>236</v>
      </c>
      <c r="BK203" s="27" t="s">
        <v>191</v>
      </c>
      <c r="BL203" s="27" t="s">
        <v>2978</v>
      </c>
      <c r="BM203" s="35">
        <v>0</v>
      </c>
    </row>
    <row r="204" spans="1:65" s="1" customFormat="1" x14ac:dyDescent="0.2">
      <c r="A204" s="33">
        <v>1023</v>
      </c>
      <c r="B204" s="26">
        <v>146</v>
      </c>
      <c r="C204" s="27" t="s">
        <v>503</v>
      </c>
      <c r="D204" s="27" t="s">
        <v>2979</v>
      </c>
      <c r="E204" s="27" t="s">
        <v>197</v>
      </c>
      <c r="F204" s="27" t="s">
        <v>111</v>
      </c>
      <c r="G204" s="28">
        <v>2026</v>
      </c>
      <c r="H204" s="20" t="str">
        <f>VLOOKUP(U204,'[1]KODE TYPE standar'!$D:$U,17,0)</f>
        <v>AVANZA</v>
      </c>
      <c r="I204" s="20" t="str">
        <f>VLOOKUP(U204,'[1]KODE TYPE standar'!$D:$U,16,0)</f>
        <v>AVANZA</v>
      </c>
      <c r="J204" s="20" t="str">
        <f>VLOOKUP(U204,'[1]KODE TYPE standar'!$D:$U,18,0)</f>
        <v>AVANZA G M/T</v>
      </c>
      <c r="K204" s="27" t="s">
        <v>50</v>
      </c>
      <c r="L204" s="27" t="s">
        <v>109</v>
      </c>
      <c r="M204" s="27" t="s">
        <v>50</v>
      </c>
      <c r="N204" s="27" t="s">
        <v>141</v>
      </c>
      <c r="O204" s="28" t="s">
        <v>156</v>
      </c>
      <c r="P204" s="29" t="s">
        <v>149</v>
      </c>
      <c r="Q204" s="29" t="s">
        <v>162</v>
      </c>
      <c r="R204" s="29" t="s">
        <v>109</v>
      </c>
      <c r="S204" s="27" t="s">
        <v>795</v>
      </c>
      <c r="T204" s="27" t="s">
        <v>509</v>
      </c>
      <c r="U204" s="27" t="s">
        <v>59</v>
      </c>
      <c r="V204" s="27" t="s">
        <v>64</v>
      </c>
      <c r="W204" s="27" t="s">
        <v>65</v>
      </c>
      <c r="X204" s="27" t="s">
        <v>2980</v>
      </c>
      <c r="Y204" s="27" t="s">
        <v>2981</v>
      </c>
      <c r="Z204" s="27" t="s">
        <v>794</v>
      </c>
      <c r="AA204" s="27" t="s">
        <v>795</v>
      </c>
      <c r="AB204" s="27" t="s">
        <v>509</v>
      </c>
      <c r="AC204" s="27" t="s">
        <v>2782</v>
      </c>
      <c r="AD204" s="27" t="s">
        <v>314</v>
      </c>
      <c r="AE204" s="27" t="s">
        <v>109</v>
      </c>
      <c r="AF204" s="27" t="s">
        <v>314</v>
      </c>
      <c r="AG204" s="27" t="s">
        <v>2783</v>
      </c>
      <c r="AH204" s="27" t="s">
        <v>1377</v>
      </c>
      <c r="AI204" s="27" t="s">
        <v>141</v>
      </c>
      <c r="AJ204" s="27" t="s">
        <v>50</v>
      </c>
      <c r="AK204" s="27" t="s">
        <v>50</v>
      </c>
      <c r="AL204" s="27" t="s">
        <v>2982</v>
      </c>
      <c r="AM204" s="34">
        <v>269700000</v>
      </c>
      <c r="AN204" s="34">
        <v>208158482</v>
      </c>
      <c r="AO204" s="34">
        <v>36562500</v>
      </c>
      <c r="AP204" s="34">
        <v>22621875</v>
      </c>
      <c r="AQ204" s="34">
        <v>0</v>
      </c>
      <c r="AR204" s="34">
        <v>0</v>
      </c>
      <c r="AS204" s="34">
        <v>19642857</v>
      </c>
      <c r="AT204" s="34">
        <v>247700000</v>
      </c>
      <c r="AU204" s="34">
        <v>247700000</v>
      </c>
      <c r="AV204" s="34">
        <v>-22264886</v>
      </c>
      <c r="AW204" s="27"/>
      <c r="AX204" s="27"/>
      <c r="AY204" s="27" t="s">
        <v>83</v>
      </c>
      <c r="AZ204" s="27">
        <v>1</v>
      </c>
      <c r="BA204" s="27" t="s">
        <v>316</v>
      </c>
      <c r="BB204" s="27" t="s">
        <v>197</v>
      </c>
      <c r="BC204" s="27" t="s">
        <v>2983</v>
      </c>
      <c r="BD204" s="27" t="s">
        <v>197</v>
      </c>
      <c r="BE204" s="27" t="s">
        <v>197</v>
      </c>
      <c r="BF204" s="27" t="s">
        <v>2984</v>
      </c>
      <c r="BG204" s="27" t="s">
        <v>2985</v>
      </c>
      <c r="BH204" s="27"/>
      <c r="BI204" s="27" t="s">
        <v>244</v>
      </c>
      <c r="BJ204" s="27" t="s">
        <v>594</v>
      </c>
      <c r="BK204" s="27" t="s">
        <v>206</v>
      </c>
      <c r="BL204" s="27" t="s">
        <v>2986</v>
      </c>
      <c r="BM204" s="35">
        <v>0</v>
      </c>
    </row>
    <row r="205" spans="1:65" s="1" customFormat="1" x14ac:dyDescent="0.2">
      <c r="A205" s="25">
        <v>932</v>
      </c>
      <c r="B205" s="26">
        <v>146</v>
      </c>
      <c r="C205" s="27" t="s">
        <v>503</v>
      </c>
      <c r="D205" s="28" t="s">
        <v>2987</v>
      </c>
      <c r="E205" s="28" t="s">
        <v>313</v>
      </c>
      <c r="F205" s="28" t="s">
        <v>339</v>
      </c>
      <c r="G205" s="28">
        <v>2026</v>
      </c>
      <c r="H205" s="20" t="str">
        <f>VLOOKUP(U205,'[1]KODE TYPE standar'!$D:$U,17,0)</f>
        <v>AVANZA</v>
      </c>
      <c r="I205" s="20" t="str">
        <f>VLOOKUP(U205,'[1]KODE TYPE standar'!$D:$U,16,0)</f>
        <v>AVANZA</v>
      </c>
      <c r="J205" s="20" t="str">
        <f>VLOOKUP(U205,'[1]KODE TYPE standar'!$D:$U,18,0)</f>
        <v>AVANZA G M/T</v>
      </c>
      <c r="K205" s="27" t="s">
        <v>50</v>
      </c>
      <c r="L205" s="28" t="s">
        <v>109</v>
      </c>
      <c r="M205" s="28" t="s">
        <v>50</v>
      </c>
      <c r="N205" s="28" t="s">
        <v>141</v>
      </c>
      <c r="O205" s="28" t="s">
        <v>156</v>
      </c>
      <c r="P205" s="29" t="s">
        <v>150</v>
      </c>
      <c r="Q205" s="29" t="s">
        <v>162</v>
      </c>
      <c r="R205" s="29" t="s">
        <v>109</v>
      </c>
      <c r="S205" s="28" t="s">
        <v>795</v>
      </c>
      <c r="T205" s="28" t="s">
        <v>509</v>
      </c>
      <c r="U205" s="27" t="s">
        <v>373</v>
      </c>
      <c r="V205" s="27" t="s">
        <v>269</v>
      </c>
      <c r="W205" s="27" t="s">
        <v>81</v>
      </c>
      <c r="X205" s="28" t="s">
        <v>2988</v>
      </c>
      <c r="Y205" s="27" t="s">
        <v>2989</v>
      </c>
      <c r="Z205" s="28" t="s">
        <v>794</v>
      </c>
      <c r="AA205" s="28" t="s">
        <v>795</v>
      </c>
      <c r="AB205" s="28" t="s">
        <v>509</v>
      </c>
      <c r="AC205" s="28" t="s">
        <v>2782</v>
      </c>
      <c r="AD205" s="27" t="s">
        <v>314</v>
      </c>
      <c r="AE205" s="28" t="s">
        <v>109</v>
      </c>
      <c r="AF205" s="28" t="s">
        <v>314</v>
      </c>
      <c r="AG205" s="28" t="s">
        <v>2783</v>
      </c>
      <c r="AH205" s="28" t="s">
        <v>1494</v>
      </c>
      <c r="AI205" s="28" t="s">
        <v>141</v>
      </c>
      <c r="AJ205" s="28" t="s">
        <v>50</v>
      </c>
      <c r="AK205" s="28" t="s">
        <v>50</v>
      </c>
      <c r="AL205" s="28"/>
      <c r="AM205" s="31">
        <v>269700000</v>
      </c>
      <c r="AN205" s="31">
        <v>207935268</v>
      </c>
      <c r="AO205" s="31">
        <v>36812500</v>
      </c>
      <c r="AP205" s="31">
        <v>22809375</v>
      </c>
      <c r="AQ205" s="31">
        <v>0</v>
      </c>
      <c r="AR205" s="31">
        <v>0</v>
      </c>
      <c r="AS205" s="31">
        <v>17857143</v>
      </c>
      <c r="AT205" s="31">
        <v>249700000</v>
      </c>
      <c r="AU205" s="31">
        <v>249700000</v>
      </c>
      <c r="AV205" s="31">
        <v>-20264886</v>
      </c>
      <c r="AW205" s="28"/>
      <c r="AX205" s="28"/>
      <c r="AY205" s="28" t="s">
        <v>83</v>
      </c>
      <c r="AZ205" s="28">
        <v>1</v>
      </c>
      <c r="BA205" s="28" t="s">
        <v>316</v>
      </c>
      <c r="BB205" s="28" t="s">
        <v>277</v>
      </c>
      <c r="BC205" s="28" t="s">
        <v>2990</v>
      </c>
      <c r="BD205" s="28" t="s">
        <v>277</v>
      </c>
      <c r="BE205" s="28" t="s">
        <v>277</v>
      </c>
      <c r="BF205" s="28" t="s">
        <v>2991</v>
      </c>
      <c r="BG205" s="28" t="s">
        <v>2992</v>
      </c>
      <c r="BH205" s="28"/>
      <c r="BI205" s="28" t="s">
        <v>345</v>
      </c>
      <c r="BJ205" s="28" t="s">
        <v>2993</v>
      </c>
      <c r="BK205" s="28" t="s">
        <v>313</v>
      </c>
      <c r="BL205" s="28" t="s">
        <v>2994</v>
      </c>
      <c r="BM205" s="32">
        <v>0</v>
      </c>
    </row>
    <row r="206" spans="1:65" s="1" customFormat="1" x14ac:dyDescent="0.2">
      <c r="A206" s="33">
        <v>1037</v>
      </c>
      <c r="B206" s="26">
        <v>146</v>
      </c>
      <c r="C206" s="27" t="s">
        <v>503</v>
      </c>
      <c r="D206" s="27" t="s">
        <v>2995</v>
      </c>
      <c r="E206" s="27" t="s">
        <v>197</v>
      </c>
      <c r="F206" s="27" t="s">
        <v>111</v>
      </c>
      <c r="G206" s="28">
        <v>2026</v>
      </c>
      <c r="H206" s="20" t="str">
        <f>VLOOKUP(U206,'[1]KODE TYPE standar'!$D:$U,17,0)</f>
        <v>INV REBORN</v>
      </c>
      <c r="I206" s="20" t="str">
        <f>VLOOKUP(U206,'[1]KODE TYPE standar'!$D:$U,16,0)</f>
        <v>INNOVA</v>
      </c>
      <c r="J206" s="20" t="str">
        <f>VLOOKUP(U206,'[1]KODE TYPE standar'!$D:$U,18,0)</f>
        <v>INNOVA G A/T DIESEL</v>
      </c>
      <c r="K206" s="27" t="s">
        <v>119</v>
      </c>
      <c r="L206" s="27" t="s">
        <v>109</v>
      </c>
      <c r="M206" s="27" t="s">
        <v>262</v>
      </c>
      <c r="N206" s="27" t="s">
        <v>70</v>
      </c>
      <c r="O206" s="28" t="s">
        <v>6581</v>
      </c>
      <c r="P206" s="29" t="s">
        <v>149</v>
      </c>
      <c r="Q206" s="29" t="s">
        <v>147</v>
      </c>
      <c r="R206" s="29" t="s">
        <v>109</v>
      </c>
      <c r="S206" s="27" t="s">
        <v>647</v>
      </c>
      <c r="T206" s="27" t="s">
        <v>509</v>
      </c>
      <c r="U206" s="27" t="s">
        <v>192</v>
      </c>
      <c r="V206" s="27" t="s">
        <v>283</v>
      </c>
      <c r="W206" s="27" t="s">
        <v>284</v>
      </c>
      <c r="X206" s="27" t="s">
        <v>2996</v>
      </c>
      <c r="Y206" s="27" t="s">
        <v>2997</v>
      </c>
      <c r="Z206" s="27" t="s">
        <v>646</v>
      </c>
      <c r="AA206" s="27" t="s">
        <v>647</v>
      </c>
      <c r="AB206" s="27" t="s">
        <v>509</v>
      </c>
      <c r="AC206" s="27" t="s">
        <v>2998</v>
      </c>
      <c r="AD206" s="27" t="s">
        <v>2999</v>
      </c>
      <c r="AE206" s="27" t="s">
        <v>109</v>
      </c>
      <c r="AF206" s="27" t="s">
        <v>3000</v>
      </c>
      <c r="AG206" s="27" t="s">
        <v>3001</v>
      </c>
      <c r="AH206" s="27" t="s">
        <v>272</v>
      </c>
      <c r="AI206" s="27" t="s">
        <v>70</v>
      </c>
      <c r="AJ206" s="27" t="s">
        <v>262</v>
      </c>
      <c r="AK206" s="27" t="s">
        <v>89</v>
      </c>
      <c r="AL206" s="27" t="s">
        <v>3002</v>
      </c>
      <c r="AM206" s="34">
        <v>438700000</v>
      </c>
      <c r="AN206" s="34">
        <v>340515625</v>
      </c>
      <c r="AO206" s="34">
        <v>57322500</v>
      </c>
      <c r="AP206" s="34">
        <v>38183303</v>
      </c>
      <c r="AQ206" s="34">
        <v>0</v>
      </c>
      <c r="AR206" s="34">
        <v>0</v>
      </c>
      <c r="AS206" s="34">
        <v>22321429</v>
      </c>
      <c r="AT206" s="34">
        <v>413700000</v>
      </c>
      <c r="AU206" s="34">
        <v>0</v>
      </c>
      <c r="AV206" s="34">
        <v>-25386734</v>
      </c>
      <c r="AW206" s="27"/>
      <c r="AX206" s="27"/>
      <c r="AY206" s="27" t="s">
        <v>83</v>
      </c>
      <c r="AZ206" s="27">
        <v>1</v>
      </c>
      <c r="BA206" s="27" t="s">
        <v>3003</v>
      </c>
      <c r="BB206" s="27" t="s">
        <v>186</v>
      </c>
      <c r="BC206" s="27" t="s">
        <v>3004</v>
      </c>
      <c r="BD206" s="27" t="s">
        <v>186</v>
      </c>
      <c r="BE206" s="27" t="s">
        <v>186</v>
      </c>
      <c r="BF206" s="27" t="s">
        <v>3005</v>
      </c>
      <c r="BG206" s="27" t="s">
        <v>3006</v>
      </c>
      <c r="BH206" s="27" t="s">
        <v>197</v>
      </c>
      <c r="BI206" s="27" t="s">
        <v>223</v>
      </c>
      <c r="BJ206" s="27" t="s">
        <v>3007</v>
      </c>
      <c r="BK206" s="27" t="s">
        <v>206</v>
      </c>
      <c r="BL206" s="27" t="s">
        <v>3008</v>
      </c>
      <c r="BM206" s="35">
        <v>0</v>
      </c>
    </row>
    <row r="207" spans="1:65" s="1" customFormat="1" x14ac:dyDescent="0.2">
      <c r="A207" s="25">
        <v>939</v>
      </c>
      <c r="B207" s="26">
        <v>146</v>
      </c>
      <c r="C207" s="27" t="s">
        <v>503</v>
      </c>
      <c r="D207" s="28" t="s">
        <v>3009</v>
      </c>
      <c r="E207" s="28" t="s">
        <v>242</v>
      </c>
      <c r="F207" s="28" t="s">
        <v>339</v>
      </c>
      <c r="G207" s="28">
        <v>2026</v>
      </c>
      <c r="H207" s="20" t="str">
        <f>VLOOKUP(U207,'[1]KODE TYPE standar'!$D:$U,17,0)</f>
        <v>VELOZ</v>
      </c>
      <c r="I207" s="20" t="str">
        <f>VLOOKUP(U207,'[1]KODE TYPE standar'!$D:$U,16,0)</f>
        <v>VELOZ</v>
      </c>
      <c r="J207" s="20" t="str">
        <f>VLOOKUP(U207,'[1]KODE TYPE standar'!$D:$U,18,0)</f>
        <v>VELOZ Q AT HYBRID</v>
      </c>
      <c r="K207" s="27" t="s">
        <v>50</v>
      </c>
      <c r="L207" s="28" t="s">
        <v>109</v>
      </c>
      <c r="M207" s="28" t="s">
        <v>50</v>
      </c>
      <c r="N207" s="28" t="s">
        <v>141</v>
      </c>
      <c r="O207" s="28" t="s">
        <v>156</v>
      </c>
      <c r="P207" s="29" t="s">
        <v>150</v>
      </c>
      <c r="Q207" s="29" t="s">
        <v>162</v>
      </c>
      <c r="R207" s="29" t="s">
        <v>109</v>
      </c>
      <c r="S207" s="28" t="s">
        <v>524</v>
      </c>
      <c r="T207" s="28" t="s">
        <v>509</v>
      </c>
      <c r="U207" s="27" t="s">
        <v>330</v>
      </c>
      <c r="V207" s="27" t="s">
        <v>51</v>
      </c>
      <c r="W207" s="27" t="s">
        <v>286</v>
      </c>
      <c r="X207" s="28" t="s">
        <v>3010</v>
      </c>
      <c r="Y207" s="27" t="s">
        <v>3011</v>
      </c>
      <c r="Z207" s="28" t="s">
        <v>523</v>
      </c>
      <c r="AA207" s="28" t="s">
        <v>524</v>
      </c>
      <c r="AB207" s="28" t="s">
        <v>509</v>
      </c>
      <c r="AC207" s="28" t="s">
        <v>3012</v>
      </c>
      <c r="AD207" s="28" t="s">
        <v>3013</v>
      </c>
      <c r="AE207" s="28" t="s">
        <v>109</v>
      </c>
      <c r="AF207" s="28" t="s">
        <v>89</v>
      </c>
      <c r="AG207" s="28" t="s">
        <v>3014</v>
      </c>
      <c r="AH207" s="28" t="s">
        <v>1602</v>
      </c>
      <c r="AI207" s="28" t="s">
        <v>141</v>
      </c>
      <c r="AJ207" s="28" t="s">
        <v>50</v>
      </c>
      <c r="AK207" s="28" t="s">
        <v>50</v>
      </c>
      <c r="AL207" s="28" t="s">
        <v>3015</v>
      </c>
      <c r="AM207" s="31">
        <v>359000000</v>
      </c>
      <c r="AN207" s="31">
        <v>277700893</v>
      </c>
      <c r="AO207" s="31">
        <v>47975000</v>
      </c>
      <c r="AP207" s="31">
        <v>33324107</v>
      </c>
      <c r="AQ207" s="31">
        <v>0</v>
      </c>
      <c r="AR207" s="31">
        <v>0</v>
      </c>
      <c r="AS207" s="31">
        <v>0</v>
      </c>
      <c r="AT207" s="31">
        <v>359000000</v>
      </c>
      <c r="AU207" s="31">
        <v>359000000</v>
      </c>
      <c r="AV207" s="31">
        <v>0</v>
      </c>
      <c r="AW207" s="28" t="s">
        <v>248</v>
      </c>
      <c r="AX207" s="28" t="s">
        <v>248</v>
      </c>
      <c r="AY207" s="28" t="s">
        <v>83</v>
      </c>
      <c r="AZ207" s="28">
        <v>1</v>
      </c>
      <c r="BA207" s="28"/>
      <c r="BB207" s="28" t="s">
        <v>254</v>
      </c>
      <c r="BC207" s="28" t="s">
        <v>3016</v>
      </c>
      <c r="BD207" s="28" t="s">
        <v>254</v>
      </c>
      <c r="BE207" s="28" t="s">
        <v>254</v>
      </c>
      <c r="BF207" s="28" t="s">
        <v>3017</v>
      </c>
      <c r="BG207" s="28" t="s">
        <v>3018</v>
      </c>
      <c r="BH207" s="28" t="s">
        <v>242</v>
      </c>
      <c r="BI207" s="28" t="s">
        <v>358</v>
      </c>
      <c r="BJ207" s="28" t="s">
        <v>3019</v>
      </c>
      <c r="BK207" s="28" t="s">
        <v>224</v>
      </c>
      <c r="BL207" s="28" t="s">
        <v>3020</v>
      </c>
      <c r="BM207" s="32">
        <v>0</v>
      </c>
    </row>
    <row r="208" spans="1:65" s="1" customFormat="1" x14ac:dyDescent="0.2">
      <c r="A208" s="33">
        <v>1699</v>
      </c>
      <c r="B208" s="26">
        <v>146</v>
      </c>
      <c r="C208" s="27" t="s">
        <v>503</v>
      </c>
      <c r="D208" s="27" t="s">
        <v>3021</v>
      </c>
      <c r="E208" s="27" t="s">
        <v>219</v>
      </c>
      <c r="F208" s="27" t="s">
        <v>258</v>
      </c>
      <c r="G208" s="28">
        <v>2026</v>
      </c>
      <c r="H208" s="20" t="str">
        <f>VLOOKUP(U208,'[1]KODE TYPE standar'!$D:$U,17,0)</f>
        <v>CALYA</v>
      </c>
      <c r="I208" s="20" t="str">
        <f>VLOOKUP(U208,'[1]KODE TYPE standar'!$D:$U,16,0)</f>
        <v>CALYA</v>
      </c>
      <c r="J208" s="20" t="str">
        <f>VLOOKUP(U208,'[1]KODE TYPE standar'!$D:$U,18,0)</f>
        <v>CALYA G M/T</v>
      </c>
      <c r="K208" s="27" t="s">
        <v>119</v>
      </c>
      <c r="L208" s="27" t="s">
        <v>110</v>
      </c>
      <c r="M208" s="27" t="s">
        <v>262</v>
      </c>
      <c r="N208" s="27" t="s">
        <v>158</v>
      </c>
      <c r="O208" s="28" t="s">
        <v>6581</v>
      </c>
      <c r="P208" s="29" t="s">
        <v>151</v>
      </c>
      <c r="Q208" s="29" t="s">
        <v>161</v>
      </c>
      <c r="R208" s="29" t="s">
        <v>597</v>
      </c>
      <c r="S208" s="27" t="s">
        <v>978</v>
      </c>
      <c r="T208" s="27" t="s">
        <v>541</v>
      </c>
      <c r="U208" s="27" t="s">
        <v>268</v>
      </c>
      <c r="V208" s="27" t="s">
        <v>77</v>
      </c>
      <c r="W208" s="27" t="s">
        <v>78</v>
      </c>
      <c r="X208" s="27" t="s">
        <v>3022</v>
      </c>
      <c r="Y208" s="27" t="s">
        <v>3023</v>
      </c>
      <c r="Z208" s="27" t="s">
        <v>977</v>
      </c>
      <c r="AA208" s="27" t="s">
        <v>978</v>
      </c>
      <c r="AB208" s="27" t="s">
        <v>541</v>
      </c>
      <c r="AC208" s="27" t="s">
        <v>3024</v>
      </c>
      <c r="AD208" s="27" t="s">
        <v>3025</v>
      </c>
      <c r="AE208" s="27" t="s">
        <v>110</v>
      </c>
      <c r="AF208" s="27" t="s">
        <v>3026</v>
      </c>
      <c r="AG208" s="27" t="s">
        <v>3027</v>
      </c>
      <c r="AH208" s="27" t="s">
        <v>2167</v>
      </c>
      <c r="AI208" s="27" t="s">
        <v>158</v>
      </c>
      <c r="AJ208" s="27" t="s">
        <v>262</v>
      </c>
      <c r="AK208" s="27" t="s">
        <v>89</v>
      </c>
      <c r="AL208" s="27" t="s">
        <v>3028</v>
      </c>
      <c r="AM208" s="34">
        <v>181900000</v>
      </c>
      <c r="AN208" s="34">
        <v>138984375</v>
      </c>
      <c r="AO208" s="34">
        <v>26237500</v>
      </c>
      <c r="AP208" s="34">
        <v>15499553</v>
      </c>
      <c r="AQ208" s="34">
        <v>0</v>
      </c>
      <c r="AR208" s="34">
        <v>0</v>
      </c>
      <c r="AS208" s="34">
        <v>9821429</v>
      </c>
      <c r="AT208" s="34">
        <v>170900000</v>
      </c>
      <c r="AU208" s="34">
        <v>0</v>
      </c>
      <c r="AV208" s="34">
        <v>-11000000</v>
      </c>
      <c r="AW208" s="27" t="s">
        <v>218</v>
      </c>
      <c r="AX208" s="27" t="s">
        <v>218</v>
      </c>
      <c r="AY208" s="27" t="s">
        <v>83</v>
      </c>
      <c r="AZ208" s="27">
        <v>1</v>
      </c>
      <c r="BA208" s="27"/>
      <c r="BB208" s="27" t="s">
        <v>241</v>
      </c>
      <c r="BC208" s="27" t="s">
        <v>3029</v>
      </c>
      <c r="BD208" s="27" t="s">
        <v>280</v>
      </c>
      <c r="BE208" s="27" t="s">
        <v>280</v>
      </c>
      <c r="BF208" s="27" t="s">
        <v>3030</v>
      </c>
      <c r="BG208" s="27" t="s">
        <v>3031</v>
      </c>
      <c r="BH208" s="27" t="s">
        <v>219</v>
      </c>
      <c r="BI208" s="27" t="s">
        <v>263</v>
      </c>
      <c r="BJ208" s="27" t="s">
        <v>3032</v>
      </c>
      <c r="BK208" s="27" t="s">
        <v>211</v>
      </c>
      <c r="BL208" s="27" t="s">
        <v>3033</v>
      </c>
      <c r="BM208" s="35">
        <v>0</v>
      </c>
    </row>
    <row r="209" spans="1:65" s="1" customFormat="1" x14ac:dyDescent="0.2">
      <c r="A209" s="33">
        <v>1708</v>
      </c>
      <c r="B209" s="26">
        <v>146</v>
      </c>
      <c r="C209" s="27" t="s">
        <v>503</v>
      </c>
      <c r="D209" s="27" t="s">
        <v>3034</v>
      </c>
      <c r="E209" s="27" t="s">
        <v>238</v>
      </c>
      <c r="F209" s="27" t="s">
        <v>258</v>
      </c>
      <c r="G209" s="28">
        <v>2026</v>
      </c>
      <c r="H209" s="20" t="str">
        <f>VLOOKUP(U209,'[1]KODE TYPE standar'!$D:$U,17,0)</f>
        <v>INV ZENIX HYBRID</v>
      </c>
      <c r="I209" s="20" t="str">
        <f>VLOOKUP(U209,'[1]KODE TYPE standar'!$D:$U,16,0)</f>
        <v>INNOVA</v>
      </c>
      <c r="J209" s="20" t="str">
        <f>VLOOKUP(U209,'[1]KODE TYPE standar'!$D:$U,18,0)</f>
        <v>INNOVA ZENIX Q A/T HYBRID</v>
      </c>
      <c r="K209" s="27" t="s">
        <v>121</v>
      </c>
      <c r="L209" s="27" t="s">
        <v>110</v>
      </c>
      <c r="M209" s="27" t="s">
        <v>262</v>
      </c>
      <c r="N209" s="27" t="s">
        <v>141</v>
      </c>
      <c r="O209" s="28" t="s">
        <v>156</v>
      </c>
      <c r="P209" s="29" t="s">
        <v>149</v>
      </c>
      <c r="Q209" s="29" t="s">
        <v>161</v>
      </c>
      <c r="R209" s="29" t="s">
        <v>597</v>
      </c>
      <c r="S209" s="27" t="s">
        <v>1184</v>
      </c>
      <c r="T209" s="27" t="s">
        <v>585</v>
      </c>
      <c r="U209" s="27" t="s">
        <v>174</v>
      </c>
      <c r="V209" s="27" t="s">
        <v>48</v>
      </c>
      <c r="W209" s="27" t="s">
        <v>49</v>
      </c>
      <c r="X209" s="27" t="s">
        <v>3035</v>
      </c>
      <c r="Y209" s="27" t="s">
        <v>3036</v>
      </c>
      <c r="Z209" s="27" t="s">
        <v>1183</v>
      </c>
      <c r="AA209" s="27" t="s">
        <v>1184</v>
      </c>
      <c r="AB209" s="27" t="s">
        <v>585</v>
      </c>
      <c r="AC209" s="27" t="s">
        <v>3037</v>
      </c>
      <c r="AD209" s="27" t="s">
        <v>3038</v>
      </c>
      <c r="AE209" s="27" t="s">
        <v>110</v>
      </c>
      <c r="AF209" s="27" t="s">
        <v>3039</v>
      </c>
      <c r="AG209" s="27" t="s">
        <v>3040</v>
      </c>
      <c r="AH209" s="27" t="s">
        <v>1202</v>
      </c>
      <c r="AI209" s="27" t="s">
        <v>141</v>
      </c>
      <c r="AJ209" s="27" t="s">
        <v>262</v>
      </c>
      <c r="AK209" s="27" t="s">
        <v>104</v>
      </c>
      <c r="AL209" s="27"/>
      <c r="AM209" s="34">
        <v>627100000</v>
      </c>
      <c r="AN209" s="34">
        <v>487377232</v>
      </c>
      <c r="AO209" s="34">
        <v>81237500</v>
      </c>
      <c r="AP209" s="34">
        <v>56235267</v>
      </c>
      <c r="AQ209" s="34">
        <v>0</v>
      </c>
      <c r="AR209" s="34">
        <v>0</v>
      </c>
      <c r="AS209" s="34">
        <v>18750000</v>
      </c>
      <c r="AT209" s="34">
        <v>606100000</v>
      </c>
      <c r="AU209" s="34">
        <v>103425000</v>
      </c>
      <c r="AV209" s="34">
        <v>-21000000</v>
      </c>
      <c r="AW209" s="27"/>
      <c r="AX209" s="27"/>
      <c r="AY209" s="27" t="s">
        <v>83</v>
      </c>
      <c r="AZ209" s="27">
        <v>1</v>
      </c>
      <c r="BA209" s="27" t="s">
        <v>163</v>
      </c>
      <c r="BB209" s="27" t="s">
        <v>237</v>
      </c>
      <c r="BC209" s="27" t="s">
        <v>3041</v>
      </c>
      <c r="BD209" s="27" t="s">
        <v>222</v>
      </c>
      <c r="BE209" s="27" t="s">
        <v>222</v>
      </c>
      <c r="BF209" s="27" t="s">
        <v>3042</v>
      </c>
      <c r="BG209" s="27" t="s">
        <v>3043</v>
      </c>
      <c r="BH209" s="27"/>
      <c r="BI209" s="27" t="s">
        <v>248</v>
      </c>
      <c r="BJ209" s="27" t="s">
        <v>3044</v>
      </c>
      <c r="BK209" s="27" t="s">
        <v>231</v>
      </c>
      <c r="BL209" s="27" t="s">
        <v>3045</v>
      </c>
      <c r="BM209" s="35">
        <v>0</v>
      </c>
    </row>
    <row r="210" spans="1:65" s="1" customFormat="1" x14ac:dyDescent="0.2">
      <c r="A210" s="33">
        <v>1404</v>
      </c>
      <c r="B210" s="26">
        <v>146</v>
      </c>
      <c r="C210" s="27" t="s">
        <v>503</v>
      </c>
      <c r="D210" s="27" t="s">
        <v>3046</v>
      </c>
      <c r="E210" s="27" t="s">
        <v>213</v>
      </c>
      <c r="F210" s="27" t="s">
        <v>111</v>
      </c>
      <c r="G210" s="28">
        <v>2026</v>
      </c>
      <c r="H210" s="20" t="str">
        <f>VLOOKUP(U210,'[1]KODE TYPE standar'!$D:$U,17,0)</f>
        <v>CALYA</v>
      </c>
      <c r="I210" s="20" t="str">
        <f>VLOOKUP(U210,'[1]KODE TYPE standar'!$D:$U,16,0)</f>
        <v>CALYA</v>
      </c>
      <c r="J210" s="20" t="str">
        <f>VLOOKUP(U210,'[1]KODE TYPE standar'!$D:$U,18,0)</f>
        <v>CALYA G M/T</v>
      </c>
      <c r="K210" s="27" t="s">
        <v>118</v>
      </c>
      <c r="L210" s="27" t="s">
        <v>110</v>
      </c>
      <c r="M210" s="27" t="s">
        <v>262</v>
      </c>
      <c r="N210" s="27" t="s">
        <v>141</v>
      </c>
      <c r="O210" s="28" t="s">
        <v>156</v>
      </c>
      <c r="P210" s="29" t="s">
        <v>151</v>
      </c>
      <c r="Q210" s="29" t="s">
        <v>147</v>
      </c>
      <c r="R210" s="29" t="s">
        <v>597</v>
      </c>
      <c r="S210" s="27" t="s">
        <v>795</v>
      </c>
      <c r="T210" s="27" t="s">
        <v>509</v>
      </c>
      <c r="U210" s="27" t="s">
        <v>268</v>
      </c>
      <c r="V210" s="27" t="s">
        <v>68</v>
      </c>
      <c r="W210" s="27" t="s">
        <v>69</v>
      </c>
      <c r="X210" s="27" t="s">
        <v>3047</v>
      </c>
      <c r="Y210" s="27" t="s">
        <v>3048</v>
      </c>
      <c r="Z210" s="27" t="s">
        <v>794</v>
      </c>
      <c r="AA210" s="27" t="s">
        <v>795</v>
      </c>
      <c r="AB210" s="27" t="s">
        <v>509</v>
      </c>
      <c r="AC210" s="27" t="s">
        <v>3049</v>
      </c>
      <c r="AD210" s="27" t="s">
        <v>3050</v>
      </c>
      <c r="AE210" s="27" t="s">
        <v>110</v>
      </c>
      <c r="AF210" s="27" t="s">
        <v>3050</v>
      </c>
      <c r="AG210" s="27" t="s">
        <v>3051</v>
      </c>
      <c r="AH210" s="27" t="s">
        <v>636</v>
      </c>
      <c r="AI210" s="27" t="s">
        <v>141</v>
      </c>
      <c r="AJ210" s="27" t="s">
        <v>262</v>
      </c>
      <c r="AK210" s="27" t="s">
        <v>63</v>
      </c>
      <c r="AL210" s="27"/>
      <c r="AM210" s="34">
        <v>181900000</v>
      </c>
      <c r="AN210" s="34">
        <v>139564732</v>
      </c>
      <c r="AO210" s="34">
        <v>25587500</v>
      </c>
      <c r="AP210" s="34">
        <v>15569196</v>
      </c>
      <c r="AQ210" s="34">
        <v>0</v>
      </c>
      <c r="AR210" s="34">
        <v>0</v>
      </c>
      <c r="AS210" s="34">
        <v>9821429</v>
      </c>
      <c r="AT210" s="34">
        <v>170900000</v>
      </c>
      <c r="AU210" s="34">
        <v>0</v>
      </c>
      <c r="AV210" s="34">
        <v>-11000000</v>
      </c>
      <c r="AW210" s="27"/>
      <c r="AX210" s="27"/>
      <c r="AY210" s="27" t="s">
        <v>83</v>
      </c>
      <c r="AZ210" s="27">
        <v>1</v>
      </c>
      <c r="BA210" s="27"/>
      <c r="BB210" s="27" t="s">
        <v>190</v>
      </c>
      <c r="BC210" s="27" t="s">
        <v>3052</v>
      </c>
      <c r="BD210" s="27" t="s">
        <v>186</v>
      </c>
      <c r="BE210" s="27" t="s">
        <v>186</v>
      </c>
      <c r="BF210" s="27" t="s">
        <v>3053</v>
      </c>
      <c r="BG210" s="27" t="s">
        <v>3054</v>
      </c>
      <c r="BH210" s="27"/>
      <c r="BI210" s="27" t="s">
        <v>232</v>
      </c>
      <c r="BJ210" s="27" t="s">
        <v>3055</v>
      </c>
      <c r="BK210" s="27" t="s">
        <v>197</v>
      </c>
      <c r="BL210" s="27" t="s">
        <v>3056</v>
      </c>
      <c r="BM210" s="35">
        <v>0</v>
      </c>
    </row>
    <row r="211" spans="1:65" s="1" customFormat="1" x14ac:dyDescent="0.2">
      <c r="A211" s="25">
        <v>1237</v>
      </c>
      <c r="B211" s="26">
        <v>146</v>
      </c>
      <c r="C211" s="27" t="s">
        <v>503</v>
      </c>
      <c r="D211" s="28" t="s">
        <v>3057</v>
      </c>
      <c r="E211" s="28" t="s">
        <v>251</v>
      </c>
      <c r="F211" s="28" t="s">
        <v>339</v>
      </c>
      <c r="G211" s="28">
        <v>2026</v>
      </c>
      <c r="H211" s="20" t="str">
        <f>VLOOKUP(U211,'[1]KODE TYPE standar'!$D:$U,17,0)</f>
        <v>YARIS</v>
      </c>
      <c r="I211" s="20" t="str">
        <f>VLOOKUP(U211,'[1]KODE TYPE standar'!$D:$U,16,0)</f>
        <v>YARIS</v>
      </c>
      <c r="J211" s="20" t="str">
        <f>VLOOKUP(U211,'[1]KODE TYPE standar'!$D:$U,18,0)</f>
        <v>YARIS CROSS S A/T</v>
      </c>
      <c r="K211" s="27" t="s">
        <v>50</v>
      </c>
      <c r="L211" s="28" t="s">
        <v>110</v>
      </c>
      <c r="M211" s="28" t="s">
        <v>50</v>
      </c>
      <c r="N211" s="28" t="s">
        <v>141</v>
      </c>
      <c r="O211" s="28" t="s">
        <v>156</v>
      </c>
      <c r="P211" s="29" t="s">
        <v>149</v>
      </c>
      <c r="Q211" s="29" t="s">
        <v>162</v>
      </c>
      <c r="R211" s="29" t="s">
        <v>597</v>
      </c>
      <c r="S211" s="27" t="s">
        <v>1373</v>
      </c>
      <c r="T211" s="30" t="s">
        <v>509</v>
      </c>
      <c r="U211" s="27" t="s">
        <v>108</v>
      </c>
      <c r="V211" s="27" t="s">
        <v>48</v>
      </c>
      <c r="W211" s="27" t="s">
        <v>49</v>
      </c>
      <c r="X211" s="27" t="s">
        <v>3058</v>
      </c>
      <c r="Y211" s="27" t="s">
        <v>3059</v>
      </c>
      <c r="Z211" s="27" t="s">
        <v>1372</v>
      </c>
      <c r="AA211" s="27" t="s">
        <v>1373</v>
      </c>
      <c r="AB211" s="30" t="s">
        <v>509</v>
      </c>
      <c r="AC211" s="30" t="s">
        <v>3060</v>
      </c>
      <c r="AD211" s="28" t="s">
        <v>3061</v>
      </c>
      <c r="AE211" s="28" t="s">
        <v>110</v>
      </c>
      <c r="AF211" s="28" t="s">
        <v>3062</v>
      </c>
      <c r="AG211" s="28" t="s">
        <v>3063</v>
      </c>
      <c r="AH211" s="28" t="s">
        <v>996</v>
      </c>
      <c r="AI211" s="28" t="s">
        <v>141</v>
      </c>
      <c r="AJ211" s="28" t="s">
        <v>50</v>
      </c>
      <c r="AK211" s="28" t="s">
        <v>50</v>
      </c>
      <c r="AL211" s="28"/>
      <c r="AM211" s="31">
        <v>460300000</v>
      </c>
      <c r="AN211" s="31">
        <v>356841518</v>
      </c>
      <c r="AO211" s="31">
        <v>60637500</v>
      </c>
      <c r="AP211" s="31">
        <v>40570982</v>
      </c>
      <c r="AQ211" s="31">
        <v>0</v>
      </c>
      <c r="AR211" s="31">
        <v>0</v>
      </c>
      <c r="AS211" s="31">
        <v>18750000</v>
      </c>
      <c r="AT211" s="31">
        <v>439300000</v>
      </c>
      <c r="AU211" s="31">
        <v>0</v>
      </c>
      <c r="AV211" s="31">
        <v>-21000000</v>
      </c>
      <c r="AW211" s="28" t="s">
        <v>251</v>
      </c>
      <c r="AX211" s="28" t="s">
        <v>251</v>
      </c>
      <c r="AY211" s="28" t="s">
        <v>83</v>
      </c>
      <c r="AZ211" s="28">
        <v>1</v>
      </c>
      <c r="BA211" s="28"/>
      <c r="BB211" s="28" t="s">
        <v>244</v>
      </c>
      <c r="BC211" s="28" t="s">
        <v>3064</v>
      </c>
      <c r="BD211" s="28" t="s">
        <v>244</v>
      </c>
      <c r="BE211" s="28" t="s">
        <v>244</v>
      </c>
      <c r="BF211" s="28" t="s">
        <v>3065</v>
      </c>
      <c r="BG211" s="28" t="s">
        <v>3066</v>
      </c>
      <c r="BH211" s="28" t="s">
        <v>251</v>
      </c>
      <c r="BI211" s="28" t="s">
        <v>313</v>
      </c>
      <c r="BJ211" s="28" t="s">
        <v>3067</v>
      </c>
      <c r="BK211" s="28" t="s">
        <v>210</v>
      </c>
      <c r="BL211" s="28" t="s">
        <v>3068</v>
      </c>
      <c r="BM211" s="32">
        <v>0</v>
      </c>
    </row>
    <row r="212" spans="1:65" s="1" customFormat="1" x14ac:dyDescent="0.2">
      <c r="A212" s="33">
        <v>1720</v>
      </c>
      <c r="B212" s="26">
        <v>146</v>
      </c>
      <c r="C212" s="27" t="s">
        <v>503</v>
      </c>
      <c r="D212" s="27" t="s">
        <v>3069</v>
      </c>
      <c r="E212" s="27" t="s">
        <v>228</v>
      </c>
      <c r="F212" s="27" t="s">
        <v>258</v>
      </c>
      <c r="G212" s="28">
        <v>2026</v>
      </c>
      <c r="H212" s="20" t="str">
        <f>VLOOKUP(U212,'[1]KODE TYPE standar'!$D:$U,17,0)</f>
        <v>AGYA</v>
      </c>
      <c r="I212" s="20" t="str">
        <f>VLOOKUP(U212,'[1]KODE TYPE standar'!$D:$U,16,0)</f>
        <v>AGYA</v>
      </c>
      <c r="J212" s="20" t="str">
        <f>VLOOKUP(U212,'[1]KODE TYPE standar'!$D:$U,18,0)</f>
        <v>AGYA G A/T</v>
      </c>
      <c r="K212" s="27" t="s">
        <v>118</v>
      </c>
      <c r="L212" s="27" t="s">
        <v>110</v>
      </c>
      <c r="M212" s="27" t="s">
        <v>262</v>
      </c>
      <c r="N212" s="27" t="s">
        <v>141</v>
      </c>
      <c r="O212" s="28" t="s">
        <v>156</v>
      </c>
      <c r="P212" s="29" t="s">
        <v>149</v>
      </c>
      <c r="Q212" s="29" t="s">
        <v>161</v>
      </c>
      <c r="R212" s="29" t="s">
        <v>597</v>
      </c>
      <c r="S212" s="27" t="s">
        <v>781</v>
      </c>
      <c r="T212" s="27" t="s">
        <v>585</v>
      </c>
      <c r="U212" s="27" t="s">
        <v>164</v>
      </c>
      <c r="V212" s="27" t="s">
        <v>60</v>
      </c>
      <c r="W212" s="27" t="s">
        <v>61</v>
      </c>
      <c r="X212" s="27" t="s">
        <v>3070</v>
      </c>
      <c r="Y212" s="27" t="s">
        <v>3071</v>
      </c>
      <c r="Z212" s="27" t="s">
        <v>780</v>
      </c>
      <c r="AA212" s="27" t="s">
        <v>781</v>
      </c>
      <c r="AB212" s="27" t="s">
        <v>585</v>
      </c>
      <c r="AC212" s="27" t="s">
        <v>3072</v>
      </c>
      <c r="AD212" s="27" t="s">
        <v>3073</v>
      </c>
      <c r="AE212" s="27" t="s">
        <v>110</v>
      </c>
      <c r="AF212" s="27" t="s">
        <v>3074</v>
      </c>
      <c r="AG212" s="27" t="s">
        <v>3075</v>
      </c>
      <c r="AH212" s="27" t="s">
        <v>941</v>
      </c>
      <c r="AI212" s="27" t="s">
        <v>141</v>
      </c>
      <c r="AJ212" s="27" t="s">
        <v>262</v>
      </c>
      <c r="AK212" s="27" t="s">
        <v>63</v>
      </c>
      <c r="AL212" s="27"/>
      <c r="AM212" s="34">
        <v>204000000</v>
      </c>
      <c r="AN212" s="34">
        <v>156830357</v>
      </c>
      <c r="AO212" s="34">
        <v>28350000</v>
      </c>
      <c r="AP212" s="34">
        <v>17641071</v>
      </c>
      <c r="AQ212" s="34">
        <v>0</v>
      </c>
      <c r="AR212" s="34">
        <v>0</v>
      </c>
      <c r="AS212" s="34">
        <v>9821429</v>
      </c>
      <c r="AT212" s="34">
        <v>193000000</v>
      </c>
      <c r="AU212" s="34">
        <v>11000000</v>
      </c>
      <c r="AV212" s="34">
        <v>-11000000</v>
      </c>
      <c r="AW212" s="27"/>
      <c r="AX212" s="27"/>
      <c r="AY212" s="27" t="s">
        <v>83</v>
      </c>
      <c r="AZ212" s="27">
        <v>1</v>
      </c>
      <c r="BA212" s="27" t="s">
        <v>3076</v>
      </c>
      <c r="BB212" s="27" t="s">
        <v>222</v>
      </c>
      <c r="BC212" s="27" t="s">
        <v>3077</v>
      </c>
      <c r="BD212" s="27" t="s">
        <v>261</v>
      </c>
      <c r="BE212" s="27" t="s">
        <v>261</v>
      </c>
      <c r="BF212" s="27" t="s">
        <v>3078</v>
      </c>
      <c r="BG212" s="27" t="s">
        <v>3079</v>
      </c>
      <c r="BH212" s="27"/>
      <c r="BI212" s="27" t="s">
        <v>255</v>
      </c>
      <c r="BJ212" s="27" t="s">
        <v>3080</v>
      </c>
      <c r="BK212" s="27" t="s">
        <v>237</v>
      </c>
      <c r="BL212" s="27" t="s">
        <v>3081</v>
      </c>
      <c r="BM212" s="35">
        <v>0</v>
      </c>
    </row>
    <row r="213" spans="1:65" s="1" customFormat="1" x14ac:dyDescent="0.2">
      <c r="A213" s="25">
        <v>1243</v>
      </c>
      <c r="B213" s="26">
        <v>146</v>
      </c>
      <c r="C213" s="27" t="s">
        <v>503</v>
      </c>
      <c r="D213" s="28" t="s">
        <v>3082</v>
      </c>
      <c r="E213" s="28" t="s">
        <v>277</v>
      </c>
      <c r="F213" s="28" t="s">
        <v>339</v>
      </c>
      <c r="G213" s="28">
        <v>2026</v>
      </c>
      <c r="H213" s="20" t="str">
        <f>VLOOKUP(U213,'[1]KODE TYPE standar'!$D:$U,17,0)</f>
        <v>INV ZENIX HYBRID</v>
      </c>
      <c r="I213" s="20" t="str">
        <f>VLOOKUP(U213,'[1]KODE TYPE standar'!$D:$U,16,0)</f>
        <v>INNOVA</v>
      </c>
      <c r="J213" s="20" t="str">
        <f>VLOOKUP(U213,'[1]KODE TYPE standar'!$D:$U,18,0)</f>
        <v>INNOVA ZENIX V A/T HYBRID</v>
      </c>
      <c r="K213" s="27" t="s">
        <v>50</v>
      </c>
      <c r="L213" s="28" t="s">
        <v>110</v>
      </c>
      <c r="M213" s="28" t="s">
        <v>50</v>
      </c>
      <c r="N213" s="28" t="s">
        <v>106</v>
      </c>
      <c r="O213" s="28" t="s">
        <v>156</v>
      </c>
      <c r="P213" s="29" t="s">
        <v>149</v>
      </c>
      <c r="Q213" s="29" t="s">
        <v>162</v>
      </c>
      <c r="R213" s="29" t="s">
        <v>1264</v>
      </c>
      <c r="S213" s="27" t="s">
        <v>738</v>
      </c>
      <c r="T213" s="30" t="s">
        <v>585</v>
      </c>
      <c r="U213" s="27" t="s">
        <v>175</v>
      </c>
      <c r="V213" s="27" t="s">
        <v>48</v>
      </c>
      <c r="W213" s="27" t="s">
        <v>49</v>
      </c>
      <c r="X213" s="27" t="s">
        <v>3083</v>
      </c>
      <c r="Y213" s="27" t="s">
        <v>3084</v>
      </c>
      <c r="Z213" s="27" t="s">
        <v>737</v>
      </c>
      <c r="AA213" s="27" t="s">
        <v>738</v>
      </c>
      <c r="AB213" s="30" t="s">
        <v>585</v>
      </c>
      <c r="AC213" s="30" t="s">
        <v>3085</v>
      </c>
      <c r="AD213" s="28" t="s">
        <v>3086</v>
      </c>
      <c r="AE213" s="28" t="s">
        <v>110</v>
      </c>
      <c r="AF213" s="28" t="s">
        <v>3086</v>
      </c>
      <c r="AG213" s="28" t="s">
        <v>3087</v>
      </c>
      <c r="AH213" s="28" t="s">
        <v>927</v>
      </c>
      <c r="AI213" s="28" t="s">
        <v>106</v>
      </c>
      <c r="AJ213" s="28" t="s">
        <v>50</v>
      </c>
      <c r="AK213" s="28" t="s">
        <v>50</v>
      </c>
      <c r="AL213" s="28"/>
      <c r="AM213" s="31">
        <v>551900000</v>
      </c>
      <c r="AN213" s="31">
        <v>428404018</v>
      </c>
      <c r="AO213" s="31">
        <v>72087500</v>
      </c>
      <c r="AP213" s="31">
        <v>49158482</v>
      </c>
      <c r="AQ213" s="31">
        <v>0</v>
      </c>
      <c r="AR213" s="31">
        <v>0</v>
      </c>
      <c r="AS213" s="31">
        <v>18750000</v>
      </c>
      <c r="AT213" s="31">
        <v>530900000</v>
      </c>
      <c r="AU213" s="31">
        <v>370900000</v>
      </c>
      <c r="AV213" s="31">
        <v>-21000000</v>
      </c>
      <c r="AW213" s="28"/>
      <c r="AX213" s="28"/>
      <c r="AY213" s="28" t="s">
        <v>83</v>
      </c>
      <c r="AZ213" s="28">
        <v>1</v>
      </c>
      <c r="BA213" s="28" t="s">
        <v>163</v>
      </c>
      <c r="BB213" s="28" t="s">
        <v>277</v>
      </c>
      <c r="BC213" s="28" t="s">
        <v>3088</v>
      </c>
      <c r="BD213" s="28" t="s">
        <v>277</v>
      </c>
      <c r="BE213" s="28" t="s">
        <v>277</v>
      </c>
      <c r="BF213" s="28" t="s">
        <v>3089</v>
      </c>
      <c r="BG213" s="28" t="s">
        <v>3090</v>
      </c>
      <c r="BH213" s="28" t="s">
        <v>277</v>
      </c>
      <c r="BI213" s="28" t="s">
        <v>303</v>
      </c>
      <c r="BJ213" s="28" t="s">
        <v>3091</v>
      </c>
      <c r="BK213" s="28" t="s">
        <v>263</v>
      </c>
      <c r="BL213" s="28" t="s">
        <v>3092</v>
      </c>
      <c r="BM213" s="32">
        <v>0</v>
      </c>
    </row>
    <row r="214" spans="1:65" s="1" customFormat="1" x14ac:dyDescent="0.2">
      <c r="A214" s="25">
        <v>1247</v>
      </c>
      <c r="B214" s="26">
        <v>146</v>
      </c>
      <c r="C214" s="27" t="s">
        <v>503</v>
      </c>
      <c r="D214" s="28" t="s">
        <v>3093</v>
      </c>
      <c r="E214" s="28" t="s">
        <v>255</v>
      </c>
      <c r="F214" s="28" t="s">
        <v>339</v>
      </c>
      <c r="G214" s="28">
        <v>2026</v>
      </c>
      <c r="H214" s="20" t="str">
        <f>VLOOKUP(U214,'[1]KODE TYPE standar'!$D:$U,17,0)</f>
        <v>AVANZA</v>
      </c>
      <c r="I214" s="20" t="str">
        <f>VLOOKUP(U214,'[1]KODE TYPE standar'!$D:$U,16,0)</f>
        <v>AVANZA</v>
      </c>
      <c r="J214" s="20" t="str">
        <f>VLOOKUP(U214,'[1]KODE TYPE standar'!$D:$U,18,0)</f>
        <v>AVANZA E A/T</v>
      </c>
      <c r="K214" s="27" t="s">
        <v>121</v>
      </c>
      <c r="L214" s="28" t="s">
        <v>110</v>
      </c>
      <c r="M214" s="28" t="s">
        <v>262</v>
      </c>
      <c r="N214" s="28" t="s">
        <v>141</v>
      </c>
      <c r="O214" s="28" t="s">
        <v>156</v>
      </c>
      <c r="P214" s="29" t="s">
        <v>149</v>
      </c>
      <c r="Q214" s="29" t="s">
        <v>162</v>
      </c>
      <c r="R214" s="29" t="s">
        <v>597</v>
      </c>
      <c r="S214" s="27" t="s">
        <v>631</v>
      </c>
      <c r="T214" s="30" t="s">
        <v>541</v>
      </c>
      <c r="U214" s="27" t="s">
        <v>328</v>
      </c>
      <c r="V214" s="27" t="s">
        <v>60</v>
      </c>
      <c r="W214" s="27" t="s">
        <v>61</v>
      </c>
      <c r="X214" s="27" t="s">
        <v>3094</v>
      </c>
      <c r="Y214" s="27" t="s">
        <v>3095</v>
      </c>
      <c r="Z214" s="27" t="s">
        <v>630</v>
      </c>
      <c r="AA214" s="27" t="s">
        <v>631</v>
      </c>
      <c r="AB214" s="30" t="s">
        <v>541</v>
      </c>
      <c r="AC214" s="30" t="s">
        <v>3096</v>
      </c>
      <c r="AD214" s="28" t="s">
        <v>3097</v>
      </c>
      <c r="AE214" s="28" t="s">
        <v>110</v>
      </c>
      <c r="AF214" s="28" t="s">
        <v>3097</v>
      </c>
      <c r="AG214" s="28" t="s">
        <v>3098</v>
      </c>
      <c r="AH214" s="28" t="s">
        <v>1626</v>
      </c>
      <c r="AI214" s="28" t="s">
        <v>141</v>
      </c>
      <c r="AJ214" s="28" t="s">
        <v>262</v>
      </c>
      <c r="AK214" s="28" t="s">
        <v>104</v>
      </c>
      <c r="AL214" s="28"/>
      <c r="AM214" s="31">
        <v>261700000</v>
      </c>
      <c r="AN214" s="31">
        <v>201685268</v>
      </c>
      <c r="AO214" s="31">
        <v>35812500</v>
      </c>
      <c r="AP214" s="31">
        <v>22487946</v>
      </c>
      <c r="AQ214" s="31">
        <v>0</v>
      </c>
      <c r="AR214" s="31">
        <v>0</v>
      </c>
      <c r="AS214" s="31">
        <v>14285714</v>
      </c>
      <c r="AT214" s="31">
        <v>245700000</v>
      </c>
      <c r="AU214" s="31">
        <v>0</v>
      </c>
      <c r="AV214" s="31">
        <v>-16000000</v>
      </c>
      <c r="AW214" s="28" t="s">
        <v>251</v>
      </c>
      <c r="AX214" s="28" t="s">
        <v>251</v>
      </c>
      <c r="AY214" s="28" t="s">
        <v>83</v>
      </c>
      <c r="AZ214" s="28">
        <v>1</v>
      </c>
      <c r="BA214" s="28"/>
      <c r="BB214" s="28" t="s">
        <v>261</v>
      </c>
      <c r="BC214" s="28" t="s">
        <v>3099</v>
      </c>
      <c r="BD214" s="28" t="s">
        <v>215</v>
      </c>
      <c r="BE214" s="28" t="s">
        <v>215</v>
      </c>
      <c r="BF214" s="28" t="s">
        <v>3100</v>
      </c>
      <c r="BG214" s="28" t="s">
        <v>3101</v>
      </c>
      <c r="BH214" s="28" t="s">
        <v>255</v>
      </c>
      <c r="BI214" s="28" t="s">
        <v>295</v>
      </c>
      <c r="BJ214" s="28" t="s">
        <v>355</v>
      </c>
      <c r="BK214" s="28" t="s">
        <v>246</v>
      </c>
      <c r="BL214" s="28" t="s">
        <v>3102</v>
      </c>
      <c r="BM214" s="32">
        <v>0</v>
      </c>
    </row>
    <row r="215" spans="1:65" s="1" customFormat="1" x14ac:dyDescent="0.2">
      <c r="A215" s="33">
        <v>1756</v>
      </c>
      <c r="B215" s="26">
        <v>146</v>
      </c>
      <c r="C215" s="36" t="s">
        <v>503</v>
      </c>
      <c r="D215" s="27" t="s">
        <v>3103</v>
      </c>
      <c r="E215" s="27" t="s">
        <v>360</v>
      </c>
      <c r="F215" s="27" t="s">
        <v>389</v>
      </c>
      <c r="G215" s="28">
        <v>2026</v>
      </c>
      <c r="H215" s="20" t="str">
        <f>VLOOKUP(U215,'[1]KODE TYPE standar'!$D:$U,17,0)</f>
        <v>RUSH</v>
      </c>
      <c r="I215" s="20" t="str">
        <f>VLOOKUP(U215,'[1]KODE TYPE standar'!$D:$U,16,0)</f>
        <v>RUSH</v>
      </c>
      <c r="J215" s="20" t="str">
        <f>VLOOKUP(U215,'[1]KODE TYPE standar'!$D:$U,18,0)</f>
        <v>RUSH S A/T</v>
      </c>
      <c r="K215" s="27" t="s">
        <v>118</v>
      </c>
      <c r="L215" s="27" t="s">
        <v>110</v>
      </c>
      <c r="M215" s="27" t="s">
        <v>262</v>
      </c>
      <c r="N215" s="27" t="s">
        <v>141</v>
      </c>
      <c r="O215" s="28" t="s">
        <v>156</v>
      </c>
      <c r="P215" s="29" t="s">
        <v>149</v>
      </c>
      <c r="Q215" s="29" t="s">
        <v>161</v>
      </c>
      <c r="R215" s="29" t="s">
        <v>597</v>
      </c>
      <c r="S215" s="27" t="s">
        <v>937</v>
      </c>
      <c r="T215" s="27" t="s">
        <v>541</v>
      </c>
      <c r="U215" s="27" t="s">
        <v>116</v>
      </c>
      <c r="V215" s="27" t="s">
        <v>60</v>
      </c>
      <c r="W215" s="27" t="s">
        <v>61</v>
      </c>
      <c r="X215" s="27" t="s">
        <v>3104</v>
      </c>
      <c r="Y215" s="27" t="s">
        <v>3105</v>
      </c>
      <c r="Z215" s="27" t="s">
        <v>936</v>
      </c>
      <c r="AA215" s="27" t="s">
        <v>937</v>
      </c>
      <c r="AB215" s="27" t="s">
        <v>541</v>
      </c>
      <c r="AC215" s="27" t="s">
        <v>3106</v>
      </c>
      <c r="AD215" s="27" t="s">
        <v>3107</v>
      </c>
      <c r="AE215" s="27" t="s">
        <v>110</v>
      </c>
      <c r="AF215" s="27" t="s">
        <v>3107</v>
      </c>
      <c r="AG215" s="27" t="s">
        <v>3108</v>
      </c>
      <c r="AH215" s="27" t="s">
        <v>1022</v>
      </c>
      <c r="AI215" s="27" t="s">
        <v>141</v>
      </c>
      <c r="AJ215" s="27" t="s">
        <v>262</v>
      </c>
      <c r="AK215" s="27" t="s">
        <v>63</v>
      </c>
      <c r="AL215" s="27"/>
      <c r="AM215" s="34">
        <v>322100000</v>
      </c>
      <c r="AN215" s="34">
        <v>248872768</v>
      </c>
      <c r="AO215" s="34">
        <v>43362500</v>
      </c>
      <c r="AP215" s="34">
        <v>28257589</v>
      </c>
      <c r="AQ215" s="34">
        <v>0</v>
      </c>
      <c r="AR215" s="34">
        <v>0</v>
      </c>
      <c r="AS215" s="34">
        <v>13392857</v>
      </c>
      <c r="AT215" s="34">
        <v>307100000</v>
      </c>
      <c r="AU215" s="34">
        <v>8000000</v>
      </c>
      <c r="AV215" s="34">
        <v>-15000000</v>
      </c>
      <c r="AW215" s="27" t="s">
        <v>391</v>
      </c>
      <c r="AX215" s="27" t="s">
        <v>391</v>
      </c>
      <c r="AY215" s="27" t="s">
        <v>83</v>
      </c>
      <c r="AZ215" s="27">
        <v>1</v>
      </c>
      <c r="BA215" s="27"/>
      <c r="BB215" s="27" t="s">
        <v>395</v>
      </c>
      <c r="BC215" s="27" t="s">
        <v>3109</v>
      </c>
      <c r="BD215" s="27" t="s">
        <v>398</v>
      </c>
      <c r="BE215" s="27" t="s">
        <v>398</v>
      </c>
      <c r="BF215" s="27" t="s">
        <v>3110</v>
      </c>
      <c r="BG215" s="27" t="s">
        <v>3111</v>
      </c>
      <c r="BH215" s="27" t="s">
        <v>360</v>
      </c>
      <c r="BI215" s="27" t="s">
        <v>411</v>
      </c>
      <c r="BJ215" s="27" t="s">
        <v>3112</v>
      </c>
      <c r="BK215" s="27" t="s">
        <v>404</v>
      </c>
      <c r="BL215" s="27" t="s">
        <v>3113</v>
      </c>
      <c r="BM215" s="35">
        <v>0</v>
      </c>
    </row>
    <row r="216" spans="1:65" s="1" customFormat="1" x14ac:dyDescent="0.2">
      <c r="A216" s="25">
        <v>1250</v>
      </c>
      <c r="B216" s="26">
        <v>146</v>
      </c>
      <c r="C216" s="27" t="s">
        <v>503</v>
      </c>
      <c r="D216" s="28" t="s">
        <v>3114</v>
      </c>
      <c r="E216" s="28" t="s">
        <v>273</v>
      </c>
      <c r="F216" s="28" t="s">
        <v>339</v>
      </c>
      <c r="G216" s="28">
        <v>2026</v>
      </c>
      <c r="H216" s="20" t="str">
        <f>VLOOKUP(U216,'[1]KODE TYPE standar'!$D:$U,17,0)</f>
        <v>VELOZ</v>
      </c>
      <c r="I216" s="20" t="str">
        <f>VLOOKUP(U216,'[1]KODE TYPE standar'!$D:$U,16,0)</f>
        <v>VELOZ</v>
      </c>
      <c r="J216" s="20" t="str">
        <f>VLOOKUP(U216,'[1]KODE TYPE standar'!$D:$U,18,0)</f>
        <v>VELOZ V AT HYBRID</v>
      </c>
      <c r="K216" s="27" t="s">
        <v>119</v>
      </c>
      <c r="L216" s="28" t="s">
        <v>110</v>
      </c>
      <c r="M216" s="28" t="s">
        <v>262</v>
      </c>
      <c r="N216" s="28" t="s">
        <v>140</v>
      </c>
      <c r="O216" s="28" t="s">
        <v>156</v>
      </c>
      <c r="P216" s="29" t="s">
        <v>536</v>
      </c>
      <c r="Q216" s="29" t="s">
        <v>161</v>
      </c>
      <c r="R216" s="29" t="s">
        <v>597</v>
      </c>
      <c r="S216" s="27" t="s">
        <v>1171</v>
      </c>
      <c r="T216" s="30" t="s">
        <v>509</v>
      </c>
      <c r="U216" s="27" t="s">
        <v>335</v>
      </c>
      <c r="V216" s="27" t="s">
        <v>51</v>
      </c>
      <c r="W216" s="27" t="s">
        <v>286</v>
      </c>
      <c r="X216" s="27" t="s">
        <v>3115</v>
      </c>
      <c r="Y216" s="27" t="s">
        <v>3116</v>
      </c>
      <c r="Z216" s="27" t="s">
        <v>1170</v>
      </c>
      <c r="AA216" s="27" t="s">
        <v>1171</v>
      </c>
      <c r="AB216" s="30" t="s">
        <v>509</v>
      </c>
      <c r="AC216" s="30" t="s">
        <v>3117</v>
      </c>
      <c r="AD216" s="28" t="s">
        <v>3118</v>
      </c>
      <c r="AE216" s="28" t="s">
        <v>110</v>
      </c>
      <c r="AF216" s="28" t="s">
        <v>3119</v>
      </c>
      <c r="AG216" s="28" t="s">
        <v>3120</v>
      </c>
      <c r="AH216" s="28" t="s">
        <v>1970</v>
      </c>
      <c r="AI216" s="28" t="s">
        <v>140</v>
      </c>
      <c r="AJ216" s="28" t="s">
        <v>262</v>
      </c>
      <c r="AK216" s="28" t="s">
        <v>89</v>
      </c>
      <c r="AL216" s="28" t="s">
        <v>3121</v>
      </c>
      <c r="AM216" s="31">
        <v>304500000</v>
      </c>
      <c r="AN216" s="31">
        <v>235122768</v>
      </c>
      <c r="AO216" s="31">
        <v>41162500</v>
      </c>
      <c r="AP216" s="31">
        <v>27786160</v>
      </c>
      <c r="AQ216" s="31">
        <v>0</v>
      </c>
      <c r="AR216" s="31">
        <v>0</v>
      </c>
      <c r="AS216" s="31">
        <v>3571429</v>
      </c>
      <c r="AT216" s="31">
        <v>300500000</v>
      </c>
      <c r="AU216" s="31">
        <v>0</v>
      </c>
      <c r="AV216" s="31">
        <v>-4000000</v>
      </c>
      <c r="AW216" s="28" t="s">
        <v>248</v>
      </c>
      <c r="AX216" s="28" t="s">
        <v>248</v>
      </c>
      <c r="AY216" s="28" t="s">
        <v>83</v>
      </c>
      <c r="AZ216" s="28">
        <v>1</v>
      </c>
      <c r="BA216" s="28"/>
      <c r="BB216" s="28" t="s">
        <v>199</v>
      </c>
      <c r="BC216" s="28" t="s">
        <v>3122</v>
      </c>
      <c r="BD216" s="28" t="s">
        <v>199</v>
      </c>
      <c r="BE216" s="28" t="s">
        <v>199</v>
      </c>
      <c r="BF216" s="28" t="s">
        <v>3123</v>
      </c>
      <c r="BG216" s="28" t="s">
        <v>3124</v>
      </c>
      <c r="BH216" s="28" t="s">
        <v>273</v>
      </c>
      <c r="BI216" s="28" t="s">
        <v>340</v>
      </c>
      <c r="BJ216" s="28" t="s">
        <v>3125</v>
      </c>
      <c r="BK216" s="28" t="s">
        <v>252</v>
      </c>
      <c r="BL216" s="28" t="s">
        <v>3126</v>
      </c>
      <c r="BM216" s="32">
        <v>0</v>
      </c>
    </row>
    <row r="217" spans="1:65" s="1" customFormat="1" x14ac:dyDescent="0.2">
      <c r="A217" s="25">
        <v>1258</v>
      </c>
      <c r="B217" s="26">
        <v>146</v>
      </c>
      <c r="C217" s="27" t="s">
        <v>503</v>
      </c>
      <c r="D217" s="28" t="s">
        <v>3127</v>
      </c>
      <c r="E217" s="28" t="s">
        <v>274</v>
      </c>
      <c r="F217" s="28" t="s">
        <v>339</v>
      </c>
      <c r="G217" s="28">
        <v>2026</v>
      </c>
      <c r="H217" s="20" t="str">
        <f>VLOOKUP(U217,'[1]KODE TYPE standar'!$D:$U,17,0)</f>
        <v>CALYA</v>
      </c>
      <c r="I217" s="20" t="str">
        <f>VLOOKUP(U217,'[1]KODE TYPE standar'!$D:$U,16,0)</f>
        <v>CALYA</v>
      </c>
      <c r="J217" s="20" t="str">
        <f>VLOOKUP(U217,'[1]KODE TYPE standar'!$D:$U,18,0)</f>
        <v>CALYA G M/T</v>
      </c>
      <c r="K217" s="27" t="s">
        <v>119</v>
      </c>
      <c r="L217" s="28" t="s">
        <v>110</v>
      </c>
      <c r="M217" s="28" t="s">
        <v>262</v>
      </c>
      <c r="N217" s="28" t="s">
        <v>140</v>
      </c>
      <c r="O217" s="28" t="s">
        <v>156</v>
      </c>
      <c r="P217" s="29" t="s">
        <v>149</v>
      </c>
      <c r="Q217" s="29" t="s">
        <v>161</v>
      </c>
      <c r="R217" s="29" t="s">
        <v>145</v>
      </c>
      <c r="S217" s="27" t="s">
        <v>647</v>
      </c>
      <c r="T217" s="30" t="s">
        <v>509</v>
      </c>
      <c r="U217" s="27" t="s">
        <v>268</v>
      </c>
      <c r="V217" s="27" t="s">
        <v>60</v>
      </c>
      <c r="W217" s="27" t="s">
        <v>61</v>
      </c>
      <c r="X217" s="27" t="s">
        <v>3128</v>
      </c>
      <c r="Y217" s="27" t="s">
        <v>3129</v>
      </c>
      <c r="Z217" s="27" t="s">
        <v>646</v>
      </c>
      <c r="AA217" s="27" t="s">
        <v>647</v>
      </c>
      <c r="AB217" s="30" t="s">
        <v>509</v>
      </c>
      <c r="AC217" s="30" t="s">
        <v>3130</v>
      </c>
      <c r="AD217" s="28" t="s">
        <v>3131</v>
      </c>
      <c r="AE217" s="28" t="s">
        <v>110</v>
      </c>
      <c r="AF217" s="28" t="s">
        <v>3131</v>
      </c>
      <c r="AG217" s="28" t="s">
        <v>3132</v>
      </c>
      <c r="AH217" s="28" t="s">
        <v>1215</v>
      </c>
      <c r="AI217" s="28" t="s">
        <v>140</v>
      </c>
      <c r="AJ217" s="28" t="s">
        <v>262</v>
      </c>
      <c r="AK217" s="28" t="s">
        <v>89</v>
      </c>
      <c r="AL217" s="28" t="s">
        <v>3133</v>
      </c>
      <c r="AM217" s="31">
        <v>181900000</v>
      </c>
      <c r="AN217" s="31">
        <v>139341518</v>
      </c>
      <c r="AO217" s="31">
        <v>25837500</v>
      </c>
      <c r="AP217" s="31">
        <v>15542410</v>
      </c>
      <c r="AQ217" s="31">
        <v>0</v>
      </c>
      <c r="AR217" s="31">
        <v>0</v>
      </c>
      <c r="AS217" s="31">
        <v>9821429</v>
      </c>
      <c r="AT217" s="31">
        <v>170900000</v>
      </c>
      <c r="AU217" s="31">
        <v>0</v>
      </c>
      <c r="AV217" s="31">
        <v>-11000000</v>
      </c>
      <c r="AW217" s="28" t="s">
        <v>255</v>
      </c>
      <c r="AX217" s="28" t="s">
        <v>255</v>
      </c>
      <c r="AY217" s="28" t="s">
        <v>83</v>
      </c>
      <c r="AZ217" s="28">
        <v>1</v>
      </c>
      <c r="BA217" s="28" t="s">
        <v>163</v>
      </c>
      <c r="BB217" s="28" t="s">
        <v>232</v>
      </c>
      <c r="BC217" s="28" t="s">
        <v>3134</v>
      </c>
      <c r="BD217" s="28" t="s">
        <v>238</v>
      </c>
      <c r="BE217" s="28" t="s">
        <v>238</v>
      </c>
      <c r="BF217" s="28" t="s">
        <v>3135</v>
      </c>
      <c r="BG217" s="28" t="s">
        <v>3136</v>
      </c>
      <c r="BH217" s="28" t="s">
        <v>274</v>
      </c>
      <c r="BI217" s="28" t="s">
        <v>352</v>
      </c>
      <c r="BJ217" s="28" t="s">
        <v>3137</v>
      </c>
      <c r="BK217" s="28" t="s">
        <v>238</v>
      </c>
      <c r="BL217" s="28" t="s">
        <v>3138</v>
      </c>
      <c r="BM217" s="32">
        <v>0</v>
      </c>
    </row>
    <row r="218" spans="1:65" s="1" customFormat="1" x14ac:dyDescent="0.2">
      <c r="A218" s="33">
        <v>1426</v>
      </c>
      <c r="B218" s="26">
        <v>146</v>
      </c>
      <c r="C218" s="27" t="s">
        <v>503</v>
      </c>
      <c r="D218" s="27" t="s">
        <v>3139</v>
      </c>
      <c r="E218" s="27" t="s">
        <v>217</v>
      </c>
      <c r="F218" s="27" t="s">
        <v>111</v>
      </c>
      <c r="G218" s="28">
        <v>2026</v>
      </c>
      <c r="H218" s="20" t="str">
        <f>VLOOKUP(U218,'[1]KODE TYPE standar'!$D:$U,17,0)</f>
        <v>HILUX</v>
      </c>
      <c r="I218" s="20" t="str">
        <f>VLOOKUP(U218,'[1]KODE TYPE standar'!$D:$U,16,0)</f>
        <v>HILUX</v>
      </c>
      <c r="J218" s="20" t="str">
        <f>VLOOKUP(U218,'[1]KODE TYPE standar'!$D:$U,18,0)</f>
        <v>HILUX DC V A/T DIESEL</v>
      </c>
      <c r="K218" s="27" t="s">
        <v>121</v>
      </c>
      <c r="L218" s="27" t="s">
        <v>110</v>
      </c>
      <c r="M218" s="27" t="s">
        <v>262</v>
      </c>
      <c r="N218" s="27" t="s">
        <v>140</v>
      </c>
      <c r="O218" s="28" t="s">
        <v>156</v>
      </c>
      <c r="P218" s="29" t="s">
        <v>150</v>
      </c>
      <c r="Q218" s="29" t="s">
        <v>162</v>
      </c>
      <c r="R218" s="29" t="s">
        <v>145</v>
      </c>
      <c r="S218" s="27" t="s">
        <v>524</v>
      </c>
      <c r="T218" s="27" t="s">
        <v>541</v>
      </c>
      <c r="U218" s="27" t="s">
        <v>113</v>
      </c>
      <c r="V218" s="27" t="s">
        <v>283</v>
      </c>
      <c r="W218" s="27" t="s">
        <v>284</v>
      </c>
      <c r="X218" s="27" t="s">
        <v>3140</v>
      </c>
      <c r="Y218" s="27" t="s">
        <v>3141</v>
      </c>
      <c r="Z218" s="27" t="s">
        <v>523</v>
      </c>
      <c r="AA218" s="27" t="s">
        <v>524</v>
      </c>
      <c r="AB218" s="27" t="s">
        <v>541</v>
      </c>
      <c r="AC218" s="27" t="s">
        <v>3142</v>
      </c>
      <c r="AD218" s="27" t="s">
        <v>3143</v>
      </c>
      <c r="AE218" s="27" t="s">
        <v>110</v>
      </c>
      <c r="AF218" s="27" t="s">
        <v>3144</v>
      </c>
      <c r="AG218" s="27" t="s">
        <v>3145</v>
      </c>
      <c r="AH218" s="27" t="s">
        <v>528</v>
      </c>
      <c r="AI218" s="27" t="s">
        <v>140</v>
      </c>
      <c r="AJ218" s="27" t="s">
        <v>262</v>
      </c>
      <c r="AK218" s="27" t="s">
        <v>104</v>
      </c>
      <c r="AL218" s="27" t="s">
        <v>3146</v>
      </c>
      <c r="AM218" s="34">
        <v>545800000</v>
      </c>
      <c r="AN218" s="34">
        <v>422254464</v>
      </c>
      <c r="AO218" s="34">
        <v>72875000</v>
      </c>
      <c r="AP218" s="34">
        <v>46920535</v>
      </c>
      <c r="AQ218" s="34">
        <v>0</v>
      </c>
      <c r="AR218" s="34">
        <v>0</v>
      </c>
      <c r="AS218" s="34">
        <v>31250000</v>
      </c>
      <c r="AT218" s="34">
        <v>510800000</v>
      </c>
      <c r="AU218" s="34">
        <v>0</v>
      </c>
      <c r="AV218" s="34">
        <v>-35000000</v>
      </c>
      <c r="AW218" s="27" t="s">
        <v>216</v>
      </c>
      <c r="AX218" s="27" t="s">
        <v>216</v>
      </c>
      <c r="AY218" s="27" t="s">
        <v>83</v>
      </c>
      <c r="AZ218" s="27">
        <v>1</v>
      </c>
      <c r="BA218" s="27" t="s">
        <v>3147</v>
      </c>
      <c r="BB218" s="27" t="s">
        <v>180</v>
      </c>
      <c r="BC218" s="27" t="s">
        <v>3148</v>
      </c>
      <c r="BD218" s="27" t="s">
        <v>180</v>
      </c>
      <c r="BE218" s="27" t="s">
        <v>180</v>
      </c>
      <c r="BF218" s="27" t="s">
        <v>3149</v>
      </c>
      <c r="BG218" s="27" t="s">
        <v>3150</v>
      </c>
      <c r="BH218" s="27" t="s">
        <v>217</v>
      </c>
      <c r="BI218" s="27" t="s">
        <v>235</v>
      </c>
      <c r="BJ218" s="27" t="s">
        <v>3151</v>
      </c>
      <c r="BK218" s="27" t="s">
        <v>203</v>
      </c>
      <c r="BL218" s="27" t="s">
        <v>3152</v>
      </c>
      <c r="BM218" s="35">
        <v>0</v>
      </c>
    </row>
    <row r="219" spans="1:65" s="1" customFormat="1" x14ac:dyDescent="0.2">
      <c r="A219" s="33">
        <v>1786</v>
      </c>
      <c r="B219" s="26">
        <v>146</v>
      </c>
      <c r="C219" s="36" t="s">
        <v>503</v>
      </c>
      <c r="D219" s="27" t="s">
        <v>3153</v>
      </c>
      <c r="E219" s="27" t="s">
        <v>399</v>
      </c>
      <c r="F219" s="27" t="s">
        <v>389</v>
      </c>
      <c r="G219" s="28">
        <v>2026</v>
      </c>
      <c r="H219" s="20" t="str">
        <f>VLOOKUP(U219,'[1]KODE TYPE standar'!$D:$U,17,0)</f>
        <v>HILUX</v>
      </c>
      <c r="I219" s="20" t="str">
        <f>VLOOKUP(U219,'[1]KODE TYPE standar'!$D:$U,16,0)</f>
        <v>HILUX</v>
      </c>
      <c r="J219" s="20" t="str">
        <f>VLOOKUP(U219,'[1]KODE TYPE standar'!$D:$U,18,0)</f>
        <v>HILUX DC V A/T DIESEL</v>
      </c>
      <c r="K219" s="27" t="s">
        <v>119</v>
      </c>
      <c r="L219" s="27" t="s">
        <v>110</v>
      </c>
      <c r="M219" s="27" t="s">
        <v>262</v>
      </c>
      <c r="N219" s="27" t="s">
        <v>141</v>
      </c>
      <c r="O219" s="28" t="s">
        <v>156</v>
      </c>
      <c r="P219" s="29" t="s">
        <v>149</v>
      </c>
      <c r="Q219" s="29" t="s">
        <v>161</v>
      </c>
      <c r="R219" s="29" t="s">
        <v>145</v>
      </c>
      <c r="S219" s="27" t="s">
        <v>508</v>
      </c>
      <c r="T219" s="27" t="s">
        <v>509</v>
      </c>
      <c r="U219" s="27" t="s">
        <v>113</v>
      </c>
      <c r="V219" s="27" t="s">
        <v>48</v>
      </c>
      <c r="W219" s="27" t="s">
        <v>49</v>
      </c>
      <c r="X219" s="27" t="s">
        <v>3154</v>
      </c>
      <c r="Y219" s="27" t="s">
        <v>3155</v>
      </c>
      <c r="Z219" s="27" t="s">
        <v>507</v>
      </c>
      <c r="AA219" s="27" t="s">
        <v>508</v>
      </c>
      <c r="AB219" s="27" t="s">
        <v>509</v>
      </c>
      <c r="AC219" s="27" t="s">
        <v>3156</v>
      </c>
      <c r="AD219" s="27" t="s">
        <v>3157</v>
      </c>
      <c r="AE219" s="27" t="s">
        <v>110</v>
      </c>
      <c r="AF219" s="27" t="s">
        <v>3157</v>
      </c>
      <c r="AG219" s="27" t="s">
        <v>1590</v>
      </c>
      <c r="AH219" s="27" t="s">
        <v>1442</v>
      </c>
      <c r="AI219" s="27" t="s">
        <v>141</v>
      </c>
      <c r="AJ219" s="27" t="s">
        <v>262</v>
      </c>
      <c r="AK219" s="27" t="s">
        <v>89</v>
      </c>
      <c r="AL219" s="27"/>
      <c r="AM219" s="34">
        <v>545800000</v>
      </c>
      <c r="AN219" s="34">
        <v>421540179</v>
      </c>
      <c r="AO219" s="34">
        <v>73675000</v>
      </c>
      <c r="AP219" s="34">
        <v>47906250</v>
      </c>
      <c r="AQ219" s="34">
        <v>0</v>
      </c>
      <c r="AR219" s="34">
        <v>0</v>
      </c>
      <c r="AS219" s="34">
        <v>22321429</v>
      </c>
      <c r="AT219" s="34">
        <v>520800000</v>
      </c>
      <c r="AU219" s="34">
        <v>4000000</v>
      </c>
      <c r="AV219" s="34">
        <v>-25000000</v>
      </c>
      <c r="AW219" s="27"/>
      <c r="AX219" s="27"/>
      <c r="AY219" s="27" t="s">
        <v>83</v>
      </c>
      <c r="AZ219" s="27">
        <v>1</v>
      </c>
      <c r="BA219" s="27" t="s">
        <v>163</v>
      </c>
      <c r="BB219" s="27" t="s">
        <v>365</v>
      </c>
      <c r="BC219" s="27" t="s">
        <v>3158</v>
      </c>
      <c r="BD219" s="27" t="s">
        <v>410</v>
      </c>
      <c r="BE219" s="27" t="s">
        <v>410</v>
      </c>
      <c r="BF219" s="27" t="s">
        <v>3159</v>
      </c>
      <c r="BG219" s="27" t="s">
        <v>3160</v>
      </c>
      <c r="BH219" s="27" t="s">
        <v>399</v>
      </c>
      <c r="BI219" s="27" t="s">
        <v>408</v>
      </c>
      <c r="BJ219" s="27" t="s">
        <v>3161</v>
      </c>
      <c r="BK219" s="27" t="s">
        <v>366</v>
      </c>
      <c r="BL219" s="27" t="s">
        <v>3162</v>
      </c>
      <c r="BM219" s="35">
        <v>0</v>
      </c>
    </row>
    <row r="220" spans="1:65" s="1" customFormat="1" x14ac:dyDescent="0.2">
      <c r="A220" s="33">
        <v>1793</v>
      </c>
      <c r="B220" s="26">
        <v>146</v>
      </c>
      <c r="C220" s="36" t="s">
        <v>503</v>
      </c>
      <c r="D220" s="27" t="s">
        <v>3163</v>
      </c>
      <c r="E220" s="27" t="s">
        <v>394</v>
      </c>
      <c r="F220" s="27" t="s">
        <v>389</v>
      </c>
      <c r="G220" s="28">
        <v>2026</v>
      </c>
      <c r="H220" s="20" t="str">
        <f>VLOOKUP(U220,'[1]KODE TYPE standar'!$D:$U,17,0)</f>
        <v>HIACE</v>
      </c>
      <c r="I220" s="20" t="str">
        <f>VLOOKUP(U220,'[1]KODE TYPE standar'!$D:$U,16,0)</f>
        <v>HIACE</v>
      </c>
      <c r="J220" s="20" t="str">
        <f>VLOOKUP(U220,'[1]KODE TYPE standar'!$D:$U,18,0)</f>
        <v>HIACE PREMIO</v>
      </c>
      <c r="K220" s="27" t="s">
        <v>119</v>
      </c>
      <c r="L220" s="27" t="s">
        <v>110</v>
      </c>
      <c r="M220" s="27" t="s">
        <v>262</v>
      </c>
      <c r="N220" s="27" t="s">
        <v>140</v>
      </c>
      <c r="O220" s="28" t="s">
        <v>156</v>
      </c>
      <c r="P220" s="29" t="s">
        <v>151</v>
      </c>
      <c r="Q220" s="29" t="s">
        <v>161</v>
      </c>
      <c r="R220" s="29" t="s">
        <v>145</v>
      </c>
      <c r="S220" s="27" t="s">
        <v>892</v>
      </c>
      <c r="T220" s="27" t="s">
        <v>541</v>
      </c>
      <c r="U220" s="27" t="s">
        <v>173</v>
      </c>
      <c r="V220" s="27" t="s">
        <v>99</v>
      </c>
      <c r="W220" s="27" t="s">
        <v>61</v>
      </c>
      <c r="X220" s="27" t="s">
        <v>3164</v>
      </c>
      <c r="Y220" s="27" t="s">
        <v>3165</v>
      </c>
      <c r="Z220" s="27" t="s">
        <v>891</v>
      </c>
      <c r="AA220" s="27" t="s">
        <v>892</v>
      </c>
      <c r="AB220" s="27" t="s">
        <v>541</v>
      </c>
      <c r="AC220" s="27" t="s">
        <v>3166</v>
      </c>
      <c r="AD220" s="27" t="s">
        <v>3167</v>
      </c>
      <c r="AE220" s="27" t="s">
        <v>110</v>
      </c>
      <c r="AF220" s="27" t="s">
        <v>3168</v>
      </c>
      <c r="AG220" s="27" t="s">
        <v>3169</v>
      </c>
      <c r="AH220" s="27" t="s">
        <v>3170</v>
      </c>
      <c r="AI220" s="27" t="s">
        <v>140</v>
      </c>
      <c r="AJ220" s="27" t="s">
        <v>262</v>
      </c>
      <c r="AK220" s="27" t="s">
        <v>89</v>
      </c>
      <c r="AL220" s="27"/>
      <c r="AM220" s="34">
        <v>678400000</v>
      </c>
      <c r="AN220" s="34">
        <v>525133929</v>
      </c>
      <c r="AO220" s="34">
        <v>90250000</v>
      </c>
      <c r="AP220" s="34">
        <v>60337500</v>
      </c>
      <c r="AQ220" s="34">
        <v>0</v>
      </c>
      <c r="AR220" s="34">
        <v>0</v>
      </c>
      <c r="AS220" s="34">
        <v>22321429</v>
      </c>
      <c r="AT220" s="34">
        <v>653400000</v>
      </c>
      <c r="AU220" s="34">
        <v>0</v>
      </c>
      <c r="AV220" s="34">
        <v>-25000000</v>
      </c>
      <c r="AW220" s="27" t="s">
        <v>360</v>
      </c>
      <c r="AX220" s="27" t="s">
        <v>360</v>
      </c>
      <c r="AY220" s="27" t="s">
        <v>83</v>
      </c>
      <c r="AZ220" s="27">
        <v>1</v>
      </c>
      <c r="BA220" s="27"/>
      <c r="BB220" s="27" t="s">
        <v>303</v>
      </c>
      <c r="BC220" s="27" t="s">
        <v>3171</v>
      </c>
      <c r="BD220" s="27" t="s">
        <v>303</v>
      </c>
      <c r="BE220" s="27" t="s">
        <v>303</v>
      </c>
      <c r="BF220" s="27" t="s">
        <v>3172</v>
      </c>
      <c r="BG220" s="27" t="s">
        <v>3173</v>
      </c>
      <c r="BH220" s="27" t="s">
        <v>394</v>
      </c>
      <c r="BI220" s="27" t="s">
        <v>392</v>
      </c>
      <c r="BJ220" s="27" t="s">
        <v>3174</v>
      </c>
      <c r="BK220" s="27" t="s">
        <v>246</v>
      </c>
      <c r="BL220" s="27" t="s">
        <v>3175</v>
      </c>
      <c r="BM220" s="35">
        <v>0</v>
      </c>
    </row>
    <row r="221" spans="1:65" s="1" customFormat="1" x14ac:dyDescent="0.2">
      <c r="A221" s="33">
        <v>1439</v>
      </c>
      <c r="B221" s="26">
        <v>146</v>
      </c>
      <c r="C221" s="27" t="s">
        <v>503</v>
      </c>
      <c r="D221" s="27" t="s">
        <v>3176</v>
      </c>
      <c r="E221" s="27" t="s">
        <v>183</v>
      </c>
      <c r="F221" s="27" t="s">
        <v>111</v>
      </c>
      <c r="G221" s="28">
        <v>2026</v>
      </c>
      <c r="H221" s="20" t="str">
        <f>VLOOKUP(U221,'[1]KODE TYPE standar'!$D:$U,17,0)</f>
        <v>AVANZA</v>
      </c>
      <c r="I221" s="20" t="str">
        <f>VLOOKUP(U221,'[1]KODE TYPE standar'!$D:$U,16,0)</f>
        <v>AVANZA</v>
      </c>
      <c r="J221" s="20" t="str">
        <f>VLOOKUP(U221,'[1]KODE TYPE standar'!$D:$U,18,0)</f>
        <v>AVANZA E M/T</v>
      </c>
      <c r="K221" s="27" t="s">
        <v>119</v>
      </c>
      <c r="L221" s="27" t="s">
        <v>110</v>
      </c>
      <c r="M221" s="27" t="s">
        <v>262</v>
      </c>
      <c r="N221" s="27" t="s">
        <v>141</v>
      </c>
      <c r="O221" s="28" t="s">
        <v>156</v>
      </c>
      <c r="P221" s="29" t="s">
        <v>149</v>
      </c>
      <c r="Q221" s="29" t="s">
        <v>161</v>
      </c>
      <c r="R221" s="29" t="s">
        <v>597</v>
      </c>
      <c r="S221" s="27" t="s">
        <v>3180</v>
      </c>
      <c r="T221" s="27" t="s">
        <v>509</v>
      </c>
      <c r="U221" s="27" t="s">
        <v>386</v>
      </c>
      <c r="V221" s="27" t="s">
        <v>64</v>
      </c>
      <c r="W221" s="27" t="s">
        <v>65</v>
      </c>
      <c r="X221" s="27" t="s">
        <v>3177</v>
      </c>
      <c r="Y221" s="27" t="s">
        <v>3178</v>
      </c>
      <c r="Z221" s="27" t="s">
        <v>3179</v>
      </c>
      <c r="AA221" s="27" t="s">
        <v>3180</v>
      </c>
      <c r="AB221" s="27" t="s">
        <v>509</v>
      </c>
      <c r="AC221" s="27" t="s">
        <v>3181</v>
      </c>
      <c r="AD221" s="27" t="s">
        <v>3182</v>
      </c>
      <c r="AE221" s="27" t="s">
        <v>110</v>
      </c>
      <c r="AF221" s="27" t="s">
        <v>3183</v>
      </c>
      <c r="AG221" s="27" t="s">
        <v>3184</v>
      </c>
      <c r="AH221" s="27" t="s">
        <v>1879</v>
      </c>
      <c r="AI221" s="27" t="s">
        <v>141</v>
      </c>
      <c r="AJ221" s="27" t="s">
        <v>262</v>
      </c>
      <c r="AK221" s="27" t="s">
        <v>89</v>
      </c>
      <c r="AL221" s="27" t="s">
        <v>3185</v>
      </c>
      <c r="AM221" s="34">
        <v>246700000</v>
      </c>
      <c r="AN221" s="34">
        <v>190189732</v>
      </c>
      <c r="AO221" s="34">
        <v>33687500</v>
      </c>
      <c r="AP221" s="34">
        <v>20144196</v>
      </c>
      <c r="AQ221" s="34">
        <v>0</v>
      </c>
      <c r="AR221" s="34">
        <v>0</v>
      </c>
      <c r="AS221" s="34">
        <v>22321429</v>
      </c>
      <c r="AT221" s="34">
        <v>221700000</v>
      </c>
      <c r="AU221" s="34">
        <v>0</v>
      </c>
      <c r="AV221" s="34">
        <v>-25000000</v>
      </c>
      <c r="AW221" s="27" t="s">
        <v>198</v>
      </c>
      <c r="AX221" s="27" t="s">
        <v>198</v>
      </c>
      <c r="AY221" s="27" t="s">
        <v>83</v>
      </c>
      <c r="AZ221" s="27">
        <v>1</v>
      </c>
      <c r="BA221" s="27" t="s">
        <v>163</v>
      </c>
      <c r="BB221" s="27" t="s">
        <v>301</v>
      </c>
      <c r="BC221" s="27" t="s">
        <v>3186</v>
      </c>
      <c r="BD221" s="27" t="s">
        <v>179</v>
      </c>
      <c r="BE221" s="27" t="s">
        <v>179</v>
      </c>
      <c r="BF221" s="27" t="s">
        <v>3187</v>
      </c>
      <c r="BG221" s="27" t="s">
        <v>3188</v>
      </c>
      <c r="BH221" s="27" t="s">
        <v>183</v>
      </c>
      <c r="BI221" s="27" t="s">
        <v>234</v>
      </c>
      <c r="BJ221" s="27" t="s">
        <v>3189</v>
      </c>
      <c r="BK221" s="27" t="s">
        <v>181</v>
      </c>
      <c r="BL221" s="27" t="s">
        <v>3190</v>
      </c>
      <c r="BM221" s="35">
        <v>0</v>
      </c>
    </row>
    <row r="222" spans="1:65" s="1" customFormat="1" x14ac:dyDescent="0.2">
      <c r="A222" s="33">
        <v>1440</v>
      </c>
      <c r="B222" s="26">
        <v>146</v>
      </c>
      <c r="C222" s="27" t="s">
        <v>503</v>
      </c>
      <c r="D222" s="27" t="s">
        <v>3191</v>
      </c>
      <c r="E222" s="27" t="s">
        <v>225</v>
      </c>
      <c r="F222" s="27" t="s">
        <v>111</v>
      </c>
      <c r="G222" s="28">
        <v>2026</v>
      </c>
      <c r="H222" s="20" t="str">
        <f>VLOOKUP(U222,'[1]KODE TYPE standar'!$D:$U,17,0)</f>
        <v>AVANZA</v>
      </c>
      <c r="I222" s="20" t="str">
        <f>VLOOKUP(U222,'[1]KODE TYPE standar'!$D:$U,16,0)</f>
        <v>AVANZA</v>
      </c>
      <c r="J222" s="20" t="str">
        <f>VLOOKUP(U222,'[1]KODE TYPE standar'!$D:$U,18,0)</f>
        <v>AVANZA E M/T</v>
      </c>
      <c r="K222" s="27" t="s">
        <v>118</v>
      </c>
      <c r="L222" s="27" t="s">
        <v>110</v>
      </c>
      <c r="M222" s="27" t="s">
        <v>262</v>
      </c>
      <c r="N222" s="27" t="s">
        <v>141</v>
      </c>
      <c r="O222" s="28" t="s">
        <v>156</v>
      </c>
      <c r="P222" s="29" t="s">
        <v>149</v>
      </c>
      <c r="Q222" s="29" t="s">
        <v>147</v>
      </c>
      <c r="R222" s="29" t="s">
        <v>145</v>
      </c>
      <c r="S222" s="27" t="s">
        <v>1171</v>
      </c>
      <c r="T222" s="27" t="s">
        <v>509</v>
      </c>
      <c r="U222" s="27" t="s">
        <v>386</v>
      </c>
      <c r="V222" s="27" t="s">
        <v>269</v>
      </c>
      <c r="W222" s="27" t="s">
        <v>270</v>
      </c>
      <c r="X222" s="27" t="s">
        <v>3192</v>
      </c>
      <c r="Y222" s="27" t="s">
        <v>3193</v>
      </c>
      <c r="Z222" s="27" t="s">
        <v>1170</v>
      </c>
      <c r="AA222" s="27" t="s">
        <v>1171</v>
      </c>
      <c r="AB222" s="27" t="s">
        <v>509</v>
      </c>
      <c r="AC222" s="27" t="s">
        <v>3194</v>
      </c>
      <c r="AD222" s="27" t="s">
        <v>3182</v>
      </c>
      <c r="AE222" s="27" t="s">
        <v>110</v>
      </c>
      <c r="AF222" s="27" t="s">
        <v>3195</v>
      </c>
      <c r="AG222" s="27" t="s">
        <v>3184</v>
      </c>
      <c r="AH222" s="27" t="s">
        <v>1879</v>
      </c>
      <c r="AI222" s="27" t="s">
        <v>141</v>
      </c>
      <c r="AJ222" s="27" t="s">
        <v>262</v>
      </c>
      <c r="AK222" s="27" t="s">
        <v>63</v>
      </c>
      <c r="AL222" s="27" t="s">
        <v>3196</v>
      </c>
      <c r="AM222" s="34">
        <v>246700000</v>
      </c>
      <c r="AN222" s="34">
        <v>190189732</v>
      </c>
      <c r="AO222" s="34">
        <v>33687500</v>
      </c>
      <c r="AP222" s="34">
        <v>20679910</v>
      </c>
      <c r="AQ222" s="34">
        <v>0</v>
      </c>
      <c r="AR222" s="34">
        <v>0</v>
      </c>
      <c r="AS222" s="34">
        <v>17857143</v>
      </c>
      <c r="AT222" s="34">
        <v>226700000</v>
      </c>
      <c r="AU222" s="34">
        <v>0</v>
      </c>
      <c r="AV222" s="34">
        <v>-20000000</v>
      </c>
      <c r="AW222" s="27" t="s">
        <v>204</v>
      </c>
      <c r="AX222" s="27" t="s">
        <v>204</v>
      </c>
      <c r="AY222" s="27" t="s">
        <v>83</v>
      </c>
      <c r="AZ222" s="27">
        <v>1</v>
      </c>
      <c r="BA222" s="27"/>
      <c r="BB222" s="27" t="s">
        <v>207</v>
      </c>
      <c r="BC222" s="27" t="s">
        <v>3197</v>
      </c>
      <c r="BD222" s="27" t="s">
        <v>207</v>
      </c>
      <c r="BE222" s="27" t="s">
        <v>207</v>
      </c>
      <c r="BF222" s="27" t="s">
        <v>3198</v>
      </c>
      <c r="BG222" s="27" t="s">
        <v>3199</v>
      </c>
      <c r="BH222" s="27" t="s">
        <v>225</v>
      </c>
      <c r="BI222" s="27" t="s">
        <v>233</v>
      </c>
      <c r="BJ222" s="27" t="s">
        <v>3200</v>
      </c>
      <c r="BK222" s="27" t="s">
        <v>188</v>
      </c>
      <c r="BL222" s="27" t="s">
        <v>256</v>
      </c>
      <c r="BM222" s="35">
        <v>0</v>
      </c>
    </row>
    <row r="223" spans="1:65" s="1" customFormat="1" x14ac:dyDescent="0.2">
      <c r="A223" s="33">
        <v>1755</v>
      </c>
      <c r="B223" s="26">
        <v>146</v>
      </c>
      <c r="C223" s="27" t="s">
        <v>503</v>
      </c>
      <c r="D223" s="27" t="s">
        <v>3201</v>
      </c>
      <c r="E223" s="27" t="s">
        <v>210</v>
      </c>
      <c r="F223" s="27" t="s">
        <v>258</v>
      </c>
      <c r="G223" s="28">
        <v>2026</v>
      </c>
      <c r="H223" s="20" t="str">
        <f>VLOOKUP(U223,'[1]KODE TYPE standar'!$D:$U,17,0)</f>
        <v>RUSH</v>
      </c>
      <c r="I223" s="20" t="str">
        <f>VLOOKUP(U223,'[1]KODE TYPE standar'!$D:$U,16,0)</f>
        <v>RUSH</v>
      </c>
      <c r="J223" s="20" t="str">
        <f>VLOOKUP(U223,'[1]KODE TYPE standar'!$D:$U,18,0)</f>
        <v>RUSH S A/T</v>
      </c>
      <c r="K223" s="27" t="s">
        <v>50</v>
      </c>
      <c r="L223" s="27" t="s">
        <v>110</v>
      </c>
      <c r="M223" s="27" t="s">
        <v>50</v>
      </c>
      <c r="N223" s="27" t="s">
        <v>140</v>
      </c>
      <c r="O223" s="28" t="s">
        <v>156</v>
      </c>
      <c r="P223" s="29" t="s">
        <v>149</v>
      </c>
      <c r="Q223" s="29" t="s">
        <v>161</v>
      </c>
      <c r="R223" s="29" t="s">
        <v>145</v>
      </c>
      <c r="S223" s="27" t="s">
        <v>631</v>
      </c>
      <c r="T223" s="27" t="s">
        <v>541</v>
      </c>
      <c r="U223" s="27" t="s">
        <v>116</v>
      </c>
      <c r="V223" s="27" t="s">
        <v>60</v>
      </c>
      <c r="W223" s="27" t="s">
        <v>61</v>
      </c>
      <c r="X223" s="27" t="s">
        <v>3202</v>
      </c>
      <c r="Y223" s="27" t="s">
        <v>3203</v>
      </c>
      <c r="Z223" s="27" t="s">
        <v>630</v>
      </c>
      <c r="AA223" s="27" t="s">
        <v>631</v>
      </c>
      <c r="AB223" s="27" t="s">
        <v>541</v>
      </c>
      <c r="AC223" s="27" t="s">
        <v>3204</v>
      </c>
      <c r="AD223" s="27" t="s">
        <v>3205</v>
      </c>
      <c r="AE223" s="27" t="s">
        <v>110</v>
      </c>
      <c r="AF223" s="27" t="s">
        <v>3206</v>
      </c>
      <c r="AG223" s="27" t="s">
        <v>3207</v>
      </c>
      <c r="AH223" s="27" t="s">
        <v>3208</v>
      </c>
      <c r="AI223" s="27" t="s">
        <v>140</v>
      </c>
      <c r="AJ223" s="27" t="s">
        <v>50</v>
      </c>
      <c r="AK223" s="27" t="s">
        <v>50</v>
      </c>
      <c r="AL223" s="27" t="s">
        <v>3209</v>
      </c>
      <c r="AM223" s="34">
        <v>322100000</v>
      </c>
      <c r="AN223" s="34">
        <v>249095982</v>
      </c>
      <c r="AO223" s="34">
        <v>43112500</v>
      </c>
      <c r="AP223" s="34">
        <v>28498660</v>
      </c>
      <c r="AQ223" s="34">
        <v>0</v>
      </c>
      <c r="AR223" s="34">
        <v>0</v>
      </c>
      <c r="AS223" s="34">
        <v>11607143</v>
      </c>
      <c r="AT223" s="34">
        <v>309100000</v>
      </c>
      <c r="AU223" s="34">
        <v>0</v>
      </c>
      <c r="AV223" s="34">
        <v>-13000000</v>
      </c>
      <c r="AW223" s="27" t="s">
        <v>235</v>
      </c>
      <c r="AX223" s="27" t="s">
        <v>235</v>
      </c>
      <c r="AY223" s="27" t="s">
        <v>83</v>
      </c>
      <c r="AZ223" s="27">
        <v>1</v>
      </c>
      <c r="BA223" s="27"/>
      <c r="BB223" s="27" t="s">
        <v>210</v>
      </c>
      <c r="BC223" s="27" t="s">
        <v>3210</v>
      </c>
      <c r="BD223" s="27" t="s">
        <v>210</v>
      </c>
      <c r="BE223" s="27" t="s">
        <v>210</v>
      </c>
      <c r="BF223" s="27" t="s">
        <v>3211</v>
      </c>
      <c r="BG223" s="27" t="s">
        <v>3212</v>
      </c>
      <c r="BH223" s="27" t="s">
        <v>210</v>
      </c>
      <c r="BI223" s="27" t="s">
        <v>227</v>
      </c>
      <c r="BJ223" s="27" t="s">
        <v>240</v>
      </c>
      <c r="BK223" s="27" t="s">
        <v>216</v>
      </c>
      <c r="BL223" s="27" t="s">
        <v>3213</v>
      </c>
      <c r="BM223" s="35">
        <v>0</v>
      </c>
    </row>
    <row r="224" spans="1:65" s="1" customFormat="1" x14ac:dyDescent="0.2">
      <c r="A224" s="33">
        <v>1448</v>
      </c>
      <c r="B224" s="26">
        <v>146</v>
      </c>
      <c r="C224" s="27" t="s">
        <v>503</v>
      </c>
      <c r="D224" s="27" t="s">
        <v>3214</v>
      </c>
      <c r="E224" s="27" t="s">
        <v>217</v>
      </c>
      <c r="F224" s="27" t="s">
        <v>111</v>
      </c>
      <c r="G224" s="28">
        <v>2026</v>
      </c>
      <c r="H224" s="20" t="str">
        <f>VLOOKUP(U224,'[1]KODE TYPE standar'!$D:$U,17,0)</f>
        <v>INV ZENIX HYBRID</v>
      </c>
      <c r="I224" s="20" t="str">
        <f>VLOOKUP(U224,'[1]KODE TYPE standar'!$D:$U,16,0)</f>
        <v>INNOVA</v>
      </c>
      <c r="J224" s="20" t="str">
        <f>VLOOKUP(U224,'[1]KODE TYPE standar'!$D:$U,18,0)</f>
        <v>INNOVA ZENIX V A/T HYBRID</v>
      </c>
      <c r="K224" s="27" t="s">
        <v>120</v>
      </c>
      <c r="L224" s="27" t="s">
        <v>110</v>
      </c>
      <c r="M224" s="27" t="s">
        <v>262</v>
      </c>
      <c r="N224" s="27" t="s">
        <v>141</v>
      </c>
      <c r="O224" s="28" t="s">
        <v>156</v>
      </c>
      <c r="P224" s="29" t="s">
        <v>149</v>
      </c>
      <c r="Q224" s="29" t="s">
        <v>162</v>
      </c>
      <c r="R224" s="29" t="s">
        <v>318</v>
      </c>
      <c r="S224" s="27" t="s">
        <v>738</v>
      </c>
      <c r="T224" s="27" t="s">
        <v>585</v>
      </c>
      <c r="U224" s="27" t="s">
        <v>175</v>
      </c>
      <c r="V224" s="27" t="s">
        <v>48</v>
      </c>
      <c r="W224" s="27" t="s">
        <v>49</v>
      </c>
      <c r="X224" s="27" t="s">
        <v>3215</v>
      </c>
      <c r="Y224" s="27" t="s">
        <v>3216</v>
      </c>
      <c r="Z224" s="27" t="s">
        <v>737</v>
      </c>
      <c r="AA224" s="27" t="s">
        <v>738</v>
      </c>
      <c r="AB224" s="27" t="s">
        <v>585</v>
      </c>
      <c r="AC224" s="27" t="s">
        <v>3217</v>
      </c>
      <c r="AD224" s="27" t="s">
        <v>3218</v>
      </c>
      <c r="AE224" s="27" t="s">
        <v>110</v>
      </c>
      <c r="AF224" s="27" t="s">
        <v>3218</v>
      </c>
      <c r="AG224" s="27" t="s">
        <v>3219</v>
      </c>
      <c r="AH224" s="27" t="s">
        <v>1022</v>
      </c>
      <c r="AI224" s="27" t="s">
        <v>141</v>
      </c>
      <c r="AJ224" s="27" t="s">
        <v>262</v>
      </c>
      <c r="AK224" s="27" t="s">
        <v>816</v>
      </c>
      <c r="AL224" s="27" t="s">
        <v>3220</v>
      </c>
      <c r="AM224" s="34">
        <v>551900000</v>
      </c>
      <c r="AN224" s="34">
        <v>428627232</v>
      </c>
      <c r="AO224" s="34">
        <v>71837500</v>
      </c>
      <c r="AP224" s="34">
        <v>49292410</v>
      </c>
      <c r="AQ224" s="34">
        <v>0</v>
      </c>
      <c r="AR224" s="34">
        <v>0</v>
      </c>
      <c r="AS224" s="34">
        <v>17857143</v>
      </c>
      <c r="AT224" s="34">
        <v>531900000</v>
      </c>
      <c r="AU224" s="34">
        <v>0</v>
      </c>
      <c r="AV224" s="34">
        <v>-20000000</v>
      </c>
      <c r="AW224" s="27" t="s">
        <v>195</v>
      </c>
      <c r="AX224" s="27" t="s">
        <v>195</v>
      </c>
      <c r="AY224" s="27" t="s">
        <v>83</v>
      </c>
      <c r="AZ224" s="27">
        <v>1</v>
      </c>
      <c r="BA224" s="27" t="s">
        <v>163</v>
      </c>
      <c r="BB224" s="27" t="s">
        <v>201</v>
      </c>
      <c r="BC224" s="27" t="s">
        <v>3221</v>
      </c>
      <c r="BD224" s="27" t="s">
        <v>185</v>
      </c>
      <c r="BE224" s="27" t="s">
        <v>185</v>
      </c>
      <c r="BF224" s="27" t="s">
        <v>3222</v>
      </c>
      <c r="BG224" s="27" t="s">
        <v>3223</v>
      </c>
      <c r="BH224" s="27" t="s">
        <v>217</v>
      </c>
      <c r="BI224" s="27" t="s">
        <v>235</v>
      </c>
      <c r="BJ224" s="27" t="s">
        <v>250</v>
      </c>
      <c r="BK224" s="27" t="s">
        <v>182</v>
      </c>
      <c r="BL224" s="27" t="s">
        <v>3224</v>
      </c>
      <c r="BM224" s="35">
        <v>0</v>
      </c>
    </row>
    <row r="225" spans="1:65" s="1" customFormat="1" x14ac:dyDescent="0.2">
      <c r="A225" s="33">
        <v>1776</v>
      </c>
      <c r="B225" s="26">
        <v>146</v>
      </c>
      <c r="C225" s="27" t="s">
        <v>503</v>
      </c>
      <c r="D225" s="27" t="s">
        <v>3225</v>
      </c>
      <c r="E225" s="27" t="s">
        <v>218</v>
      </c>
      <c r="F225" s="27" t="s">
        <v>258</v>
      </c>
      <c r="G225" s="28">
        <v>2026</v>
      </c>
      <c r="H225" s="20" t="str">
        <f>VLOOKUP(U225,'[1]KODE TYPE standar'!$D:$U,17,0)</f>
        <v>INV REBORN</v>
      </c>
      <c r="I225" s="20" t="str">
        <f>VLOOKUP(U225,'[1]KODE TYPE standar'!$D:$U,16,0)</f>
        <v>INNOVA</v>
      </c>
      <c r="J225" s="20" t="str">
        <f>VLOOKUP(U225,'[1]KODE TYPE standar'!$D:$U,18,0)</f>
        <v>INNOVA G A/T DIESEL</v>
      </c>
      <c r="K225" s="27" t="s">
        <v>50</v>
      </c>
      <c r="L225" s="27" t="s">
        <v>110</v>
      </c>
      <c r="M225" s="27" t="s">
        <v>50</v>
      </c>
      <c r="N225" s="27" t="s">
        <v>141</v>
      </c>
      <c r="O225" s="28" t="s">
        <v>156</v>
      </c>
      <c r="P225" s="29" t="s">
        <v>149</v>
      </c>
      <c r="Q225" s="29" t="s">
        <v>161</v>
      </c>
      <c r="R225" s="29" t="s">
        <v>597</v>
      </c>
      <c r="S225" s="27" t="s">
        <v>601</v>
      </c>
      <c r="T225" s="27" t="s">
        <v>509</v>
      </c>
      <c r="U225" s="27" t="s">
        <v>192</v>
      </c>
      <c r="V225" s="27" t="s">
        <v>48</v>
      </c>
      <c r="W225" s="27" t="s">
        <v>49</v>
      </c>
      <c r="X225" s="27" t="s">
        <v>3226</v>
      </c>
      <c r="Y225" s="27" t="s">
        <v>3227</v>
      </c>
      <c r="Z225" s="27" t="s">
        <v>600</v>
      </c>
      <c r="AA225" s="27" t="s">
        <v>601</v>
      </c>
      <c r="AB225" s="27" t="s">
        <v>509</v>
      </c>
      <c r="AC225" s="27" t="s">
        <v>3228</v>
      </c>
      <c r="AD225" s="27" t="s">
        <v>3229</v>
      </c>
      <c r="AE225" s="27" t="s">
        <v>110</v>
      </c>
      <c r="AF225" s="27" t="s">
        <v>3229</v>
      </c>
      <c r="AG225" s="27" t="s">
        <v>3230</v>
      </c>
      <c r="AH225" s="27" t="s">
        <v>636</v>
      </c>
      <c r="AI225" s="27" t="s">
        <v>141</v>
      </c>
      <c r="AJ225" s="27" t="s">
        <v>50</v>
      </c>
      <c r="AK225" s="27" t="s">
        <v>50</v>
      </c>
      <c r="AL225" s="27" t="s">
        <v>3231</v>
      </c>
      <c r="AM225" s="34">
        <v>442100000</v>
      </c>
      <c r="AN225" s="34">
        <v>342845982</v>
      </c>
      <c r="AO225" s="34">
        <v>58112500</v>
      </c>
      <c r="AP225" s="34">
        <v>38366517</v>
      </c>
      <c r="AQ225" s="34">
        <v>0</v>
      </c>
      <c r="AR225" s="34">
        <v>0</v>
      </c>
      <c r="AS225" s="34">
        <v>23125000</v>
      </c>
      <c r="AT225" s="34">
        <v>416200000</v>
      </c>
      <c r="AU225" s="34">
        <v>0</v>
      </c>
      <c r="AV225" s="34">
        <v>-25900000</v>
      </c>
      <c r="AW225" s="27"/>
      <c r="AX225" s="27"/>
      <c r="AY225" s="27" t="s">
        <v>83</v>
      </c>
      <c r="AZ225" s="27">
        <v>1</v>
      </c>
      <c r="BA225" s="27" t="s">
        <v>163</v>
      </c>
      <c r="BB225" s="27" t="s">
        <v>191</v>
      </c>
      <c r="BC225" s="27" t="s">
        <v>3232</v>
      </c>
      <c r="BD225" s="27" t="s">
        <v>191</v>
      </c>
      <c r="BE225" s="27" t="s">
        <v>191</v>
      </c>
      <c r="BF225" s="27" t="s">
        <v>3233</v>
      </c>
      <c r="BG225" s="27" t="s">
        <v>3234</v>
      </c>
      <c r="BH225" s="27" t="s">
        <v>218</v>
      </c>
      <c r="BI225" s="27" t="s">
        <v>228</v>
      </c>
      <c r="BJ225" s="27" t="s">
        <v>3235</v>
      </c>
      <c r="BK225" s="27" t="s">
        <v>210</v>
      </c>
      <c r="BL225" s="27" t="s">
        <v>3236</v>
      </c>
      <c r="BM225" s="35">
        <v>0</v>
      </c>
    </row>
    <row r="226" spans="1:65" s="1" customFormat="1" x14ac:dyDescent="0.2">
      <c r="A226" s="25">
        <v>1292</v>
      </c>
      <c r="B226" s="26">
        <v>146</v>
      </c>
      <c r="C226" s="27" t="s">
        <v>503</v>
      </c>
      <c r="D226" s="28" t="s">
        <v>3237</v>
      </c>
      <c r="E226" s="28" t="s">
        <v>348</v>
      </c>
      <c r="F226" s="28" t="s">
        <v>339</v>
      </c>
      <c r="G226" s="28">
        <v>2026</v>
      </c>
      <c r="H226" s="20" t="str">
        <f>VLOOKUP(U226,'[1]KODE TYPE standar'!$D:$U,17,0)</f>
        <v>HILUX</v>
      </c>
      <c r="I226" s="20" t="str">
        <f>VLOOKUP(U226,'[1]KODE TYPE standar'!$D:$U,16,0)</f>
        <v>HILUX</v>
      </c>
      <c r="J226" s="20" t="str">
        <f>VLOOKUP(U226,'[1]KODE TYPE standar'!$D:$U,18,0)</f>
        <v>HILUX DC V A/T DIESEL</v>
      </c>
      <c r="K226" s="27" t="s">
        <v>118</v>
      </c>
      <c r="L226" s="28" t="s">
        <v>110</v>
      </c>
      <c r="M226" s="28" t="s">
        <v>262</v>
      </c>
      <c r="N226" s="28" t="s">
        <v>106</v>
      </c>
      <c r="O226" s="28" t="s">
        <v>156</v>
      </c>
      <c r="P226" s="29" t="s">
        <v>149</v>
      </c>
      <c r="Q226" s="29" t="s">
        <v>161</v>
      </c>
      <c r="R226" s="29" t="s">
        <v>2197</v>
      </c>
      <c r="S226" s="27" t="s">
        <v>601</v>
      </c>
      <c r="T226" s="30" t="s">
        <v>509</v>
      </c>
      <c r="U226" s="27" t="s">
        <v>113</v>
      </c>
      <c r="V226" s="27" t="s">
        <v>283</v>
      </c>
      <c r="W226" s="27" t="s">
        <v>284</v>
      </c>
      <c r="X226" s="27" t="s">
        <v>3238</v>
      </c>
      <c r="Y226" s="27" t="s">
        <v>3239</v>
      </c>
      <c r="Z226" s="27" t="s">
        <v>600</v>
      </c>
      <c r="AA226" s="27" t="s">
        <v>601</v>
      </c>
      <c r="AB226" s="30" t="s">
        <v>509</v>
      </c>
      <c r="AC226" s="30" t="s">
        <v>3240</v>
      </c>
      <c r="AD226" s="28" t="s">
        <v>3241</v>
      </c>
      <c r="AE226" s="28" t="s">
        <v>110</v>
      </c>
      <c r="AF226" s="28" t="s">
        <v>3242</v>
      </c>
      <c r="AG226" s="28" t="s">
        <v>3243</v>
      </c>
      <c r="AH226" s="28" t="s">
        <v>3244</v>
      </c>
      <c r="AI226" s="28" t="s">
        <v>106</v>
      </c>
      <c r="AJ226" s="28" t="s">
        <v>262</v>
      </c>
      <c r="AK226" s="28" t="s">
        <v>63</v>
      </c>
      <c r="AL226" s="28"/>
      <c r="AM226" s="31">
        <v>545800000</v>
      </c>
      <c r="AN226" s="31">
        <v>421540179</v>
      </c>
      <c r="AO226" s="31">
        <v>73675000</v>
      </c>
      <c r="AP226" s="31">
        <v>47799107</v>
      </c>
      <c r="AQ226" s="31">
        <v>0</v>
      </c>
      <c r="AR226" s="31">
        <v>0</v>
      </c>
      <c r="AS226" s="31">
        <v>23214286</v>
      </c>
      <c r="AT226" s="31">
        <v>519800000</v>
      </c>
      <c r="AU226" s="31">
        <v>73407750</v>
      </c>
      <c r="AV226" s="31">
        <v>-26000000</v>
      </c>
      <c r="AW226" s="28"/>
      <c r="AX226" s="28"/>
      <c r="AY226" s="28" t="s">
        <v>83</v>
      </c>
      <c r="AZ226" s="28">
        <v>1</v>
      </c>
      <c r="BA226" s="28" t="s">
        <v>3245</v>
      </c>
      <c r="BB226" s="28" t="s">
        <v>252</v>
      </c>
      <c r="BC226" s="28" t="s">
        <v>3246</v>
      </c>
      <c r="BD226" s="28" t="s">
        <v>254</v>
      </c>
      <c r="BE226" s="28" t="s">
        <v>254</v>
      </c>
      <c r="BF226" s="28" t="s">
        <v>3247</v>
      </c>
      <c r="BG226" s="28" t="s">
        <v>3248</v>
      </c>
      <c r="BH226" s="28" t="s">
        <v>348</v>
      </c>
      <c r="BI226" s="28" t="s">
        <v>358</v>
      </c>
      <c r="BJ226" s="28" t="s">
        <v>3249</v>
      </c>
      <c r="BK226" s="28" t="s">
        <v>244</v>
      </c>
      <c r="BL226" s="28" t="s">
        <v>3250</v>
      </c>
      <c r="BM226" s="32">
        <v>0</v>
      </c>
    </row>
    <row r="227" spans="1:65" s="1" customFormat="1" x14ac:dyDescent="0.2">
      <c r="A227" s="33">
        <v>1824</v>
      </c>
      <c r="B227" s="26">
        <v>146</v>
      </c>
      <c r="C227" s="36" t="s">
        <v>503</v>
      </c>
      <c r="D227" s="27" t="s">
        <v>3251</v>
      </c>
      <c r="E227" s="27" t="s">
        <v>395</v>
      </c>
      <c r="F227" s="27" t="s">
        <v>389</v>
      </c>
      <c r="G227" s="28">
        <v>2026</v>
      </c>
      <c r="H227" s="20" t="str">
        <f>VLOOKUP(U227,'[1]KODE TYPE standar'!$D:$U,17,0)</f>
        <v>VELOZ</v>
      </c>
      <c r="I227" s="20" t="str">
        <f>VLOOKUP(U227,'[1]KODE TYPE standar'!$D:$U,16,0)</f>
        <v>VELOZ</v>
      </c>
      <c r="J227" s="20" t="str">
        <f>VLOOKUP(U227,'[1]KODE TYPE standar'!$D:$U,18,0)</f>
        <v>VELOZ V AT HYBRID</v>
      </c>
      <c r="K227" s="27" t="s">
        <v>118</v>
      </c>
      <c r="L227" s="27" t="s">
        <v>110</v>
      </c>
      <c r="M227" s="27" t="s">
        <v>262</v>
      </c>
      <c r="N227" s="27" t="s">
        <v>141</v>
      </c>
      <c r="O227" s="28" t="s">
        <v>156</v>
      </c>
      <c r="P227" s="29" t="s">
        <v>150</v>
      </c>
      <c r="Q227" s="29" t="s">
        <v>162</v>
      </c>
      <c r="R227" s="29" t="s">
        <v>1264</v>
      </c>
      <c r="S227" s="27" t="s">
        <v>1373</v>
      </c>
      <c r="T227" s="27" t="s">
        <v>509</v>
      </c>
      <c r="U227" s="27" t="s">
        <v>327</v>
      </c>
      <c r="V227" s="27" t="s">
        <v>64</v>
      </c>
      <c r="W227" s="27" t="s">
        <v>65</v>
      </c>
      <c r="X227" s="27" t="s">
        <v>3252</v>
      </c>
      <c r="Y227" s="27" t="s">
        <v>3253</v>
      </c>
      <c r="Z227" s="27" t="s">
        <v>1372</v>
      </c>
      <c r="AA227" s="27" t="s">
        <v>1373</v>
      </c>
      <c r="AB227" s="27" t="s">
        <v>509</v>
      </c>
      <c r="AC227" s="27" t="s">
        <v>3254</v>
      </c>
      <c r="AD227" s="27" t="s">
        <v>3255</v>
      </c>
      <c r="AE227" s="27" t="s">
        <v>110</v>
      </c>
      <c r="AF227" s="27" t="s">
        <v>3255</v>
      </c>
      <c r="AG227" s="27" t="s">
        <v>3256</v>
      </c>
      <c r="AH227" s="27" t="s">
        <v>1757</v>
      </c>
      <c r="AI227" s="27" t="s">
        <v>141</v>
      </c>
      <c r="AJ227" s="27" t="s">
        <v>262</v>
      </c>
      <c r="AK227" s="27" t="s">
        <v>63</v>
      </c>
      <c r="AL227" s="27"/>
      <c r="AM227" s="34">
        <v>303000000</v>
      </c>
      <c r="AN227" s="34">
        <v>233950893</v>
      </c>
      <c r="AO227" s="34">
        <v>40975000</v>
      </c>
      <c r="AP227" s="34">
        <v>28074107</v>
      </c>
      <c r="AQ227" s="34">
        <v>0</v>
      </c>
      <c r="AR227" s="34">
        <v>0</v>
      </c>
      <c r="AS227" s="34">
        <v>0</v>
      </c>
      <c r="AT227" s="34">
        <v>303000000</v>
      </c>
      <c r="AU227" s="34">
        <v>0</v>
      </c>
      <c r="AV227" s="34">
        <v>0</v>
      </c>
      <c r="AW227" s="27" t="s">
        <v>342</v>
      </c>
      <c r="AX227" s="27" t="s">
        <v>342</v>
      </c>
      <c r="AY227" s="27" t="s">
        <v>83</v>
      </c>
      <c r="AZ227" s="27">
        <v>1</v>
      </c>
      <c r="BA227" s="27"/>
      <c r="BB227" s="27" t="s">
        <v>395</v>
      </c>
      <c r="BC227" s="27" t="s">
        <v>3257</v>
      </c>
      <c r="BD227" s="27" t="s">
        <v>398</v>
      </c>
      <c r="BE227" s="27" t="s">
        <v>398</v>
      </c>
      <c r="BF227" s="27" t="s">
        <v>3258</v>
      </c>
      <c r="BG227" s="27" t="s">
        <v>3259</v>
      </c>
      <c r="BH227" s="27" t="s">
        <v>395</v>
      </c>
      <c r="BI227" s="27" t="s">
        <v>407</v>
      </c>
      <c r="BJ227" s="27" t="s">
        <v>3260</v>
      </c>
      <c r="BK227" s="27" t="s">
        <v>394</v>
      </c>
      <c r="BL227" s="27" t="s">
        <v>3261</v>
      </c>
      <c r="BM227" s="35">
        <v>0</v>
      </c>
    </row>
    <row r="228" spans="1:65" s="1" customFormat="1" x14ac:dyDescent="0.2">
      <c r="A228" s="33">
        <v>1853</v>
      </c>
      <c r="B228" s="26">
        <v>146</v>
      </c>
      <c r="C228" s="36" t="s">
        <v>503</v>
      </c>
      <c r="D228" s="27" t="s">
        <v>3262</v>
      </c>
      <c r="E228" s="27" t="s">
        <v>404</v>
      </c>
      <c r="F228" s="27" t="s">
        <v>389</v>
      </c>
      <c r="G228" s="28">
        <v>2026</v>
      </c>
      <c r="H228" s="20" t="str">
        <f>VLOOKUP(U228,'[1]KODE TYPE standar'!$D:$U,17,0)</f>
        <v>VELOZ</v>
      </c>
      <c r="I228" s="20" t="str">
        <f>VLOOKUP(U228,'[1]KODE TYPE standar'!$D:$U,16,0)</f>
        <v>VELOZ</v>
      </c>
      <c r="J228" s="20" t="str">
        <f>VLOOKUP(U228,'[1]KODE TYPE standar'!$D:$U,18,0)</f>
        <v>VELOZ V AT HYBRID</v>
      </c>
      <c r="K228" s="27" t="s">
        <v>50</v>
      </c>
      <c r="L228" s="27" t="s">
        <v>110</v>
      </c>
      <c r="M228" s="27" t="s">
        <v>50</v>
      </c>
      <c r="N228" s="27" t="s">
        <v>106</v>
      </c>
      <c r="O228" s="28" t="s">
        <v>156</v>
      </c>
      <c r="P228" s="29" t="s">
        <v>536</v>
      </c>
      <c r="Q228" s="29" t="s">
        <v>147</v>
      </c>
      <c r="R228" s="29" t="s">
        <v>148</v>
      </c>
      <c r="S228" s="27" t="s">
        <v>923</v>
      </c>
      <c r="T228" s="27" t="s">
        <v>541</v>
      </c>
      <c r="U228" s="27" t="s">
        <v>335</v>
      </c>
      <c r="V228" s="27" t="s">
        <v>51</v>
      </c>
      <c r="W228" s="27" t="s">
        <v>286</v>
      </c>
      <c r="X228" s="27" t="s">
        <v>3263</v>
      </c>
      <c r="Y228" s="27" t="s">
        <v>3264</v>
      </c>
      <c r="Z228" s="27" t="s">
        <v>922</v>
      </c>
      <c r="AA228" s="27" t="s">
        <v>923</v>
      </c>
      <c r="AB228" s="27" t="s">
        <v>541</v>
      </c>
      <c r="AC228" s="27" t="s">
        <v>3265</v>
      </c>
      <c r="AD228" s="27" t="s">
        <v>3266</v>
      </c>
      <c r="AE228" s="27" t="s">
        <v>110</v>
      </c>
      <c r="AF228" s="27" t="s">
        <v>3267</v>
      </c>
      <c r="AG228" s="27" t="s">
        <v>3268</v>
      </c>
      <c r="AH228" s="27" t="s">
        <v>3269</v>
      </c>
      <c r="AI228" s="27" t="s">
        <v>106</v>
      </c>
      <c r="AJ228" s="27" t="s">
        <v>50</v>
      </c>
      <c r="AK228" s="27" t="s">
        <v>50</v>
      </c>
      <c r="AL228" s="27"/>
      <c r="AM228" s="34">
        <v>304500000</v>
      </c>
      <c r="AN228" s="34">
        <v>235122768</v>
      </c>
      <c r="AO228" s="34">
        <v>41162500</v>
      </c>
      <c r="AP228" s="34">
        <v>28214732</v>
      </c>
      <c r="AQ228" s="34">
        <v>0</v>
      </c>
      <c r="AR228" s="34">
        <v>0</v>
      </c>
      <c r="AS228" s="34">
        <v>0</v>
      </c>
      <c r="AT228" s="34">
        <v>304500000</v>
      </c>
      <c r="AU228" s="34">
        <v>0</v>
      </c>
      <c r="AV228" s="34">
        <v>0</v>
      </c>
      <c r="AW228" s="27" t="s">
        <v>393</v>
      </c>
      <c r="AX228" s="27" t="s">
        <v>393</v>
      </c>
      <c r="AY228" s="27" t="s">
        <v>83</v>
      </c>
      <c r="AZ228" s="27">
        <v>1</v>
      </c>
      <c r="BA228" s="27"/>
      <c r="BB228" s="27" t="s">
        <v>404</v>
      </c>
      <c r="BC228" s="27" t="s">
        <v>3270</v>
      </c>
      <c r="BD228" s="27" t="s">
        <v>2310</v>
      </c>
      <c r="BE228" s="27" t="s">
        <v>2310</v>
      </c>
      <c r="BF228" s="27" t="s">
        <v>3271</v>
      </c>
      <c r="BG228" s="27" t="s">
        <v>3272</v>
      </c>
      <c r="BH228" s="27" t="s">
        <v>404</v>
      </c>
      <c r="BI228" s="27" t="s">
        <v>392</v>
      </c>
      <c r="BJ228" s="27" t="s">
        <v>3273</v>
      </c>
      <c r="BK228" s="27" t="s">
        <v>394</v>
      </c>
      <c r="BL228" s="27" t="s">
        <v>3274</v>
      </c>
      <c r="BM228" s="35">
        <v>0</v>
      </c>
    </row>
    <row r="229" spans="1:65" s="1" customFormat="1" x14ac:dyDescent="0.2">
      <c r="A229" s="33">
        <v>1863</v>
      </c>
      <c r="B229" s="26">
        <v>146</v>
      </c>
      <c r="C229" s="36" t="s">
        <v>503</v>
      </c>
      <c r="D229" s="27" t="s">
        <v>3275</v>
      </c>
      <c r="E229" s="27" t="s">
        <v>366</v>
      </c>
      <c r="F229" s="27" t="s">
        <v>389</v>
      </c>
      <c r="G229" s="28">
        <v>2026</v>
      </c>
      <c r="H229" s="20" t="str">
        <f>VLOOKUP(U229,'[1]KODE TYPE standar'!$D:$U,17,0)</f>
        <v>FORTUNER</v>
      </c>
      <c r="I229" s="20" t="str">
        <f>VLOOKUP(U229,'[1]KODE TYPE standar'!$D:$U,16,0)</f>
        <v>FORTUNER</v>
      </c>
      <c r="J229" s="20" t="str">
        <f>VLOOKUP(U229,'[1]KODE TYPE standar'!$D:$U,18,0)</f>
        <v>FORTUNER 4X2 VRZ A/T DIESEL</v>
      </c>
      <c r="K229" s="27" t="s">
        <v>119</v>
      </c>
      <c r="L229" s="27" t="s">
        <v>110</v>
      </c>
      <c r="M229" s="27" t="s">
        <v>262</v>
      </c>
      <c r="N229" s="27" t="s">
        <v>141</v>
      </c>
      <c r="O229" s="28" t="s">
        <v>156</v>
      </c>
      <c r="P229" s="29" t="s">
        <v>151</v>
      </c>
      <c r="Q229" s="29" t="s">
        <v>162</v>
      </c>
      <c r="R229" s="29" t="s">
        <v>145</v>
      </c>
      <c r="S229" s="27" t="s">
        <v>923</v>
      </c>
      <c r="T229" s="27" t="s">
        <v>541</v>
      </c>
      <c r="U229" s="27" t="s">
        <v>123</v>
      </c>
      <c r="V229" s="27" t="s">
        <v>114</v>
      </c>
      <c r="W229" s="27" t="s">
        <v>115</v>
      </c>
      <c r="X229" s="27" t="s">
        <v>3276</v>
      </c>
      <c r="Y229" s="27" t="s">
        <v>3277</v>
      </c>
      <c r="Z229" s="27" t="s">
        <v>922</v>
      </c>
      <c r="AA229" s="27" t="s">
        <v>923</v>
      </c>
      <c r="AB229" s="27" t="s">
        <v>541</v>
      </c>
      <c r="AC229" s="27" t="s">
        <v>3278</v>
      </c>
      <c r="AD229" s="27" t="s">
        <v>3279</v>
      </c>
      <c r="AE229" s="27" t="s">
        <v>110</v>
      </c>
      <c r="AF229" s="27" t="s">
        <v>3279</v>
      </c>
      <c r="AG229" s="27" t="s">
        <v>3280</v>
      </c>
      <c r="AH229" s="27" t="s">
        <v>1442</v>
      </c>
      <c r="AI229" s="27" t="s">
        <v>141</v>
      </c>
      <c r="AJ229" s="27" t="s">
        <v>262</v>
      </c>
      <c r="AK229" s="27" t="s">
        <v>89</v>
      </c>
      <c r="AL229" s="27"/>
      <c r="AM229" s="34">
        <v>684700000</v>
      </c>
      <c r="AN229" s="34">
        <v>532154018</v>
      </c>
      <c r="AO229" s="34">
        <v>88687500</v>
      </c>
      <c r="AP229" s="34">
        <v>60537053</v>
      </c>
      <c r="AQ229" s="34">
        <v>0</v>
      </c>
      <c r="AR229" s="34">
        <v>0</v>
      </c>
      <c r="AS229" s="34">
        <v>27678571</v>
      </c>
      <c r="AT229" s="34">
        <v>653700000</v>
      </c>
      <c r="AU229" s="34">
        <v>4000000</v>
      </c>
      <c r="AV229" s="34">
        <v>-31000000</v>
      </c>
      <c r="AW229" s="27"/>
      <c r="AX229" s="27"/>
      <c r="AY229" s="27" t="s">
        <v>83</v>
      </c>
      <c r="AZ229" s="27">
        <v>1</v>
      </c>
      <c r="BA229" s="27"/>
      <c r="BB229" s="27" t="s">
        <v>395</v>
      </c>
      <c r="BC229" s="27" t="s">
        <v>3281</v>
      </c>
      <c r="BD229" s="27" t="s">
        <v>282</v>
      </c>
      <c r="BE229" s="27" t="s">
        <v>282</v>
      </c>
      <c r="BF229" s="27" t="s">
        <v>3282</v>
      </c>
      <c r="BG229" s="27" t="s">
        <v>3283</v>
      </c>
      <c r="BH229" s="27" t="s">
        <v>366</v>
      </c>
      <c r="BI229" s="27" t="s">
        <v>396</v>
      </c>
      <c r="BJ229" s="27" t="s">
        <v>3284</v>
      </c>
      <c r="BK229" s="27" t="s">
        <v>391</v>
      </c>
      <c r="BL229" s="27" t="s">
        <v>3285</v>
      </c>
      <c r="BM229" s="35">
        <v>0</v>
      </c>
    </row>
    <row r="230" spans="1:65" s="1" customFormat="1" x14ac:dyDescent="0.2">
      <c r="A230" s="25">
        <v>1337</v>
      </c>
      <c r="B230" s="26">
        <v>146</v>
      </c>
      <c r="C230" s="27" t="s">
        <v>503</v>
      </c>
      <c r="D230" s="28" t="s">
        <v>3286</v>
      </c>
      <c r="E230" s="28" t="s">
        <v>263</v>
      </c>
      <c r="F230" s="28" t="s">
        <v>339</v>
      </c>
      <c r="G230" s="28">
        <v>2026</v>
      </c>
      <c r="H230" s="20" t="str">
        <f>VLOOKUP(U230,'[1]KODE TYPE standar'!$D:$U,17,0)</f>
        <v>CALYA</v>
      </c>
      <c r="I230" s="20" t="str">
        <f>VLOOKUP(U230,'[1]KODE TYPE standar'!$D:$U,16,0)</f>
        <v>CALYA</v>
      </c>
      <c r="J230" s="20" t="str">
        <f>VLOOKUP(U230,'[1]KODE TYPE standar'!$D:$U,18,0)</f>
        <v>CALYA G M/T</v>
      </c>
      <c r="K230" s="27" t="s">
        <v>120</v>
      </c>
      <c r="L230" s="28" t="s">
        <v>110</v>
      </c>
      <c r="M230" s="28" t="s">
        <v>262</v>
      </c>
      <c r="N230" s="28" t="s">
        <v>140</v>
      </c>
      <c r="O230" s="28" t="s">
        <v>156</v>
      </c>
      <c r="P230" s="29" t="s">
        <v>536</v>
      </c>
      <c r="Q230" s="29" t="s">
        <v>161</v>
      </c>
      <c r="R230" s="29" t="s">
        <v>145</v>
      </c>
      <c r="S230" s="28" t="s">
        <v>631</v>
      </c>
      <c r="T230" s="28" t="s">
        <v>541</v>
      </c>
      <c r="U230" s="27" t="s">
        <v>268</v>
      </c>
      <c r="V230" s="27" t="s">
        <v>77</v>
      </c>
      <c r="W230" s="27" t="s">
        <v>78</v>
      </c>
      <c r="X230" s="28" t="s">
        <v>3287</v>
      </c>
      <c r="Y230" s="27" t="s">
        <v>3288</v>
      </c>
      <c r="Z230" s="28" t="s">
        <v>630</v>
      </c>
      <c r="AA230" s="28" t="s">
        <v>631</v>
      </c>
      <c r="AB230" s="28" t="s">
        <v>541</v>
      </c>
      <c r="AC230" s="28" t="s">
        <v>3289</v>
      </c>
      <c r="AD230" s="28" t="s">
        <v>3290</v>
      </c>
      <c r="AE230" s="28" t="s">
        <v>110</v>
      </c>
      <c r="AF230" s="28" t="s">
        <v>3290</v>
      </c>
      <c r="AG230" s="28" t="s">
        <v>3291</v>
      </c>
      <c r="AH230" s="28" t="s">
        <v>3292</v>
      </c>
      <c r="AI230" s="28" t="s">
        <v>140</v>
      </c>
      <c r="AJ230" s="28" t="s">
        <v>262</v>
      </c>
      <c r="AK230" s="28" t="s">
        <v>423</v>
      </c>
      <c r="AL230" s="28" t="s">
        <v>3293</v>
      </c>
      <c r="AM230" s="31">
        <v>181900000</v>
      </c>
      <c r="AN230" s="31">
        <v>139341518</v>
      </c>
      <c r="AO230" s="31">
        <v>25837500</v>
      </c>
      <c r="AP230" s="31">
        <v>15542410</v>
      </c>
      <c r="AQ230" s="31">
        <v>0</v>
      </c>
      <c r="AR230" s="31">
        <v>0</v>
      </c>
      <c r="AS230" s="31">
        <v>9821429</v>
      </c>
      <c r="AT230" s="31">
        <v>170900000</v>
      </c>
      <c r="AU230" s="31">
        <v>0</v>
      </c>
      <c r="AV230" s="31">
        <v>-11000000</v>
      </c>
      <c r="AW230" s="28" t="s">
        <v>255</v>
      </c>
      <c r="AX230" s="28" t="s">
        <v>255</v>
      </c>
      <c r="AY230" s="28" t="s">
        <v>83</v>
      </c>
      <c r="AZ230" s="28">
        <v>1</v>
      </c>
      <c r="BA230" s="28"/>
      <c r="BB230" s="28" t="s">
        <v>227</v>
      </c>
      <c r="BC230" s="28" t="s">
        <v>3294</v>
      </c>
      <c r="BD230" s="28" t="s">
        <v>230</v>
      </c>
      <c r="BE230" s="28" t="s">
        <v>230</v>
      </c>
      <c r="BF230" s="28" t="s">
        <v>3295</v>
      </c>
      <c r="BG230" s="28" t="s">
        <v>3296</v>
      </c>
      <c r="BH230" s="28" t="s">
        <v>263</v>
      </c>
      <c r="BI230" s="28" t="s">
        <v>348</v>
      </c>
      <c r="BJ230" s="28" t="s">
        <v>835</v>
      </c>
      <c r="BK230" s="28" t="s">
        <v>237</v>
      </c>
      <c r="BL230" s="28" t="s">
        <v>3297</v>
      </c>
      <c r="BM230" s="32">
        <v>0</v>
      </c>
    </row>
    <row r="231" spans="1:65" s="1" customFormat="1" x14ac:dyDescent="0.2">
      <c r="A231" s="33">
        <v>1875</v>
      </c>
      <c r="B231" s="26">
        <v>146</v>
      </c>
      <c r="C231" s="36" t="s">
        <v>503</v>
      </c>
      <c r="D231" s="27" t="s">
        <v>3298</v>
      </c>
      <c r="E231" s="27" t="s">
        <v>344</v>
      </c>
      <c r="F231" s="27" t="s">
        <v>389</v>
      </c>
      <c r="G231" s="28">
        <v>2026</v>
      </c>
      <c r="H231" s="20" t="str">
        <f>VLOOKUP(U231,'[1]KODE TYPE standar'!$D:$U,17,0)</f>
        <v>INV REBORN</v>
      </c>
      <c r="I231" s="20" t="str">
        <f>VLOOKUP(U231,'[1]KODE TYPE standar'!$D:$U,16,0)</f>
        <v>INNOVA</v>
      </c>
      <c r="J231" s="20" t="str">
        <f>VLOOKUP(U231,'[1]KODE TYPE standar'!$D:$U,18,0)</f>
        <v>INNOVA G A/T DIESEL</v>
      </c>
      <c r="K231" s="27" t="s">
        <v>118</v>
      </c>
      <c r="L231" s="27" t="s">
        <v>109</v>
      </c>
      <c r="M231" s="27" t="s">
        <v>262</v>
      </c>
      <c r="N231" s="27" t="s">
        <v>140</v>
      </c>
      <c r="O231" s="28" t="s">
        <v>156</v>
      </c>
      <c r="P231" s="29" t="s">
        <v>149</v>
      </c>
      <c r="Q231" s="29" t="s">
        <v>162</v>
      </c>
      <c r="R231" s="29" t="s">
        <v>109</v>
      </c>
      <c r="S231" s="27" t="s">
        <v>923</v>
      </c>
      <c r="T231" s="27" t="s">
        <v>541</v>
      </c>
      <c r="U231" s="27" t="s">
        <v>192</v>
      </c>
      <c r="V231" s="27" t="s">
        <v>283</v>
      </c>
      <c r="W231" s="27" t="s">
        <v>284</v>
      </c>
      <c r="X231" s="27" t="s">
        <v>3299</v>
      </c>
      <c r="Y231" s="27" t="s">
        <v>3300</v>
      </c>
      <c r="Z231" s="27" t="s">
        <v>922</v>
      </c>
      <c r="AA231" s="27" t="s">
        <v>923</v>
      </c>
      <c r="AB231" s="27" t="s">
        <v>541</v>
      </c>
      <c r="AC231" s="27" t="s">
        <v>3301</v>
      </c>
      <c r="AD231" s="27" t="s">
        <v>3302</v>
      </c>
      <c r="AE231" s="27" t="s">
        <v>109</v>
      </c>
      <c r="AF231" s="27" t="s">
        <v>3303</v>
      </c>
      <c r="AG231" s="27" t="s">
        <v>3304</v>
      </c>
      <c r="AH231" s="27" t="s">
        <v>1970</v>
      </c>
      <c r="AI231" s="27" t="s">
        <v>140</v>
      </c>
      <c r="AJ231" s="27" t="s">
        <v>262</v>
      </c>
      <c r="AK231" s="27" t="s">
        <v>63</v>
      </c>
      <c r="AL231" s="27"/>
      <c r="AM231" s="34">
        <v>442100000</v>
      </c>
      <c r="AN231" s="34">
        <v>342622768</v>
      </c>
      <c r="AO231" s="34">
        <v>58362500</v>
      </c>
      <c r="AP231" s="34">
        <v>38757589</v>
      </c>
      <c r="AQ231" s="34">
        <v>0</v>
      </c>
      <c r="AR231" s="34">
        <v>0</v>
      </c>
      <c r="AS231" s="34">
        <v>19642857</v>
      </c>
      <c r="AT231" s="34">
        <v>420100000</v>
      </c>
      <c r="AU231" s="34">
        <v>3000000</v>
      </c>
      <c r="AV231" s="34">
        <v>-22000000</v>
      </c>
      <c r="AW231" s="27"/>
      <c r="AX231" s="27"/>
      <c r="AY231" s="27" t="s">
        <v>83</v>
      </c>
      <c r="AZ231" s="27">
        <v>1</v>
      </c>
      <c r="BA231" s="27"/>
      <c r="BB231" s="27" t="s">
        <v>2310</v>
      </c>
      <c r="BC231" s="27" t="s">
        <v>3305</v>
      </c>
      <c r="BD231" s="27" t="s">
        <v>367</v>
      </c>
      <c r="BE231" s="27" t="s">
        <v>367</v>
      </c>
      <c r="BF231" s="27" t="s">
        <v>3306</v>
      </c>
      <c r="BG231" s="27" t="s">
        <v>3307</v>
      </c>
      <c r="BH231" s="27"/>
      <c r="BI231" s="27" t="s">
        <v>390</v>
      </c>
      <c r="BJ231" s="27" t="s">
        <v>3308</v>
      </c>
      <c r="BK231" s="27" t="s">
        <v>344</v>
      </c>
      <c r="BL231" s="27" t="s">
        <v>3309</v>
      </c>
      <c r="BM231" s="35">
        <v>0</v>
      </c>
    </row>
    <row r="232" spans="1:65" s="1" customFormat="1" x14ac:dyDescent="0.2">
      <c r="A232" s="33">
        <v>1521</v>
      </c>
      <c r="B232" s="26">
        <v>146</v>
      </c>
      <c r="C232" s="27" t="s">
        <v>503</v>
      </c>
      <c r="D232" s="27" t="s">
        <v>3310</v>
      </c>
      <c r="E232" s="27" t="s">
        <v>182</v>
      </c>
      <c r="F232" s="27" t="s">
        <v>111</v>
      </c>
      <c r="G232" s="28">
        <v>2026</v>
      </c>
      <c r="H232" s="20" t="str">
        <f>VLOOKUP(U232,'[1]KODE TYPE standar'!$D:$U,17,0)</f>
        <v>YARIS</v>
      </c>
      <c r="I232" s="20" t="str">
        <f>VLOOKUP(U232,'[1]KODE TYPE standar'!$D:$U,16,0)</f>
        <v>YARIS</v>
      </c>
      <c r="J232" s="20" t="str">
        <f>VLOOKUP(U232,'[1]KODE TYPE standar'!$D:$U,18,0)</f>
        <v>YARIS CROSS S A/T</v>
      </c>
      <c r="K232" s="27" t="s">
        <v>118</v>
      </c>
      <c r="L232" s="27" t="s">
        <v>110</v>
      </c>
      <c r="M232" s="27" t="s">
        <v>262</v>
      </c>
      <c r="N232" s="27" t="s">
        <v>157</v>
      </c>
      <c r="O232" s="28" t="s">
        <v>6581</v>
      </c>
      <c r="P232" s="29" t="s">
        <v>149</v>
      </c>
      <c r="Q232" s="29" t="s">
        <v>162</v>
      </c>
      <c r="R232" s="29" t="s">
        <v>318</v>
      </c>
      <c r="S232" s="27" t="s">
        <v>738</v>
      </c>
      <c r="T232" s="27" t="s">
        <v>585</v>
      </c>
      <c r="U232" s="27" t="s">
        <v>172</v>
      </c>
      <c r="V232" s="27" t="s">
        <v>114</v>
      </c>
      <c r="W232" s="27" t="s">
        <v>115</v>
      </c>
      <c r="X232" s="27" t="s">
        <v>3311</v>
      </c>
      <c r="Y232" s="27" t="s">
        <v>3312</v>
      </c>
      <c r="Z232" s="27" t="s">
        <v>737</v>
      </c>
      <c r="AA232" s="27" t="s">
        <v>738</v>
      </c>
      <c r="AB232" s="27" t="s">
        <v>585</v>
      </c>
      <c r="AC232" s="27" t="s">
        <v>3313</v>
      </c>
      <c r="AD232" s="27" t="s">
        <v>3314</v>
      </c>
      <c r="AE232" s="27" t="s">
        <v>110</v>
      </c>
      <c r="AF232" s="27" t="s">
        <v>3315</v>
      </c>
      <c r="AG232" s="27" t="s">
        <v>3316</v>
      </c>
      <c r="AH232" s="27" t="s">
        <v>3317</v>
      </c>
      <c r="AI232" s="27" t="s">
        <v>157</v>
      </c>
      <c r="AJ232" s="27" t="s">
        <v>262</v>
      </c>
      <c r="AK232" s="27" t="s">
        <v>63</v>
      </c>
      <c r="AL232" s="27" t="s">
        <v>3318</v>
      </c>
      <c r="AM232" s="34">
        <v>465500000</v>
      </c>
      <c r="AN232" s="34">
        <v>361127232</v>
      </c>
      <c r="AO232" s="34">
        <v>61037500</v>
      </c>
      <c r="AP232" s="34">
        <v>38835267</v>
      </c>
      <c r="AQ232" s="34">
        <v>0</v>
      </c>
      <c r="AR232" s="34">
        <v>0</v>
      </c>
      <c r="AS232" s="34">
        <v>37500000</v>
      </c>
      <c r="AT232" s="34">
        <v>423500000</v>
      </c>
      <c r="AU232" s="34">
        <v>0</v>
      </c>
      <c r="AV232" s="34">
        <v>-42000000</v>
      </c>
      <c r="AW232" s="27" t="s">
        <v>194</v>
      </c>
      <c r="AX232" s="27" t="s">
        <v>194</v>
      </c>
      <c r="AY232" s="27" t="s">
        <v>83</v>
      </c>
      <c r="AZ232" s="27">
        <v>1</v>
      </c>
      <c r="BA232" s="27" t="s">
        <v>3319</v>
      </c>
      <c r="BB232" s="27" t="s">
        <v>203</v>
      </c>
      <c r="BC232" s="27" t="s">
        <v>3320</v>
      </c>
      <c r="BD232" s="27" t="s">
        <v>1311</v>
      </c>
      <c r="BE232" s="27" t="s">
        <v>1311</v>
      </c>
      <c r="BF232" s="27" t="s">
        <v>3321</v>
      </c>
      <c r="BG232" s="27" t="s">
        <v>3322</v>
      </c>
      <c r="BH232" s="27" t="s">
        <v>182</v>
      </c>
      <c r="BI232" s="27" t="s">
        <v>229</v>
      </c>
      <c r="BJ232" s="27" t="s">
        <v>3323</v>
      </c>
      <c r="BK232" s="27" t="s">
        <v>343</v>
      </c>
      <c r="BL232" s="27" t="s">
        <v>3324</v>
      </c>
      <c r="BM232" s="35">
        <v>0</v>
      </c>
    </row>
    <row r="233" spans="1:65" s="1" customFormat="1" x14ac:dyDescent="0.2">
      <c r="A233" s="33">
        <v>1523</v>
      </c>
      <c r="B233" s="26">
        <v>146</v>
      </c>
      <c r="C233" s="27" t="s">
        <v>503</v>
      </c>
      <c r="D233" s="27" t="s">
        <v>3325</v>
      </c>
      <c r="E233" s="27" t="s">
        <v>194</v>
      </c>
      <c r="F233" s="27" t="s">
        <v>111</v>
      </c>
      <c r="G233" s="28">
        <v>2026</v>
      </c>
      <c r="H233" s="20" t="str">
        <f>VLOOKUP(U233,'[1]KODE TYPE standar'!$D:$U,17,0)</f>
        <v>HIACE</v>
      </c>
      <c r="I233" s="20" t="str">
        <f>VLOOKUP(U233,'[1]KODE TYPE standar'!$D:$U,16,0)</f>
        <v>HIACE</v>
      </c>
      <c r="J233" s="20" t="str">
        <f>VLOOKUP(U233,'[1]KODE TYPE standar'!$D:$U,18,0)</f>
        <v>HIACE COMM</v>
      </c>
      <c r="K233" s="27" t="s">
        <v>119</v>
      </c>
      <c r="L233" s="27" t="s">
        <v>110</v>
      </c>
      <c r="M233" s="27" t="s">
        <v>262</v>
      </c>
      <c r="N233" s="27" t="s">
        <v>102</v>
      </c>
      <c r="O233" s="28" t="s">
        <v>6581</v>
      </c>
      <c r="P233" s="29" t="s">
        <v>151</v>
      </c>
      <c r="Q233" s="29" t="s">
        <v>161</v>
      </c>
      <c r="R233" s="29" t="s">
        <v>145</v>
      </c>
      <c r="S233" s="27" t="s">
        <v>584</v>
      </c>
      <c r="T233" s="27" t="s">
        <v>585</v>
      </c>
      <c r="U233" s="27" t="s">
        <v>334</v>
      </c>
      <c r="V233" s="27" t="s">
        <v>99</v>
      </c>
      <c r="W233" s="27" t="s">
        <v>61</v>
      </c>
      <c r="X233" s="27" t="s">
        <v>3326</v>
      </c>
      <c r="Y233" s="27" t="s">
        <v>3327</v>
      </c>
      <c r="Z233" s="27" t="s">
        <v>583</v>
      </c>
      <c r="AA233" s="27" t="s">
        <v>584</v>
      </c>
      <c r="AB233" s="27" t="s">
        <v>585</v>
      </c>
      <c r="AC233" s="27" t="s">
        <v>3328</v>
      </c>
      <c r="AD233" s="27" t="s">
        <v>3329</v>
      </c>
      <c r="AE233" s="27" t="s">
        <v>110</v>
      </c>
      <c r="AF233" s="27" t="s">
        <v>3329</v>
      </c>
      <c r="AG233" s="27" t="s">
        <v>3330</v>
      </c>
      <c r="AH233" s="27" t="s">
        <v>3331</v>
      </c>
      <c r="AI233" s="27" t="s">
        <v>102</v>
      </c>
      <c r="AJ233" s="27" t="s">
        <v>262</v>
      </c>
      <c r="AK233" s="27" t="s">
        <v>89</v>
      </c>
      <c r="AL233" s="27" t="s">
        <v>3332</v>
      </c>
      <c r="AM233" s="34">
        <v>578100000</v>
      </c>
      <c r="AN233" s="34">
        <v>451038288</v>
      </c>
      <c r="AO233" s="34">
        <v>77447500</v>
      </c>
      <c r="AP233" s="34">
        <v>45650247</v>
      </c>
      <c r="AQ233" s="34">
        <v>0</v>
      </c>
      <c r="AR233" s="34">
        <v>0</v>
      </c>
      <c r="AS233" s="34">
        <v>36036036</v>
      </c>
      <c r="AT233" s="34">
        <v>538100000</v>
      </c>
      <c r="AU233" s="34">
        <v>0</v>
      </c>
      <c r="AV233" s="34">
        <v>-40000000</v>
      </c>
      <c r="AW233" s="27" t="s">
        <v>199</v>
      </c>
      <c r="AX233" s="27" t="s">
        <v>199</v>
      </c>
      <c r="AY233" s="27" t="s">
        <v>83</v>
      </c>
      <c r="AZ233" s="27">
        <v>1</v>
      </c>
      <c r="BA233" s="27" t="s">
        <v>163</v>
      </c>
      <c r="BB233" s="27" t="s">
        <v>183</v>
      </c>
      <c r="BC233" s="27" t="s">
        <v>3333</v>
      </c>
      <c r="BD233" s="27" t="s">
        <v>188</v>
      </c>
      <c r="BE233" s="27" t="s">
        <v>188</v>
      </c>
      <c r="BF233" s="27" t="s">
        <v>3334</v>
      </c>
      <c r="BG233" s="27" t="s">
        <v>3335</v>
      </c>
      <c r="BH233" s="27" t="s">
        <v>194</v>
      </c>
      <c r="BI233" s="27" t="s">
        <v>218</v>
      </c>
      <c r="BJ233" s="27" t="s">
        <v>3336</v>
      </c>
      <c r="BK233" s="27" t="s">
        <v>201</v>
      </c>
      <c r="BL233" s="27" t="s">
        <v>3337</v>
      </c>
      <c r="BM233" s="35">
        <v>0</v>
      </c>
    </row>
    <row r="234" spans="1:65" s="1" customFormat="1" x14ac:dyDescent="0.2">
      <c r="A234" s="33">
        <v>1524</v>
      </c>
      <c r="B234" s="26">
        <v>146</v>
      </c>
      <c r="C234" s="27" t="s">
        <v>503</v>
      </c>
      <c r="D234" s="27" t="s">
        <v>3338</v>
      </c>
      <c r="E234" s="27" t="s">
        <v>197</v>
      </c>
      <c r="F234" s="27" t="s">
        <v>111</v>
      </c>
      <c r="G234" s="28">
        <v>2026</v>
      </c>
      <c r="H234" s="20" t="str">
        <f>VLOOKUP(U234,'[1]KODE TYPE standar'!$D:$U,17,0)</f>
        <v>INV REBORN</v>
      </c>
      <c r="I234" s="20" t="str">
        <f>VLOOKUP(U234,'[1]KODE TYPE standar'!$D:$U,16,0)</f>
        <v>INNOVA</v>
      </c>
      <c r="J234" s="20" t="str">
        <f>VLOOKUP(U234,'[1]KODE TYPE standar'!$D:$U,18,0)</f>
        <v>INNOVA G A/T DIESEL</v>
      </c>
      <c r="K234" s="27" t="s">
        <v>118</v>
      </c>
      <c r="L234" s="27" t="s">
        <v>110</v>
      </c>
      <c r="M234" s="27" t="s">
        <v>262</v>
      </c>
      <c r="N234" s="27" t="s">
        <v>144</v>
      </c>
      <c r="O234" s="28" t="s">
        <v>6581</v>
      </c>
      <c r="P234" s="29" t="s">
        <v>149</v>
      </c>
      <c r="Q234" s="29" t="s">
        <v>162</v>
      </c>
      <c r="R234" s="29" t="s">
        <v>145</v>
      </c>
      <c r="S234" s="27" t="s">
        <v>810</v>
      </c>
      <c r="T234" s="27" t="s">
        <v>541</v>
      </c>
      <c r="U234" s="27" t="s">
        <v>192</v>
      </c>
      <c r="V234" s="27" t="s">
        <v>283</v>
      </c>
      <c r="W234" s="27" t="s">
        <v>284</v>
      </c>
      <c r="X234" s="27" t="s">
        <v>3339</v>
      </c>
      <c r="Y234" s="27" t="s">
        <v>3340</v>
      </c>
      <c r="Z234" s="27" t="s">
        <v>809</v>
      </c>
      <c r="AA234" s="27" t="s">
        <v>810</v>
      </c>
      <c r="AB234" s="27" t="s">
        <v>541</v>
      </c>
      <c r="AC234" s="27" t="s">
        <v>3341</v>
      </c>
      <c r="AD234" s="27" t="s">
        <v>3342</v>
      </c>
      <c r="AE234" s="27" t="s">
        <v>110</v>
      </c>
      <c r="AF234" s="27" t="s">
        <v>3342</v>
      </c>
      <c r="AG234" s="27" t="s">
        <v>3343</v>
      </c>
      <c r="AH234" s="27" t="s">
        <v>2389</v>
      </c>
      <c r="AI234" s="27" t="s">
        <v>144</v>
      </c>
      <c r="AJ234" s="27" t="s">
        <v>262</v>
      </c>
      <c r="AK234" s="27" t="s">
        <v>63</v>
      </c>
      <c r="AL234" s="27" t="s">
        <v>3344</v>
      </c>
      <c r="AM234" s="34">
        <v>442100000</v>
      </c>
      <c r="AN234" s="34">
        <v>342354911</v>
      </c>
      <c r="AO234" s="34">
        <v>58662500</v>
      </c>
      <c r="AP234" s="34">
        <v>38404017</v>
      </c>
      <c r="AQ234" s="34">
        <v>0</v>
      </c>
      <c r="AR234" s="34">
        <v>0</v>
      </c>
      <c r="AS234" s="34">
        <v>22321429</v>
      </c>
      <c r="AT234" s="34">
        <v>417100000</v>
      </c>
      <c r="AU234" s="34">
        <v>0</v>
      </c>
      <c r="AV234" s="34">
        <v>-25000000</v>
      </c>
      <c r="AW234" s="27"/>
      <c r="AX234" s="27"/>
      <c r="AY234" s="27" t="s">
        <v>83</v>
      </c>
      <c r="AZ234" s="27">
        <v>1</v>
      </c>
      <c r="BA234" s="27"/>
      <c r="BB234" s="27" t="s">
        <v>190</v>
      </c>
      <c r="BC234" s="27" t="s">
        <v>3345</v>
      </c>
      <c r="BD234" s="27" t="s">
        <v>216</v>
      </c>
      <c r="BE234" s="27" t="s">
        <v>216</v>
      </c>
      <c r="BF234" s="27" t="s">
        <v>3346</v>
      </c>
      <c r="BG234" s="27" t="s">
        <v>3347</v>
      </c>
      <c r="BH234" s="27"/>
      <c r="BI234" s="27" t="s">
        <v>223</v>
      </c>
      <c r="BJ234" s="27" t="s">
        <v>3348</v>
      </c>
      <c r="BK234" s="27" t="s">
        <v>190</v>
      </c>
      <c r="BL234" s="27" t="s">
        <v>3349</v>
      </c>
      <c r="BM234" s="35">
        <v>0</v>
      </c>
    </row>
    <row r="235" spans="1:65" s="1" customFormat="1" x14ac:dyDescent="0.2">
      <c r="A235" s="33">
        <v>1529</v>
      </c>
      <c r="B235" s="26">
        <v>146</v>
      </c>
      <c r="C235" s="27" t="s">
        <v>503</v>
      </c>
      <c r="D235" s="27" t="s">
        <v>3350</v>
      </c>
      <c r="E235" s="27" t="s">
        <v>207</v>
      </c>
      <c r="F235" s="27" t="s">
        <v>111</v>
      </c>
      <c r="G235" s="28">
        <v>2026</v>
      </c>
      <c r="H235" s="20" t="str">
        <f>VLOOKUP(U235,'[1]KODE TYPE standar'!$D:$U,17,0)</f>
        <v>YARIS</v>
      </c>
      <c r="I235" s="20" t="str">
        <f>VLOOKUP(U235,'[1]KODE TYPE standar'!$D:$U,16,0)</f>
        <v>YARIS</v>
      </c>
      <c r="J235" s="20" t="str">
        <f>VLOOKUP(U235,'[1]KODE TYPE standar'!$D:$U,18,0)</f>
        <v>YARIS CROSS S A/T</v>
      </c>
      <c r="K235" s="27" t="s">
        <v>50</v>
      </c>
      <c r="L235" s="27" t="s">
        <v>110</v>
      </c>
      <c r="M235" s="27" t="s">
        <v>50</v>
      </c>
      <c r="N235" s="27" t="s">
        <v>141</v>
      </c>
      <c r="O235" s="28" t="s">
        <v>156</v>
      </c>
      <c r="P235" s="29" t="s">
        <v>149</v>
      </c>
      <c r="Q235" s="29" t="s">
        <v>161</v>
      </c>
      <c r="R235" s="29" t="s">
        <v>145</v>
      </c>
      <c r="S235" s="27" t="s">
        <v>508</v>
      </c>
      <c r="T235" s="27" t="s">
        <v>509</v>
      </c>
      <c r="U235" s="27" t="s">
        <v>249</v>
      </c>
      <c r="V235" s="27" t="s">
        <v>114</v>
      </c>
      <c r="W235" s="27" t="s">
        <v>115</v>
      </c>
      <c r="X235" s="27" t="s">
        <v>3351</v>
      </c>
      <c r="Y235" s="27" t="s">
        <v>3352</v>
      </c>
      <c r="Z235" s="27" t="s">
        <v>507</v>
      </c>
      <c r="AA235" s="27" t="s">
        <v>508</v>
      </c>
      <c r="AB235" s="27" t="s">
        <v>509</v>
      </c>
      <c r="AC235" s="27" t="s">
        <v>3353</v>
      </c>
      <c r="AD235" s="27" t="s">
        <v>3354</v>
      </c>
      <c r="AE235" s="27" t="s">
        <v>110</v>
      </c>
      <c r="AF235" s="27" t="s">
        <v>3354</v>
      </c>
      <c r="AG235" s="27" t="s">
        <v>3355</v>
      </c>
      <c r="AH235" s="27" t="s">
        <v>1149</v>
      </c>
      <c r="AI235" s="27" t="s">
        <v>141</v>
      </c>
      <c r="AJ235" s="27" t="s">
        <v>50</v>
      </c>
      <c r="AK235" s="27" t="s">
        <v>50</v>
      </c>
      <c r="AL235" s="27" t="s">
        <v>3356</v>
      </c>
      <c r="AM235" s="34">
        <v>455900000</v>
      </c>
      <c r="AN235" s="34">
        <v>353627232</v>
      </c>
      <c r="AO235" s="34">
        <v>59837500</v>
      </c>
      <c r="AP235" s="34">
        <v>37613839</v>
      </c>
      <c r="AQ235" s="34">
        <v>0</v>
      </c>
      <c r="AR235" s="34">
        <v>0</v>
      </c>
      <c r="AS235" s="34">
        <v>40178571</v>
      </c>
      <c r="AT235" s="34">
        <v>410900000</v>
      </c>
      <c r="AU235" s="34">
        <v>0</v>
      </c>
      <c r="AV235" s="34">
        <v>-45000000</v>
      </c>
      <c r="AW235" s="27" t="s">
        <v>214</v>
      </c>
      <c r="AX235" s="27" t="s">
        <v>214</v>
      </c>
      <c r="AY235" s="27" t="s">
        <v>83</v>
      </c>
      <c r="AZ235" s="27">
        <v>1</v>
      </c>
      <c r="BA235" s="27" t="s">
        <v>163</v>
      </c>
      <c r="BB235" s="27" t="s">
        <v>207</v>
      </c>
      <c r="BC235" s="27" t="s">
        <v>3357</v>
      </c>
      <c r="BD235" s="27" t="s">
        <v>702</v>
      </c>
      <c r="BE235" s="27" t="s">
        <v>702</v>
      </c>
      <c r="BF235" s="27" t="s">
        <v>3358</v>
      </c>
      <c r="BG235" s="27" t="s">
        <v>3359</v>
      </c>
      <c r="BH235" s="27" t="s">
        <v>207</v>
      </c>
      <c r="BI235" s="27" t="s">
        <v>280</v>
      </c>
      <c r="BJ235" s="27" t="s">
        <v>3360</v>
      </c>
      <c r="BK235" s="27" t="s">
        <v>193</v>
      </c>
      <c r="BL235" s="27" t="s">
        <v>3361</v>
      </c>
      <c r="BM235" s="35">
        <v>0</v>
      </c>
    </row>
    <row r="236" spans="1:65" s="1" customFormat="1" x14ac:dyDescent="0.2">
      <c r="A236" s="33">
        <v>1911</v>
      </c>
      <c r="B236" s="26">
        <v>146</v>
      </c>
      <c r="C236" s="36" t="s">
        <v>503</v>
      </c>
      <c r="D236" s="27" t="s">
        <v>3362</v>
      </c>
      <c r="E236" s="27" t="s">
        <v>392</v>
      </c>
      <c r="F236" s="27" t="s">
        <v>389</v>
      </c>
      <c r="G236" s="28">
        <v>2026</v>
      </c>
      <c r="H236" s="20" t="str">
        <f>VLOOKUP(U236,'[1]KODE TYPE standar'!$D:$U,17,0)</f>
        <v>RUSH</v>
      </c>
      <c r="I236" s="20" t="str">
        <f>VLOOKUP(U236,'[1]KODE TYPE standar'!$D:$U,16,0)</f>
        <v>RUSH</v>
      </c>
      <c r="J236" s="20" t="str">
        <f>VLOOKUP(U236,'[1]KODE TYPE standar'!$D:$U,18,0)</f>
        <v>RUSH S A/T</v>
      </c>
      <c r="K236" s="27" t="s">
        <v>118</v>
      </c>
      <c r="L236" s="27" t="s">
        <v>110</v>
      </c>
      <c r="M236" s="27" t="s">
        <v>262</v>
      </c>
      <c r="N236" s="27" t="s">
        <v>140</v>
      </c>
      <c r="O236" s="28" t="s">
        <v>156</v>
      </c>
      <c r="P236" s="29" t="s">
        <v>536</v>
      </c>
      <c r="Q236" s="29" t="s">
        <v>161</v>
      </c>
      <c r="R236" s="29" t="s">
        <v>1016</v>
      </c>
      <c r="S236" s="27" t="s">
        <v>631</v>
      </c>
      <c r="T236" s="27" t="s">
        <v>541</v>
      </c>
      <c r="U236" s="27" t="s">
        <v>116</v>
      </c>
      <c r="V236" s="27" t="s">
        <v>60</v>
      </c>
      <c r="W236" s="27" t="s">
        <v>61</v>
      </c>
      <c r="X236" s="27" t="s">
        <v>3363</v>
      </c>
      <c r="Y236" s="27" t="s">
        <v>3364</v>
      </c>
      <c r="Z236" s="27" t="s">
        <v>630</v>
      </c>
      <c r="AA236" s="27" t="s">
        <v>631</v>
      </c>
      <c r="AB236" s="27" t="s">
        <v>541</v>
      </c>
      <c r="AC236" s="27" t="s">
        <v>3365</v>
      </c>
      <c r="AD236" s="27" t="s">
        <v>3366</v>
      </c>
      <c r="AE236" s="27" t="s">
        <v>110</v>
      </c>
      <c r="AF236" s="27" t="s">
        <v>3366</v>
      </c>
      <c r="AG236" s="27" t="s">
        <v>3367</v>
      </c>
      <c r="AH236" s="27" t="s">
        <v>2401</v>
      </c>
      <c r="AI236" s="27" t="s">
        <v>140</v>
      </c>
      <c r="AJ236" s="27" t="s">
        <v>262</v>
      </c>
      <c r="AK236" s="27" t="s">
        <v>63</v>
      </c>
      <c r="AL236" s="27"/>
      <c r="AM236" s="34">
        <v>322100000</v>
      </c>
      <c r="AN236" s="34">
        <v>248872768</v>
      </c>
      <c r="AO236" s="34">
        <v>43362500</v>
      </c>
      <c r="AP236" s="34">
        <v>28257589</v>
      </c>
      <c r="AQ236" s="34">
        <v>0</v>
      </c>
      <c r="AR236" s="34">
        <v>0</v>
      </c>
      <c r="AS236" s="34">
        <v>13392857</v>
      </c>
      <c r="AT236" s="34">
        <v>307100000</v>
      </c>
      <c r="AU236" s="34">
        <v>6520000</v>
      </c>
      <c r="AV236" s="34">
        <v>-15000000</v>
      </c>
      <c r="AW236" s="27"/>
      <c r="AX236" s="27"/>
      <c r="AY236" s="27" t="s">
        <v>83</v>
      </c>
      <c r="AZ236" s="27">
        <v>1</v>
      </c>
      <c r="BA236" s="27"/>
      <c r="BB236" s="27" t="s">
        <v>368</v>
      </c>
      <c r="BC236" s="27" t="s">
        <v>3368</v>
      </c>
      <c r="BD236" s="27" t="s">
        <v>271</v>
      </c>
      <c r="BE236" s="27" t="s">
        <v>271</v>
      </c>
      <c r="BF236" s="27" t="s">
        <v>3369</v>
      </c>
      <c r="BG236" s="27" t="s">
        <v>3370</v>
      </c>
      <c r="BH236" s="27"/>
      <c r="BI236" s="27" t="s">
        <v>400</v>
      </c>
      <c r="BJ236" s="27" t="s">
        <v>3371</v>
      </c>
      <c r="BK236" s="27" t="s">
        <v>366</v>
      </c>
      <c r="BL236" s="27" t="s">
        <v>3372</v>
      </c>
      <c r="BM236" s="35">
        <v>0</v>
      </c>
    </row>
    <row r="237" spans="1:65" s="1" customFormat="1" x14ac:dyDescent="0.2">
      <c r="A237" s="25">
        <v>1379</v>
      </c>
      <c r="B237" s="26">
        <v>146</v>
      </c>
      <c r="C237" s="27" t="s">
        <v>503</v>
      </c>
      <c r="D237" s="28" t="s">
        <v>3373</v>
      </c>
      <c r="E237" s="28" t="s">
        <v>273</v>
      </c>
      <c r="F237" s="28" t="s">
        <v>339</v>
      </c>
      <c r="G237" s="28">
        <v>2026</v>
      </c>
      <c r="H237" s="20" t="str">
        <f>VLOOKUP(U237,'[1]KODE TYPE standar'!$D:$U,17,0)</f>
        <v>INV REBORN</v>
      </c>
      <c r="I237" s="20" t="str">
        <f>VLOOKUP(U237,'[1]KODE TYPE standar'!$D:$U,16,0)</f>
        <v>INNOVA</v>
      </c>
      <c r="J237" s="20" t="str">
        <f>VLOOKUP(U237,'[1]KODE TYPE standar'!$D:$U,18,0)</f>
        <v>INNOVA G A/T DIESEL</v>
      </c>
      <c r="K237" s="27" t="s">
        <v>119</v>
      </c>
      <c r="L237" s="28" t="s">
        <v>110</v>
      </c>
      <c r="M237" s="28" t="s">
        <v>262</v>
      </c>
      <c r="N237" s="28" t="s">
        <v>141</v>
      </c>
      <c r="O237" s="28" t="s">
        <v>156</v>
      </c>
      <c r="P237" s="29" t="s">
        <v>149</v>
      </c>
      <c r="Q237" s="29" t="s">
        <v>161</v>
      </c>
      <c r="R237" s="29" t="s">
        <v>145</v>
      </c>
      <c r="S237" s="27" t="s">
        <v>508</v>
      </c>
      <c r="T237" s="30" t="s">
        <v>509</v>
      </c>
      <c r="U237" s="27" t="s">
        <v>192</v>
      </c>
      <c r="V237" s="27" t="s">
        <v>77</v>
      </c>
      <c r="W237" s="27" t="s">
        <v>78</v>
      </c>
      <c r="X237" s="27" t="s">
        <v>3374</v>
      </c>
      <c r="Y237" s="27" t="s">
        <v>3375</v>
      </c>
      <c r="Z237" s="27" t="s">
        <v>507</v>
      </c>
      <c r="AA237" s="27" t="s">
        <v>508</v>
      </c>
      <c r="AB237" s="30" t="s">
        <v>509</v>
      </c>
      <c r="AC237" s="30" t="s">
        <v>3376</v>
      </c>
      <c r="AD237" s="28" t="s">
        <v>3377</v>
      </c>
      <c r="AE237" s="28" t="s">
        <v>110</v>
      </c>
      <c r="AF237" s="28" t="s">
        <v>3377</v>
      </c>
      <c r="AG237" s="28" t="s">
        <v>1590</v>
      </c>
      <c r="AH237" s="28" t="s">
        <v>1442</v>
      </c>
      <c r="AI237" s="28" t="s">
        <v>141</v>
      </c>
      <c r="AJ237" s="28" t="s">
        <v>262</v>
      </c>
      <c r="AK237" s="28" t="s">
        <v>89</v>
      </c>
      <c r="AL237" s="28" t="s">
        <v>3378</v>
      </c>
      <c r="AM237" s="31">
        <v>442100000</v>
      </c>
      <c r="AN237" s="31">
        <v>342622768</v>
      </c>
      <c r="AO237" s="31">
        <v>58362500</v>
      </c>
      <c r="AP237" s="31">
        <v>38864732</v>
      </c>
      <c r="AQ237" s="31">
        <v>0</v>
      </c>
      <c r="AR237" s="31">
        <v>0</v>
      </c>
      <c r="AS237" s="31">
        <v>18750000</v>
      </c>
      <c r="AT237" s="31">
        <v>421100000</v>
      </c>
      <c r="AU237" s="31">
        <v>0</v>
      </c>
      <c r="AV237" s="31">
        <v>-21000000</v>
      </c>
      <c r="AW237" s="28" t="s">
        <v>246</v>
      </c>
      <c r="AX237" s="28" t="s">
        <v>246</v>
      </c>
      <c r="AY237" s="28" t="s">
        <v>83</v>
      </c>
      <c r="AZ237" s="28">
        <v>1</v>
      </c>
      <c r="BA237" s="28" t="s">
        <v>163</v>
      </c>
      <c r="BB237" s="28" t="s">
        <v>221</v>
      </c>
      <c r="BC237" s="28" t="s">
        <v>3379</v>
      </c>
      <c r="BD237" s="28" t="s">
        <v>221</v>
      </c>
      <c r="BE237" s="28" t="s">
        <v>221</v>
      </c>
      <c r="BF237" s="28" t="s">
        <v>3380</v>
      </c>
      <c r="BG237" s="28" t="s">
        <v>3381</v>
      </c>
      <c r="BH237" s="28" t="s">
        <v>273</v>
      </c>
      <c r="BI237" s="28" t="s">
        <v>340</v>
      </c>
      <c r="BJ237" s="28" t="s">
        <v>3382</v>
      </c>
      <c r="BK237" s="28" t="s">
        <v>242</v>
      </c>
      <c r="BL237" s="28" t="s">
        <v>3383</v>
      </c>
      <c r="BM237" s="32">
        <v>0</v>
      </c>
    </row>
    <row r="238" spans="1:65" s="1" customFormat="1" x14ac:dyDescent="0.2">
      <c r="A238" s="25">
        <v>1381</v>
      </c>
      <c r="B238" s="26">
        <v>146</v>
      </c>
      <c r="C238" s="27" t="s">
        <v>503</v>
      </c>
      <c r="D238" s="28" t="s">
        <v>3384</v>
      </c>
      <c r="E238" s="28" t="s">
        <v>255</v>
      </c>
      <c r="F238" s="28" t="s">
        <v>339</v>
      </c>
      <c r="G238" s="28">
        <v>2026</v>
      </c>
      <c r="H238" s="20" t="str">
        <f>VLOOKUP(U238,'[1]KODE TYPE standar'!$D:$U,17,0)</f>
        <v>CALYA</v>
      </c>
      <c r="I238" s="20" t="str">
        <f>VLOOKUP(U238,'[1]KODE TYPE standar'!$D:$U,16,0)</f>
        <v>CALYA</v>
      </c>
      <c r="J238" s="20" t="str">
        <f>VLOOKUP(U238,'[1]KODE TYPE standar'!$D:$U,18,0)</f>
        <v>CALYA G M/T</v>
      </c>
      <c r="K238" s="27" t="s">
        <v>120</v>
      </c>
      <c r="L238" s="28" t="s">
        <v>110</v>
      </c>
      <c r="M238" s="28" t="s">
        <v>262</v>
      </c>
      <c r="N238" s="28" t="s">
        <v>140</v>
      </c>
      <c r="O238" s="28" t="s">
        <v>156</v>
      </c>
      <c r="P238" s="29" t="s">
        <v>149</v>
      </c>
      <c r="Q238" s="29" t="s">
        <v>161</v>
      </c>
      <c r="R238" s="29" t="s">
        <v>145</v>
      </c>
      <c r="S238" s="27" t="s">
        <v>709</v>
      </c>
      <c r="T238" s="30" t="s">
        <v>585</v>
      </c>
      <c r="U238" s="27" t="s">
        <v>268</v>
      </c>
      <c r="V238" s="27" t="s">
        <v>77</v>
      </c>
      <c r="W238" s="27" t="s">
        <v>78</v>
      </c>
      <c r="X238" s="27" t="s">
        <v>3385</v>
      </c>
      <c r="Y238" s="27" t="s">
        <v>3386</v>
      </c>
      <c r="Z238" s="27" t="s">
        <v>708</v>
      </c>
      <c r="AA238" s="27" t="s">
        <v>709</v>
      </c>
      <c r="AB238" s="30" t="s">
        <v>585</v>
      </c>
      <c r="AC238" s="30" t="s">
        <v>3387</v>
      </c>
      <c r="AD238" s="28" t="s">
        <v>3388</v>
      </c>
      <c r="AE238" s="28" t="s">
        <v>110</v>
      </c>
      <c r="AF238" s="28" t="s">
        <v>3388</v>
      </c>
      <c r="AG238" s="28" t="s">
        <v>3389</v>
      </c>
      <c r="AH238" s="28" t="s">
        <v>1391</v>
      </c>
      <c r="AI238" s="28" t="s">
        <v>140</v>
      </c>
      <c r="AJ238" s="28" t="s">
        <v>262</v>
      </c>
      <c r="AK238" s="28" t="s">
        <v>423</v>
      </c>
      <c r="AL238" s="28"/>
      <c r="AM238" s="31">
        <v>181900000</v>
      </c>
      <c r="AN238" s="31">
        <v>139341518</v>
      </c>
      <c r="AO238" s="31">
        <v>25837500</v>
      </c>
      <c r="AP238" s="31">
        <v>15542410</v>
      </c>
      <c r="AQ238" s="31">
        <v>0</v>
      </c>
      <c r="AR238" s="31">
        <v>0</v>
      </c>
      <c r="AS238" s="31">
        <v>9821429</v>
      </c>
      <c r="AT238" s="31">
        <v>170900000</v>
      </c>
      <c r="AU238" s="31">
        <v>0</v>
      </c>
      <c r="AV238" s="31">
        <v>-11000000</v>
      </c>
      <c r="AW238" s="28" t="s">
        <v>255</v>
      </c>
      <c r="AX238" s="28" t="s">
        <v>255</v>
      </c>
      <c r="AY238" s="28" t="s">
        <v>83</v>
      </c>
      <c r="AZ238" s="28">
        <v>1</v>
      </c>
      <c r="BA238" s="28" t="s">
        <v>163</v>
      </c>
      <c r="BB238" s="28" t="s">
        <v>242</v>
      </c>
      <c r="BC238" s="28" t="s">
        <v>3390</v>
      </c>
      <c r="BD238" s="28" t="s">
        <v>242</v>
      </c>
      <c r="BE238" s="28" t="s">
        <v>242</v>
      </c>
      <c r="BF238" s="28" t="s">
        <v>3391</v>
      </c>
      <c r="BG238" s="28" t="s">
        <v>3392</v>
      </c>
      <c r="BH238" s="28" t="s">
        <v>255</v>
      </c>
      <c r="BI238" s="28" t="s">
        <v>295</v>
      </c>
      <c r="BJ238" s="28" t="s">
        <v>3393</v>
      </c>
      <c r="BK238" s="28" t="s">
        <v>273</v>
      </c>
      <c r="BL238" s="28" t="s">
        <v>3394</v>
      </c>
      <c r="BM238" s="32">
        <v>0</v>
      </c>
    </row>
    <row r="239" spans="1:65" s="1" customFormat="1" x14ac:dyDescent="0.2">
      <c r="A239" s="33">
        <v>1877</v>
      </c>
      <c r="B239" s="26">
        <v>146</v>
      </c>
      <c r="C239" s="27" t="s">
        <v>503</v>
      </c>
      <c r="D239" s="27" t="s">
        <v>3395</v>
      </c>
      <c r="E239" s="27" t="s">
        <v>235</v>
      </c>
      <c r="F239" s="27" t="s">
        <v>258</v>
      </c>
      <c r="G239" s="28">
        <v>2026</v>
      </c>
      <c r="H239" s="20" t="str">
        <f>VLOOKUP(U239,'[1]KODE TYPE standar'!$D:$U,17,0)</f>
        <v>AVANZA</v>
      </c>
      <c r="I239" s="20" t="str">
        <f>VLOOKUP(U239,'[1]KODE TYPE standar'!$D:$U,16,0)</f>
        <v>AVANZA</v>
      </c>
      <c r="J239" s="20" t="str">
        <f>VLOOKUP(U239,'[1]KODE TYPE standar'!$D:$U,18,0)</f>
        <v>AVANZA E A/T</v>
      </c>
      <c r="K239" s="27" t="s">
        <v>120</v>
      </c>
      <c r="L239" s="27" t="s">
        <v>110</v>
      </c>
      <c r="M239" s="27" t="s">
        <v>262</v>
      </c>
      <c r="N239" s="27" t="s">
        <v>140</v>
      </c>
      <c r="O239" s="28" t="s">
        <v>156</v>
      </c>
      <c r="P239" s="29" t="s">
        <v>536</v>
      </c>
      <c r="Q239" s="29" t="s">
        <v>162</v>
      </c>
      <c r="R239" s="29" t="s">
        <v>148</v>
      </c>
      <c r="S239" s="27" t="s">
        <v>631</v>
      </c>
      <c r="T239" s="27" t="s">
        <v>541</v>
      </c>
      <c r="U239" s="27" t="s">
        <v>84</v>
      </c>
      <c r="V239" s="27" t="s">
        <v>60</v>
      </c>
      <c r="W239" s="27" t="s">
        <v>61</v>
      </c>
      <c r="X239" s="27" t="s">
        <v>3396</v>
      </c>
      <c r="Y239" s="27" t="s">
        <v>3397</v>
      </c>
      <c r="Z239" s="27" t="s">
        <v>630</v>
      </c>
      <c r="AA239" s="27" t="s">
        <v>631</v>
      </c>
      <c r="AB239" s="27" t="s">
        <v>541</v>
      </c>
      <c r="AC239" s="27" t="s">
        <v>3398</v>
      </c>
      <c r="AD239" s="27" t="s">
        <v>3399</v>
      </c>
      <c r="AE239" s="27" t="s">
        <v>110</v>
      </c>
      <c r="AF239" s="27" t="s">
        <v>3399</v>
      </c>
      <c r="AG239" s="27" t="s">
        <v>3400</v>
      </c>
      <c r="AH239" s="27" t="s">
        <v>1970</v>
      </c>
      <c r="AI239" s="27" t="s">
        <v>140</v>
      </c>
      <c r="AJ239" s="27" t="s">
        <v>262</v>
      </c>
      <c r="AK239" s="27" t="s">
        <v>423</v>
      </c>
      <c r="AL239" s="27" t="s">
        <v>3401</v>
      </c>
      <c r="AM239" s="34">
        <v>261700000</v>
      </c>
      <c r="AN239" s="34">
        <v>201908482</v>
      </c>
      <c r="AO239" s="34">
        <v>35562500</v>
      </c>
      <c r="AP239" s="34">
        <v>22193303</v>
      </c>
      <c r="AQ239" s="34">
        <v>0</v>
      </c>
      <c r="AR239" s="34">
        <v>0</v>
      </c>
      <c r="AS239" s="34">
        <v>16964286</v>
      </c>
      <c r="AT239" s="34">
        <v>242700000</v>
      </c>
      <c r="AU239" s="34">
        <v>0</v>
      </c>
      <c r="AV239" s="34">
        <v>-19961538</v>
      </c>
      <c r="AW239" s="27"/>
      <c r="AX239" s="27"/>
      <c r="AY239" s="27" t="s">
        <v>83</v>
      </c>
      <c r="AZ239" s="27">
        <v>1</v>
      </c>
      <c r="BA239" s="27"/>
      <c r="BB239" s="27" t="s">
        <v>213</v>
      </c>
      <c r="BC239" s="27" t="s">
        <v>3402</v>
      </c>
      <c r="BD239" s="27" t="s">
        <v>197</v>
      </c>
      <c r="BE239" s="27" t="s">
        <v>197</v>
      </c>
      <c r="BF239" s="27" t="s">
        <v>3403</v>
      </c>
      <c r="BG239" s="27" t="s">
        <v>3404</v>
      </c>
      <c r="BH239" s="27" t="s">
        <v>235</v>
      </c>
      <c r="BI239" s="27" t="s">
        <v>248</v>
      </c>
      <c r="BJ239" s="27" t="s">
        <v>3405</v>
      </c>
      <c r="BK239" s="27" t="s">
        <v>190</v>
      </c>
      <c r="BL239" s="27" t="s">
        <v>3406</v>
      </c>
      <c r="BM239" s="35">
        <v>0</v>
      </c>
    </row>
    <row r="240" spans="1:65" s="1" customFormat="1" x14ac:dyDescent="0.2">
      <c r="A240" s="33">
        <v>1883</v>
      </c>
      <c r="B240" s="26">
        <v>146</v>
      </c>
      <c r="C240" s="27" t="s">
        <v>503</v>
      </c>
      <c r="D240" s="27" t="s">
        <v>3407</v>
      </c>
      <c r="E240" s="27" t="s">
        <v>260</v>
      </c>
      <c r="F240" s="27" t="s">
        <v>258</v>
      </c>
      <c r="G240" s="28">
        <v>2026</v>
      </c>
      <c r="H240" s="20" t="str">
        <f>VLOOKUP(U240,'[1]KODE TYPE standar'!$D:$U,17,0)</f>
        <v>AGYA</v>
      </c>
      <c r="I240" s="20" t="str">
        <f>VLOOKUP(U240,'[1]KODE TYPE standar'!$D:$U,16,0)</f>
        <v>AGYA</v>
      </c>
      <c r="J240" s="20" t="str">
        <f>VLOOKUP(U240,'[1]KODE TYPE standar'!$D:$U,18,0)</f>
        <v>AGYA G A/T</v>
      </c>
      <c r="K240" s="27" t="s">
        <v>119</v>
      </c>
      <c r="L240" s="27" t="s">
        <v>110</v>
      </c>
      <c r="M240" s="27" t="s">
        <v>262</v>
      </c>
      <c r="N240" s="27" t="s">
        <v>140</v>
      </c>
      <c r="O240" s="28" t="s">
        <v>156</v>
      </c>
      <c r="P240" s="29" t="s">
        <v>151</v>
      </c>
      <c r="Q240" s="29" t="s">
        <v>161</v>
      </c>
      <c r="R240" s="29" t="s">
        <v>597</v>
      </c>
      <c r="S240" s="27" t="s">
        <v>631</v>
      </c>
      <c r="T240" s="27" t="s">
        <v>541</v>
      </c>
      <c r="U240" s="27" t="s">
        <v>3408</v>
      </c>
      <c r="V240" s="27" t="s">
        <v>376</v>
      </c>
      <c r="W240" s="27" t="s">
        <v>377</v>
      </c>
      <c r="X240" s="27" t="s">
        <v>3409</v>
      </c>
      <c r="Y240" s="27" t="s">
        <v>3410</v>
      </c>
      <c r="Z240" s="27" t="s">
        <v>630</v>
      </c>
      <c r="AA240" s="27" t="s">
        <v>631</v>
      </c>
      <c r="AB240" s="27" t="s">
        <v>541</v>
      </c>
      <c r="AC240" s="27" t="s">
        <v>3411</v>
      </c>
      <c r="AD240" s="27" t="s">
        <v>3412</v>
      </c>
      <c r="AE240" s="27" t="s">
        <v>110</v>
      </c>
      <c r="AF240" s="27" t="s">
        <v>3412</v>
      </c>
      <c r="AG240" s="27" t="s">
        <v>3413</v>
      </c>
      <c r="AH240" s="27" t="s">
        <v>844</v>
      </c>
      <c r="AI240" s="27" t="s">
        <v>140</v>
      </c>
      <c r="AJ240" s="27" t="s">
        <v>262</v>
      </c>
      <c r="AK240" s="27" t="s">
        <v>89</v>
      </c>
      <c r="AL240" s="27"/>
      <c r="AM240" s="34">
        <v>204537000</v>
      </c>
      <c r="AN240" s="34">
        <v>157249888</v>
      </c>
      <c r="AO240" s="34">
        <v>28417125</v>
      </c>
      <c r="AP240" s="34">
        <v>17703522</v>
      </c>
      <c r="AQ240" s="34">
        <v>0</v>
      </c>
      <c r="AR240" s="34">
        <v>0</v>
      </c>
      <c r="AS240" s="34">
        <v>9720536</v>
      </c>
      <c r="AT240" s="34">
        <v>193650000</v>
      </c>
      <c r="AU240" s="34">
        <v>0</v>
      </c>
      <c r="AV240" s="34">
        <v>-10887000</v>
      </c>
      <c r="AW240" s="27"/>
      <c r="AX240" s="27"/>
      <c r="AY240" s="27" t="s">
        <v>83</v>
      </c>
      <c r="AZ240" s="27">
        <v>1</v>
      </c>
      <c r="BA240" s="27"/>
      <c r="BB240" s="27" t="s">
        <v>215</v>
      </c>
      <c r="BC240" s="27" t="s">
        <v>3414</v>
      </c>
      <c r="BD240" s="27" t="s">
        <v>218</v>
      </c>
      <c r="BE240" s="27" t="s">
        <v>218</v>
      </c>
      <c r="BF240" s="27" t="s">
        <v>3415</v>
      </c>
      <c r="BG240" s="27" t="s">
        <v>3416</v>
      </c>
      <c r="BH240" s="27" t="s">
        <v>260</v>
      </c>
      <c r="BI240" s="27" t="s">
        <v>242</v>
      </c>
      <c r="BJ240" s="27" t="s">
        <v>3417</v>
      </c>
      <c r="BK240" s="27" t="s">
        <v>227</v>
      </c>
      <c r="BL240" s="27" t="s">
        <v>3418</v>
      </c>
      <c r="BM240" s="35">
        <v>0</v>
      </c>
    </row>
    <row r="241" spans="1:65" s="1" customFormat="1" x14ac:dyDescent="0.2">
      <c r="A241" s="33">
        <v>1927</v>
      </c>
      <c r="B241" s="26">
        <v>146</v>
      </c>
      <c r="C241" s="36" t="s">
        <v>503</v>
      </c>
      <c r="D241" s="27" t="s">
        <v>3419</v>
      </c>
      <c r="E241" s="27" t="s">
        <v>393</v>
      </c>
      <c r="F241" s="27" t="s">
        <v>389</v>
      </c>
      <c r="G241" s="28">
        <v>2026</v>
      </c>
      <c r="H241" s="20" t="str">
        <f>VLOOKUP(U241,'[1]KODE TYPE standar'!$D:$U,17,0)</f>
        <v>INV ZENIX HYBRID</v>
      </c>
      <c r="I241" s="20" t="str">
        <f>VLOOKUP(U241,'[1]KODE TYPE standar'!$D:$U,16,0)</f>
        <v>INNOVA</v>
      </c>
      <c r="J241" s="20" t="str">
        <f>VLOOKUP(U241,'[1]KODE TYPE standar'!$D:$U,18,0)</f>
        <v>INNOVA ZENIX G A/T HIYBRID</v>
      </c>
      <c r="K241" s="27" t="s">
        <v>50</v>
      </c>
      <c r="L241" s="27" t="s">
        <v>110</v>
      </c>
      <c r="M241" s="27" t="s">
        <v>50</v>
      </c>
      <c r="N241" s="27" t="s">
        <v>141</v>
      </c>
      <c r="O241" s="28" t="s">
        <v>156</v>
      </c>
      <c r="P241" s="29" t="s">
        <v>149</v>
      </c>
      <c r="Q241" s="29" t="s">
        <v>162</v>
      </c>
      <c r="R241" s="29" t="s">
        <v>318</v>
      </c>
      <c r="S241" s="27" t="s">
        <v>877</v>
      </c>
      <c r="T241" s="27" t="s">
        <v>585</v>
      </c>
      <c r="U241" s="27" t="s">
        <v>388</v>
      </c>
      <c r="V241" s="27" t="s">
        <v>93</v>
      </c>
      <c r="W241" s="27" t="s">
        <v>81</v>
      </c>
      <c r="X241" s="27" t="s">
        <v>3420</v>
      </c>
      <c r="Y241" s="27" t="s">
        <v>3421</v>
      </c>
      <c r="Z241" s="27" t="s">
        <v>876</v>
      </c>
      <c r="AA241" s="27" t="s">
        <v>877</v>
      </c>
      <c r="AB241" s="27" t="s">
        <v>585</v>
      </c>
      <c r="AC241" s="27" t="s">
        <v>3422</v>
      </c>
      <c r="AD241" s="27" t="s">
        <v>3423</v>
      </c>
      <c r="AE241" s="27" t="s">
        <v>110</v>
      </c>
      <c r="AF241" s="27" t="s">
        <v>3424</v>
      </c>
      <c r="AG241" s="27" t="s">
        <v>3425</v>
      </c>
      <c r="AH241" s="27" t="s">
        <v>688</v>
      </c>
      <c r="AI241" s="27" t="s">
        <v>141</v>
      </c>
      <c r="AJ241" s="27" t="s">
        <v>50</v>
      </c>
      <c r="AK241" s="27" t="s">
        <v>50</v>
      </c>
      <c r="AL241" s="27"/>
      <c r="AM241" s="34">
        <v>476600000</v>
      </c>
      <c r="AN241" s="34">
        <v>369575893</v>
      </c>
      <c r="AO241" s="34">
        <v>62675000</v>
      </c>
      <c r="AP241" s="34">
        <v>42099107</v>
      </c>
      <c r="AQ241" s="34">
        <v>0</v>
      </c>
      <c r="AR241" s="34">
        <v>0</v>
      </c>
      <c r="AS241" s="34">
        <v>18750000</v>
      </c>
      <c r="AT241" s="34">
        <v>455600000</v>
      </c>
      <c r="AU241" s="34">
        <v>5600000</v>
      </c>
      <c r="AV241" s="34">
        <v>-21000000</v>
      </c>
      <c r="AW241" s="27" t="s">
        <v>342</v>
      </c>
      <c r="AX241" s="27" t="s">
        <v>342</v>
      </c>
      <c r="AY241" s="27" t="s">
        <v>83</v>
      </c>
      <c r="AZ241" s="27">
        <v>1</v>
      </c>
      <c r="BA241" s="27"/>
      <c r="BB241" s="27" t="s">
        <v>393</v>
      </c>
      <c r="BC241" s="27" t="s">
        <v>3426</v>
      </c>
      <c r="BD241" s="27" t="s">
        <v>395</v>
      </c>
      <c r="BE241" s="27" t="s">
        <v>395</v>
      </c>
      <c r="BF241" s="27" t="s">
        <v>3427</v>
      </c>
      <c r="BG241" s="27" t="s">
        <v>3428</v>
      </c>
      <c r="BH241" s="27" t="s">
        <v>393</v>
      </c>
      <c r="BI241" s="27" t="s">
        <v>403</v>
      </c>
      <c r="BJ241" s="27" t="s">
        <v>3429</v>
      </c>
      <c r="BK241" s="27" t="s">
        <v>347</v>
      </c>
      <c r="BL241" s="27" t="s">
        <v>3430</v>
      </c>
      <c r="BM241" s="35">
        <v>0</v>
      </c>
    </row>
    <row r="242" spans="1:65" s="1" customFormat="1" x14ac:dyDescent="0.2">
      <c r="A242" s="33">
        <v>1930</v>
      </c>
      <c r="B242" s="26">
        <v>146</v>
      </c>
      <c r="C242" s="36" t="s">
        <v>503</v>
      </c>
      <c r="D242" s="27" t="s">
        <v>3431</v>
      </c>
      <c r="E242" s="27" t="s">
        <v>347</v>
      </c>
      <c r="F242" s="27" t="s">
        <v>389</v>
      </c>
      <c r="G242" s="28">
        <v>2026</v>
      </c>
      <c r="H242" s="20" t="str">
        <f>VLOOKUP(U242,'[1]KODE TYPE standar'!$D:$U,17,0)</f>
        <v>VELOZ</v>
      </c>
      <c r="I242" s="20" t="str">
        <f>VLOOKUP(U242,'[1]KODE TYPE standar'!$D:$U,16,0)</f>
        <v>VELOZ</v>
      </c>
      <c r="J242" s="20" t="str">
        <f>VLOOKUP(U242,'[1]KODE TYPE standar'!$D:$U,18,0)</f>
        <v>VELOZ Q AT HYBRID</v>
      </c>
      <c r="K242" s="27" t="s">
        <v>101</v>
      </c>
      <c r="L242" s="27" t="s">
        <v>110</v>
      </c>
      <c r="M242" s="27" t="s">
        <v>262</v>
      </c>
      <c r="N242" s="27" t="s">
        <v>141</v>
      </c>
      <c r="O242" s="28" t="s">
        <v>156</v>
      </c>
      <c r="P242" s="29" t="s">
        <v>151</v>
      </c>
      <c r="Q242" s="29" t="s">
        <v>161</v>
      </c>
      <c r="R242" s="29" t="s">
        <v>597</v>
      </c>
      <c r="S242" s="27" t="s">
        <v>892</v>
      </c>
      <c r="T242" s="27" t="s">
        <v>541</v>
      </c>
      <c r="U242" s="27" t="s">
        <v>337</v>
      </c>
      <c r="V242" s="27" t="s">
        <v>51</v>
      </c>
      <c r="W242" s="27" t="s">
        <v>286</v>
      </c>
      <c r="X242" s="27" t="s">
        <v>3432</v>
      </c>
      <c r="Y242" s="27" t="s">
        <v>3433</v>
      </c>
      <c r="Z242" s="27" t="s">
        <v>891</v>
      </c>
      <c r="AA242" s="27" t="s">
        <v>892</v>
      </c>
      <c r="AB242" s="27" t="s">
        <v>541</v>
      </c>
      <c r="AC242" s="27" t="s">
        <v>3434</v>
      </c>
      <c r="AD242" s="27" t="s">
        <v>3435</v>
      </c>
      <c r="AE242" s="27" t="s">
        <v>110</v>
      </c>
      <c r="AF242" s="27" t="s">
        <v>3436</v>
      </c>
      <c r="AG242" s="27" t="s">
        <v>3437</v>
      </c>
      <c r="AH242" s="27" t="s">
        <v>3438</v>
      </c>
      <c r="AI242" s="27" t="s">
        <v>141</v>
      </c>
      <c r="AJ242" s="27" t="s">
        <v>262</v>
      </c>
      <c r="AK242" s="27" t="s">
        <v>103</v>
      </c>
      <c r="AL242" s="27"/>
      <c r="AM242" s="34">
        <v>326500000</v>
      </c>
      <c r="AN242" s="34">
        <v>252310268</v>
      </c>
      <c r="AO242" s="34">
        <v>43912500</v>
      </c>
      <c r="AP242" s="34">
        <v>30277232</v>
      </c>
      <c r="AQ242" s="34">
        <v>0</v>
      </c>
      <c r="AR242" s="34">
        <v>0</v>
      </c>
      <c r="AS242" s="34">
        <v>0</v>
      </c>
      <c r="AT242" s="34">
        <v>326500000</v>
      </c>
      <c r="AU242" s="34">
        <v>0</v>
      </c>
      <c r="AV242" s="34">
        <v>0</v>
      </c>
      <c r="AW242" s="27" t="s">
        <v>393</v>
      </c>
      <c r="AX242" s="27" t="s">
        <v>393</v>
      </c>
      <c r="AY242" s="27" t="s">
        <v>83</v>
      </c>
      <c r="AZ242" s="27">
        <v>1</v>
      </c>
      <c r="BA242" s="27"/>
      <c r="BB242" s="27" t="s">
        <v>367</v>
      </c>
      <c r="BC242" s="27" t="s">
        <v>3439</v>
      </c>
      <c r="BD242" s="27" t="s">
        <v>347</v>
      </c>
      <c r="BE242" s="27" t="s">
        <v>347</v>
      </c>
      <c r="BF242" s="27" t="s">
        <v>3440</v>
      </c>
      <c r="BG242" s="27" t="s">
        <v>3441</v>
      </c>
      <c r="BH242" s="27" t="s">
        <v>347</v>
      </c>
      <c r="BI242" s="27" t="s">
        <v>401</v>
      </c>
      <c r="BJ242" s="27" t="s">
        <v>3442</v>
      </c>
      <c r="BK242" s="27" t="s">
        <v>367</v>
      </c>
      <c r="BL242" s="27" t="s">
        <v>3443</v>
      </c>
      <c r="BM242" s="35">
        <v>0</v>
      </c>
    </row>
    <row r="243" spans="1:65" s="1" customFormat="1" x14ac:dyDescent="0.2">
      <c r="A243" s="33">
        <v>1566</v>
      </c>
      <c r="B243" s="26">
        <v>146</v>
      </c>
      <c r="C243" s="27" t="s">
        <v>503</v>
      </c>
      <c r="D243" s="27" t="s">
        <v>3444</v>
      </c>
      <c r="E243" s="27" t="s">
        <v>197</v>
      </c>
      <c r="F243" s="27" t="s">
        <v>111</v>
      </c>
      <c r="G243" s="28">
        <v>2026</v>
      </c>
      <c r="H243" s="20" t="str">
        <f>VLOOKUP(U243,'[1]KODE TYPE standar'!$D:$U,17,0)</f>
        <v>AGYA</v>
      </c>
      <c r="I243" s="20" t="str">
        <f>VLOOKUP(U243,'[1]KODE TYPE standar'!$D:$U,16,0)</f>
        <v>AGYA</v>
      </c>
      <c r="J243" s="20" t="str">
        <f>VLOOKUP(U243,'[1]KODE TYPE standar'!$D:$U,18,0)</f>
        <v>AGYA G A/T</v>
      </c>
      <c r="K243" s="27" t="s">
        <v>121</v>
      </c>
      <c r="L243" s="27" t="s">
        <v>110</v>
      </c>
      <c r="M243" s="27" t="s">
        <v>262</v>
      </c>
      <c r="N243" s="27" t="s">
        <v>139</v>
      </c>
      <c r="O243" s="28" t="s">
        <v>156</v>
      </c>
      <c r="P243" s="29" t="s">
        <v>149</v>
      </c>
      <c r="Q243" s="29" t="s">
        <v>162</v>
      </c>
      <c r="R243" s="29" t="s">
        <v>145</v>
      </c>
      <c r="S243" s="27" t="s">
        <v>795</v>
      </c>
      <c r="T243" s="27" t="s">
        <v>509</v>
      </c>
      <c r="U243" s="27" t="s">
        <v>164</v>
      </c>
      <c r="V243" s="27" t="s">
        <v>68</v>
      </c>
      <c r="W243" s="27" t="s">
        <v>69</v>
      </c>
      <c r="X243" s="27" t="s">
        <v>3445</v>
      </c>
      <c r="Y243" s="27" t="s">
        <v>3446</v>
      </c>
      <c r="Z243" s="27" t="s">
        <v>794</v>
      </c>
      <c r="AA243" s="27" t="s">
        <v>795</v>
      </c>
      <c r="AB243" s="27" t="s">
        <v>509</v>
      </c>
      <c r="AC243" s="27" t="s">
        <v>3447</v>
      </c>
      <c r="AD243" s="27" t="s">
        <v>3448</v>
      </c>
      <c r="AE243" s="27" t="s">
        <v>110</v>
      </c>
      <c r="AF243" s="27" t="s">
        <v>3448</v>
      </c>
      <c r="AG243" s="27" t="s">
        <v>3449</v>
      </c>
      <c r="AH243" s="27" t="s">
        <v>913</v>
      </c>
      <c r="AI243" s="27" t="s">
        <v>139</v>
      </c>
      <c r="AJ243" s="27" t="s">
        <v>262</v>
      </c>
      <c r="AK243" s="27" t="s">
        <v>104</v>
      </c>
      <c r="AL243" s="27" t="s">
        <v>3450</v>
      </c>
      <c r="AM243" s="34">
        <v>204000000</v>
      </c>
      <c r="AN243" s="34">
        <v>156830357</v>
      </c>
      <c r="AO243" s="34">
        <v>28350000</v>
      </c>
      <c r="AP243" s="34">
        <v>17641071</v>
      </c>
      <c r="AQ243" s="34">
        <v>0</v>
      </c>
      <c r="AR243" s="34">
        <v>0</v>
      </c>
      <c r="AS243" s="34">
        <v>9821429</v>
      </c>
      <c r="AT243" s="34">
        <v>193000000</v>
      </c>
      <c r="AU243" s="34">
        <v>56000000</v>
      </c>
      <c r="AV243" s="34">
        <v>-11000000</v>
      </c>
      <c r="AW243" s="27"/>
      <c r="AX243" s="27"/>
      <c r="AY243" s="27" t="s">
        <v>83</v>
      </c>
      <c r="AZ243" s="27">
        <v>1</v>
      </c>
      <c r="BA243" s="27"/>
      <c r="BB243" s="27" t="s">
        <v>206</v>
      </c>
      <c r="BC243" s="27" t="s">
        <v>3451</v>
      </c>
      <c r="BD243" s="27" t="s">
        <v>205</v>
      </c>
      <c r="BE243" s="27" t="s">
        <v>205</v>
      </c>
      <c r="BF243" s="27" t="s">
        <v>3452</v>
      </c>
      <c r="BG243" s="27" t="s">
        <v>3453</v>
      </c>
      <c r="BH243" s="27"/>
      <c r="BI243" s="27" t="s">
        <v>223</v>
      </c>
      <c r="BJ243" s="27" t="s">
        <v>3454</v>
      </c>
      <c r="BK243" s="27" t="s">
        <v>206</v>
      </c>
      <c r="BL243" s="27" t="s">
        <v>3455</v>
      </c>
      <c r="BM243" s="35">
        <v>0</v>
      </c>
    </row>
    <row r="244" spans="1:65" s="1" customFormat="1" x14ac:dyDescent="0.2">
      <c r="A244" s="33">
        <v>1572</v>
      </c>
      <c r="B244" s="26">
        <v>146</v>
      </c>
      <c r="C244" s="27" t="s">
        <v>503</v>
      </c>
      <c r="D244" s="27" t="s">
        <v>3456</v>
      </c>
      <c r="E244" s="27" t="s">
        <v>217</v>
      </c>
      <c r="F244" s="27" t="s">
        <v>111</v>
      </c>
      <c r="G244" s="28">
        <v>2026</v>
      </c>
      <c r="H244" s="20" t="str">
        <f>VLOOKUP(U244,'[1]KODE TYPE standar'!$D:$U,17,0)</f>
        <v>HILUX</v>
      </c>
      <c r="I244" s="20" t="str">
        <f>VLOOKUP(U244,'[1]KODE TYPE standar'!$D:$U,16,0)</f>
        <v>HILUX</v>
      </c>
      <c r="J244" s="20" t="str">
        <f>VLOOKUP(U244,'[1]KODE TYPE standar'!$D:$U,18,0)</f>
        <v>HILUX DC G M/T DIESEL</v>
      </c>
      <c r="K244" s="27" t="s">
        <v>118</v>
      </c>
      <c r="L244" s="27" t="s">
        <v>110</v>
      </c>
      <c r="M244" s="27" t="s">
        <v>262</v>
      </c>
      <c r="N244" s="27" t="s">
        <v>107</v>
      </c>
      <c r="O244" s="28" t="s">
        <v>6581</v>
      </c>
      <c r="P244" s="29" t="s">
        <v>149</v>
      </c>
      <c r="Q244" s="29" t="s">
        <v>161</v>
      </c>
      <c r="R244" s="29" t="s">
        <v>597</v>
      </c>
      <c r="S244" s="27" t="s">
        <v>569</v>
      </c>
      <c r="T244" s="27" t="s">
        <v>509</v>
      </c>
      <c r="U244" s="27" t="s">
        <v>112</v>
      </c>
      <c r="V244" s="27" t="s">
        <v>283</v>
      </c>
      <c r="W244" s="27" t="s">
        <v>284</v>
      </c>
      <c r="X244" s="27" t="s">
        <v>3457</v>
      </c>
      <c r="Y244" s="27" t="s">
        <v>3458</v>
      </c>
      <c r="Z244" s="27" t="s">
        <v>568</v>
      </c>
      <c r="AA244" s="27" t="s">
        <v>569</v>
      </c>
      <c r="AB244" s="27" t="s">
        <v>509</v>
      </c>
      <c r="AC244" s="27" t="s">
        <v>3459</v>
      </c>
      <c r="AD244" s="27" t="s">
        <v>3460</v>
      </c>
      <c r="AE244" s="27" t="s">
        <v>110</v>
      </c>
      <c r="AF244" s="27" t="s">
        <v>3461</v>
      </c>
      <c r="AG244" s="27" t="s">
        <v>3462</v>
      </c>
      <c r="AH244" s="27" t="s">
        <v>3463</v>
      </c>
      <c r="AI244" s="27" t="s">
        <v>107</v>
      </c>
      <c r="AJ244" s="27" t="s">
        <v>262</v>
      </c>
      <c r="AK244" s="27" t="s">
        <v>63</v>
      </c>
      <c r="AL244" s="27" t="s">
        <v>3464</v>
      </c>
      <c r="AM244" s="34">
        <v>490900000</v>
      </c>
      <c r="AN244" s="34">
        <v>378962054</v>
      </c>
      <c r="AO244" s="34">
        <v>66462500</v>
      </c>
      <c r="AP244" s="34">
        <v>41189732</v>
      </c>
      <c r="AQ244" s="34">
        <v>0</v>
      </c>
      <c r="AR244" s="34">
        <v>0</v>
      </c>
      <c r="AS244" s="34">
        <v>35714286</v>
      </c>
      <c r="AT244" s="34">
        <v>450900000</v>
      </c>
      <c r="AU244" s="34">
        <v>0</v>
      </c>
      <c r="AV244" s="34">
        <v>-40000000</v>
      </c>
      <c r="AW244" s="27" t="s">
        <v>225</v>
      </c>
      <c r="AX244" s="27" t="s">
        <v>225</v>
      </c>
      <c r="AY244" s="27" t="s">
        <v>83</v>
      </c>
      <c r="AZ244" s="27">
        <v>1</v>
      </c>
      <c r="BA244" s="27" t="s">
        <v>163</v>
      </c>
      <c r="BB244" s="27" t="s">
        <v>182</v>
      </c>
      <c r="BC244" s="27" t="s">
        <v>3465</v>
      </c>
      <c r="BD244" s="27" t="s">
        <v>187</v>
      </c>
      <c r="BE244" s="27" t="s">
        <v>187</v>
      </c>
      <c r="BF244" s="27" t="s">
        <v>3466</v>
      </c>
      <c r="BG244" s="27" t="s">
        <v>3467</v>
      </c>
      <c r="BH244" s="27" t="s">
        <v>217</v>
      </c>
      <c r="BI244" s="27" t="s">
        <v>235</v>
      </c>
      <c r="BJ244" s="27" t="s">
        <v>3468</v>
      </c>
      <c r="BK244" s="27" t="s">
        <v>301</v>
      </c>
      <c r="BL244" s="27" t="s">
        <v>3469</v>
      </c>
      <c r="BM244" s="35">
        <v>0</v>
      </c>
    </row>
    <row r="245" spans="1:65" s="1" customFormat="1" x14ac:dyDescent="0.2">
      <c r="A245" s="33">
        <v>1958</v>
      </c>
      <c r="B245" s="26">
        <v>146</v>
      </c>
      <c r="C245" s="36" t="s">
        <v>503</v>
      </c>
      <c r="D245" s="27" t="s">
        <v>3470</v>
      </c>
      <c r="E245" s="27" t="s">
        <v>308</v>
      </c>
      <c r="F245" s="27" t="s">
        <v>389</v>
      </c>
      <c r="G245" s="28">
        <v>2026</v>
      </c>
      <c r="H245" s="20" t="str">
        <f>VLOOKUP(U245,'[1]KODE TYPE standar'!$D:$U,17,0)</f>
        <v>CALYA</v>
      </c>
      <c r="I245" s="20" t="str">
        <f>VLOOKUP(U245,'[1]KODE TYPE standar'!$D:$U,16,0)</f>
        <v>CALYA</v>
      </c>
      <c r="J245" s="20" t="str">
        <f>VLOOKUP(U245,'[1]KODE TYPE standar'!$D:$U,18,0)</f>
        <v>CALYA G M/T</v>
      </c>
      <c r="K245" s="27" t="s">
        <v>120</v>
      </c>
      <c r="L245" s="27" t="s">
        <v>110</v>
      </c>
      <c r="M245" s="27" t="s">
        <v>262</v>
      </c>
      <c r="N245" s="27" t="s">
        <v>106</v>
      </c>
      <c r="O245" s="28" t="s">
        <v>156</v>
      </c>
      <c r="P245" s="29" t="s">
        <v>151</v>
      </c>
      <c r="Q245" s="29" t="s">
        <v>161</v>
      </c>
      <c r="R245" s="29" t="s">
        <v>1016</v>
      </c>
      <c r="S245" s="27" t="s">
        <v>724</v>
      </c>
      <c r="T245" s="27" t="s">
        <v>541</v>
      </c>
      <c r="U245" s="27" t="s">
        <v>268</v>
      </c>
      <c r="V245" s="27" t="s">
        <v>68</v>
      </c>
      <c r="W245" s="27" t="s">
        <v>69</v>
      </c>
      <c r="X245" s="27" t="s">
        <v>3471</v>
      </c>
      <c r="Y245" s="27" t="s">
        <v>3472</v>
      </c>
      <c r="Z245" s="27" t="s">
        <v>723</v>
      </c>
      <c r="AA245" s="27" t="s">
        <v>724</v>
      </c>
      <c r="AB245" s="27" t="s">
        <v>541</v>
      </c>
      <c r="AC245" s="27" t="s">
        <v>3473</v>
      </c>
      <c r="AD245" s="27" t="s">
        <v>3474</v>
      </c>
      <c r="AE245" s="27" t="s">
        <v>110</v>
      </c>
      <c r="AF245" s="27" t="s">
        <v>3474</v>
      </c>
      <c r="AG245" s="27" t="s">
        <v>3475</v>
      </c>
      <c r="AH245" s="27" t="s">
        <v>2107</v>
      </c>
      <c r="AI245" s="27" t="s">
        <v>106</v>
      </c>
      <c r="AJ245" s="27" t="s">
        <v>262</v>
      </c>
      <c r="AK245" s="27" t="s">
        <v>423</v>
      </c>
      <c r="AL245" s="27"/>
      <c r="AM245" s="34">
        <v>181900000</v>
      </c>
      <c r="AN245" s="34">
        <v>139341518</v>
      </c>
      <c r="AO245" s="34">
        <v>25837500</v>
      </c>
      <c r="AP245" s="34">
        <v>15649553</v>
      </c>
      <c r="AQ245" s="34">
        <v>0</v>
      </c>
      <c r="AR245" s="34">
        <v>0</v>
      </c>
      <c r="AS245" s="34">
        <v>8928571</v>
      </c>
      <c r="AT245" s="34">
        <v>171900000</v>
      </c>
      <c r="AU245" s="34">
        <v>0</v>
      </c>
      <c r="AV245" s="34">
        <v>-10000000</v>
      </c>
      <c r="AW245" s="27" t="s">
        <v>290</v>
      </c>
      <c r="AX245" s="27" t="s">
        <v>290</v>
      </c>
      <c r="AY245" s="27" t="s">
        <v>83</v>
      </c>
      <c r="AZ245" s="27">
        <v>1</v>
      </c>
      <c r="BA245" s="27"/>
      <c r="BB245" s="27" t="s">
        <v>303</v>
      </c>
      <c r="BC245" s="27" t="s">
        <v>3476</v>
      </c>
      <c r="BD245" s="27" t="s">
        <v>410</v>
      </c>
      <c r="BE245" s="27" t="s">
        <v>410</v>
      </c>
      <c r="BF245" s="27" t="s">
        <v>3477</v>
      </c>
      <c r="BG245" s="27" t="s">
        <v>3478</v>
      </c>
      <c r="BH245" s="27" t="s">
        <v>308</v>
      </c>
      <c r="BI245" s="27" t="s">
        <v>391</v>
      </c>
      <c r="BJ245" s="27" t="s">
        <v>3479</v>
      </c>
      <c r="BK245" s="27" t="s">
        <v>255</v>
      </c>
      <c r="BL245" s="27" t="s">
        <v>3480</v>
      </c>
      <c r="BM245" s="35">
        <v>0</v>
      </c>
    </row>
    <row r="246" spans="1:65" s="1" customFormat="1" x14ac:dyDescent="0.2">
      <c r="A246" s="33">
        <v>1606</v>
      </c>
      <c r="B246" s="26">
        <v>146</v>
      </c>
      <c r="C246" s="27" t="s">
        <v>503</v>
      </c>
      <c r="D246" s="27" t="s">
        <v>3481</v>
      </c>
      <c r="E246" s="27" t="s">
        <v>207</v>
      </c>
      <c r="F246" s="27" t="s">
        <v>111</v>
      </c>
      <c r="G246" s="28">
        <v>2026</v>
      </c>
      <c r="H246" s="20" t="str">
        <f>VLOOKUP(U246,'[1]KODE TYPE standar'!$D:$U,17,0)</f>
        <v>HIACE</v>
      </c>
      <c r="I246" s="20" t="str">
        <f>VLOOKUP(U246,'[1]KODE TYPE standar'!$D:$U,16,0)</f>
        <v>HIACE</v>
      </c>
      <c r="J246" s="20" t="str">
        <f>VLOOKUP(U246,'[1]KODE TYPE standar'!$D:$U,18,0)</f>
        <v>HIACE PREMIO</v>
      </c>
      <c r="K246" s="27" t="s">
        <v>119</v>
      </c>
      <c r="L246" s="27" t="s">
        <v>110</v>
      </c>
      <c r="M246" s="27" t="s">
        <v>262</v>
      </c>
      <c r="N246" s="27" t="s">
        <v>140</v>
      </c>
      <c r="O246" s="28" t="s">
        <v>156</v>
      </c>
      <c r="P246" s="29" t="s">
        <v>151</v>
      </c>
      <c r="Q246" s="29" t="s">
        <v>161</v>
      </c>
      <c r="R246" s="29" t="s">
        <v>145</v>
      </c>
      <c r="S246" s="27" t="s">
        <v>584</v>
      </c>
      <c r="T246" s="27" t="s">
        <v>585</v>
      </c>
      <c r="U246" s="27" t="s">
        <v>173</v>
      </c>
      <c r="V246" s="27" t="s">
        <v>99</v>
      </c>
      <c r="W246" s="27" t="s">
        <v>61</v>
      </c>
      <c r="X246" s="27" t="s">
        <v>3482</v>
      </c>
      <c r="Y246" s="27" t="s">
        <v>3483</v>
      </c>
      <c r="Z246" s="27" t="s">
        <v>583</v>
      </c>
      <c r="AA246" s="27" t="s">
        <v>584</v>
      </c>
      <c r="AB246" s="27" t="s">
        <v>585</v>
      </c>
      <c r="AC246" s="27" t="s">
        <v>3484</v>
      </c>
      <c r="AD246" s="27" t="s">
        <v>3485</v>
      </c>
      <c r="AE246" s="27" t="s">
        <v>110</v>
      </c>
      <c r="AF246" s="27" t="s">
        <v>3485</v>
      </c>
      <c r="AG246" s="27" t="s">
        <v>3486</v>
      </c>
      <c r="AH246" s="27" t="s">
        <v>844</v>
      </c>
      <c r="AI246" s="27" t="s">
        <v>140</v>
      </c>
      <c r="AJ246" s="27" t="s">
        <v>262</v>
      </c>
      <c r="AK246" s="27" t="s">
        <v>89</v>
      </c>
      <c r="AL246" s="27" t="s">
        <v>3487</v>
      </c>
      <c r="AM246" s="34">
        <v>678400000</v>
      </c>
      <c r="AN246" s="34">
        <v>525848214</v>
      </c>
      <c r="AO246" s="34">
        <v>89450000</v>
      </c>
      <c r="AP246" s="34">
        <v>59351785</v>
      </c>
      <c r="AQ246" s="34">
        <v>0</v>
      </c>
      <c r="AR246" s="34">
        <v>0</v>
      </c>
      <c r="AS246" s="34">
        <v>31250000</v>
      </c>
      <c r="AT246" s="34">
        <v>643400000</v>
      </c>
      <c r="AU246" s="34">
        <v>0</v>
      </c>
      <c r="AV246" s="34">
        <v>-35847637</v>
      </c>
      <c r="AW246" s="27" t="s">
        <v>204</v>
      </c>
      <c r="AX246" s="27" t="s">
        <v>204</v>
      </c>
      <c r="AY246" s="27" t="s">
        <v>83</v>
      </c>
      <c r="AZ246" s="27">
        <v>1</v>
      </c>
      <c r="BA246" s="27" t="s">
        <v>163</v>
      </c>
      <c r="BB246" s="27" t="s">
        <v>187</v>
      </c>
      <c r="BC246" s="27" t="s">
        <v>3488</v>
      </c>
      <c r="BD246" s="27" t="s">
        <v>187</v>
      </c>
      <c r="BE246" s="27" t="s">
        <v>187</v>
      </c>
      <c r="BF246" s="27" t="s">
        <v>3489</v>
      </c>
      <c r="BG246" s="27" t="s">
        <v>3490</v>
      </c>
      <c r="BH246" s="27" t="s">
        <v>207</v>
      </c>
      <c r="BI246" s="27" t="s">
        <v>231</v>
      </c>
      <c r="BJ246" s="27" t="s">
        <v>3491</v>
      </c>
      <c r="BK246" s="27" t="s">
        <v>201</v>
      </c>
      <c r="BL246" s="27" t="s">
        <v>3492</v>
      </c>
      <c r="BM246" s="35">
        <v>0</v>
      </c>
    </row>
    <row r="247" spans="1:65" s="1" customFormat="1" x14ac:dyDescent="0.2">
      <c r="A247" s="33">
        <v>1620</v>
      </c>
      <c r="B247" s="26">
        <v>146</v>
      </c>
      <c r="C247" s="27" t="s">
        <v>503</v>
      </c>
      <c r="D247" s="27" t="s">
        <v>3493</v>
      </c>
      <c r="E247" s="27" t="s">
        <v>197</v>
      </c>
      <c r="F247" s="27" t="s">
        <v>111</v>
      </c>
      <c r="G247" s="28">
        <v>2026</v>
      </c>
      <c r="H247" s="20" t="str">
        <f>VLOOKUP(U247,'[1]KODE TYPE standar'!$D:$U,17,0)</f>
        <v>AVANZA</v>
      </c>
      <c r="I247" s="20" t="str">
        <f>VLOOKUP(U247,'[1]KODE TYPE standar'!$D:$U,16,0)</f>
        <v>AVANZA</v>
      </c>
      <c r="J247" s="20" t="str">
        <f>VLOOKUP(U247,'[1]KODE TYPE standar'!$D:$U,18,0)</f>
        <v>AVANZA G M/T</v>
      </c>
      <c r="K247" s="27" t="s">
        <v>121</v>
      </c>
      <c r="L247" s="27" t="s">
        <v>110</v>
      </c>
      <c r="M247" s="27" t="s">
        <v>262</v>
      </c>
      <c r="N247" s="27" t="s">
        <v>141</v>
      </c>
      <c r="O247" s="28" t="s">
        <v>156</v>
      </c>
      <c r="P247" s="29" t="s">
        <v>536</v>
      </c>
      <c r="Q247" s="29" t="s">
        <v>162</v>
      </c>
      <c r="R247" s="29" t="s">
        <v>145</v>
      </c>
      <c r="S247" s="27" t="s">
        <v>631</v>
      </c>
      <c r="T247" s="27" t="s">
        <v>541</v>
      </c>
      <c r="U247" s="27" t="s">
        <v>59</v>
      </c>
      <c r="V247" s="27" t="s">
        <v>64</v>
      </c>
      <c r="W247" s="27" t="s">
        <v>65</v>
      </c>
      <c r="X247" s="27" t="s">
        <v>3494</v>
      </c>
      <c r="Y247" s="27" t="s">
        <v>3495</v>
      </c>
      <c r="Z247" s="27" t="s">
        <v>630</v>
      </c>
      <c r="AA247" s="27" t="s">
        <v>631</v>
      </c>
      <c r="AB247" s="27" t="s">
        <v>541</v>
      </c>
      <c r="AC247" s="27" t="s">
        <v>3496</v>
      </c>
      <c r="AD247" s="27" t="s">
        <v>3497</v>
      </c>
      <c r="AE247" s="27" t="s">
        <v>110</v>
      </c>
      <c r="AF247" s="27" t="s">
        <v>3497</v>
      </c>
      <c r="AG247" s="27" t="s">
        <v>3498</v>
      </c>
      <c r="AH247" s="27" t="s">
        <v>170</v>
      </c>
      <c r="AI247" s="27" t="s">
        <v>141</v>
      </c>
      <c r="AJ247" s="27" t="s">
        <v>262</v>
      </c>
      <c r="AK247" s="27" t="s">
        <v>104</v>
      </c>
      <c r="AL247" s="27" t="s">
        <v>3499</v>
      </c>
      <c r="AM247" s="34">
        <v>269700000</v>
      </c>
      <c r="AN247" s="34">
        <v>208158482</v>
      </c>
      <c r="AO247" s="34">
        <v>36562500</v>
      </c>
      <c r="AP247" s="34">
        <v>23318303</v>
      </c>
      <c r="AQ247" s="34">
        <v>0</v>
      </c>
      <c r="AR247" s="34">
        <v>0</v>
      </c>
      <c r="AS247" s="34">
        <v>13839286</v>
      </c>
      <c r="AT247" s="34">
        <v>254200000</v>
      </c>
      <c r="AU247" s="34">
        <v>0</v>
      </c>
      <c r="AV247" s="34">
        <v>-20000000</v>
      </c>
      <c r="AW247" s="27"/>
      <c r="AX247" s="27"/>
      <c r="AY247" s="27" t="s">
        <v>83</v>
      </c>
      <c r="AZ247" s="27">
        <v>1</v>
      </c>
      <c r="BA247" s="27"/>
      <c r="BB247" s="27" t="s">
        <v>197</v>
      </c>
      <c r="BC247" s="27" t="s">
        <v>3500</v>
      </c>
      <c r="BD247" s="27" t="s">
        <v>190</v>
      </c>
      <c r="BE247" s="27" t="s">
        <v>190</v>
      </c>
      <c r="BF247" s="27" t="s">
        <v>3501</v>
      </c>
      <c r="BG247" s="27" t="s">
        <v>3502</v>
      </c>
      <c r="BH247" s="27"/>
      <c r="BI247" s="27" t="s">
        <v>223</v>
      </c>
      <c r="BJ247" s="27" t="s">
        <v>2300</v>
      </c>
      <c r="BK247" s="27" t="s">
        <v>203</v>
      </c>
      <c r="BL247" s="27" t="s">
        <v>3503</v>
      </c>
      <c r="BM247" s="35">
        <v>0</v>
      </c>
    </row>
    <row r="248" spans="1:65" s="1" customFormat="1" x14ac:dyDescent="0.2">
      <c r="A248" s="33">
        <v>2021</v>
      </c>
      <c r="B248" s="26">
        <v>146</v>
      </c>
      <c r="C248" s="36" t="s">
        <v>503</v>
      </c>
      <c r="D248" s="27" t="s">
        <v>3504</v>
      </c>
      <c r="E248" s="27" t="s">
        <v>404</v>
      </c>
      <c r="F248" s="27" t="s">
        <v>389</v>
      </c>
      <c r="G248" s="28">
        <v>2026</v>
      </c>
      <c r="H248" s="20" t="str">
        <f>VLOOKUP(U248,'[1]KODE TYPE standar'!$D:$U,17,0)</f>
        <v>AGYA</v>
      </c>
      <c r="I248" s="20" t="str">
        <f>VLOOKUP(U248,'[1]KODE TYPE standar'!$D:$U,16,0)</f>
        <v>AGYA</v>
      </c>
      <c r="J248" s="20" t="str">
        <f>VLOOKUP(U248,'[1]KODE TYPE standar'!$D:$U,18,0)</f>
        <v>AGYA G A/T</v>
      </c>
      <c r="K248" s="27" t="s">
        <v>118</v>
      </c>
      <c r="L248" s="27" t="s">
        <v>110</v>
      </c>
      <c r="M248" s="27" t="s">
        <v>262</v>
      </c>
      <c r="N248" s="27" t="s">
        <v>106</v>
      </c>
      <c r="O248" s="28" t="s">
        <v>156</v>
      </c>
      <c r="P248" s="29" t="s">
        <v>146</v>
      </c>
      <c r="Q248" s="29" t="s">
        <v>161</v>
      </c>
      <c r="R248" s="29" t="s">
        <v>145</v>
      </c>
      <c r="S248" s="27" t="s">
        <v>2486</v>
      </c>
      <c r="T248" s="27" t="s">
        <v>541</v>
      </c>
      <c r="U248" s="27" t="s">
        <v>74</v>
      </c>
      <c r="V248" s="27" t="s">
        <v>376</v>
      </c>
      <c r="W248" s="27" t="s">
        <v>377</v>
      </c>
      <c r="X248" s="27" t="s">
        <v>3505</v>
      </c>
      <c r="Y248" s="27" t="s">
        <v>3506</v>
      </c>
      <c r="Z248" s="27" t="s">
        <v>2485</v>
      </c>
      <c r="AA248" s="27" t="s">
        <v>2486</v>
      </c>
      <c r="AB248" s="27" t="s">
        <v>541</v>
      </c>
      <c r="AC248" s="27" t="s">
        <v>3507</v>
      </c>
      <c r="AD248" s="27" t="s">
        <v>3508</v>
      </c>
      <c r="AE248" s="27" t="s">
        <v>110</v>
      </c>
      <c r="AF248" s="27" t="s">
        <v>3508</v>
      </c>
      <c r="AG248" s="27" t="s">
        <v>3509</v>
      </c>
      <c r="AH248" s="27" t="s">
        <v>3510</v>
      </c>
      <c r="AI248" s="27" t="s">
        <v>106</v>
      </c>
      <c r="AJ248" s="27" t="s">
        <v>262</v>
      </c>
      <c r="AK248" s="27" t="s">
        <v>63</v>
      </c>
      <c r="AL248" s="27"/>
      <c r="AM248" s="34">
        <v>200500000</v>
      </c>
      <c r="AN248" s="34">
        <v>153872768</v>
      </c>
      <c r="AO248" s="34">
        <v>28162500</v>
      </c>
      <c r="AP248" s="34">
        <v>17393303</v>
      </c>
      <c r="AQ248" s="34">
        <v>0</v>
      </c>
      <c r="AR248" s="34">
        <v>0</v>
      </c>
      <c r="AS248" s="34">
        <v>8928571</v>
      </c>
      <c r="AT248" s="34">
        <v>190500000</v>
      </c>
      <c r="AU248" s="34">
        <v>0</v>
      </c>
      <c r="AV248" s="34">
        <v>-10000000</v>
      </c>
      <c r="AW248" s="27" t="s">
        <v>342</v>
      </c>
      <c r="AX248" s="27" t="s">
        <v>342</v>
      </c>
      <c r="AY248" s="27" t="s">
        <v>83</v>
      </c>
      <c r="AZ248" s="27">
        <v>1</v>
      </c>
      <c r="BA248" s="27"/>
      <c r="BB248" s="27" t="s">
        <v>282</v>
      </c>
      <c r="BC248" s="27" t="s">
        <v>3511</v>
      </c>
      <c r="BD248" s="27" t="s">
        <v>303</v>
      </c>
      <c r="BE248" s="27" t="s">
        <v>303</v>
      </c>
      <c r="BF248" s="27" t="s">
        <v>3512</v>
      </c>
      <c r="BG248" s="27" t="s">
        <v>3513</v>
      </c>
      <c r="BH248" s="27" t="s">
        <v>404</v>
      </c>
      <c r="BI248" s="27" t="s">
        <v>405</v>
      </c>
      <c r="BJ248" s="27" t="s">
        <v>3514</v>
      </c>
      <c r="BK248" s="27" t="s">
        <v>347</v>
      </c>
      <c r="BL248" s="27" t="s">
        <v>3515</v>
      </c>
      <c r="BM248" s="35">
        <v>0</v>
      </c>
    </row>
    <row r="249" spans="1:65" s="1" customFormat="1" x14ac:dyDescent="0.2">
      <c r="A249" s="33">
        <v>1634</v>
      </c>
      <c r="B249" s="26">
        <v>146</v>
      </c>
      <c r="C249" s="27" t="s">
        <v>503</v>
      </c>
      <c r="D249" s="27" t="s">
        <v>3516</v>
      </c>
      <c r="E249" s="27" t="s">
        <v>216</v>
      </c>
      <c r="F249" s="27" t="s">
        <v>111</v>
      </c>
      <c r="G249" s="28">
        <v>2026</v>
      </c>
      <c r="H249" s="20" t="str">
        <f>VLOOKUP(U249,'[1]KODE TYPE standar'!$D:$U,17,0)</f>
        <v>INV ZENIX HYBRID</v>
      </c>
      <c r="I249" s="20" t="str">
        <f>VLOOKUP(U249,'[1]KODE TYPE standar'!$D:$U,16,0)</f>
        <v>INNOVA</v>
      </c>
      <c r="J249" s="20" t="str">
        <f>VLOOKUP(U249,'[1]KODE TYPE standar'!$D:$U,18,0)</f>
        <v>INNOVA ZENIX Q A/T HYBRID</v>
      </c>
      <c r="K249" s="27" t="s">
        <v>119</v>
      </c>
      <c r="L249" s="27" t="s">
        <v>110</v>
      </c>
      <c r="M249" s="27" t="s">
        <v>262</v>
      </c>
      <c r="N249" s="27" t="s">
        <v>56</v>
      </c>
      <c r="O249" s="28" t="s">
        <v>6581</v>
      </c>
      <c r="P249" s="29" t="s">
        <v>536</v>
      </c>
      <c r="Q249" s="29" t="s">
        <v>162</v>
      </c>
      <c r="R249" s="29" t="s">
        <v>597</v>
      </c>
      <c r="S249" s="27" t="s">
        <v>554</v>
      </c>
      <c r="T249" s="27" t="s">
        <v>509</v>
      </c>
      <c r="U249" s="27" t="s">
        <v>94</v>
      </c>
      <c r="V249" s="27" t="s">
        <v>93</v>
      </c>
      <c r="W249" s="27" t="s">
        <v>81</v>
      </c>
      <c r="X249" s="27" t="s">
        <v>3517</v>
      </c>
      <c r="Y249" s="27" t="s">
        <v>3518</v>
      </c>
      <c r="Z249" s="27" t="s">
        <v>553</v>
      </c>
      <c r="AA249" s="27" t="s">
        <v>554</v>
      </c>
      <c r="AB249" s="27" t="s">
        <v>509</v>
      </c>
      <c r="AC249" s="27" t="s">
        <v>3519</v>
      </c>
      <c r="AD249" s="27" t="s">
        <v>3520</v>
      </c>
      <c r="AE249" s="27" t="s">
        <v>110</v>
      </c>
      <c r="AF249" s="27" t="s">
        <v>3520</v>
      </c>
      <c r="AG249" s="27" t="s">
        <v>3521</v>
      </c>
      <c r="AH249" s="27" t="s">
        <v>79</v>
      </c>
      <c r="AI249" s="27" t="s">
        <v>56</v>
      </c>
      <c r="AJ249" s="27" t="s">
        <v>262</v>
      </c>
      <c r="AK249" s="27" t="s">
        <v>89</v>
      </c>
      <c r="AL249" s="27" t="s">
        <v>3522</v>
      </c>
      <c r="AM249" s="34">
        <v>625300000</v>
      </c>
      <c r="AN249" s="34">
        <v>486296875</v>
      </c>
      <c r="AO249" s="34">
        <v>80647500</v>
      </c>
      <c r="AP249" s="34">
        <v>52998482</v>
      </c>
      <c r="AQ249" s="34">
        <v>0</v>
      </c>
      <c r="AR249" s="34">
        <v>0</v>
      </c>
      <c r="AS249" s="34">
        <v>44642857</v>
      </c>
      <c r="AT249" s="34">
        <v>575300000</v>
      </c>
      <c r="AU249" s="34">
        <v>0</v>
      </c>
      <c r="AV249" s="34">
        <v>-50000000</v>
      </c>
      <c r="AW249" s="27" t="s">
        <v>197</v>
      </c>
      <c r="AX249" s="27" t="s">
        <v>197</v>
      </c>
      <c r="AY249" s="27" t="s">
        <v>83</v>
      </c>
      <c r="AZ249" s="27">
        <v>1</v>
      </c>
      <c r="BA249" s="27" t="s">
        <v>3523</v>
      </c>
      <c r="BB249" s="27" t="s">
        <v>206</v>
      </c>
      <c r="BC249" s="27" t="s">
        <v>3524</v>
      </c>
      <c r="BD249" s="27" t="s">
        <v>214</v>
      </c>
      <c r="BE249" s="27" t="s">
        <v>214</v>
      </c>
      <c r="BF249" s="27" t="s">
        <v>3525</v>
      </c>
      <c r="BG249" s="27" t="s">
        <v>3526</v>
      </c>
      <c r="BH249" s="27" t="s">
        <v>216</v>
      </c>
      <c r="BI249" s="27" t="s">
        <v>228</v>
      </c>
      <c r="BJ249" s="27" t="s">
        <v>253</v>
      </c>
      <c r="BK249" s="27" t="s">
        <v>171</v>
      </c>
      <c r="BL249" s="27" t="s">
        <v>3527</v>
      </c>
      <c r="BM249" s="35">
        <v>0</v>
      </c>
    </row>
    <row r="250" spans="1:65" s="1" customFormat="1" x14ac:dyDescent="0.2">
      <c r="A250" s="33">
        <v>2029</v>
      </c>
      <c r="B250" s="26">
        <v>146</v>
      </c>
      <c r="C250" s="36" t="s">
        <v>503</v>
      </c>
      <c r="D250" s="27" t="s">
        <v>3528</v>
      </c>
      <c r="E250" s="27" t="s">
        <v>365</v>
      </c>
      <c r="F250" s="27" t="s">
        <v>389</v>
      </c>
      <c r="G250" s="28">
        <v>2026</v>
      </c>
      <c r="H250" s="20" t="str">
        <f>VLOOKUP(U250,'[1]KODE TYPE standar'!$D:$U,17,0)</f>
        <v>INV REBORN</v>
      </c>
      <c r="I250" s="20" t="str">
        <f>VLOOKUP(U250,'[1]KODE TYPE standar'!$D:$U,16,0)</f>
        <v>INNOVA</v>
      </c>
      <c r="J250" s="20" t="str">
        <f>VLOOKUP(U250,'[1]KODE TYPE standar'!$D:$U,18,0)</f>
        <v>INNOVA G A/T DIESEL</v>
      </c>
      <c r="K250" s="27" t="s">
        <v>119</v>
      </c>
      <c r="L250" s="27" t="s">
        <v>110</v>
      </c>
      <c r="M250" s="27" t="s">
        <v>262</v>
      </c>
      <c r="N250" s="27" t="s">
        <v>141</v>
      </c>
      <c r="O250" s="28" t="s">
        <v>156</v>
      </c>
      <c r="P250" s="29" t="s">
        <v>151</v>
      </c>
      <c r="Q250" s="29" t="s">
        <v>161</v>
      </c>
      <c r="R250" s="29" t="s">
        <v>597</v>
      </c>
      <c r="S250" s="27" t="s">
        <v>584</v>
      </c>
      <c r="T250" s="27" t="s">
        <v>585</v>
      </c>
      <c r="U250" s="27" t="s">
        <v>192</v>
      </c>
      <c r="V250" s="27" t="s">
        <v>48</v>
      </c>
      <c r="W250" s="27" t="s">
        <v>49</v>
      </c>
      <c r="X250" s="27" t="s">
        <v>3529</v>
      </c>
      <c r="Y250" s="27" t="s">
        <v>3530</v>
      </c>
      <c r="Z250" s="27" t="s">
        <v>583</v>
      </c>
      <c r="AA250" s="27" t="s">
        <v>584</v>
      </c>
      <c r="AB250" s="27" t="s">
        <v>585</v>
      </c>
      <c r="AC250" s="27" t="s">
        <v>3531</v>
      </c>
      <c r="AD250" s="27" t="s">
        <v>3532</v>
      </c>
      <c r="AE250" s="27" t="s">
        <v>110</v>
      </c>
      <c r="AF250" s="27" t="s">
        <v>3532</v>
      </c>
      <c r="AG250" s="27" t="s">
        <v>3533</v>
      </c>
      <c r="AH250" s="27" t="s">
        <v>2449</v>
      </c>
      <c r="AI250" s="27" t="s">
        <v>141</v>
      </c>
      <c r="AJ250" s="27" t="s">
        <v>262</v>
      </c>
      <c r="AK250" s="27" t="s">
        <v>89</v>
      </c>
      <c r="AL250" s="27"/>
      <c r="AM250" s="34">
        <v>442100000</v>
      </c>
      <c r="AN250" s="34">
        <v>342622768</v>
      </c>
      <c r="AO250" s="34">
        <v>58362500</v>
      </c>
      <c r="AP250" s="34">
        <v>38864732</v>
      </c>
      <c r="AQ250" s="34">
        <v>0</v>
      </c>
      <c r="AR250" s="34">
        <v>0</v>
      </c>
      <c r="AS250" s="34">
        <v>18750000</v>
      </c>
      <c r="AT250" s="34">
        <v>421100000</v>
      </c>
      <c r="AU250" s="34">
        <v>0</v>
      </c>
      <c r="AV250" s="34">
        <v>-21000000</v>
      </c>
      <c r="AW250" s="27" t="s">
        <v>308</v>
      </c>
      <c r="AX250" s="27" t="s">
        <v>308</v>
      </c>
      <c r="AY250" s="27" t="s">
        <v>83</v>
      </c>
      <c r="AZ250" s="27">
        <v>1</v>
      </c>
      <c r="BA250" s="27" t="s">
        <v>163</v>
      </c>
      <c r="BB250" s="27" t="s">
        <v>3534</v>
      </c>
      <c r="BC250" s="27" t="s">
        <v>3535</v>
      </c>
      <c r="BD250" s="27" t="s">
        <v>348</v>
      </c>
      <c r="BE250" s="27" t="s">
        <v>348</v>
      </c>
      <c r="BF250" s="27" t="s">
        <v>3536</v>
      </c>
      <c r="BG250" s="27" t="s">
        <v>3537</v>
      </c>
      <c r="BH250" s="27" t="s">
        <v>365</v>
      </c>
      <c r="BI250" s="27" t="s">
        <v>404</v>
      </c>
      <c r="BJ250" s="27" t="s">
        <v>3538</v>
      </c>
      <c r="BK250" s="27" t="s">
        <v>368</v>
      </c>
      <c r="BL250" s="27" t="s">
        <v>3539</v>
      </c>
      <c r="BM250" s="35">
        <v>0</v>
      </c>
    </row>
    <row r="251" spans="1:65" s="1" customFormat="1" x14ac:dyDescent="0.2">
      <c r="A251" s="33">
        <v>1976</v>
      </c>
      <c r="B251" s="26">
        <v>146</v>
      </c>
      <c r="C251" s="27" t="s">
        <v>503</v>
      </c>
      <c r="D251" s="27" t="s">
        <v>3540</v>
      </c>
      <c r="E251" s="27" t="s">
        <v>218</v>
      </c>
      <c r="F251" s="27" t="s">
        <v>258</v>
      </c>
      <c r="G251" s="28">
        <v>2026</v>
      </c>
      <c r="H251" s="20" t="str">
        <f>VLOOKUP(U251,'[1]KODE TYPE standar'!$D:$U,17,0)</f>
        <v>INV REBORN</v>
      </c>
      <c r="I251" s="20" t="str">
        <f>VLOOKUP(U251,'[1]KODE TYPE standar'!$D:$U,16,0)</f>
        <v>INNOVA</v>
      </c>
      <c r="J251" s="20" t="str">
        <f>VLOOKUP(U251,'[1]KODE TYPE standar'!$D:$U,18,0)</f>
        <v>INNOVA G A/T DIESEL</v>
      </c>
      <c r="K251" s="27" t="s">
        <v>101</v>
      </c>
      <c r="L251" s="27" t="s">
        <v>110</v>
      </c>
      <c r="M251" s="27" t="s">
        <v>262</v>
      </c>
      <c r="N251" s="27" t="s">
        <v>141</v>
      </c>
      <c r="O251" s="28" t="s">
        <v>156</v>
      </c>
      <c r="P251" s="29" t="s">
        <v>3541</v>
      </c>
      <c r="Q251" s="29" t="s">
        <v>147</v>
      </c>
      <c r="R251" s="29" t="s">
        <v>145</v>
      </c>
      <c r="S251" s="27" t="s">
        <v>584</v>
      </c>
      <c r="T251" s="27" t="s">
        <v>585</v>
      </c>
      <c r="U251" s="27" t="s">
        <v>192</v>
      </c>
      <c r="V251" s="27" t="s">
        <v>48</v>
      </c>
      <c r="W251" s="27" t="s">
        <v>49</v>
      </c>
      <c r="X251" s="27" t="s">
        <v>3542</v>
      </c>
      <c r="Y251" s="27" t="s">
        <v>3543</v>
      </c>
      <c r="Z251" s="27" t="s">
        <v>583</v>
      </c>
      <c r="AA251" s="27" t="s">
        <v>584</v>
      </c>
      <c r="AB251" s="27" t="s">
        <v>585</v>
      </c>
      <c r="AC251" s="27" t="s">
        <v>3544</v>
      </c>
      <c r="AD251" s="27" t="s">
        <v>3532</v>
      </c>
      <c r="AE251" s="27" t="s">
        <v>110</v>
      </c>
      <c r="AF251" s="27" t="s">
        <v>3545</v>
      </c>
      <c r="AG251" s="27" t="s">
        <v>3546</v>
      </c>
      <c r="AH251" s="27" t="s">
        <v>2449</v>
      </c>
      <c r="AI251" s="27" t="s">
        <v>141</v>
      </c>
      <c r="AJ251" s="27" t="s">
        <v>262</v>
      </c>
      <c r="AK251" s="27" t="s">
        <v>103</v>
      </c>
      <c r="AL251" s="27" t="s">
        <v>3547</v>
      </c>
      <c r="AM251" s="34">
        <v>442100000</v>
      </c>
      <c r="AN251" s="34">
        <v>342845982</v>
      </c>
      <c r="AO251" s="34">
        <v>58112500</v>
      </c>
      <c r="AP251" s="34">
        <v>38891517</v>
      </c>
      <c r="AQ251" s="34">
        <v>0</v>
      </c>
      <c r="AR251" s="34">
        <v>0</v>
      </c>
      <c r="AS251" s="34">
        <v>18750000</v>
      </c>
      <c r="AT251" s="34">
        <v>421100000</v>
      </c>
      <c r="AU251" s="34">
        <v>0</v>
      </c>
      <c r="AV251" s="34">
        <v>-21000000</v>
      </c>
      <c r="AW251" s="27"/>
      <c r="AX251" s="27"/>
      <c r="AY251" s="27" t="s">
        <v>83</v>
      </c>
      <c r="AZ251" s="27">
        <v>1</v>
      </c>
      <c r="BA251" s="27" t="s">
        <v>163</v>
      </c>
      <c r="BB251" s="27" t="s">
        <v>234</v>
      </c>
      <c r="BC251" s="27" t="s">
        <v>3548</v>
      </c>
      <c r="BD251" s="27" t="s">
        <v>219</v>
      </c>
      <c r="BE251" s="27" t="s">
        <v>219</v>
      </c>
      <c r="BF251" s="27" t="s">
        <v>3549</v>
      </c>
      <c r="BG251" s="27" t="s">
        <v>3550</v>
      </c>
      <c r="BH251" s="27" t="s">
        <v>218</v>
      </c>
      <c r="BI251" s="27" t="s">
        <v>243</v>
      </c>
      <c r="BJ251" s="27" t="s">
        <v>288</v>
      </c>
      <c r="BK251" s="27" t="s">
        <v>241</v>
      </c>
      <c r="BL251" s="27" t="s">
        <v>3551</v>
      </c>
      <c r="BM251" s="35">
        <v>0</v>
      </c>
    </row>
    <row r="252" spans="1:65" s="1" customFormat="1" x14ac:dyDescent="0.2">
      <c r="A252" s="25">
        <v>1475</v>
      </c>
      <c r="B252" s="26">
        <v>146</v>
      </c>
      <c r="C252" s="27" t="s">
        <v>503</v>
      </c>
      <c r="D252" s="28" t="s">
        <v>3552</v>
      </c>
      <c r="E252" s="28" t="s">
        <v>254</v>
      </c>
      <c r="F252" s="28" t="s">
        <v>339</v>
      </c>
      <c r="G252" s="28">
        <v>2026</v>
      </c>
      <c r="H252" s="20" t="str">
        <f>VLOOKUP(U252,'[1]KODE TYPE standar'!$D:$U,17,0)</f>
        <v>VELOZ</v>
      </c>
      <c r="I252" s="20" t="str">
        <f>VLOOKUP(U252,'[1]KODE TYPE standar'!$D:$U,16,0)</f>
        <v>VELOZ</v>
      </c>
      <c r="J252" s="20" t="str">
        <f>VLOOKUP(U252,'[1]KODE TYPE standar'!$D:$U,18,0)</f>
        <v>VELOZ V AT HYBRID</v>
      </c>
      <c r="K252" s="27" t="s">
        <v>101</v>
      </c>
      <c r="L252" s="28" t="s">
        <v>110</v>
      </c>
      <c r="M252" s="28" t="s">
        <v>262</v>
      </c>
      <c r="N252" s="28" t="s">
        <v>140</v>
      </c>
      <c r="O252" s="28" t="s">
        <v>156</v>
      </c>
      <c r="P252" s="29" t="s">
        <v>149</v>
      </c>
      <c r="Q252" s="29" t="s">
        <v>161</v>
      </c>
      <c r="R252" s="29" t="s">
        <v>2197</v>
      </c>
      <c r="S252" s="27" t="s">
        <v>584</v>
      </c>
      <c r="T252" s="30" t="s">
        <v>585</v>
      </c>
      <c r="U252" s="27" t="s">
        <v>327</v>
      </c>
      <c r="V252" s="27" t="s">
        <v>64</v>
      </c>
      <c r="W252" s="27" t="s">
        <v>65</v>
      </c>
      <c r="X252" s="27" t="s">
        <v>3553</v>
      </c>
      <c r="Y252" s="27" t="s">
        <v>3554</v>
      </c>
      <c r="Z252" s="27" t="s">
        <v>583</v>
      </c>
      <c r="AA252" s="27" t="s">
        <v>584</v>
      </c>
      <c r="AB252" s="30" t="s">
        <v>585</v>
      </c>
      <c r="AC252" s="30" t="s">
        <v>3555</v>
      </c>
      <c r="AD252" s="28" t="s">
        <v>3532</v>
      </c>
      <c r="AE252" s="28" t="s">
        <v>110</v>
      </c>
      <c r="AF252" s="28" t="s">
        <v>908</v>
      </c>
      <c r="AG252" s="28" t="s">
        <v>3556</v>
      </c>
      <c r="AH252" s="28" t="s">
        <v>844</v>
      </c>
      <c r="AI252" s="28" t="s">
        <v>140</v>
      </c>
      <c r="AJ252" s="28" t="s">
        <v>262</v>
      </c>
      <c r="AK252" s="28" t="s">
        <v>103</v>
      </c>
      <c r="AL252" s="28" t="s">
        <v>3557</v>
      </c>
      <c r="AM252" s="31">
        <v>303000000</v>
      </c>
      <c r="AN252" s="31">
        <v>233950893</v>
      </c>
      <c r="AO252" s="31">
        <v>40975000</v>
      </c>
      <c r="AP252" s="31">
        <v>28074107</v>
      </c>
      <c r="AQ252" s="31">
        <v>0</v>
      </c>
      <c r="AR252" s="31">
        <v>0</v>
      </c>
      <c r="AS252" s="31">
        <v>0</v>
      </c>
      <c r="AT252" s="31">
        <v>303000000</v>
      </c>
      <c r="AU252" s="31">
        <v>0</v>
      </c>
      <c r="AV252" s="31">
        <v>0</v>
      </c>
      <c r="AW252" s="28" t="s">
        <v>242</v>
      </c>
      <c r="AX252" s="28" t="s">
        <v>242</v>
      </c>
      <c r="AY252" s="28" t="s">
        <v>83</v>
      </c>
      <c r="AZ252" s="28">
        <v>1</v>
      </c>
      <c r="BA252" s="28" t="s">
        <v>163</v>
      </c>
      <c r="BB252" s="28" t="s">
        <v>195</v>
      </c>
      <c r="BC252" s="28" t="s">
        <v>3558</v>
      </c>
      <c r="BD252" s="28" t="s">
        <v>188</v>
      </c>
      <c r="BE252" s="28" t="s">
        <v>188</v>
      </c>
      <c r="BF252" s="28" t="s">
        <v>3559</v>
      </c>
      <c r="BG252" s="28" t="s">
        <v>3560</v>
      </c>
      <c r="BH252" s="28" t="s">
        <v>254</v>
      </c>
      <c r="BI252" s="28" t="s">
        <v>265</v>
      </c>
      <c r="BJ252" s="28" t="s">
        <v>3561</v>
      </c>
      <c r="BK252" s="28" t="s">
        <v>341</v>
      </c>
      <c r="BL252" s="28" t="s">
        <v>3562</v>
      </c>
      <c r="BM252" s="32">
        <v>0</v>
      </c>
    </row>
    <row r="253" spans="1:65" s="1" customFormat="1" x14ac:dyDescent="0.2">
      <c r="A253" s="33">
        <v>2030</v>
      </c>
      <c r="B253" s="26">
        <v>146</v>
      </c>
      <c r="C253" s="36" t="s">
        <v>503</v>
      </c>
      <c r="D253" s="27" t="s">
        <v>3563</v>
      </c>
      <c r="E253" s="27" t="s">
        <v>404</v>
      </c>
      <c r="F253" s="27" t="s">
        <v>389</v>
      </c>
      <c r="G253" s="28">
        <v>2026</v>
      </c>
      <c r="H253" s="20" t="str">
        <f>VLOOKUP(U253,'[1]KODE TYPE standar'!$D:$U,17,0)</f>
        <v>INV REBORN</v>
      </c>
      <c r="I253" s="20" t="str">
        <f>VLOOKUP(U253,'[1]KODE TYPE standar'!$D:$U,16,0)</f>
        <v>INNOVA</v>
      </c>
      <c r="J253" s="20" t="str">
        <f>VLOOKUP(U253,'[1]KODE TYPE standar'!$D:$U,18,0)</f>
        <v>INNOVA G A/T DIESEL</v>
      </c>
      <c r="K253" s="27" t="s">
        <v>50</v>
      </c>
      <c r="L253" s="27" t="s">
        <v>110</v>
      </c>
      <c r="M253" s="27" t="s">
        <v>50</v>
      </c>
      <c r="N253" s="27" t="s">
        <v>141</v>
      </c>
      <c r="O253" s="28" t="s">
        <v>156</v>
      </c>
      <c r="P253" s="29" t="s">
        <v>149</v>
      </c>
      <c r="Q253" s="29" t="s">
        <v>162</v>
      </c>
      <c r="R253" s="29" t="s">
        <v>597</v>
      </c>
      <c r="S253" s="27" t="s">
        <v>1184</v>
      </c>
      <c r="T253" s="27" t="s">
        <v>585</v>
      </c>
      <c r="U253" s="27" t="s">
        <v>192</v>
      </c>
      <c r="V253" s="27" t="s">
        <v>93</v>
      </c>
      <c r="W253" s="27" t="s">
        <v>81</v>
      </c>
      <c r="X253" s="27" t="s">
        <v>3564</v>
      </c>
      <c r="Y253" s="27" t="s">
        <v>3565</v>
      </c>
      <c r="Z253" s="27" t="s">
        <v>1183</v>
      </c>
      <c r="AA253" s="27" t="s">
        <v>1184</v>
      </c>
      <c r="AB253" s="27" t="s">
        <v>585</v>
      </c>
      <c r="AC253" s="27" t="s">
        <v>3566</v>
      </c>
      <c r="AD253" s="27" t="s">
        <v>3567</v>
      </c>
      <c r="AE253" s="27" t="s">
        <v>110</v>
      </c>
      <c r="AF253" s="27" t="s">
        <v>3568</v>
      </c>
      <c r="AG253" s="27" t="s">
        <v>3569</v>
      </c>
      <c r="AH253" s="27" t="s">
        <v>1602</v>
      </c>
      <c r="AI253" s="27" t="s">
        <v>141</v>
      </c>
      <c r="AJ253" s="27" t="s">
        <v>50</v>
      </c>
      <c r="AK253" s="27" t="s">
        <v>50</v>
      </c>
      <c r="AL253" s="27"/>
      <c r="AM253" s="34">
        <v>442100000</v>
      </c>
      <c r="AN253" s="34">
        <v>342622768</v>
      </c>
      <c r="AO253" s="34">
        <v>58362500</v>
      </c>
      <c r="AP253" s="34">
        <v>38864732</v>
      </c>
      <c r="AQ253" s="34">
        <v>0</v>
      </c>
      <c r="AR253" s="34">
        <v>0</v>
      </c>
      <c r="AS253" s="34">
        <v>18750000</v>
      </c>
      <c r="AT253" s="34">
        <v>421100000</v>
      </c>
      <c r="AU253" s="34">
        <v>0</v>
      </c>
      <c r="AV253" s="34">
        <v>-21000000</v>
      </c>
      <c r="AW253" s="27" t="s">
        <v>399</v>
      </c>
      <c r="AX253" s="27" t="s">
        <v>399</v>
      </c>
      <c r="AY253" s="27" t="s">
        <v>83</v>
      </c>
      <c r="AZ253" s="27">
        <v>1</v>
      </c>
      <c r="BA253" s="27"/>
      <c r="BB253" s="27" t="s">
        <v>290</v>
      </c>
      <c r="BC253" s="27" t="s">
        <v>3570</v>
      </c>
      <c r="BD253" s="27" t="s">
        <v>282</v>
      </c>
      <c r="BE253" s="27" t="s">
        <v>282</v>
      </c>
      <c r="BF253" s="27" t="s">
        <v>3571</v>
      </c>
      <c r="BG253" s="27" t="s">
        <v>3572</v>
      </c>
      <c r="BH253" s="27" t="s">
        <v>404</v>
      </c>
      <c r="BI253" s="27" t="s">
        <v>392</v>
      </c>
      <c r="BJ253" s="27" t="s">
        <v>3573</v>
      </c>
      <c r="BK253" s="27" t="s">
        <v>347</v>
      </c>
      <c r="BL253" s="27" t="s">
        <v>3574</v>
      </c>
      <c r="BM253" s="35">
        <v>0</v>
      </c>
    </row>
    <row r="254" spans="1:65" s="1" customFormat="1" x14ac:dyDescent="0.2">
      <c r="A254" s="33">
        <v>1635</v>
      </c>
      <c r="B254" s="26">
        <v>146</v>
      </c>
      <c r="C254" s="27" t="s">
        <v>503</v>
      </c>
      <c r="D254" s="27" t="s">
        <v>3575</v>
      </c>
      <c r="E254" s="27" t="s">
        <v>217</v>
      </c>
      <c r="F254" s="27" t="s">
        <v>111</v>
      </c>
      <c r="G254" s="28">
        <v>2026</v>
      </c>
      <c r="H254" s="20" t="str">
        <f>VLOOKUP(U254,'[1]KODE TYPE standar'!$D:$U,17,0)</f>
        <v>INV ZENIX HYBRID</v>
      </c>
      <c r="I254" s="20" t="str">
        <f>VLOOKUP(U254,'[1]KODE TYPE standar'!$D:$U,16,0)</f>
        <v>INNOVA</v>
      </c>
      <c r="J254" s="20" t="str">
        <f>VLOOKUP(U254,'[1]KODE TYPE standar'!$D:$U,18,0)</f>
        <v>INNOVA ZENIX V A/T HYBRID</v>
      </c>
      <c r="K254" s="27" t="s">
        <v>118</v>
      </c>
      <c r="L254" s="27" t="s">
        <v>110</v>
      </c>
      <c r="M254" s="27" t="s">
        <v>262</v>
      </c>
      <c r="N254" s="27" t="s">
        <v>140</v>
      </c>
      <c r="O254" s="28" t="s">
        <v>156</v>
      </c>
      <c r="P254" s="29" t="s">
        <v>150</v>
      </c>
      <c r="Q254" s="29" t="s">
        <v>162</v>
      </c>
      <c r="R254" s="29" t="s">
        <v>597</v>
      </c>
      <c r="S254" s="27" t="s">
        <v>631</v>
      </c>
      <c r="T254" s="27" t="s">
        <v>541</v>
      </c>
      <c r="U254" s="27" t="s">
        <v>175</v>
      </c>
      <c r="V254" s="27" t="s">
        <v>48</v>
      </c>
      <c r="W254" s="27" t="s">
        <v>49</v>
      </c>
      <c r="X254" s="27" t="s">
        <v>3576</v>
      </c>
      <c r="Y254" s="27" t="s">
        <v>3577</v>
      </c>
      <c r="Z254" s="27" t="s">
        <v>630</v>
      </c>
      <c r="AA254" s="27" t="s">
        <v>631</v>
      </c>
      <c r="AB254" s="27" t="s">
        <v>541</v>
      </c>
      <c r="AC254" s="27" t="s">
        <v>3578</v>
      </c>
      <c r="AD254" s="27" t="s">
        <v>3579</v>
      </c>
      <c r="AE254" s="27" t="s">
        <v>110</v>
      </c>
      <c r="AF254" s="27" t="s">
        <v>3580</v>
      </c>
      <c r="AG254" s="27" t="s">
        <v>3581</v>
      </c>
      <c r="AH254" s="27" t="s">
        <v>528</v>
      </c>
      <c r="AI254" s="27" t="s">
        <v>140</v>
      </c>
      <c r="AJ254" s="27" t="s">
        <v>262</v>
      </c>
      <c r="AK254" s="27" t="s">
        <v>63</v>
      </c>
      <c r="AL254" s="27" t="s">
        <v>3582</v>
      </c>
      <c r="AM254" s="34">
        <v>551900000</v>
      </c>
      <c r="AN254" s="34">
        <v>428627232</v>
      </c>
      <c r="AO254" s="34">
        <v>71837500</v>
      </c>
      <c r="AP254" s="34">
        <v>48756696</v>
      </c>
      <c r="AQ254" s="34">
        <v>0</v>
      </c>
      <c r="AR254" s="34">
        <v>0</v>
      </c>
      <c r="AS254" s="34">
        <v>22321429</v>
      </c>
      <c r="AT254" s="34">
        <v>526900000</v>
      </c>
      <c r="AU254" s="34">
        <v>0</v>
      </c>
      <c r="AV254" s="34">
        <v>-25000000</v>
      </c>
      <c r="AW254" s="27" t="s">
        <v>207</v>
      </c>
      <c r="AX254" s="27" t="s">
        <v>207</v>
      </c>
      <c r="AY254" s="27" t="s">
        <v>83</v>
      </c>
      <c r="AZ254" s="27">
        <v>1</v>
      </c>
      <c r="BA254" s="27"/>
      <c r="BB254" s="27" t="s">
        <v>183</v>
      </c>
      <c r="BC254" s="27" t="s">
        <v>3583</v>
      </c>
      <c r="BD254" s="27" t="s">
        <v>202</v>
      </c>
      <c r="BE254" s="27" t="s">
        <v>202</v>
      </c>
      <c r="BF254" s="27" t="s">
        <v>3584</v>
      </c>
      <c r="BG254" s="27" t="s">
        <v>3585</v>
      </c>
      <c r="BH254" s="27" t="s">
        <v>217</v>
      </c>
      <c r="BI254" s="27" t="s">
        <v>235</v>
      </c>
      <c r="BJ254" s="27" t="s">
        <v>250</v>
      </c>
      <c r="BK254" s="27" t="s">
        <v>182</v>
      </c>
      <c r="BL254" s="27" t="s">
        <v>3586</v>
      </c>
      <c r="BM254" s="35">
        <v>0</v>
      </c>
    </row>
    <row r="255" spans="1:65" s="1" customFormat="1" x14ac:dyDescent="0.2">
      <c r="A255" s="33">
        <v>1641</v>
      </c>
      <c r="B255" s="26">
        <v>146</v>
      </c>
      <c r="C255" s="27" t="s">
        <v>503</v>
      </c>
      <c r="D255" s="27" t="s">
        <v>3587</v>
      </c>
      <c r="E255" s="27" t="s">
        <v>191</v>
      </c>
      <c r="F255" s="27" t="s">
        <v>111</v>
      </c>
      <c r="G255" s="28">
        <v>2026</v>
      </c>
      <c r="H255" s="20" t="str">
        <f>VLOOKUP(U255,'[1]KODE TYPE standar'!$D:$U,17,0)</f>
        <v>CALYA</v>
      </c>
      <c r="I255" s="20" t="str">
        <f>VLOOKUP(U255,'[1]KODE TYPE standar'!$D:$U,16,0)</f>
        <v>CALYA</v>
      </c>
      <c r="J255" s="20" t="str">
        <f>VLOOKUP(U255,'[1]KODE TYPE standar'!$D:$U,18,0)</f>
        <v>CALYA G A/T</v>
      </c>
      <c r="K255" s="27" t="s">
        <v>121</v>
      </c>
      <c r="L255" s="27" t="s">
        <v>110</v>
      </c>
      <c r="M255" s="27" t="s">
        <v>262</v>
      </c>
      <c r="N255" s="27" t="s">
        <v>157</v>
      </c>
      <c r="O255" s="28" t="s">
        <v>6581</v>
      </c>
      <c r="P255" s="29" t="s">
        <v>149</v>
      </c>
      <c r="Q255" s="29" t="s">
        <v>162</v>
      </c>
      <c r="R255" s="29" t="s">
        <v>145</v>
      </c>
      <c r="S255" s="27" t="s">
        <v>810</v>
      </c>
      <c r="T255" s="27" t="s">
        <v>541</v>
      </c>
      <c r="U255" s="27" t="s">
        <v>88</v>
      </c>
      <c r="V255" s="27" t="s">
        <v>77</v>
      </c>
      <c r="W255" s="27" t="s">
        <v>78</v>
      </c>
      <c r="X255" s="27" t="s">
        <v>3588</v>
      </c>
      <c r="Y255" s="27" t="s">
        <v>3589</v>
      </c>
      <c r="Z255" s="27" t="s">
        <v>809</v>
      </c>
      <c r="AA255" s="27" t="s">
        <v>810</v>
      </c>
      <c r="AB255" s="27" t="s">
        <v>541</v>
      </c>
      <c r="AC255" s="27" t="s">
        <v>3590</v>
      </c>
      <c r="AD255" s="27" t="s">
        <v>3591</v>
      </c>
      <c r="AE255" s="27" t="s">
        <v>110</v>
      </c>
      <c r="AF255" s="27" t="s">
        <v>3591</v>
      </c>
      <c r="AG255" s="27" t="s">
        <v>3592</v>
      </c>
      <c r="AH255" s="27" t="s">
        <v>3593</v>
      </c>
      <c r="AI255" s="27" t="s">
        <v>157</v>
      </c>
      <c r="AJ255" s="27" t="s">
        <v>262</v>
      </c>
      <c r="AK255" s="27" t="s">
        <v>104</v>
      </c>
      <c r="AL255" s="27" t="s">
        <v>3594</v>
      </c>
      <c r="AM255" s="34">
        <v>196400000</v>
      </c>
      <c r="AN255" s="34">
        <v>150892857</v>
      </c>
      <c r="AO255" s="34">
        <v>27400000</v>
      </c>
      <c r="AP255" s="34">
        <v>16982142</v>
      </c>
      <c r="AQ255" s="34">
        <v>0</v>
      </c>
      <c r="AR255" s="34">
        <v>0</v>
      </c>
      <c r="AS255" s="34">
        <v>9375000</v>
      </c>
      <c r="AT255" s="34">
        <v>185900000</v>
      </c>
      <c r="AU255" s="34">
        <v>0</v>
      </c>
      <c r="AV255" s="34">
        <v>-10500000</v>
      </c>
      <c r="AW255" s="27"/>
      <c r="AX255" s="27"/>
      <c r="AY255" s="27" t="s">
        <v>83</v>
      </c>
      <c r="AZ255" s="27">
        <v>1</v>
      </c>
      <c r="BA255" s="27"/>
      <c r="BB255" s="27" t="s">
        <v>207</v>
      </c>
      <c r="BC255" s="27" t="s">
        <v>3595</v>
      </c>
      <c r="BD255" s="27" t="s">
        <v>702</v>
      </c>
      <c r="BE255" s="27" t="s">
        <v>702</v>
      </c>
      <c r="BF255" s="27" t="s">
        <v>3596</v>
      </c>
      <c r="BG255" s="27" t="s">
        <v>3597</v>
      </c>
      <c r="BH255" s="27" t="s">
        <v>191</v>
      </c>
      <c r="BI255" s="27" t="s">
        <v>230</v>
      </c>
      <c r="BJ255" s="27" t="s">
        <v>3598</v>
      </c>
      <c r="BK255" s="27" t="s">
        <v>182</v>
      </c>
      <c r="BL255" s="27" t="s">
        <v>3599</v>
      </c>
      <c r="BM255" s="35">
        <v>0</v>
      </c>
    </row>
    <row r="256" spans="1:65" s="1" customFormat="1" x14ac:dyDescent="0.2">
      <c r="A256" s="33">
        <v>1645</v>
      </c>
      <c r="B256" s="26">
        <v>146</v>
      </c>
      <c r="C256" s="27" t="s">
        <v>503</v>
      </c>
      <c r="D256" s="27" t="s">
        <v>3600</v>
      </c>
      <c r="E256" s="27" t="s">
        <v>194</v>
      </c>
      <c r="F256" s="27" t="s">
        <v>111</v>
      </c>
      <c r="G256" s="28">
        <v>2026</v>
      </c>
      <c r="H256" s="20" t="str">
        <f>VLOOKUP(U256,'[1]KODE TYPE standar'!$D:$U,17,0)</f>
        <v>AVANZA</v>
      </c>
      <c r="I256" s="20" t="str">
        <f>VLOOKUP(U256,'[1]KODE TYPE standar'!$D:$U,16,0)</f>
        <v>AVANZA</v>
      </c>
      <c r="J256" s="20" t="str">
        <f>VLOOKUP(U256,'[1]KODE TYPE standar'!$D:$U,18,0)</f>
        <v>AVANZA G A/T</v>
      </c>
      <c r="K256" s="27" t="s">
        <v>50</v>
      </c>
      <c r="L256" s="27" t="s">
        <v>110</v>
      </c>
      <c r="M256" s="27" t="s">
        <v>50</v>
      </c>
      <c r="N256" s="27" t="s">
        <v>106</v>
      </c>
      <c r="O256" s="28" t="s">
        <v>156</v>
      </c>
      <c r="P256" s="29" t="s">
        <v>150</v>
      </c>
      <c r="Q256" s="29" t="s">
        <v>162</v>
      </c>
      <c r="R256" s="29" t="s">
        <v>597</v>
      </c>
      <c r="S256" s="27" t="s">
        <v>3604</v>
      </c>
      <c r="T256" s="27" t="s">
        <v>541</v>
      </c>
      <c r="U256" s="27" t="s">
        <v>66</v>
      </c>
      <c r="V256" s="27" t="s">
        <v>64</v>
      </c>
      <c r="W256" s="27" t="s">
        <v>65</v>
      </c>
      <c r="X256" s="27" t="s">
        <v>3601</v>
      </c>
      <c r="Y256" s="27" t="s">
        <v>3602</v>
      </c>
      <c r="Z256" s="27" t="s">
        <v>3603</v>
      </c>
      <c r="AA256" s="27" t="s">
        <v>3604</v>
      </c>
      <c r="AB256" s="27" t="s">
        <v>541</v>
      </c>
      <c r="AC256" s="27" t="s">
        <v>3605</v>
      </c>
      <c r="AD256" s="27" t="s">
        <v>3606</v>
      </c>
      <c r="AE256" s="27" t="s">
        <v>110</v>
      </c>
      <c r="AF256" s="27" t="s">
        <v>3607</v>
      </c>
      <c r="AG256" s="27" t="s">
        <v>3608</v>
      </c>
      <c r="AH256" s="27" t="s">
        <v>927</v>
      </c>
      <c r="AI256" s="27" t="s">
        <v>106</v>
      </c>
      <c r="AJ256" s="27" t="s">
        <v>50</v>
      </c>
      <c r="AK256" s="27" t="s">
        <v>50</v>
      </c>
      <c r="AL256" s="27" t="s">
        <v>3609</v>
      </c>
      <c r="AM256" s="34">
        <v>284500000</v>
      </c>
      <c r="AN256" s="34">
        <v>219720982</v>
      </c>
      <c r="AO256" s="34">
        <v>38412500</v>
      </c>
      <c r="AP256" s="34">
        <v>24223660</v>
      </c>
      <c r="AQ256" s="34">
        <v>0</v>
      </c>
      <c r="AR256" s="34">
        <v>0</v>
      </c>
      <c r="AS256" s="34">
        <v>17857143</v>
      </c>
      <c r="AT256" s="34">
        <v>264500000</v>
      </c>
      <c r="AU256" s="34">
        <v>0</v>
      </c>
      <c r="AV256" s="34">
        <v>-20000000</v>
      </c>
      <c r="AW256" s="27" t="s">
        <v>198</v>
      </c>
      <c r="AX256" s="27" t="s">
        <v>198</v>
      </c>
      <c r="AY256" s="27" t="s">
        <v>83</v>
      </c>
      <c r="AZ256" s="27">
        <v>1</v>
      </c>
      <c r="BA256" s="27"/>
      <c r="BB256" s="27" t="s">
        <v>183</v>
      </c>
      <c r="BC256" s="27" t="s">
        <v>3610</v>
      </c>
      <c r="BD256" s="27" t="s">
        <v>203</v>
      </c>
      <c r="BE256" s="27" t="s">
        <v>203</v>
      </c>
      <c r="BF256" s="27" t="s">
        <v>3611</v>
      </c>
      <c r="BG256" s="27" t="s">
        <v>3612</v>
      </c>
      <c r="BH256" s="27" t="s">
        <v>194</v>
      </c>
      <c r="BI256" s="27" t="s">
        <v>204</v>
      </c>
      <c r="BJ256" s="27" t="s">
        <v>3613</v>
      </c>
      <c r="BK256" s="27" t="s">
        <v>217</v>
      </c>
      <c r="BL256" s="27" t="s">
        <v>3614</v>
      </c>
      <c r="BM256" s="35">
        <v>0</v>
      </c>
    </row>
    <row r="257" spans="1:65" s="1" customFormat="1" x14ac:dyDescent="0.2">
      <c r="A257" s="33">
        <v>2048</v>
      </c>
      <c r="B257" s="26">
        <v>146</v>
      </c>
      <c r="C257" s="36" t="s">
        <v>503</v>
      </c>
      <c r="D257" s="27" t="s">
        <v>3615</v>
      </c>
      <c r="E257" s="27" t="s">
        <v>399</v>
      </c>
      <c r="F257" s="27" t="s">
        <v>389</v>
      </c>
      <c r="G257" s="28">
        <v>2026</v>
      </c>
      <c r="H257" s="20" t="str">
        <f>VLOOKUP(U257,'[1]KODE TYPE standar'!$D:$U,17,0)</f>
        <v>CALYA</v>
      </c>
      <c r="I257" s="20" t="str">
        <f>VLOOKUP(U257,'[1]KODE TYPE standar'!$D:$U,16,0)</f>
        <v>CALYA</v>
      </c>
      <c r="J257" s="20" t="str">
        <f>VLOOKUP(U257,'[1]KODE TYPE standar'!$D:$U,18,0)</f>
        <v>CALYA G M/T</v>
      </c>
      <c r="K257" s="27" t="s">
        <v>121</v>
      </c>
      <c r="L257" s="27" t="s">
        <v>110</v>
      </c>
      <c r="M257" s="27" t="s">
        <v>262</v>
      </c>
      <c r="N257" s="27" t="s">
        <v>140</v>
      </c>
      <c r="O257" s="28" t="s">
        <v>156</v>
      </c>
      <c r="P257" s="29" t="s">
        <v>151</v>
      </c>
      <c r="Q257" s="29" t="s">
        <v>161</v>
      </c>
      <c r="R257" s="29" t="s">
        <v>597</v>
      </c>
      <c r="S257" s="27" t="s">
        <v>753</v>
      </c>
      <c r="T257" s="27" t="s">
        <v>541</v>
      </c>
      <c r="U257" s="27" t="s">
        <v>268</v>
      </c>
      <c r="V257" s="27" t="s">
        <v>77</v>
      </c>
      <c r="W257" s="27" t="s">
        <v>78</v>
      </c>
      <c r="X257" s="27" t="s">
        <v>3616</v>
      </c>
      <c r="Y257" s="27" t="s">
        <v>3617</v>
      </c>
      <c r="Z257" s="27" t="s">
        <v>752</v>
      </c>
      <c r="AA257" s="27" t="s">
        <v>753</v>
      </c>
      <c r="AB257" s="27" t="s">
        <v>541</v>
      </c>
      <c r="AC257" s="27" t="s">
        <v>3618</v>
      </c>
      <c r="AD257" s="27" t="s">
        <v>3619</v>
      </c>
      <c r="AE257" s="27" t="s">
        <v>110</v>
      </c>
      <c r="AF257" s="27" t="s">
        <v>3619</v>
      </c>
      <c r="AG257" s="27" t="s">
        <v>3620</v>
      </c>
      <c r="AH257" s="27" t="s">
        <v>1035</v>
      </c>
      <c r="AI257" s="27" t="s">
        <v>140</v>
      </c>
      <c r="AJ257" s="27" t="s">
        <v>262</v>
      </c>
      <c r="AK257" s="27" t="s">
        <v>104</v>
      </c>
      <c r="AL257" s="27"/>
      <c r="AM257" s="34">
        <v>181900000</v>
      </c>
      <c r="AN257" s="34">
        <v>139341518</v>
      </c>
      <c r="AO257" s="34">
        <v>25837500</v>
      </c>
      <c r="AP257" s="34">
        <v>15649553</v>
      </c>
      <c r="AQ257" s="34">
        <v>0</v>
      </c>
      <c r="AR257" s="34">
        <v>0</v>
      </c>
      <c r="AS257" s="34">
        <v>8928571</v>
      </c>
      <c r="AT257" s="34">
        <v>171900000</v>
      </c>
      <c r="AU257" s="34">
        <v>2000000</v>
      </c>
      <c r="AV257" s="34">
        <v>-10000000</v>
      </c>
      <c r="AW257" s="27"/>
      <c r="AX257" s="27"/>
      <c r="AY257" s="27" t="s">
        <v>83</v>
      </c>
      <c r="AZ257" s="27">
        <v>1</v>
      </c>
      <c r="BA257" s="27"/>
      <c r="BB257" s="27" t="s">
        <v>342</v>
      </c>
      <c r="BC257" s="27" t="s">
        <v>3621</v>
      </c>
      <c r="BD257" s="27" t="s">
        <v>395</v>
      </c>
      <c r="BE257" s="27" t="s">
        <v>395</v>
      </c>
      <c r="BF257" s="27" t="s">
        <v>3622</v>
      </c>
      <c r="BG257" s="27" t="s">
        <v>3623</v>
      </c>
      <c r="BH257" s="27"/>
      <c r="BI257" s="27" t="s">
        <v>408</v>
      </c>
      <c r="BJ257" s="27" t="s">
        <v>2405</v>
      </c>
      <c r="BK257" s="27" t="s">
        <v>366</v>
      </c>
      <c r="BL257" s="27" t="s">
        <v>3624</v>
      </c>
      <c r="BM257" s="35">
        <v>0</v>
      </c>
    </row>
    <row r="258" spans="1:65" s="1" customFormat="1" x14ac:dyDescent="0.2">
      <c r="A258" s="25">
        <v>1509</v>
      </c>
      <c r="B258" s="26">
        <v>146</v>
      </c>
      <c r="C258" s="27" t="s">
        <v>503</v>
      </c>
      <c r="D258" s="28" t="s">
        <v>3625</v>
      </c>
      <c r="E258" s="28" t="s">
        <v>242</v>
      </c>
      <c r="F258" s="28" t="s">
        <v>339</v>
      </c>
      <c r="G258" s="28">
        <v>2026</v>
      </c>
      <c r="H258" s="20" t="str">
        <f>VLOOKUP(U258,'[1]KODE TYPE standar'!$D:$U,17,0)</f>
        <v>INV ZENIX HYBRID</v>
      </c>
      <c r="I258" s="20" t="str">
        <f>VLOOKUP(U258,'[1]KODE TYPE standar'!$D:$U,16,0)</f>
        <v>INNOVA</v>
      </c>
      <c r="J258" s="20" t="str">
        <f>VLOOKUP(U258,'[1]KODE TYPE standar'!$D:$U,18,0)</f>
        <v>INNOVA ZENIX V A/T HYBRID</v>
      </c>
      <c r="K258" s="27" t="s">
        <v>120</v>
      </c>
      <c r="L258" s="28" t="s">
        <v>110</v>
      </c>
      <c r="M258" s="28" t="s">
        <v>262</v>
      </c>
      <c r="N258" s="28" t="s">
        <v>141</v>
      </c>
      <c r="O258" s="28" t="s">
        <v>156</v>
      </c>
      <c r="P258" s="29" t="s">
        <v>151</v>
      </c>
      <c r="Q258" s="29" t="s">
        <v>162</v>
      </c>
      <c r="R258" s="29" t="s">
        <v>145</v>
      </c>
      <c r="S258" s="28" t="s">
        <v>923</v>
      </c>
      <c r="T258" s="28" t="s">
        <v>541</v>
      </c>
      <c r="U258" s="27" t="s">
        <v>175</v>
      </c>
      <c r="V258" s="27" t="s">
        <v>48</v>
      </c>
      <c r="W258" s="27" t="s">
        <v>49</v>
      </c>
      <c r="X258" s="28" t="s">
        <v>3626</v>
      </c>
      <c r="Y258" s="27" t="s">
        <v>3627</v>
      </c>
      <c r="Z258" s="28" t="s">
        <v>922</v>
      </c>
      <c r="AA258" s="28" t="s">
        <v>923</v>
      </c>
      <c r="AB258" s="28" t="s">
        <v>541</v>
      </c>
      <c r="AC258" s="28" t="s">
        <v>3628</v>
      </c>
      <c r="AD258" s="28" t="s">
        <v>3629</v>
      </c>
      <c r="AE258" s="28" t="s">
        <v>110</v>
      </c>
      <c r="AF258" s="28" t="s">
        <v>3629</v>
      </c>
      <c r="AG258" s="28" t="s">
        <v>3630</v>
      </c>
      <c r="AH258" s="28" t="s">
        <v>1481</v>
      </c>
      <c r="AI258" s="28" t="s">
        <v>141</v>
      </c>
      <c r="AJ258" s="28" t="s">
        <v>262</v>
      </c>
      <c r="AK258" s="28" t="s">
        <v>1216</v>
      </c>
      <c r="AL258" s="28" t="s">
        <v>3631</v>
      </c>
      <c r="AM258" s="31">
        <v>551900000</v>
      </c>
      <c r="AN258" s="31">
        <v>428404018</v>
      </c>
      <c r="AO258" s="31">
        <v>72087500</v>
      </c>
      <c r="AP258" s="31">
        <v>49158482</v>
      </c>
      <c r="AQ258" s="31">
        <v>0</v>
      </c>
      <c r="AR258" s="31">
        <v>0</v>
      </c>
      <c r="AS258" s="31">
        <v>18750000</v>
      </c>
      <c r="AT258" s="31">
        <v>530900000</v>
      </c>
      <c r="AU258" s="31">
        <v>0</v>
      </c>
      <c r="AV258" s="31">
        <v>-21000000</v>
      </c>
      <c r="AW258" s="28" t="s">
        <v>263</v>
      </c>
      <c r="AX258" s="28" t="s">
        <v>263</v>
      </c>
      <c r="AY258" s="28" t="s">
        <v>83</v>
      </c>
      <c r="AZ258" s="28">
        <v>1</v>
      </c>
      <c r="BA258" s="28"/>
      <c r="BB258" s="28" t="s">
        <v>221</v>
      </c>
      <c r="BC258" s="28" t="s">
        <v>3632</v>
      </c>
      <c r="BD258" s="28" t="s">
        <v>221</v>
      </c>
      <c r="BE258" s="28" t="s">
        <v>221</v>
      </c>
      <c r="BF258" s="28" t="s">
        <v>3633</v>
      </c>
      <c r="BG258" s="28" t="s">
        <v>3634</v>
      </c>
      <c r="BH258" s="28" t="s">
        <v>242</v>
      </c>
      <c r="BI258" s="28" t="s">
        <v>349</v>
      </c>
      <c r="BJ258" s="28" t="s">
        <v>3635</v>
      </c>
      <c r="BK258" s="28" t="s">
        <v>222</v>
      </c>
      <c r="BL258" s="28" t="s">
        <v>359</v>
      </c>
      <c r="BM258" s="32">
        <v>0</v>
      </c>
    </row>
    <row r="259" spans="1:65" s="1" customFormat="1" x14ac:dyDescent="0.2">
      <c r="A259" s="25">
        <v>1519</v>
      </c>
      <c r="B259" s="26">
        <v>146</v>
      </c>
      <c r="C259" s="27" t="s">
        <v>503</v>
      </c>
      <c r="D259" s="28" t="s">
        <v>3636</v>
      </c>
      <c r="E259" s="28" t="s">
        <v>252</v>
      </c>
      <c r="F259" s="28" t="s">
        <v>339</v>
      </c>
      <c r="G259" s="28">
        <v>2026</v>
      </c>
      <c r="H259" s="20" t="str">
        <f>VLOOKUP(U259,'[1]KODE TYPE standar'!$D:$U,17,0)</f>
        <v>INV ZENIX HYBRID</v>
      </c>
      <c r="I259" s="20" t="str">
        <f>VLOOKUP(U259,'[1]KODE TYPE standar'!$D:$U,16,0)</f>
        <v>INNOVA</v>
      </c>
      <c r="J259" s="20" t="str">
        <f>VLOOKUP(U259,'[1]KODE TYPE standar'!$D:$U,18,0)</f>
        <v>INNOVA ZENIX G A/T HIYBRID</v>
      </c>
      <c r="K259" s="27" t="s">
        <v>119</v>
      </c>
      <c r="L259" s="28" t="s">
        <v>110</v>
      </c>
      <c r="M259" s="28" t="s">
        <v>262</v>
      </c>
      <c r="N259" s="28" t="s">
        <v>141</v>
      </c>
      <c r="O259" s="28" t="s">
        <v>156</v>
      </c>
      <c r="P259" s="29" t="s">
        <v>149</v>
      </c>
      <c r="Q259" s="29" t="s">
        <v>161</v>
      </c>
      <c r="R259" s="29" t="s">
        <v>597</v>
      </c>
      <c r="S259" s="27" t="s">
        <v>584</v>
      </c>
      <c r="T259" s="30" t="s">
        <v>585</v>
      </c>
      <c r="U259" s="27" t="s">
        <v>388</v>
      </c>
      <c r="V259" s="27" t="s">
        <v>48</v>
      </c>
      <c r="W259" s="27" t="s">
        <v>49</v>
      </c>
      <c r="X259" s="27" t="s">
        <v>3637</v>
      </c>
      <c r="Y259" s="27" t="s">
        <v>3638</v>
      </c>
      <c r="Z259" s="27" t="s">
        <v>583</v>
      </c>
      <c r="AA259" s="27" t="s">
        <v>584</v>
      </c>
      <c r="AB259" s="30" t="s">
        <v>585</v>
      </c>
      <c r="AC259" s="30" t="s">
        <v>3639</v>
      </c>
      <c r="AD259" s="28" t="s">
        <v>3640</v>
      </c>
      <c r="AE259" s="28" t="s">
        <v>110</v>
      </c>
      <c r="AF259" s="28" t="s">
        <v>3640</v>
      </c>
      <c r="AG259" s="28" t="s">
        <v>3641</v>
      </c>
      <c r="AH259" s="28" t="s">
        <v>1427</v>
      </c>
      <c r="AI259" s="28" t="s">
        <v>141</v>
      </c>
      <c r="AJ259" s="28" t="s">
        <v>262</v>
      </c>
      <c r="AK259" s="28" t="s">
        <v>89</v>
      </c>
      <c r="AL259" s="28" t="s">
        <v>3642</v>
      </c>
      <c r="AM259" s="31">
        <v>476600000</v>
      </c>
      <c r="AN259" s="31">
        <v>369575893</v>
      </c>
      <c r="AO259" s="31">
        <v>62675000</v>
      </c>
      <c r="AP259" s="31">
        <v>42099107</v>
      </c>
      <c r="AQ259" s="31">
        <v>0</v>
      </c>
      <c r="AR259" s="31">
        <v>0</v>
      </c>
      <c r="AS259" s="31">
        <v>18750000</v>
      </c>
      <c r="AT259" s="31">
        <v>455600000</v>
      </c>
      <c r="AU259" s="31">
        <v>0</v>
      </c>
      <c r="AV259" s="31">
        <v>-21000000</v>
      </c>
      <c r="AW259" s="28"/>
      <c r="AX259" s="28"/>
      <c r="AY259" s="28" t="s">
        <v>83</v>
      </c>
      <c r="AZ259" s="28">
        <v>1</v>
      </c>
      <c r="BA259" s="28" t="s">
        <v>163</v>
      </c>
      <c r="BB259" s="28" t="s">
        <v>233</v>
      </c>
      <c r="BC259" s="28" t="s">
        <v>3643</v>
      </c>
      <c r="BD259" s="28" t="s">
        <v>233</v>
      </c>
      <c r="BE259" s="28" t="s">
        <v>233</v>
      </c>
      <c r="BF259" s="28" t="s">
        <v>3644</v>
      </c>
      <c r="BG259" s="28" t="s">
        <v>3645</v>
      </c>
      <c r="BH259" s="28" t="s">
        <v>252</v>
      </c>
      <c r="BI259" s="28" t="s">
        <v>350</v>
      </c>
      <c r="BJ259" s="28" t="s">
        <v>3646</v>
      </c>
      <c r="BK259" s="28" t="s">
        <v>274</v>
      </c>
      <c r="BL259" s="28" t="s">
        <v>3647</v>
      </c>
      <c r="BM259" s="32">
        <v>0</v>
      </c>
    </row>
    <row r="260" spans="1:65" s="1" customFormat="1" x14ac:dyDescent="0.2">
      <c r="A260" s="33">
        <v>2007</v>
      </c>
      <c r="B260" s="26">
        <v>146</v>
      </c>
      <c r="C260" s="27" t="s">
        <v>503</v>
      </c>
      <c r="D260" s="27" t="s">
        <v>3648</v>
      </c>
      <c r="E260" s="27" t="s">
        <v>260</v>
      </c>
      <c r="F260" s="27" t="s">
        <v>258</v>
      </c>
      <c r="G260" s="28">
        <v>2026</v>
      </c>
      <c r="H260" s="20" t="str">
        <f>VLOOKUP(U260,'[1]KODE TYPE standar'!$D:$U,17,0)</f>
        <v>AVANZA</v>
      </c>
      <c r="I260" s="20" t="str">
        <f>VLOOKUP(U260,'[1]KODE TYPE standar'!$D:$U,16,0)</f>
        <v>AVANZA</v>
      </c>
      <c r="J260" s="20" t="str">
        <f>VLOOKUP(U260,'[1]KODE TYPE standar'!$D:$U,18,0)</f>
        <v>AVANZA G A/T</v>
      </c>
      <c r="K260" s="27" t="s">
        <v>119</v>
      </c>
      <c r="L260" s="27" t="s">
        <v>110</v>
      </c>
      <c r="M260" s="27" t="s">
        <v>262</v>
      </c>
      <c r="N260" s="27" t="s">
        <v>157</v>
      </c>
      <c r="O260" s="28" t="s">
        <v>6581</v>
      </c>
      <c r="P260" s="29" t="s">
        <v>149</v>
      </c>
      <c r="Q260" s="29" t="s">
        <v>161</v>
      </c>
      <c r="R260" s="29" t="s">
        <v>145</v>
      </c>
      <c r="S260" s="27" t="s">
        <v>978</v>
      </c>
      <c r="T260" s="27" t="s">
        <v>541</v>
      </c>
      <c r="U260" s="27" t="s">
        <v>66</v>
      </c>
      <c r="V260" s="27" t="s">
        <v>60</v>
      </c>
      <c r="W260" s="27" t="s">
        <v>61</v>
      </c>
      <c r="X260" s="27" t="s">
        <v>3649</v>
      </c>
      <c r="Y260" s="27" t="s">
        <v>3650</v>
      </c>
      <c r="Z260" s="27" t="s">
        <v>977</v>
      </c>
      <c r="AA260" s="27" t="s">
        <v>978</v>
      </c>
      <c r="AB260" s="27" t="s">
        <v>541</v>
      </c>
      <c r="AC260" s="27" t="s">
        <v>3651</v>
      </c>
      <c r="AD260" s="27" t="s">
        <v>3652</v>
      </c>
      <c r="AE260" s="27" t="s">
        <v>110</v>
      </c>
      <c r="AF260" s="27" t="s">
        <v>3652</v>
      </c>
      <c r="AG260" s="27" t="s">
        <v>3653</v>
      </c>
      <c r="AH260" s="27" t="s">
        <v>3654</v>
      </c>
      <c r="AI260" s="27" t="s">
        <v>157</v>
      </c>
      <c r="AJ260" s="27" t="s">
        <v>262</v>
      </c>
      <c r="AK260" s="27" t="s">
        <v>89</v>
      </c>
      <c r="AL260" s="27"/>
      <c r="AM260" s="34">
        <v>284500000</v>
      </c>
      <c r="AN260" s="34">
        <v>219720982</v>
      </c>
      <c r="AO260" s="34">
        <v>38412500</v>
      </c>
      <c r="AP260" s="34">
        <v>24759375</v>
      </c>
      <c r="AQ260" s="34">
        <v>0</v>
      </c>
      <c r="AR260" s="34">
        <v>0</v>
      </c>
      <c r="AS260" s="34">
        <v>13392857</v>
      </c>
      <c r="AT260" s="34">
        <v>269500000</v>
      </c>
      <c r="AU260" s="34">
        <v>3690000</v>
      </c>
      <c r="AV260" s="34">
        <v>-15000000</v>
      </c>
      <c r="AW260" s="27" t="s">
        <v>238</v>
      </c>
      <c r="AX260" s="27" t="s">
        <v>238</v>
      </c>
      <c r="AY260" s="27" t="s">
        <v>83</v>
      </c>
      <c r="AZ260" s="27">
        <v>1</v>
      </c>
      <c r="BA260" s="27"/>
      <c r="BB260" s="27" t="s">
        <v>218</v>
      </c>
      <c r="BC260" s="27" t="s">
        <v>3655</v>
      </c>
      <c r="BD260" s="27" t="s">
        <v>235</v>
      </c>
      <c r="BE260" s="27" t="s">
        <v>235</v>
      </c>
      <c r="BF260" s="27" t="s">
        <v>3656</v>
      </c>
      <c r="BG260" s="27" t="s">
        <v>3657</v>
      </c>
      <c r="BH260" s="27" t="s">
        <v>260</v>
      </c>
      <c r="BI260" s="27" t="s">
        <v>242</v>
      </c>
      <c r="BJ260" s="27" t="s">
        <v>3658</v>
      </c>
      <c r="BK260" s="27" t="s">
        <v>227</v>
      </c>
      <c r="BL260" s="27" t="s">
        <v>3659</v>
      </c>
      <c r="BM260" s="35">
        <v>0</v>
      </c>
    </row>
    <row r="261" spans="1:65" s="1" customFormat="1" x14ac:dyDescent="0.2">
      <c r="A261" s="25">
        <v>1522</v>
      </c>
      <c r="B261" s="26">
        <v>146</v>
      </c>
      <c r="C261" s="27" t="s">
        <v>503</v>
      </c>
      <c r="D261" s="28" t="s">
        <v>3660</v>
      </c>
      <c r="E261" s="28" t="s">
        <v>246</v>
      </c>
      <c r="F261" s="28" t="s">
        <v>339</v>
      </c>
      <c r="G261" s="28">
        <v>2026</v>
      </c>
      <c r="H261" s="20" t="str">
        <f>VLOOKUP(U261,'[1]KODE TYPE standar'!$D:$U,17,0)</f>
        <v>CALYA</v>
      </c>
      <c r="I261" s="20" t="str">
        <f>VLOOKUP(U261,'[1]KODE TYPE standar'!$D:$U,16,0)</f>
        <v>CALYA</v>
      </c>
      <c r="J261" s="20" t="str">
        <f>VLOOKUP(U261,'[1]KODE TYPE standar'!$D:$U,18,0)</f>
        <v>CALYA G M/T</v>
      </c>
      <c r="K261" s="27" t="s">
        <v>118</v>
      </c>
      <c r="L261" s="28" t="s">
        <v>110</v>
      </c>
      <c r="M261" s="28" t="s">
        <v>262</v>
      </c>
      <c r="N261" s="28" t="s">
        <v>158</v>
      </c>
      <c r="O261" s="28" t="s">
        <v>6581</v>
      </c>
      <c r="P261" s="29" t="s">
        <v>536</v>
      </c>
      <c r="Q261" s="29" t="s">
        <v>161</v>
      </c>
      <c r="R261" s="29" t="s">
        <v>318</v>
      </c>
      <c r="S261" s="27" t="s">
        <v>937</v>
      </c>
      <c r="T261" s="28" t="s">
        <v>541</v>
      </c>
      <c r="U261" s="27" t="s">
        <v>268</v>
      </c>
      <c r="V261" s="27" t="s">
        <v>68</v>
      </c>
      <c r="W261" s="27" t="s">
        <v>69</v>
      </c>
      <c r="X261" s="27" t="s">
        <v>3661</v>
      </c>
      <c r="Y261" s="27" t="s">
        <v>3662</v>
      </c>
      <c r="Z261" s="27" t="s">
        <v>936</v>
      </c>
      <c r="AA261" s="27" t="s">
        <v>937</v>
      </c>
      <c r="AB261" s="28" t="s">
        <v>541</v>
      </c>
      <c r="AC261" s="28" t="s">
        <v>3663</v>
      </c>
      <c r="AD261" s="28" t="s">
        <v>3664</v>
      </c>
      <c r="AE261" s="28" t="s">
        <v>110</v>
      </c>
      <c r="AF261" s="28" t="s">
        <v>3664</v>
      </c>
      <c r="AG261" s="28" t="s">
        <v>3665</v>
      </c>
      <c r="AH261" s="28" t="s">
        <v>3666</v>
      </c>
      <c r="AI261" s="28" t="s">
        <v>158</v>
      </c>
      <c r="AJ261" s="28" t="s">
        <v>262</v>
      </c>
      <c r="AK261" s="28" t="s">
        <v>63</v>
      </c>
      <c r="AL261" s="28"/>
      <c r="AM261" s="31">
        <v>181900000</v>
      </c>
      <c r="AN261" s="31">
        <v>138984375</v>
      </c>
      <c r="AO261" s="31">
        <v>26237500</v>
      </c>
      <c r="AP261" s="31">
        <v>15499553</v>
      </c>
      <c r="AQ261" s="31">
        <v>0</v>
      </c>
      <c r="AR261" s="31">
        <v>0</v>
      </c>
      <c r="AS261" s="31">
        <v>9821429</v>
      </c>
      <c r="AT261" s="31">
        <v>170900000</v>
      </c>
      <c r="AU261" s="31">
        <v>0</v>
      </c>
      <c r="AV261" s="31">
        <v>-11000000</v>
      </c>
      <c r="AW261" s="28" t="s">
        <v>251</v>
      </c>
      <c r="AX261" s="28" t="s">
        <v>251</v>
      </c>
      <c r="AY261" s="28" t="s">
        <v>83</v>
      </c>
      <c r="AZ261" s="28">
        <v>1</v>
      </c>
      <c r="BA261" s="28"/>
      <c r="BB261" s="28" t="s">
        <v>273</v>
      </c>
      <c r="BC261" s="28" t="s">
        <v>3667</v>
      </c>
      <c r="BD261" s="28" t="s">
        <v>242</v>
      </c>
      <c r="BE261" s="28" t="s">
        <v>242</v>
      </c>
      <c r="BF261" s="28" t="s">
        <v>3668</v>
      </c>
      <c r="BG261" s="28" t="s">
        <v>3669</v>
      </c>
      <c r="BH261" s="28" t="s">
        <v>246</v>
      </c>
      <c r="BI261" s="28" t="s">
        <v>277</v>
      </c>
      <c r="BJ261" s="28" t="s">
        <v>2393</v>
      </c>
      <c r="BK261" s="28" t="s">
        <v>254</v>
      </c>
      <c r="BL261" s="28" t="s">
        <v>3670</v>
      </c>
      <c r="BM261" s="32">
        <v>0</v>
      </c>
    </row>
    <row r="262" spans="1:65" s="1" customFormat="1" x14ac:dyDescent="0.2">
      <c r="A262" s="33">
        <v>2016</v>
      </c>
      <c r="B262" s="26">
        <v>146</v>
      </c>
      <c r="C262" s="27" t="s">
        <v>503</v>
      </c>
      <c r="D262" s="27" t="s">
        <v>3671</v>
      </c>
      <c r="E262" s="27" t="s">
        <v>261</v>
      </c>
      <c r="F262" s="27" t="s">
        <v>258</v>
      </c>
      <c r="G262" s="28">
        <v>2026</v>
      </c>
      <c r="H262" s="20" t="str">
        <f>VLOOKUP(U262,'[1]KODE TYPE standar'!$D:$U,17,0)</f>
        <v>INV ZENIX HYBRID</v>
      </c>
      <c r="I262" s="20" t="str">
        <f>VLOOKUP(U262,'[1]KODE TYPE standar'!$D:$U,16,0)</f>
        <v>INNOVA</v>
      </c>
      <c r="J262" s="20" t="str">
        <f>VLOOKUP(U262,'[1]KODE TYPE standar'!$D:$U,18,0)</f>
        <v>INNOVA ZENIX Q A/T HYBRID</v>
      </c>
      <c r="K262" s="27" t="s">
        <v>101</v>
      </c>
      <c r="L262" s="27" t="s">
        <v>110</v>
      </c>
      <c r="M262" s="27" t="s">
        <v>262</v>
      </c>
      <c r="N262" s="27" t="s">
        <v>141</v>
      </c>
      <c r="O262" s="28" t="s">
        <v>156</v>
      </c>
      <c r="P262" s="29" t="s">
        <v>319</v>
      </c>
      <c r="Q262" s="29" t="s">
        <v>162</v>
      </c>
      <c r="R262" s="29" t="s">
        <v>597</v>
      </c>
      <c r="S262" s="27" t="s">
        <v>724</v>
      </c>
      <c r="T262" s="27" t="s">
        <v>541</v>
      </c>
      <c r="U262" s="27" t="s">
        <v>174</v>
      </c>
      <c r="V262" s="27" t="s">
        <v>48</v>
      </c>
      <c r="W262" s="27" t="s">
        <v>49</v>
      </c>
      <c r="X262" s="27" t="s">
        <v>3672</v>
      </c>
      <c r="Y262" s="27" t="s">
        <v>3673</v>
      </c>
      <c r="Z262" s="27" t="s">
        <v>723</v>
      </c>
      <c r="AA262" s="27" t="s">
        <v>724</v>
      </c>
      <c r="AB262" s="27" t="s">
        <v>541</v>
      </c>
      <c r="AC262" s="27" t="s">
        <v>3674</v>
      </c>
      <c r="AD262" s="27" t="s">
        <v>3675</v>
      </c>
      <c r="AE262" s="27" t="s">
        <v>110</v>
      </c>
      <c r="AF262" s="27" t="s">
        <v>3675</v>
      </c>
      <c r="AG262" s="27" t="s">
        <v>3676</v>
      </c>
      <c r="AH262" s="27" t="s">
        <v>1720</v>
      </c>
      <c r="AI262" s="27" t="s">
        <v>141</v>
      </c>
      <c r="AJ262" s="27" t="s">
        <v>262</v>
      </c>
      <c r="AK262" s="27" t="s">
        <v>103</v>
      </c>
      <c r="AL262" s="27" t="s">
        <v>3677</v>
      </c>
      <c r="AM262" s="34">
        <v>627100000</v>
      </c>
      <c r="AN262" s="34">
        <v>487377232</v>
      </c>
      <c r="AO262" s="34">
        <v>81237500</v>
      </c>
      <c r="AP262" s="34">
        <v>56342410</v>
      </c>
      <c r="AQ262" s="34">
        <v>0</v>
      </c>
      <c r="AR262" s="34">
        <v>0</v>
      </c>
      <c r="AS262" s="34">
        <v>17857143</v>
      </c>
      <c r="AT262" s="34">
        <v>607100000</v>
      </c>
      <c r="AU262" s="34">
        <v>4000000</v>
      </c>
      <c r="AV262" s="34">
        <v>-20000000</v>
      </c>
      <c r="AW262" s="27" t="s">
        <v>233</v>
      </c>
      <c r="AX262" s="27" t="s">
        <v>233</v>
      </c>
      <c r="AY262" s="27" t="s">
        <v>83</v>
      </c>
      <c r="AZ262" s="27">
        <v>1</v>
      </c>
      <c r="BA262" s="27"/>
      <c r="BB262" s="27" t="s">
        <v>219</v>
      </c>
      <c r="BC262" s="27" t="s">
        <v>3678</v>
      </c>
      <c r="BD262" s="27" t="s">
        <v>221</v>
      </c>
      <c r="BE262" s="27" t="s">
        <v>221</v>
      </c>
      <c r="BF262" s="27" t="s">
        <v>3679</v>
      </c>
      <c r="BG262" s="27" t="s">
        <v>3680</v>
      </c>
      <c r="BH262" s="27" t="s">
        <v>261</v>
      </c>
      <c r="BI262" s="27" t="s">
        <v>271</v>
      </c>
      <c r="BJ262" s="27" t="s">
        <v>3681</v>
      </c>
      <c r="BK262" s="27" t="s">
        <v>234</v>
      </c>
      <c r="BL262" s="27" t="s">
        <v>3682</v>
      </c>
      <c r="BM262" s="35">
        <v>0</v>
      </c>
    </row>
    <row r="263" spans="1:65" s="1" customFormat="1" x14ac:dyDescent="0.2">
      <c r="A263" s="33">
        <v>1688</v>
      </c>
      <c r="B263" s="26">
        <v>146</v>
      </c>
      <c r="C263" s="27" t="s">
        <v>503</v>
      </c>
      <c r="D263" s="27" t="s">
        <v>3683</v>
      </c>
      <c r="E263" s="27" t="s">
        <v>207</v>
      </c>
      <c r="F263" s="27" t="s">
        <v>111</v>
      </c>
      <c r="G263" s="28">
        <v>2026</v>
      </c>
      <c r="H263" s="20" t="str">
        <f>VLOOKUP(U263,'[1]KODE TYPE standar'!$D:$U,17,0)</f>
        <v>AVANZA</v>
      </c>
      <c r="I263" s="20" t="str">
        <f>VLOOKUP(U263,'[1]KODE TYPE standar'!$D:$U,16,0)</f>
        <v>AVANZA</v>
      </c>
      <c r="J263" s="20" t="str">
        <f>VLOOKUP(U263,'[1]KODE TYPE standar'!$D:$U,18,0)</f>
        <v>AVANZA G A/T</v>
      </c>
      <c r="K263" s="27" t="s">
        <v>119</v>
      </c>
      <c r="L263" s="27" t="s">
        <v>110</v>
      </c>
      <c r="M263" s="27" t="s">
        <v>262</v>
      </c>
      <c r="N263" s="27" t="s">
        <v>140</v>
      </c>
      <c r="O263" s="28" t="s">
        <v>156</v>
      </c>
      <c r="P263" s="29" t="s">
        <v>151</v>
      </c>
      <c r="Q263" s="29" t="s">
        <v>147</v>
      </c>
      <c r="R263" s="29" t="s">
        <v>145</v>
      </c>
      <c r="S263" s="27" t="s">
        <v>923</v>
      </c>
      <c r="T263" s="27" t="s">
        <v>541</v>
      </c>
      <c r="U263" s="27" t="s">
        <v>66</v>
      </c>
      <c r="V263" s="27" t="s">
        <v>64</v>
      </c>
      <c r="W263" s="27" t="s">
        <v>65</v>
      </c>
      <c r="X263" s="27" t="s">
        <v>3684</v>
      </c>
      <c r="Y263" s="27" t="s">
        <v>3685</v>
      </c>
      <c r="Z263" s="27" t="s">
        <v>922</v>
      </c>
      <c r="AA263" s="27" t="s">
        <v>923</v>
      </c>
      <c r="AB263" s="27" t="s">
        <v>541</v>
      </c>
      <c r="AC263" s="27" t="s">
        <v>3686</v>
      </c>
      <c r="AD263" s="27" t="s">
        <v>3687</v>
      </c>
      <c r="AE263" s="27" t="s">
        <v>110</v>
      </c>
      <c r="AF263" s="27" t="s">
        <v>3688</v>
      </c>
      <c r="AG263" s="27" t="s">
        <v>3689</v>
      </c>
      <c r="AH263" s="27" t="s">
        <v>1614</v>
      </c>
      <c r="AI263" s="27" t="s">
        <v>140</v>
      </c>
      <c r="AJ263" s="27" t="s">
        <v>262</v>
      </c>
      <c r="AK263" s="27" t="s">
        <v>89</v>
      </c>
      <c r="AL263" s="27" t="s">
        <v>3690</v>
      </c>
      <c r="AM263" s="34">
        <v>284500000</v>
      </c>
      <c r="AN263" s="34">
        <v>219720982</v>
      </c>
      <c r="AO263" s="34">
        <v>38412500</v>
      </c>
      <c r="AP263" s="34">
        <v>24116517</v>
      </c>
      <c r="AQ263" s="34">
        <v>0</v>
      </c>
      <c r="AR263" s="34">
        <v>0</v>
      </c>
      <c r="AS263" s="34">
        <v>18750000</v>
      </c>
      <c r="AT263" s="34">
        <v>263500000</v>
      </c>
      <c r="AU263" s="34">
        <v>0</v>
      </c>
      <c r="AV263" s="34">
        <v>-21000000</v>
      </c>
      <c r="AW263" s="27" t="s">
        <v>204</v>
      </c>
      <c r="AX263" s="27" t="s">
        <v>204</v>
      </c>
      <c r="AY263" s="27" t="s">
        <v>83</v>
      </c>
      <c r="AZ263" s="27">
        <v>1</v>
      </c>
      <c r="BA263" s="27"/>
      <c r="BB263" s="27" t="s">
        <v>195</v>
      </c>
      <c r="BC263" s="27" t="s">
        <v>3691</v>
      </c>
      <c r="BD263" s="27" t="s">
        <v>195</v>
      </c>
      <c r="BE263" s="27" t="s">
        <v>195</v>
      </c>
      <c r="BF263" s="27" t="s">
        <v>3692</v>
      </c>
      <c r="BG263" s="27" t="s">
        <v>3693</v>
      </c>
      <c r="BH263" s="27" t="s">
        <v>207</v>
      </c>
      <c r="BI263" s="27" t="s">
        <v>231</v>
      </c>
      <c r="BJ263" s="27" t="s">
        <v>3694</v>
      </c>
      <c r="BK263" s="27" t="s">
        <v>183</v>
      </c>
      <c r="BL263" s="27" t="s">
        <v>3695</v>
      </c>
      <c r="BM263" s="35">
        <v>0</v>
      </c>
    </row>
    <row r="264" spans="1:65" s="1" customFormat="1" x14ac:dyDescent="0.2">
      <c r="A264" s="33">
        <v>2100</v>
      </c>
      <c r="B264" s="26">
        <v>146</v>
      </c>
      <c r="C264" s="36" t="s">
        <v>503</v>
      </c>
      <c r="D264" s="27" t="s">
        <v>3696</v>
      </c>
      <c r="E264" s="27" t="s">
        <v>360</v>
      </c>
      <c r="F264" s="27" t="s">
        <v>389</v>
      </c>
      <c r="G264" s="28">
        <v>2026</v>
      </c>
      <c r="H264" s="20" t="str">
        <f>VLOOKUP(U264,'[1]KODE TYPE standar'!$D:$U,17,0)</f>
        <v>AGYA</v>
      </c>
      <c r="I264" s="20" t="str">
        <f>VLOOKUP(U264,'[1]KODE TYPE standar'!$D:$U,16,0)</f>
        <v>AGYA</v>
      </c>
      <c r="J264" s="20" t="str">
        <f>VLOOKUP(U264,'[1]KODE TYPE standar'!$D:$U,18,0)</f>
        <v>AGYA G A/T</v>
      </c>
      <c r="K264" s="27" t="s">
        <v>119</v>
      </c>
      <c r="L264" s="27" t="s">
        <v>110</v>
      </c>
      <c r="M264" s="27" t="s">
        <v>262</v>
      </c>
      <c r="N264" s="27" t="s">
        <v>139</v>
      </c>
      <c r="O264" s="28" t="s">
        <v>156</v>
      </c>
      <c r="P264" s="29" t="s">
        <v>149</v>
      </c>
      <c r="Q264" s="29" t="s">
        <v>161</v>
      </c>
      <c r="R264" s="29" t="s">
        <v>145</v>
      </c>
      <c r="S264" s="27" t="s">
        <v>1184</v>
      </c>
      <c r="T264" s="27" t="s">
        <v>585</v>
      </c>
      <c r="U264" s="27" t="s">
        <v>492</v>
      </c>
      <c r="V264" s="27" t="s">
        <v>376</v>
      </c>
      <c r="W264" s="27" t="s">
        <v>377</v>
      </c>
      <c r="X264" s="27" t="s">
        <v>3697</v>
      </c>
      <c r="Y264" s="27" t="s">
        <v>3698</v>
      </c>
      <c r="Z264" s="27" t="s">
        <v>1183</v>
      </c>
      <c r="AA264" s="27" t="s">
        <v>1184</v>
      </c>
      <c r="AB264" s="27" t="s">
        <v>585</v>
      </c>
      <c r="AC264" s="27" t="s">
        <v>3699</v>
      </c>
      <c r="AD264" s="27" t="s">
        <v>3700</v>
      </c>
      <c r="AE264" s="27" t="s">
        <v>110</v>
      </c>
      <c r="AF264" s="27" t="s">
        <v>3701</v>
      </c>
      <c r="AG264" s="27" t="s">
        <v>3702</v>
      </c>
      <c r="AH264" s="27" t="s">
        <v>651</v>
      </c>
      <c r="AI264" s="27" t="s">
        <v>139</v>
      </c>
      <c r="AJ264" s="27" t="s">
        <v>262</v>
      </c>
      <c r="AK264" s="27" t="s">
        <v>89</v>
      </c>
      <c r="AL264" s="27"/>
      <c r="AM264" s="34">
        <v>205198000</v>
      </c>
      <c r="AN264" s="34">
        <v>157543080</v>
      </c>
      <c r="AO264" s="34">
        <v>28749750</v>
      </c>
      <c r="AP264" s="34">
        <v>17833741</v>
      </c>
      <c r="AQ264" s="34">
        <v>0</v>
      </c>
      <c r="AR264" s="34">
        <v>0</v>
      </c>
      <c r="AS264" s="34">
        <v>8928571</v>
      </c>
      <c r="AT264" s="34">
        <v>195198000</v>
      </c>
      <c r="AU264" s="34">
        <v>3000000</v>
      </c>
      <c r="AV264" s="34">
        <v>-10000000</v>
      </c>
      <c r="AW264" s="27" t="s">
        <v>392</v>
      </c>
      <c r="AX264" s="27" t="s">
        <v>392</v>
      </c>
      <c r="AY264" s="27" t="s">
        <v>83</v>
      </c>
      <c r="AZ264" s="27">
        <v>1</v>
      </c>
      <c r="BA264" s="27"/>
      <c r="BB264" s="27" t="s">
        <v>248</v>
      </c>
      <c r="BC264" s="27" t="s">
        <v>3703</v>
      </c>
      <c r="BD264" s="27" t="s">
        <v>246</v>
      </c>
      <c r="BE264" s="27" t="s">
        <v>246</v>
      </c>
      <c r="BF264" s="27" t="s">
        <v>3704</v>
      </c>
      <c r="BG264" s="27" t="s">
        <v>3705</v>
      </c>
      <c r="BH264" s="27" t="s">
        <v>360</v>
      </c>
      <c r="BI264" s="27" t="s">
        <v>411</v>
      </c>
      <c r="BJ264" s="27" t="s">
        <v>3706</v>
      </c>
      <c r="BK264" s="27" t="s">
        <v>395</v>
      </c>
      <c r="BL264" s="27" t="s">
        <v>3707</v>
      </c>
      <c r="BM264" s="35">
        <v>0</v>
      </c>
    </row>
    <row r="265" spans="1:65" s="1" customFormat="1" x14ac:dyDescent="0.2">
      <c r="A265" s="33">
        <v>2104</v>
      </c>
      <c r="B265" s="26">
        <v>146</v>
      </c>
      <c r="C265" s="36" t="s">
        <v>503</v>
      </c>
      <c r="D265" s="27" t="s">
        <v>3708</v>
      </c>
      <c r="E265" s="27" t="s">
        <v>303</v>
      </c>
      <c r="F265" s="27" t="s">
        <v>389</v>
      </c>
      <c r="G265" s="28">
        <v>2026</v>
      </c>
      <c r="H265" s="20" t="str">
        <f>VLOOKUP(U265,'[1]KODE TYPE standar'!$D:$U,17,0)</f>
        <v>AVANZA</v>
      </c>
      <c r="I265" s="20" t="str">
        <f>VLOOKUP(U265,'[1]KODE TYPE standar'!$D:$U,16,0)</f>
        <v>AVANZA</v>
      </c>
      <c r="J265" s="20" t="str">
        <f>VLOOKUP(U265,'[1]KODE TYPE standar'!$D:$U,18,0)</f>
        <v>AVANZA E A/T</v>
      </c>
      <c r="K265" s="27" t="s">
        <v>121</v>
      </c>
      <c r="L265" s="27" t="s">
        <v>110</v>
      </c>
      <c r="M265" s="27" t="s">
        <v>262</v>
      </c>
      <c r="N265" s="27" t="s">
        <v>140</v>
      </c>
      <c r="O265" s="28" t="s">
        <v>156</v>
      </c>
      <c r="P265" s="29" t="s">
        <v>150</v>
      </c>
      <c r="Q265" s="29" t="s">
        <v>162</v>
      </c>
      <c r="R265" s="29" t="s">
        <v>597</v>
      </c>
      <c r="S265" s="27" t="s">
        <v>877</v>
      </c>
      <c r="T265" s="27" t="s">
        <v>585</v>
      </c>
      <c r="U265" s="27" t="s">
        <v>328</v>
      </c>
      <c r="V265" s="27" t="s">
        <v>64</v>
      </c>
      <c r="W265" s="27" t="s">
        <v>65</v>
      </c>
      <c r="X265" s="27" t="s">
        <v>3709</v>
      </c>
      <c r="Y265" s="27" t="s">
        <v>3710</v>
      </c>
      <c r="Z265" s="27" t="s">
        <v>876</v>
      </c>
      <c r="AA265" s="27" t="s">
        <v>877</v>
      </c>
      <c r="AB265" s="27" t="s">
        <v>585</v>
      </c>
      <c r="AC265" s="27" t="s">
        <v>3711</v>
      </c>
      <c r="AD265" s="27" t="s">
        <v>3712</v>
      </c>
      <c r="AE265" s="27" t="s">
        <v>110</v>
      </c>
      <c r="AF265" s="27" t="s">
        <v>3712</v>
      </c>
      <c r="AG265" s="27" t="s">
        <v>3713</v>
      </c>
      <c r="AH265" s="27" t="s">
        <v>528</v>
      </c>
      <c r="AI265" s="27" t="s">
        <v>140</v>
      </c>
      <c r="AJ265" s="27" t="s">
        <v>262</v>
      </c>
      <c r="AK265" s="27" t="s">
        <v>104</v>
      </c>
      <c r="AL265" s="27"/>
      <c r="AM265" s="34">
        <v>261700000</v>
      </c>
      <c r="AN265" s="34">
        <v>201685268</v>
      </c>
      <c r="AO265" s="34">
        <v>35812500</v>
      </c>
      <c r="AP265" s="34">
        <v>22595089</v>
      </c>
      <c r="AQ265" s="34">
        <v>0</v>
      </c>
      <c r="AR265" s="34">
        <v>0</v>
      </c>
      <c r="AS265" s="34">
        <v>13392857</v>
      </c>
      <c r="AT265" s="34">
        <v>246700000</v>
      </c>
      <c r="AU265" s="34">
        <v>0</v>
      </c>
      <c r="AV265" s="34">
        <v>-15000000</v>
      </c>
      <c r="AW265" s="27" t="s">
        <v>367</v>
      </c>
      <c r="AX265" s="27" t="s">
        <v>367</v>
      </c>
      <c r="AY265" s="27" t="s">
        <v>83</v>
      </c>
      <c r="AZ265" s="27">
        <v>1</v>
      </c>
      <c r="BA265" s="27"/>
      <c r="BB265" s="27" t="s">
        <v>397</v>
      </c>
      <c r="BC265" s="27" t="s">
        <v>3714</v>
      </c>
      <c r="BD265" s="27" t="s">
        <v>365</v>
      </c>
      <c r="BE265" s="27" t="s">
        <v>365</v>
      </c>
      <c r="BF265" s="27" t="s">
        <v>3715</v>
      </c>
      <c r="BG265" s="27" t="s">
        <v>3716</v>
      </c>
      <c r="BH265" s="27" t="s">
        <v>303</v>
      </c>
      <c r="BI265" s="27" t="s">
        <v>360</v>
      </c>
      <c r="BJ265" s="27" t="s">
        <v>3717</v>
      </c>
      <c r="BK265" s="27" t="s">
        <v>397</v>
      </c>
      <c r="BL265" s="27" t="s">
        <v>3718</v>
      </c>
      <c r="BM265" s="35">
        <v>0</v>
      </c>
    </row>
    <row r="266" spans="1:65" s="1" customFormat="1" x14ac:dyDescent="0.2">
      <c r="A266" s="33">
        <v>2109</v>
      </c>
      <c r="B266" s="26">
        <v>146</v>
      </c>
      <c r="C266" s="36" t="s">
        <v>503</v>
      </c>
      <c r="D266" s="27" t="s">
        <v>3719</v>
      </c>
      <c r="E266" s="27" t="s">
        <v>404</v>
      </c>
      <c r="F266" s="27" t="s">
        <v>389</v>
      </c>
      <c r="G266" s="28">
        <v>2026</v>
      </c>
      <c r="H266" s="20" t="str">
        <f>VLOOKUP(U266,'[1]KODE TYPE standar'!$D:$U,17,0)</f>
        <v>RUSH</v>
      </c>
      <c r="I266" s="20" t="str">
        <f>VLOOKUP(U266,'[1]KODE TYPE standar'!$D:$U,16,0)</f>
        <v>RUSH</v>
      </c>
      <c r="J266" s="20" t="str">
        <f>VLOOKUP(U266,'[1]KODE TYPE standar'!$D:$U,18,0)</f>
        <v>RUSH S M/T</v>
      </c>
      <c r="K266" s="27" t="s">
        <v>50</v>
      </c>
      <c r="L266" s="27" t="s">
        <v>110</v>
      </c>
      <c r="M266" s="27" t="s">
        <v>50</v>
      </c>
      <c r="N266" s="27" t="s">
        <v>102</v>
      </c>
      <c r="O266" s="28" t="s">
        <v>6581</v>
      </c>
      <c r="P266" s="29" t="s">
        <v>149</v>
      </c>
      <c r="Q266" s="29" t="s">
        <v>161</v>
      </c>
      <c r="R266" s="29" t="s">
        <v>1016</v>
      </c>
      <c r="S266" s="27" t="s">
        <v>508</v>
      </c>
      <c r="T266" s="27" t="s">
        <v>509</v>
      </c>
      <c r="U266" s="27" t="s">
        <v>276</v>
      </c>
      <c r="V266" s="27" t="s">
        <v>64</v>
      </c>
      <c r="W266" s="27" t="s">
        <v>65</v>
      </c>
      <c r="X266" s="27" t="s">
        <v>3720</v>
      </c>
      <c r="Y266" s="27" t="s">
        <v>3721</v>
      </c>
      <c r="Z266" s="27" t="s">
        <v>507</v>
      </c>
      <c r="AA266" s="27" t="s">
        <v>508</v>
      </c>
      <c r="AB266" s="27" t="s">
        <v>509</v>
      </c>
      <c r="AC266" s="27" t="s">
        <v>3722</v>
      </c>
      <c r="AD266" s="27" t="s">
        <v>3723</v>
      </c>
      <c r="AE266" s="27" t="s">
        <v>110</v>
      </c>
      <c r="AF266" s="27" t="s">
        <v>3723</v>
      </c>
      <c r="AG266" s="27" t="s">
        <v>3724</v>
      </c>
      <c r="AH266" s="27" t="s">
        <v>3725</v>
      </c>
      <c r="AI266" s="27" t="s">
        <v>102</v>
      </c>
      <c r="AJ266" s="27" t="s">
        <v>50</v>
      </c>
      <c r="AK266" s="27" t="s">
        <v>50</v>
      </c>
      <c r="AL266" s="27"/>
      <c r="AM266" s="34">
        <v>311400000</v>
      </c>
      <c r="AN266" s="34">
        <v>240022321</v>
      </c>
      <c r="AO266" s="34">
        <v>42575000</v>
      </c>
      <c r="AP266" s="34">
        <v>27195535</v>
      </c>
      <c r="AQ266" s="34">
        <v>0</v>
      </c>
      <c r="AR266" s="34">
        <v>0</v>
      </c>
      <c r="AS266" s="34">
        <v>13392857</v>
      </c>
      <c r="AT266" s="34">
        <v>296400000</v>
      </c>
      <c r="AU266" s="34">
        <v>7400000</v>
      </c>
      <c r="AV266" s="34">
        <v>-15000000</v>
      </c>
      <c r="AW266" s="27" t="s">
        <v>342</v>
      </c>
      <c r="AX266" s="27" t="s">
        <v>342</v>
      </c>
      <c r="AY266" s="27" t="s">
        <v>83</v>
      </c>
      <c r="AZ266" s="27">
        <v>1</v>
      </c>
      <c r="BA266" s="27" t="s">
        <v>163</v>
      </c>
      <c r="BB266" s="27" t="s">
        <v>404</v>
      </c>
      <c r="BC266" s="27" t="s">
        <v>3726</v>
      </c>
      <c r="BD266" s="27" t="s">
        <v>404</v>
      </c>
      <c r="BE266" s="27" t="s">
        <v>404</v>
      </c>
      <c r="BF266" s="27" t="s">
        <v>3727</v>
      </c>
      <c r="BG266" s="27" t="s">
        <v>3728</v>
      </c>
      <c r="BH266" s="27" t="s">
        <v>404</v>
      </c>
      <c r="BI266" s="27" t="s">
        <v>405</v>
      </c>
      <c r="BJ266" s="27" t="s">
        <v>3729</v>
      </c>
      <c r="BK266" s="27" t="s">
        <v>308</v>
      </c>
      <c r="BL266" s="27" t="s">
        <v>3730</v>
      </c>
      <c r="BM266" s="35">
        <v>0</v>
      </c>
    </row>
    <row r="267" spans="1:65" s="1" customFormat="1" x14ac:dyDescent="0.2">
      <c r="A267" s="25">
        <v>1547</v>
      </c>
      <c r="B267" s="26">
        <v>146</v>
      </c>
      <c r="C267" s="27" t="s">
        <v>503</v>
      </c>
      <c r="D267" s="28" t="s">
        <v>3731</v>
      </c>
      <c r="E267" s="28" t="s">
        <v>313</v>
      </c>
      <c r="F267" s="28" t="s">
        <v>339</v>
      </c>
      <c r="G267" s="28">
        <v>2026</v>
      </c>
      <c r="H267" s="20" t="str">
        <f>VLOOKUP(U267,'[1]KODE TYPE standar'!$D:$U,17,0)</f>
        <v>RAIZE</v>
      </c>
      <c r="I267" s="20" t="str">
        <f>VLOOKUP(U267,'[1]KODE TYPE standar'!$D:$U,16,0)</f>
        <v>RAIZE</v>
      </c>
      <c r="J267" s="20" t="str">
        <f>VLOOKUP(U267,'[1]KODE TYPE standar'!$D:$U,18,0)</f>
        <v>RAIZE G A/T</v>
      </c>
      <c r="K267" s="27" t="s">
        <v>121</v>
      </c>
      <c r="L267" s="28" t="s">
        <v>110</v>
      </c>
      <c r="M267" s="28" t="s">
        <v>262</v>
      </c>
      <c r="N267" s="28" t="s">
        <v>157</v>
      </c>
      <c r="O267" s="28" t="s">
        <v>6581</v>
      </c>
      <c r="P267" s="29" t="s">
        <v>149</v>
      </c>
      <c r="Q267" s="29" t="s">
        <v>161</v>
      </c>
      <c r="R267" s="29" t="s">
        <v>597</v>
      </c>
      <c r="S267" s="28" t="s">
        <v>554</v>
      </c>
      <c r="T267" s="28" t="s">
        <v>509</v>
      </c>
      <c r="U267" s="27" t="s">
        <v>380</v>
      </c>
      <c r="V267" s="27" t="s">
        <v>68</v>
      </c>
      <c r="W267" s="27" t="s">
        <v>69</v>
      </c>
      <c r="X267" s="28" t="s">
        <v>3732</v>
      </c>
      <c r="Y267" s="27" t="s">
        <v>3733</v>
      </c>
      <c r="Z267" s="28" t="s">
        <v>553</v>
      </c>
      <c r="AA267" s="28" t="s">
        <v>554</v>
      </c>
      <c r="AB267" s="28" t="s">
        <v>509</v>
      </c>
      <c r="AC267" s="28" t="s">
        <v>3734</v>
      </c>
      <c r="AD267" s="28" t="s">
        <v>3735</v>
      </c>
      <c r="AE267" s="28" t="s">
        <v>110</v>
      </c>
      <c r="AF267" s="28" t="s">
        <v>3735</v>
      </c>
      <c r="AG267" s="28" t="s">
        <v>3736</v>
      </c>
      <c r="AH267" s="28" t="s">
        <v>3737</v>
      </c>
      <c r="AI267" s="28" t="s">
        <v>157</v>
      </c>
      <c r="AJ267" s="28" t="s">
        <v>262</v>
      </c>
      <c r="AK267" s="28" t="s">
        <v>104</v>
      </c>
      <c r="AL267" s="28"/>
      <c r="AM267" s="31">
        <v>280700000</v>
      </c>
      <c r="AN267" s="31">
        <v>216529018</v>
      </c>
      <c r="AO267" s="31">
        <v>38187500</v>
      </c>
      <c r="AP267" s="31">
        <v>24269196</v>
      </c>
      <c r="AQ267" s="31">
        <v>0</v>
      </c>
      <c r="AR267" s="31">
        <v>0</v>
      </c>
      <c r="AS267" s="31">
        <v>14285714</v>
      </c>
      <c r="AT267" s="31">
        <v>264700000</v>
      </c>
      <c r="AU267" s="31">
        <v>53000000</v>
      </c>
      <c r="AV267" s="31">
        <v>-16000000</v>
      </c>
      <c r="AW267" s="28"/>
      <c r="AX267" s="28"/>
      <c r="AY267" s="28" t="s">
        <v>83</v>
      </c>
      <c r="AZ267" s="28">
        <v>1</v>
      </c>
      <c r="BA267" s="28" t="s">
        <v>3738</v>
      </c>
      <c r="BB267" s="28" t="s">
        <v>313</v>
      </c>
      <c r="BC267" s="28" t="s">
        <v>3739</v>
      </c>
      <c r="BD267" s="28" t="s">
        <v>244</v>
      </c>
      <c r="BE267" s="28" t="s">
        <v>244</v>
      </c>
      <c r="BF267" s="28" t="s">
        <v>3740</v>
      </c>
      <c r="BG267" s="28" t="s">
        <v>3741</v>
      </c>
      <c r="BH267" s="28"/>
      <c r="BI267" s="28" t="s">
        <v>290</v>
      </c>
      <c r="BJ267" s="28" t="s">
        <v>3742</v>
      </c>
      <c r="BK267" s="28" t="s">
        <v>219</v>
      </c>
      <c r="BL267" s="28" t="s">
        <v>3743</v>
      </c>
      <c r="BM267" s="32">
        <v>0</v>
      </c>
    </row>
    <row r="268" spans="1:65" s="1" customFormat="1" x14ac:dyDescent="0.2">
      <c r="A268" s="33">
        <v>1698</v>
      </c>
      <c r="B268" s="26">
        <v>146</v>
      </c>
      <c r="C268" s="27" t="s">
        <v>503</v>
      </c>
      <c r="D268" s="27" t="s">
        <v>3744</v>
      </c>
      <c r="E268" s="27" t="s">
        <v>202</v>
      </c>
      <c r="F268" s="27" t="s">
        <v>111</v>
      </c>
      <c r="G268" s="28">
        <v>2026</v>
      </c>
      <c r="H268" s="20" t="str">
        <f>VLOOKUP(U268,'[1]KODE TYPE standar'!$D:$U,17,0)</f>
        <v>RAIZE</v>
      </c>
      <c r="I268" s="20" t="str">
        <f>VLOOKUP(U268,'[1]KODE TYPE standar'!$D:$U,16,0)</f>
        <v>RAIZE</v>
      </c>
      <c r="J268" s="20" t="str">
        <f>VLOOKUP(U268,'[1]KODE TYPE standar'!$D:$U,18,0)</f>
        <v>RAIZE G A/T</v>
      </c>
      <c r="K268" s="27" t="s">
        <v>119</v>
      </c>
      <c r="L268" s="27" t="s">
        <v>110</v>
      </c>
      <c r="M268" s="27" t="s">
        <v>262</v>
      </c>
      <c r="N268" s="27" t="s">
        <v>141</v>
      </c>
      <c r="O268" s="28" t="s">
        <v>156</v>
      </c>
      <c r="P268" s="29" t="s">
        <v>149</v>
      </c>
      <c r="Q268" s="29" t="s">
        <v>162</v>
      </c>
      <c r="R268" s="29" t="s">
        <v>318</v>
      </c>
      <c r="S268" s="27" t="s">
        <v>877</v>
      </c>
      <c r="T268" s="27" t="s">
        <v>585</v>
      </c>
      <c r="U268" s="27" t="s">
        <v>239</v>
      </c>
      <c r="V268" s="27" t="s">
        <v>60</v>
      </c>
      <c r="W268" s="27" t="s">
        <v>61</v>
      </c>
      <c r="X268" s="27" t="s">
        <v>3745</v>
      </c>
      <c r="Y268" s="27" t="s">
        <v>3746</v>
      </c>
      <c r="Z268" s="27" t="s">
        <v>876</v>
      </c>
      <c r="AA268" s="27" t="s">
        <v>877</v>
      </c>
      <c r="AB268" s="27" t="s">
        <v>585</v>
      </c>
      <c r="AC268" s="27" t="s">
        <v>3747</v>
      </c>
      <c r="AD268" s="27" t="s">
        <v>3748</v>
      </c>
      <c r="AE268" s="27" t="s">
        <v>110</v>
      </c>
      <c r="AF268" s="27" t="s">
        <v>3749</v>
      </c>
      <c r="AG268" s="27" t="s">
        <v>3750</v>
      </c>
      <c r="AH268" s="27" t="s">
        <v>1022</v>
      </c>
      <c r="AI268" s="27" t="s">
        <v>141</v>
      </c>
      <c r="AJ268" s="27" t="s">
        <v>262</v>
      </c>
      <c r="AK268" s="27" t="s">
        <v>89</v>
      </c>
      <c r="AL268" s="27" t="s">
        <v>3751</v>
      </c>
      <c r="AM268" s="34">
        <v>261600000</v>
      </c>
      <c r="AN268" s="34">
        <v>201830357</v>
      </c>
      <c r="AO268" s="34">
        <v>35550000</v>
      </c>
      <c r="AP268" s="34">
        <v>22548214</v>
      </c>
      <c r="AQ268" s="34">
        <v>0</v>
      </c>
      <c r="AR268" s="34">
        <v>0</v>
      </c>
      <c r="AS268" s="34">
        <v>13928571</v>
      </c>
      <c r="AT268" s="34">
        <v>246000000</v>
      </c>
      <c r="AU268" s="34">
        <v>0</v>
      </c>
      <c r="AV268" s="34">
        <v>-15600000</v>
      </c>
      <c r="AW268" s="27" t="s">
        <v>195</v>
      </c>
      <c r="AX268" s="27" t="s">
        <v>195</v>
      </c>
      <c r="AY268" s="27" t="s">
        <v>83</v>
      </c>
      <c r="AZ268" s="27">
        <v>1</v>
      </c>
      <c r="BA268" s="27"/>
      <c r="BB268" s="27" t="s">
        <v>203</v>
      </c>
      <c r="BC268" s="27" t="s">
        <v>3752</v>
      </c>
      <c r="BD268" s="27" t="s">
        <v>212</v>
      </c>
      <c r="BE268" s="27" t="s">
        <v>212</v>
      </c>
      <c r="BF268" s="27" t="s">
        <v>3753</v>
      </c>
      <c r="BG268" s="27" t="s">
        <v>3754</v>
      </c>
      <c r="BH268" s="27" t="s">
        <v>202</v>
      </c>
      <c r="BI268" s="27" t="s">
        <v>219</v>
      </c>
      <c r="BJ268" s="27" t="s">
        <v>3755</v>
      </c>
      <c r="BK268" s="27" t="s">
        <v>187</v>
      </c>
      <c r="BL268" s="27" t="s">
        <v>3756</v>
      </c>
      <c r="BM268" s="35">
        <v>0</v>
      </c>
    </row>
    <row r="269" spans="1:65" s="1" customFormat="1" x14ac:dyDescent="0.2">
      <c r="A269" s="33">
        <v>2035</v>
      </c>
      <c r="B269" s="26">
        <v>146</v>
      </c>
      <c r="C269" s="27" t="s">
        <v>503</v>
      </c>
      <c r="D269" s="27" t="s">
        <v>3757</v>
      </c>
      <c r="E269" s="27" t="s">
        <v>235</v>
      </c>
      <c r="F269" s="27" t="s">
        <v>258</v>
      </c>
      <c r="G269" s="28">
        <v>2026</v>
      </c>
      <c r="H269" s="20" t="str">
        <f>VLOOKUP(U269,'[1]KODE TYPE standar'!$D:$U,17,0)</f>
        <v>RAIZE</v>
      </c>
      <c r="I269" s="20" t="str">
        <f>VLOOKUP(U269,'[1]KODE TYPE standar'!$D:$U,16,0)</f>
        <v>RAIZE</v>
      </c>
      <c r="J269" s="20" t="str">
        <f>VLOOKUP(U269,'[1]KODE TYPE standar'!$D:$U,18,0)</f>
        <v>RAIZE G A/T</v>
      </c>
      <c r="K269" s="27" t="s">
        <v>50</v>
      </c>
      <c r="L269" s="27" t="s">
        <v>110</v>
      </c>
      <c r="M269" s="27" t="s">
        <v>50</v>
      </c>
      <c r="N269" s="27" t="s">
        <v>165</v>
      </c>
      <c r="O269" s="28" t="s">
        <v>6581</v>
      </c>
      <c r="P269" s="29" t="s">
        <v>149</v>
      </c>
      <c r="Q269" s="29" t="s">
        <v>161</v>
      </c>
      <c r="R269" s="29" t="s">
        <v>597</v>
      </c>
      <c r="S269" s="27" t="s">
        <v>3761</v>
      </c>
      <c r="T269" s="27" t="s">
        <v>585</v>
      </c>
      <c r="U269" s="27" t="s">
        <v>239</v>
      </c>
      <c r="V269" s="27" t="s">
        <v>269</v>
      </c>
      <c r="W269" s="27" t="s">
        <v>81</v>
      </c>
      <c r="X269" s="27" t="s">
        <v>3758</v>
      </c>
      <c r="Y269" s="27" t="s">
        <v>3759</v>
      </c>
      <c r="Z269" s="27" t="s">
        <v>3760</v>
      </c>
      <c r="AA269" s="27" t="s">
        <v>3761</v>
      </c>
      <c r="AB269" s="27" t="s">
        <v>585</v>
      </c>
      <c r="AC269" s="27" t="s">
        <v>3762</v>
      </c>
      <c r="AD269" s="27" t="s">
        <v>3763</v>
      </c>
      <c r="AE269" s="27" t="s">
        <v>110</v>
      </c>
      <c r="AF269" s="27" t="s">
        <v>3763</v>
      </c>
      <c r="AG269" s="27" t="s">
        <v>3764</v>
      </c>
      <c r="AH269" s="27" t="s">
        <v>3765</v>
      </c>
      <c r="AI269" s="27" t="s">
        <v>165</v>
      </c>
      <c r="AJ269" s="27" t="s">
        <v>50</v>
      </c>
      <c r="AK269" s="27" t="s">
        <v>50</v>
      </c>
      <c r="AL269" s="27" t="s">
        <v>3766</v>
      </c>
      <c r="AM269" s="34">
        <v>258600000</v>
      </c>
      <c r="AN269" s="34">
        <v>199812500</v>
      </c>
      <c r="AO269" s="34">
        <v>34810000</v>
      </c>
      <c r="AP269" s="34">
        <v>21834642</v>
      </c>
      <c r="AQ269" s="34">
        <v>0</v>
      </c>
      <c r="AR269" s="34">
        <v>0</v>
      </c>
      <c r="AS269" s="34">
        <v>17857143</v>
      </c>
      <c r="AT269" s="34">
        <v>238600000</v>
      </c>
      <c r="AU269" s="34">
        <v>0</v>
      </c>
      <c r="AV269" s="34">
        <v>-20000000</v>
      </c>
      <c r="AW269" s="27" t="s">
        <v>218</v>
      </c>
      <c r="AX269" s="27" t="s">
        <v>218</v>
      </c>
      <c r="AY269" s="27" t="s">
        <v>83</v>
      </c>
      <c r="AZ269" s="27">
        <v>1</v>
      </c>
      <c r="BA269" s="27" t="s">
        <v>163</v>
      </c>
      <c r="BB269" s="27" t="s">
        <v>213</v>
      </c>
      <c r="BC269" s="27" t="s">
        <v>3767</v>
      </c>
      <c r="BD269" s="27" t="s">
        <v>213</v>
      </c>
      <c r="BE269" s="27" t="s">
        <v>213</v>
      </c>
      <c r="BF269" s="27" t="s">
        <v>3768</v>
      </c>
      <c r="BG269" s="27" t="s">
        <v>3769</v>
      </c>
      <c r="BH269" s="27" t="s">
        <v>235</v>
      </c>
      <c r="BI269" s="27" t="s">
        <v>230</v>
      </c>
      <c r="BJ269" s="27" t="s">
        <v>305</v>
      </c>
      <c r="BK269" s="27" t="s">
        <v>234</v>
      </c>
      <c r="BL269" s="27" t="s">
        <v>3770</v>
      </c>
      <c r="BM269" s="35">
        <v>0</v>
      </c>
    </row>
    <row r="270" spans="1:65" s="1" customFormat="1" x14ac:dyDescent="0.2">
      <c r="A270" s="25">
        <v>1552</v>
      </c>
      <c r="B270" s="26">
        <v>146</v>
      </c>
      <c r="C270" s="27" t="s">
        <v>503</v>
      </c>
      <c r="D270" s="28" t="s">
        <v>3771</v>
      </c>
      <c r="E270" s="28" t="s">
        <v>295</v>
      </c>
      <c r="F270" s="28" t="s">
        <v>339</v>
      </c>
      <c r="G270" s="28">
        <v>2026</v>
      </c>
      <c r="H270" s="20" t="str">
        <f>VLOOKUP(U270,'[1]KODE TYPE standar'!$D:$U,17,0)</f>
        <v>AGYA</v>
      </c>
      <c r="I270" s="20" t="str">
        <f>VLOOKUP(U270,'[1]KODE TYPE standar'!$D:$U,16,0)</f>
        <v>AGYA</v>
      </c>
      <c r="J270" s="20" t="str">
        <f>VLOOKUP(U270,'[1]KODE TYPE standar'!$D:$U,18,0)</f>
        <v>AGYA G A/T</v>
      </c>
      <c r="K270" s="27" t="s">
        <v>119</v>
      </c>
      <c r="L270" s="28" t="s">
        <v>110</v>
      </c>
      <c r="M270" s="28" t="s">
        <v>262</v>
      </c>
      <c r="N270" s="28" t="s">
        <v>141</v>
      </c>
      <c r="O270" s="28" t="s">
        <v>156</v>
      </c>
      <c r="P270" s="29" t="s">
        <v>150</v>
      </c>
      <c r="Q270" s="29" t="s">
        <v>162</v>
      </c>
      <c r="R270" s="29" t="s">
        <v>2197</v>
      </c>
      <c r="S270" s="28" t="s">
        <v>724</v>
      </c>
      <c r="T270" s="28" t="s">
        <v>541</v>
      </c>
      <c r="U270" s="27" t="s">
        <v>164</v>
      </c>
      <c r="V270" s="27" t="s">
        <v>376</v>
      </c>
      <c r="W270" s="27" t="s">
        <v>377</v>
      </c>
      <c r="X270" s="28" t="s">
        <v>3772</v>
      </c>
      <c r="Y270" s="27" t="s">
        <v>3773</v>
      </c>
      <c r="Z270" s="28" t="s">
        <v>723</v>
      </c>
      <c r="AA270" s="28" t="s">
        <v>724</v>
      </c>
      <c r="AB270" s="28" t="s">
        <v>541</v>
      </c>
      <c r="AC270" s="28" t="s">
        <v>3774</v>
      </c>
      <c r="AD270" s="28" t="s">
        <v>3775</v>
      </c>
      <c r="AE270" s="28" t="s">
        <v>110</v>
      </c>
      <c r="AF270" s="28" t="s">
        <v>3775</v>
      </c>
      <c r="AG270" s="28" t="s">
        <v>3776</v>
      </c>
      <c r="AH270" s="28" t="s">
        <v>1349</v>
      </c>
      <c r="AI270" s="28" t="s">
        <v>141</v>
      </c>
      <c r="AJ270" s="28" t="s">
        <v>262</v>
      </c>
      <c r="AK270" s="28" t="s">
        <v>89</v>
      </c>
      <c r="AL270" s="28"/>
      <c r="AM270" s="31">
        <v>204000000</v>
      </c>
      <c r="AN270" s="31">
        <v>156607143</v>
      </c>
      <c r="AO270" s="31">
        <v>28600000</v>
      </c>
      <c r="AP270" s="31">
        <v>17614285</v>
      </c>
      <c r="AQ270" s="31">
        <v>0</v>
      </c>
      <c r="AR270" s="31">
        <v>0</v>
      </c>
      <c r="AS270" s="31">
        <v>9821429</v>
      </c>
      <c r="AT270" s="31">
        <v>193000000</v>
      </c>
      <c r="AU270" s="31">
        <v>2000000</v>
      </c>
      <c r="AV270" s="31">
        <v>-11000000</v>
      </c>
      <c r="AW270" s="28" t="s">
        <v>297</v>
      </c>
      <c r="AX270" s="28" t="s">
        <v>297</v>
      </c>
      <c r="AY270" s="28" t="s">
        <v>83</v>
      </c>
      <c r="AZ270" s="28">
        <v>1</v>
      </c>
      <c r="BA270" s="28"/>
      <c r="BB270" s="28" t="s">
        <v>255</v>
      </c>
      <c r="BC270" s="28" t="s">
        <v>3777</v>
      </c>
      <c r="BD270" s="28" t="s">
        <v>255</v>
      </c>
      <c r="BE270" s="28" t="s">
        <v>255</v>
      </c>
      <c r="BF270" s="28" t="s">
        <v>3778</v>
      </c>
      <c r="BG270" s="28" t="s">
        <v>3779</v>
      </c>
      <c r="BH270" s="28" t="s">
        <v>295</v>
      </c>
      <c r="BI270" s="28" t="s">
        <v>308</v>
      </c>
      <c r="BJ270" s="28" t="s">
        <v>3780</v>
      </c>
      <c r="BK270" s="28" t="s">
        <v>248</v>
      </c>
      <c r="BL270" s="28" t="s">
        <v>3781</v>
      </c>
      <c r="BM270" s="32">
        <v>0</v>
      </c>
    </row>
    <row r="271" spans="1:65" s="1" customFormat="1" x14ac:dyDescent="0.2">
      <c r="A271" s="33">
        <v>2039</v>
      </c>
      <c r="B271" s="26">
        <v>146</v>
      </c>
      <c r="C271" s="27" t="s">
        <v>503</v>
      </c>
      <c r="D271" s="27" t="s">
        <v>3782</v>
      </c>
      <c r="E271" s="27" t="s">
        <v>219</v>
      </c>
      <c r="F271" s="27" t="s">
        <v>258</v>
      </c>
      <c r="G271" s="28">
        <v>2026</v>
      </c>
      <c r="H271" s="20" t="str">
        <f>VLOOKUP(U271,'[1]KODE TYPE standar'!$D:$U,17,0)</f>
        <v>CALYA</v>
      </c>
      <c r="I271" s="20" t="str">
        <f>VLOOKUP(U271,'[1]KODE TYPE standar'!$D:$U,16,0)</f>
        <v>CALYA</v>
      </c>
      <c r="J271" s="20" t="str">
        <f>VLOOKUP(U271,'[1]KODE TYPE standar'!$D:$U,18,0)</f>
        <v>CALYA G M/T</v>
      </c>
      <c r="K271" s="27" t="s">
        <v>119</v>
      </c>
      <c r="L271" s="27" t="s">
        <v>110</v>
      </c>
      <c r="M271" s="27" t="s">
        <v>262</v>
      </c>
      <c r="N271" s="27" t="s">
        <v>106</v>
      </c>
      <c r="O271" s="28" t="s">
        <v>156</v>
      </c>
      <c r="P271" s="29" t="s">
        <v>149</v>
      </c>
      <c r="Q271" s="29" t="s">
        <v>161</v>
      </c>
      <c r="R271" s="29" t="s">
        <v>145</v>
      </c>
      <c r="S271" s="27" t="s">
        <v>795</v>
      </c>
      <c r="T271" s="27" t="s">
        <v>509</v>
      </c>
      <c r="U271" s="27" t="s">
        <v>268</v>
      </c>
      <c r="V271" s="27" t="s">
        <v>60</v>
      </c>
      <c r="W271" s="27" t="s">
        <v>61</v>
      </c>
      <c r="X271" s="27" t="s">
        <v>3783</v>
      </c>
      <c r="Y271" s="27" t="s">
        <v>3784</v>
      </c>
      <c r="Z271" s="27" t="s">
        <v>794</v>
      </c>
      <c r="AA271" s="27" t="s">
        <v>795</v>
      </c>
      <c r="AB271" s="27" t="s">
        <v>509</v>
      </c>
      <c r="AC271" s="27" t="s">
        <v>3785</v>
      </c>
      <c r="AD271" s="27" t="s">
        <v>3786</v>
      </c>
      <c r="AE271" s="27" t="s">
        <v>110</v>
      </c>
      <c r="AF271" s="27" t="s">
        <v>3787</v>
      </c>
      <c r="AG271" s="27" t="s">
        <v>3788</v>
      </c>
      <c r="AH271" s="27" t="s">
        <v>1087</v>
      </c>
      <c r="AI271" s="27" t="s">
        <v>106</v>
      </c>
      <c r="AJ271" s="27" t="s">
        <v>262</v>
      </c>
      <c r="AK271" s="27" t="s">
        <v>89</v>
      </c>
      <c r="AL271" s="27" t="s">
        <v>3789</v>
      </c>
      <c r="AM271" s="34">
        <v>181900000</v>
      </c>
      <c r="AN271" s="34">
        <v>139564732</v>
      </c>
      <c r="AO271" s="34">
        <v>25587500</v>
      </c>
      <c r="AP271" s="34">
        <v>15783482</v>
      </c>
      <c r="AQ271" s="34">
        <v>0</v>
      </c>
      <c r="AR271" s="34">
        <v>0</v>
      </c>
      <c r="AS271" s="34">
        <v>8035714</v>
      </c>
      <c r="AT271" s="34">
        <v>172900000</v>
      </c>
      <c r="AU271" s="34">
        <v>0</v>
      </c>
      <c r="AV271" s="34">
        <v>-9961538</v>
      </c>
      <c r="AW271" s="27" t="s">
        <v>235</v>
      </c>
      <c r="AX271" s="27" t="s">
        <v>235</v>
      </c>
      <c r="AY271" s="27" t="s">
        <v>83</v>
      </c>
      <c r="AZ271" s="27">
        <v>1</v>
      </c>
      <c r="BA271" s="27"/>
      <c r="BB271" s="27" t="s">
        <v>219</v>
      </c>
      <c r="BC271" s="27" t="s">
        <v>3790</v>
      </c>
      <c r="BD271" s="27" t="s">
        <v>210</v>
      </c>
      <c r="BE271" s="27" t="s">
        <v>210</v>
      </c>
      <c r="BF271" s="27" t="s">
        <v>3791</v>
      </c>
      <c r="BG271" s="27" t="s">
        <v>3792</v>
      </c>
      <c r="BH271" s="27" t="s">
        <v>219</v>
      </c>
      <c r="BI271" s="27" t="s">
        <v>263</v>
      </c>
      <c r="BJ271" s="27" t="s">
        <v>3793</v>
      </c>
      <c r="BK271" s="27" t="s">
        <v>278</v>
      </c>
      <c r="BL271" s="27" t="s">
        <v>3794</v>
      </c>
      <c r="BM271" s="35">
        <v>0</v>
      </c>
    </row>
    <row r="272" spans="1:65" s="1" customFormat="1" x14ac:dyDescent="0.2">
      <c r="A272" s="33">
        <v>1707</v>
      </c>
      <c r="B272" s="26">
        <v>146</v>
      </c>
      <c r="C272" s="27" t="s">
        <v>503</v>
      </c>
      <c r="D272" s="27" t="s">
        <v>3795</v>
      </c>
      <c r="E272" s="27" t="s">
        <v>225</v>
      </c>
      <c r="F272" s="27" t="s">
        <v>111</v>
      </c>
      <c r="G272" s="28">
        <v>2026</v>
      </c>
      <c r="H272" s="20" t="str">
        <f>VLOOKUP(U272,'[1]KODE TYPE standar'!$D:$U,17,0)</f>
        <v>CALYA</v>
      </c>
      <c r="I272" s="20" t="str">
        <f>VLOOKUP(U272,'[1]KODE TYPE standar'!$D:$U,16,0)</f>
        <v>CALYA</v>
      </c>
      <c r="J272" s="20" t="str">
        <f>VLOOKUP(U272,'[1]KODE TYPE standar'!$D:$U,18,0)</f>
        <v>CALYA G M/T</v>
      </c>
      <c r="K272" s="27" t="s">
        <v>118</v>
      </c>
      <c r="L272" s="27" t="s">
        <v>110</v>
      </c>
      <c r="M272" s="27" t="s">
        <v>262</v>
      </c>
      <c r="N272" s="27" t="s">
        <v>140</v>
      </c>
      <c r="O272" s="28" t="s">
        <v>156</v>
      </c>
      <c r="P272" s="29" t="s">
        <v>149</v>
      </c>
      <c r="Q272" s="29" t="s">
        <v>161</v>
      </c>
      <c r="R272" s="29" t="s">
        <v>597</v>
      </c>
      <c r="S272" s="27" t="s">
        <v>3799</v>
      </c>
      <c r="T272" s="27" t="s">
        <v>541</v>
      </c>
      <c r="U272" s="27" t="s">
        <v>268</v>
      </c>
      <c r="V272" s="27" t="s">
        <v>77</v>
      </c>
      <c r="W272" s="27" t="s">
        <v>78</v>
      </c>
      <c r="X272" s="27" t="s">
        <v>3796</v>
      </c>
      <c r="Y272" s="27" t="s">
        <v>3797</v>
      </c>
      <c r="Z272" s="27" t="s">
        <v>3798</v>
      </c>
      <c r="AA272" s="27" t="s">
        <v>3799</v>
      </c>
      <c r="AB272" s="27" t="s">
        <v>541</v>
      </c>
      <c r="AC272" s="27" t="s">
        <v>3800</v>
      </c>
      <c r="AD272" s="27" t="s">
        <v>3801</v>
      </c>
      <c r="AE272" s="27" t="s">
        <v>110</v>
      </c>
      <c r="AF272" s="27" t="s">
        <v>3801</v>
      </c>
      <c r="AG272" s="27" t="s">
        <v>3802</v>
      </c>
      <c r="AH272" s="27" t="s">
        <v>528</v>
      </c>
      <c r="AI272" s="27" t="s">
        <v>140</v>
      </c>
      <c r="AJ272" s="27" t="s">
        <v>262</v>
      </c>
      <c r="AK272" s="27" t="s">
        <v>63</v>
      </c>
      <c r="AL272" s="27" t="s">
        <v>3803</v>
      </c>
      <c r="AM272" s="34">
        <v>181900000</v>
      </c>
      <c r="AN272" s="34">
        <v>139564732</v>
      </c>
      <c r="AO272" s="34">
        <v>25587500</v>
      </c>
      <c r="AP272" s="34">
        <v>15676339</v>
      </c>
      <c r="AQ272" s="34">
        <v>0</v>
      </c>
      <c r="AR272" s="34">
        <v>0</v>
      </c>
      <c r="AS272" s="34">
        <v>8928571</v>
      </c>
      <c r="AT272" s="34">
        <v>171900000</v>
      </c>
      <c r="AU272" s="34">
        <v>0</v>
      </c>
      <c r="AV272" s="34">
        <v>-10000000</v>
      </c>
      <c r="AW272" s="27" t="s">
        <v>206</v>
      </c>
      <c r="AX272" s="27" t="s">
        <v>206</v>
      </c>
      <c r="AY272" s="27" t="s">
        <v>83</v>
      </c>
      <c r="AZ272" s="27">
        <v>1</v>
      </c>
      <c r="BA272" s="27"/>
      <c r="BB272" s="27" t="s">
        <v>183</v>
      </c>
      <c r="BC272" s="27" t="s">
        <v>3804</v>
      </c>
      <c r="BD272" s="27" t="s">
        <v>201</v>
      </c>
      <c r="BE272" s="27" t="s">
        <v>201</v>
      </c>
      <c r="BF272" s="27" t="s">
        <v>3805</v>
      </c>
      <c r="BG272" s="27" t="s">
        <v>3806</v>
      </c>
      <c r="BH272" s="27" t="s">
        <v>225</v>
      </c>
      <c r="BI272" s="27" t="s">
        <v>233</v>
      </c>
      <c r="BJ272" s="27" t="s">
        <v>3807</v>
      </c>
      <c r="BK272" s="27" t="s">
        <v>212</v>
      </c>
      <c r="BL272" s="27" t="s">
        <v>3808</v>
      </c>
      <c r="BM272" s="35">
        <v>0</v>
      </c>
    </row>
    <row r="273" spans="1:65" s="1" customFormat="1" x14ac:dyDescent="0.2">
      <c r="A273" s="25">
        <v>1564</v>
      </c>
      <c r="B273" s="26">
        <v>146</v>
      </c>
      <c r="C273" s="27" t="s">
        <v>503</v>
      </c>
      <c r="D273" s="28" t="s">
        <v>3809</v>
      </c>
      <c r="E273" s="28" t="s">
        <v>273</v>
      </c>
      <c r="F273" s="28" t="s">
        <v>339</v>
      </c>
      <c r="G273" s="28">
        <v>2026</v>
      </c>
      <c r="H273" s="20" t="str">
        <f>VLOOKUP(U273,'[1]KODE TYPE standar'!$D:$U,17,0)</f>
        <v>RAIZE</v>
      </c>
      <c r="I273" s="20" t="str">
        <f>VLOOKUP(U273,'[1]KODE TYPE standar'!$D:$U,16,0)</f>
        <v>RAIZE</v>
      </c>
      <c r="J273" s="20" t="str">
        <f>VLOOKUP(U273,'[1]KODE TYPE standar'!$D:$U,18,0)</f>
        <v>RAIZE G A/T</v>
      </c>
      <c r="K273" s="27" t="s">
        <v>50</v>
      </c>
      <c r="L273" s="28" t="s">
        <v>110</v>
      </c>
      <c r="M273" s="28" t="s">
        <v>50</v>
      </c>
      <c r="N273" s="28" t="s">
        <v>141</v>
      </c>
      <c r="O273" s="28" t="s">
        <v>156</v>
      </c>
      <c r="P273" s="29" t="s">
        <v>150</v>
      </c>
      <c r="Q273" s="29" t="s">
        <v>162</v>
      </c>
      <c r="R273" s="29" t="s">
        <v>597</v>
      </c>
      <c r="S273" s="27" t="s">
        <v>631</v>
      </c>
      <c r="T273" s="30" t="s">
        <v>541</v>
      </c>
      <c r="U273" s="27" t="s">
        <v>239</v>
      </c>
      <c r="V273" s="27" t="s">
        <v>68</v>
      </c>
      <c r="W273" s="27" t="s">
        <v>69</v>
      </c>
      <c r="X273" s="27" t="s">
        <v>3810</v>
      </c>
      <c r="Y273" s="27" t="s">
        <v>3811</v>
      </c>
      <c r="Z273" s="27" t="s">
        <v>630</v>
      </c>
      <c r="AA273" s="27" t="s">
        <v>631</v>
      </c>
      <c r="AB273" s="30" t="s">
        <v>541</v>
      </c>
      <c r="AC273" s="30" t="s">
        <v>3812</v>
      </c>
      <c r="AD273" s="28" t="s">
        <v>3813</v>
      </c>
      <c r="AE273" s="28" t="s">
        <v>110</v>
      </c>
      <c r="AF273" s="28" t="s">
        <v>3813</v>
      </c>
      <c r="AG273" s="28" t="s">
        <v>3814</v>
      </c>
      <c r="AH273" s="28" t="s">
        <v>1494</v>
      </c>
      <c r="AI273" s="28" t="s">
        <v>141</v>
      </c>
      <c r="AJ273" s="28" t="s">
        <v>50</v>
      </c>
      <c r="AK273" s="28" t="s">
        <v>50</v>
      </c>
      <c r="AL273" s="28" t="s">
        <v>3815</v>
      </c>
      <c r="AM273" s="31">
        <v>261600000</v>
      </c>
      <c r="AN273" s="31">
        <v>201607143</v>
      </c>
      <c r="AO273" s="31">
        <v>35800000</v>
      </c>
      <c r="AP273" s="31">
        <v>22478571</v>
      </c>
      <c r="AQ273" s="31">
        <v>0</v>
      </c>
      <c r="AR273" s="31">
        <v>0</v>
      </c>
      <c r="AS273" s="31">
        <v>14285714</v>
      </c>
      <c r="AT273" s="31">
        <v>245600000</v>
      </c>
      <c r="AU273" s="31">
        <v>0</v>
      </c>
      <c r="AV273" s="31">
        <v>-16000000</v>
      </c>
      <c r="AW273" s="28" t="s">
        <v>246</v>
      </c>
      <c r="AX273" s="28" t="s">
        <v>246</v>
      </c>
      <c r="AY273" s="28" t="s">
        <v>83</v>
      </c>
      <c r="AZ273" s="28">
        <v>1</v>
      </c>
      <c r="BA273" s="28"/>
      <c r="BB273" s="28" t="s">
        <v>273</v>
      </c>
      <c r="BC273" s="28" t="s">
        <v>3816</v>
      </c>
      <c r="BD273" s="28" t="s">
        <v>273</v>
      </c>
      <c r="BE273" s="28" t="s">
        <v>273</v>
      </c>
      <c r="BF273" s="28" t="s">
        <v>3817</v>
      </c>
      <c r="BG273" s="28" t="s">
        <v>3818</v>
      </c>
      <c r="BH273" s="28" t="s">
        <v>273</v>
      </c>
      <c r="BI273" s="28" t="s">
        <v>352</v>
      </c>
      <c r="BJ273" s="28" t="s">
        <v>3819</v>
      </c>
      <c r="BK273" s="28" t="s">
        <v>186</v>
      </c>
      <c r="BL273" s="28" t="s">
        <v>3820</v>
      </c>
      <c r="BM273" s="32">
        <v>0</v>
      </c>
    </row>
    <row r="274" spans="1:65" s="1" customFormat="1" x14ac:dyDescent="0.2">
      <c r="A274" s="33">
        <v>2129</v>
      </c>
      <c r="B274" s="26">
        <v>146</v>
      </c>
      <c r="C274" s="36" t="s">
        <v>503</v>
      </c>
      <c r="D274" s="27" t="s">
        <v>3821</v>
      </c>
      <c r="E274" s="27" t="s">
        <v>367</v>
      </c>
      <c r="F274" s="27" t="s">
        <v>389</v>
      </c>
      <c r="G274" s="28">
        <v>2026</v>
      </c>
      <c r="H274" s="20" t="str">
        <f>VLOOKUP(U274,'[1]KODE TYPE standar'!$D:$U,17,0)</f>
        <v>INV REBORN</v>
      </c>
      <c r="I274" s="20" t="str">
        <f>VLOOKUP(U274,'[1]KODE TYPE standar'!$D:$U,16,0)</f>
        <v>INNOVA</v>
      </c>
      <c r="J274" s="20" t="str">
        <f>VLOOKUP(U274,'[1]KODE TYPE standar'!$D:$U,18,0)</f>
        <v>INNOVA G A/T DIESEL</v>
      </c>
      <c r="K274" s="27" t="s">
        <v>119</v>
      </c>
      <c r="L274" s="27" t="s">
        <v>110</v>
      </c>
      <c r="M274" s="27" t="s">
        <v>262</v>
      </c>
      <c r="N274" s="27" t="s">
        <v>52</v>
      </c>
      <c r="O274" s="28" t="s">
        <v>6581</v>
      </c>
      <c r="P274" s="29" t="s">
        <v>149</v>
      </c>
      <c r="Q274" s="29" t="s">
        <v>147</v>
      </c>
      <c r="R274" s="29" t="s">
        <v>145</v>
      </c>
      <c r="S274" s="27" t="s">
        <v>2486</v>
      </c>
      <c r="T274" s="27" t="s">
        <v>541</v>
      </c>
      <c r="U274" s="27" t="s">
        <v>192</v>
      </c>
      <c r="V274" s="27" t="s">
        <v>48</v>
      </c>
      <c r="W274" s="27" t="s">
        <v>49</v>
      </c>
      <c r="X274" s="27" t="s">
        <v>3822</v>
      </c>
      <c r="Y274" s="27" t="s">
        <v>3823</v>
      </c>
      <c r="Z274" s="27" t="s">
        <v>2485</v>
      </c>
      <c r="AA274" s="27" t="s">
        <v>2486</v>
      </c>
      <c r="AB274" s="27" t="s">
        <v>541</v>
      </c>
      <c r="AC274" s="27" t="s">
        <v>3824</v>
      </c>
      <c r="AD274" s="27" t="s">
        <v>3825</v>
      </c>
      <c r="AE274" s="27" t="s">
        <v>110</v>
      </c>
      <c r="AF274" s="27" t="s">
        <v>3825</v>
      </c>
      <c r="AG274" s="27" t="s">
        <v>3826</v>
      </c>
      <c r="AH274" s="27" t="s">
        <v>100</v>
      </c>
      <c r="AI274" s="27" t="s">
        <v>52</v>
      </c>
      <c r="AJ274" s="27" t="s">
        <v>262</v>
      </c>
      <c r="AK274" s="27" t="s">
        <v>89</v>
      </c>
      <c r="AL274" s="27"/>
      <c r="AM274" s="34">
        <v>438700000</v>
      </c>
      <c r="AN274" s="34">
        <v>340422768</v>
      </c>
      <c r="AO274" s="34">
        <v>57426500</v>
      </c>
      <c r="AP274" s="34">
        <v>38600732</v>
      </c>
      <c r="AQ274" s="34">
        <v>0</v>
      </c>
      <c r="AR274" s="34">
        <v>0</v>
      </c>
      <c r="AS274" s="34">
        <v>18750000</v>
      </c>
      <c r="AT274" s="34">
        <v>417700000</v>
      </c>
      <c r="AU274" s="34">
        <v>0</v>
      </c>
      <c r="AV274" s="34">
        <v>-21000000</v>
      </c>
      <c r="AW274" s="27" t="s">
        <v>360</v>
      </c>
      <c r="AX274" s="27" t="s">
        <v>360</v>
      </c>
      <c r="AY274" s="27" t="s">
        <v>83</v>
      </c>
      <c r="AZ274" s="27">
        <v>1</v>
      </c>
      <c r="BA274" s="27"/>
      <c r="BB274" s="27" t="s">
        <v>282</v>
      </c>
      <c r="BC274" s="27" t="s">
        <v>3827</v>
      </c>
      <c r="BD274" s="27" t="s">
        <v>298</v>
      </c>
      <c r="BE274" s="27" t="s">
        <v>298</v>
      </c>
      <c r="BF274" s="27" t="s">
        <v>2417</v>
      </c>
      <c r="BG274" s="27" t="s">
        <v>3828</v>
      </c>
      <c r="BH274" s="27" t="s">
        <v>367</v>
      </c>
      <c r="BI274" s="27" t="s">
        <v>344</v>
      </c>
      <c r="BJ274" s="27" t="s">
        <v>384</v>
      </c>
      <c r="BK274" s="27" t="s">
        <v>290</v>
      </c>
      <c r="BL274" s="27" t="s">
        <v>3829</v>
      </c>
      <c r="BM274" s="35">
        <v>0</v>
      </c>
    </row>
    <row r="275" spans="1:65" s="1" customFormat="1" x14ac:dyDescent="0.2">
      <c r="A275" s="33">
        <v>1721</v>
      </c>
      <c r="B275" s="26">
        <v>146</v>
      </c>
      <c r="C275" s="27" t="s">
        <v>503</v>
      </c>
      <c r="D275" s="27" t="s">
        <v>3830</v>
      </c>
      <c r="E275" s="27" t="s">
        <v>197</v>
      </c>
      <c r="F275" s="27" t="s">
        <v>111</v>
      </c>
      <c r="G275" s="28">
        <v>2026</v>
      </c>
      <c r="H275" s="20" t="str">
        <f>VLOOKUP(U275,'[1]KODE TYPE standar'!$D:$U,17,0)</f>
        <v>AVANZA</v>
      </c>
      <c r="I275" s="20" t="str">
        <f>VLOOKUP(U275,'[1]KODE TYPE standar'!$D:$U,16,0)</f>
        <v>AVANZA</v>
      </c>
      <c r="J275" s="20" t="str">
        <f>VLOOKUP(U275,'[1]KODE TYPE standar'!$D:$U,18,0)</f>
        <v>AVANZA G A/T</v>
      </c>
      <c r="K275" s="27" t="s">
        <v>120</v>
      </c>
      <c r="L275" s="27" t="s">
        <v>110</v>
      </c>
      <c r="M275" s="27" t="s">
        <v>262</v>
      </c>
      <c r="N275" s="27" t="s">
        <v>141</v>
      </c>
      <c r="O275" s="28" t="s">
        <v>156</v>
      </c>
      <c r="P275" s="29" t="s">
        <v>149</v>
      </c>
      <c r="Q275" s="29" t="s">
        <v>161</v>
      </c>
      <c r="R275" s="29" t="s">
        <v>597</v>
      </c>
      <c r="S275" s="27" t="s">
        <v>647</v>
      </c>
      <c r="T275" s="27" t="s">
        <v>509</v>
      </c>
      <c r="U275" s="27" t="s">
        <v>66</v>
      </c>
      <c r="V275" s="27" t="s">
        <v>64</v>
      </c>
      <c r="W275" s="27" t="s">
        <v>65</v>
      </c>
      <c r="X275" s="27" t="s">
        <v>3831</v>
      </c>
      <c r="Y275" s="27" t="s">
        <v>3832</v>
      </c>
      <c r="Z275" s="27" t="s">
        <v>646</v>
      </c>
      <c r="AA275" s="27" t="s">
        <v>647</v>
      </c>
      <c r="AB275" s="27" t="s">
        <v>509</v>
      </c>
      <c r="AC275" s="27" t="s">
        <v>3833</v>
      </c>
      <c r="AD275" s="27" t="s">
        <v>3834</v>
      </c>
      <c r="AE275" s="27" t="s">
        <v>110</v>
      </c>
      <c r="AF275" s="27" t="s">
        <v>3835</v>
      </c>
      <c r="AG275" s="27" t="s">
        <v>3836</v>
      </c>
      <c r="AH275" s="27" t="s">
        <v>1720</v>
      </c>
      <c r="AI275" s="27" t="s">
        <v>141</v>
      </c>
      <c r="AJ275" s="27" t="s">
        <v>262</v>
      </c>
      <c r="AK275" s="27" t="s">
        <v>423</v>
      </c>
      <c r="AL275" s="27" t="s">
        <v>3837</v>
      </c>
      <c r="AM275" s="34">
        <v>284500000</v>
      </c>
      <c r="AN275" s="34">
        <v>219720982</v>
      </c>
      <c r="AO275" s="34">
        <v>38412500</v>
      </c>
      <c r="AP275" s="34">
        <v>24223660</v>
      </c>
      <c r="AQ275" s="34">
        <v>0</v>
      </c>
      <c r="AR275" s="34">
        <v>0</v>
      </c>
      <c r="AS275" s="34">
        <v>17857143</v>
      </c>
      <c r="AT275" s="34">
        <v>264500000</v>
      </c>
      <c r="AU275" s="34">
        <v>0</v>
      </c>
      <c r="AV275" s="34">
        <v>-20000000</v>
      </c>
      <c r="AW275" s="27"/>
      <c r="AX275" s="27"/>
      <c r="AY275" s="27" t="s">
        <v>83</v>
      </c>
      <c r="AZ275" s="27">
        <v>1</v>
      </c>
      <c r="BA275" s="27" t="s">
        <v>163</v>
      </c>
      <c r="BB275" s="27" t="s">
        <v>190</v>
      </c>
      <c r="BC275" s="27" t="s">
        <v>3838</v>
      </c>
      <c r="BD275" s="27" t="s">
        <v>214</v>
      </c>
      <c r="BE275" s="27" t="s">
        <v>214</v>
      </c>
      <c r="BF275" s="27" t="s">
        <v>3839</v>
      </c>
      <c r="BG275" s="27" t="s">
        <v>3840</v>
      </c>
      <c r="BH275" s="27" t="s">
        <v>197</v>
      </c>
      <c r="BI275" s="27" t="s">
        <v>223</v>
      </c>
      <c r="BJ275" s="27" t="s">
        <v>1207</v>
      </c>
      <c r="BK275" s="27" t="s">
        <v>216</v>
      </c>
      <c r="BL275" s="27" t="s">
        <v>3841</v>
      </c>
      <c r="BM275" s="35">
        <v>0</v>
      </c>
    </row>
    <row r="276" spans="1:65" s="1" customFormat="1" x14ac:dyDescent="0.2">
      <c r="A276" s="33">
        <v>1724</v>
      </c>
      <c r="B276" s="26">
        <v>146</v>
      </c>
      <c r="C276" s="27" t="s">
        <v>503</v>
      </c>
      <c r="D276" s="27" t="s">
        <v>3842</v>
      </c>
      <c r="E276" s="27" t="s">
        <v>183</v>
      </c>
      <c r="F276" s="27" t="s">
        <v>111</v>
      </c>
      <c r="G276" s="28">
        <v>2026</v>
      </c>
      <c r="H276" s="20" t="str">
        <f>VLOOKUP(U276,'[1]KODE TYPE standar'!$D:$U,17,0)</f>
        <v>INV REBORN</v>
      </c>
      <c r="I276" s="20" t="str">
        <f>VLOOKUP(U276,'[1]KODE TYPE standar'!$D:$U,16,0)</f>
        <v>INNOVA</v>
      </c>
      <c r="J276" s="20" t="str">
        <f>VLOOKUP(U276,'[1]KODE TYPE standar'!$D:$U,18,0)</f>
        <v>INNOVA G A/T DIESEL</v>
      </c>
      <c r="K276" s="27" t="s">
        <v>120</v>
      </c>
      <c r="L276" s="27" t="s">
        <v>110</v>
      </c>
      <c r="M276" s="27" t="s">
        <v>262</v>
      </c>
      <c r="N276" s="27" t="s">
        <v>106</v>
      </c>
      <c r="O276" s="28" t="s">
        <v>156</v>
      </c>
      <c r="P276" s="29" t="s">
        <v>149</v>
      </c>
      <c r="Q276" s="29" t="s">
        <v>161</v>
      </c>
      <c r="R276" s="29" t="s">
        <v>145</v>
      </c>
      <c r="S276" s="27" t="s">
        <v>3761</v>
      </c>
      <c r="T276" s="27" t="s">
        <v>585</v>
      </c>
      <c r="U276" s="27" t="s">
        <v>192</v>
      </c>
      <c r="V276" s="27" t="s">
        <v>48</v>
      </c>
      <c r="W276" s="27" t="s">
        <v>49</v>
      </c>
      <c r="X276" s="27" t="s">
        <v>3843</v>
      </c>
      <c r="Y276" s="27" t="s">
        <v>3844</v>
      </c>
      <c r="Z276" s="27" t="s">
        <v>3760</v>
      </c>
      <c r="AA276" s="27" t="s">
        <v>3761</v>
      </c>
      <c r="AB276" s="27" t="s">
        <v>585</v>
      </c>
      <c r="AC276" s="27" t="s">
        <v>3845</v>
      </c>
      <c r="AD276" s="27" t="s">
        <v>3846</v>
      </c>
      <c r="AE276" s="27" t="s">
        <v>110</v>
      </c>
      <c r="AF276" s="27" t="s">
        <v>3847</v>
      </c>
      <c r="AG276" s="27" t="s">
        <v>3848</v>
      </c>
      <c r="AH276" s="27" t="s">
        <v>2107</v>
      </c>
      <c r="AI276" s="27" t="s">
        <v>106</v>
      </c>
      <c r="AJ276" s="27" t="s">
        <v>262</v>
      </c>
      <c r="AK276" s="27" t="s">
        <v>423</v>
      </c>
      <c r="AL276" s="27" t="s">
        <v>3849</v>
      </c>
      <c r="AM276" s="34">
        <v>442100000</v>
      </c>
      <c r="AN276" s="34">
        <v>342845982</v>
      </c>
      <c r="AO276" s="34">
        <v>58112500</v>
      </c>
      <c r="AP276" s="34">
        <v>38462946</v>
      </c>
      <c r="AQ276" s="34">
        <v>0</v>
      </c>
      <c r="AR276" s="34">
        <v>0</v>
      </c>
      <c r="AS276" s="34">
        <v>22321429</v>
      </c>
      <c r="AT276" s="34">
        <v>417100000</v>
      </c>
      <c r="AU276" s="34">
        <v>0</v>
      </c>
      <c r="AV276" s="34">
        <v>-25000000</v>
      </c>
      <c r="AW276" s="27" t="s">
        <v>217</v>
      </c>
      <c r="AX276" s="27" t="s">
        <v>217</v>
      </c>
      <c r="AY276" s="27" t="s">
        <v>83</v>
      </c>
      <c r="AZ276" s="27">
        <v>1</v>
      </c>
      <c r="BA276" s="27" t="s">
        <v>163</v>
      </c>
      <c r="BB276" s="27" t="s">
        <v>202</v>
      </c>
      <c r="BC276" s="27" t="s">
        <v>3850</v>
      </c>
      <c r="BD276" s="27" t="s">
        <v>301</v>
      </c>
      <c r="BE276" s="27" t="s">
        <v>301</v>
      </c>
      <c r="BF276" s="27" t="s">
        <v>3851</v>
      </c>
      <c r="BG276" s="27" t="s">
        <v>3852</v>
      </c>
      <c r="BH276" s="27" t="s">
        <v>183</v>
      </c>
      <c r="BI276" s="27" t="s">
        <v>234</v>
      </c>
      <c r="BJ276" s="27" t="s">
        <v>3853</v>
      </c>
      <c r="BK276" s="27" t="s">
        <v>212</v>
      </c>
      <c r="BL276" s="27" t="s">
        <v>3854</v>
      </c>
      <c r="BM276" s="35">
        <v>0</v>
      </c>
    </row>
    <row r="277" spans="1:65" s="1" customFormat="1" x14ac:dyDescent="0.2">
      <c r="A277" s="33">
        <v>2058</v>
      </c>
      <c r="B277" s="26">
        <v>146</v>
      </c>
      <c r="C277" s="27" t="s">
        <v>503</v>
      </c>
      <c r="D277" s="27" t="s">
        <v>3855</v>
      </c>
      <c r="E277" s="27" t="s">
        <v>227</v>
      </c>
      <c r="F277" s="27" t="s">
        <v>258</v>
      </c>
      <c r="G277" s="28">
        <v>2026</v>
      </c>
      <c r="H277" s="20" t="str">
        <f>VLOOKUP(U277,'[1]KODE TYPE standar'!$D:$U,17,0)</f>
        <v>YARIS</v>
      </c>
      <c r="I277" s="20" t="str">
        <f>VLOOKUP(U277,'[1]KODE TYPE standar'!$D:$U,16,0)</f>
        <v>YARIS</v>
      </c>
      <c r="J277" s="20" t="str">
        <f>VLOOKUP(U277,'[1]KODE TYPE standar'!$D:$U,18,0)</f>
        <v>YARIS CROSS S A/T</v>
      </c>
      <c r="K277" s="27" t="s">
        <v>121</v>
      </c>
      <c r="L277" s="27" t="s">
        <v>110</v>
      </c>
      <c r="M277" s="27" t="s">
        <v>262</v>
      </c>
      <c r="N277" s="27" t="s">
        <v>102</v>
      </c>
      <c r="O277" s="28" t="s">
        <v>6581</v>
      </c>
      <c r="P277" s="29" t="s">
        <v>149</v>
      </c>
      <c r="Q277" s="29" t="s">
        <v>161</v>
      </c>
      <c r="R277" s="29" t="s">
        <v>597</v>
      </c>
      <c r="S277" s="27" t="s">
        <v>601</v>
      </c>
      <c r="T277" s="27" t="s">
        <v>509</v>
      </c>
      <c r="U277" s="27" t="s">
        <v>3856</v>
      </c>
      <c r="V277" s="27" t="s">
        <v>51</v>
      </c>
      <c r="W277" s="27" t="s">
        <v>286</v>
      </c>
      <c r="X277" s="27" t="s">
        <v>3857</v>
      </c>
      <c r="Y277" s="27" t="s">
        <v>3858</v>
      </c>
      <c r="Z277" s="27" t="s">
        <v>600</v>
      </c>
      <c r="AA277" s="27" t="s">
        <v>601</v>
      </c>
      <c r="AB277" s="27" t="s">
        <v>509</v>
      </c>
      <c r="AC277" s="27" t="s">
        <v>3859</v>
      </c>
      <c r="AD277" s="27" t="s">
        <v>3860</v>
      </c>
      <c r="AE277" s="27" t="s">
        <v>110</v>
      </c>
      <c r="AF277" s="27" t="s">
        <v>3860</v>
      </c>
      <c r="AG277" s="27" t="s">
        <v>3861</v>
      </c>
      <c r="AH277" s="27" t="s">
        <v>448</v>
      </c>
      <c r="AI277" s="27" t="s">
        <v>102</v>
      </c>
      <c r="AJ277" s="27" t="s">
        <v>262</v>
      </c>
      <c r="AK277" s="27" t="s">
        <v>104</v>
      </c>
      <c r="AL277" s="27" t="s">
        <v>3862</v>
      </c>
      <c r="AM277" s="34">
        <v>462800000</v>
      </c>
      <c r="AN277" s="34">
        <v>358660714</v>
      </c>
      <c r="AO277" s="34">
        <v>61100000</v>
      </c>
      <c r="AP277" s="34">
        <v>38057142</v>
      </c>
      <c r="AQ277" s="34">
        <v>0</v>
      </c>
      <c r="AR277" s="34">
        <v>0</v>
      </c>
      <c r="AS277" s="34">
        <v>41517857</v>
      </c>
      <c r="AT277" s="34">
        <v>416300000</v>
      </c>
      <c r="AU277" s="34">
        <v>0</v>
      </c>
      <c r="AV277" s="34">
        <v>-47700000</v>
      </c>
      <c r="AW277" s="27" t="s">
        <v>224</v>
      </c>
      <c r="AX277" s="27" t="s">
        <v>224</v>
      </c>
      <c r="AY277" s="27" t="s">
        <v>83</v>
      </c>
      <c r="AZ277" s="27">
        <v>1</v>
      </c>
      <c r="BA277" s="27" t="s">
        <v>163</v>
      </c>
      <c r="BB277" s="27" t="s">
        <v>235</v>
      </c>
      <c r="BC277" s="27" t="s">
        <v>3863</v>
      </c>
      <c r="BD277" s="27" t="s">
        <v>235</v>
      </c>
      <c r="BE277" s="27" t="s">
        <v>235</v>
      </c>
      <c r="BF277" s="27" t="s">
        <v>3864</v>
      </c>
      <c r="BG277" s="27" t="s">
        <v>3865</v>
      </c>
      <c r="BH277" s="27" t="s">
        <v>227</v>
      </c>
      <c r="BI277" s="27" t="s">
        <v>254</v>
      </c>
      <c r="BJ277" s="27" t="s">
        <v>3866</v>
      </c>
      <c r="BK277" s="27" t="s">
        <v>3867</v>
      </c>
      <c r="BL277" s="27" t="s">
        <v>3868</v>
      </c>
      <c r="BM277" s="35">
        <v>0</v>
      </c>
    </row>
    <row r="278" spans="1:65" s="1" customFormat="1" x14ac:dyDescent="0.2">
      <c r="A278" s="33">
        <v>9</v>
      </c>
      <c r="B278" s="27">
        <v>146</v>
      </c>
      <c r="C278" s="27" t="s">
        <v>503</v>
      </c>
      <c r="D278" s="27" t="s">
        <v>3869</v>
      </c>
      <c r="E278" s="27" t="s">
        <v>431</v>
      </c>
      <c r="F278" s="27" t="s">
        <v>425</v>
      </c>
      <c r="G278" s="28">
        <v>2026</v>
      </c>
      <c r="H278" s="20" t="str">
        <f>VLOOKUP(U278,'[1]KODE TYPE standar'!$D:$U,17,0)</f>
        <v>VELOZ</v>
      </c>
      <c r="I278" s="20" t="str">
        <f>VLOOKUP(U278,'[1]KODE TYPE standar'!$D:$U,16,0)</f>
        <v>VELOZ</v>
      </c>
      <c r="J278" s="20" t="str">
        <f>VLOOKUP(U278,'[1]KODE TYPE standar'!$D:$U,18,0)</f>
        <v>VELOZ V AT HYBRID</v>
      </c>
      <c r="K278" s="27" t="s">
        <v>120</v>
      </c>
      <c r="L278" s="27" t="s">
        <v>110</v>
      </c>
      <c r="M278" s="27" t="s">
        <v>262</v>
      </c>
      <c r="N278" s="27" t="s">
        <v>140</v>
      </c>
      <c r="O278" s="28" t="s">
        <v>156</v>
      </c>
      <c r="P278" s="29" t="s">
        <v>149</v>
      </c>
      <c r="Q278" s="29" t="s">
        <v>162</v>
      </c>
      <c r="R278" s="29" t="s">
        <v>597</v>
      </c>
      <c r="S278" s="27" t="s">
        <v>877</v>
      </c>
      <c r="T278" s="27" t="s">
        <v>585</v>
      </c>
      <c r="U278" s="27" t="s">
        <v>327</v>
      </c>
      <c r="V278" s="27" t="s">
        <v>64</v>
      </c>
      <c r="W278" s="27" t="s">
        <v>65</v>
      </c>
      <c r="X278" s="27" t="s">
        <v>3870</v>
      </c>
      <c r="Y278" s="27" t="s">
        <v>3871</v>
      </c>
      <c r="Z278" s="27" t="s">
        <v>876</v>
      </c>
      <c r="AA278" s="27" t="s">
        <v>877</v>
      </c>
      <c r="AB278" s="27" t="s">
        <v>585</v>
      </c>
      <c r="AC278" s="27" t="s">
        <v>3872</v>
      </c>
      <c r="AD278" s="27" t="s">
        <v>3873</v>
      </c>
      <c r="AE278" s="27" t="s">
        <v>110</v>
      </c>
      <c r="AF278" s="27" t="s">
        <v>3873</v>
      </c>
      <c r="AG278" s="27" t="s">
        <v>3874</v>
      </c>
      <c r="AH278" s="27" t="s">
        <v>2575</v>
      </c>
      <c r="AI278" s="27" t="s">
        <v>140</v>
      </c>
      <c r="AJ278" s="27" t="s">
        <v>262</v>
      </c>
      <c r="AK278" s="27" t="s">
        <v>423</v>
      </c>
      <c r="AL278" s="27"/>
      <c r="AM278" s="34">
        <v>303000000</v>
      </c>
      <c r="AN278" s="34">
        <v>233950893</v>
      </c>
      <c r="AO278" s="34">
        <v>40975000</v>
      </c>
      <c r="AP278" s="34">
        <v>28074107</v>
      </c>
      <c r="AQ278" s="34">
        <v>0</v>
      </c>
      <c r="AR278" s="34">
        <v>0</v>
      </c>
      <c r="AS278" s="34">
        <v>0</v>
      </c>
      <c r="AT278" s="34">
        <v>303000000</v>
      </c>
      <c r="AU278" s="34">
        <v>5000000</v>
      </c>
      <c r="AV278" s="34">
        <v>0</v>
      </c>
      <c r="AW278" s="27"/>
      <c r="AX278" s="27"/>
      <c r="AY278" s="27" t="s">
        <v>83</v>
      </c>
      <c r="AZ278" s="27">
        <v>1</v>
      </c>
      <c r="BA278" s="27"/>
      <c r="BB278" s="27" t="s">
        <v>407</v>
      </c>
      <c r="BC278" s="27" t="s">
        <v>3875</v>
      </c>
      <c r="BD278" s="27" t="s">
        <v>346</v>
      </c>
      <c r="BE278" s="27" t="s">
        <v>346</v>
      </c>
      <c r="BF278" s="27" t="s">
        <v>3876</v>
      </c>
      <c r="BG278" s="27" t="s">
        <v>3877</v>
      </c>
      <c r="BH278" s="27" t="s">
        <v>431</v>
      </c>
      <c r="BI278" s="27" t="s">
        <v>440</v>
      </c>
      <c r="BJ278" s="27" t="s">
        <v>3878</v>
      </c>
      <c r="BK278" s="27" t="s">
        <v>433</v>
      </c>
      <c r="BL278" s="27" t="s">
        <v>3879</v>
      </c>
      <c r="BM278" s="35">
        <v>0</v>
      </c>
    </row>
    <row r="279" spans="1:65" s="1" customFormat="1" x14ac:dyDescent="0.2">
      <c r="A279" s="33">
        <v>16</v>
      </c>
      <c r="B279" s="27">
        <v>146</v>
      </c>
      <c r="C279" s="27" t="s">
        <v>503</v>
      </c>
      <c r="D279" s="27" t="s">
        <v>3880</v>
      </c>
      <c r="E279" s="27" t="s">
        <v>416</v>
      </c>
      <c r="F279" s="27" t="s">
        <v>425</v>
      </c>
      <c r="G279" s="28">
        <v>2026</v>
      </c>
      <c r="H279" s="20" t="str">
        <f>VLOOKUP(U279,'[1]KODE TYPE standar'!$D:$U,17,0)</f>
        <v>CALYA</v>
      </c>
      <c r="I279" s="20" t="str">
        <f>VLOOKUP(U279,'[1]KODE TYPE standar'!$D:$U,16,0)</f>
        <v>CALYA</v>
      </c>
      <c r="J279" s="20" t="str">
        <f>VLOOKUP(U279,'[1]KODE TYPE standar'!$D:$U,18,0)</f>
        <v>CALYA G M/T</v>
      </c>
      <c r="K279" s="27" t="s">
        <v>119</v>
      </c>
      <c r="L279" s="27" t="s">
        <v>110</v>
      </c>
      <c r="M279" s="27" t="s">
        <v>262</v>
      </c>
      <c r="N279" s="27" t="s">
        <v>141</v>
      </c>
      <c r="O279" s="28" t="s">
        <v>156</v>
      </c>
      <c r="P279" s="29" t="s">
        <v>151</v>
      </c>
      <c r="Q279" s="29" t="s">
        <v>162</v>
      </c>
      <c r="R279" s="29" t="s">
        <v>145</v>
      </c>
      <c r="S279" s="27" t="s">
        <v>781</v>
      </c>
      <c r="T279" s="27" t="s">
        <v>585</v>
      </c>
      <c r="U279" s="27" t="s">
        <v>268</v>
      </c>
      <c r="V279" s="27" t="s">
        <v>68</v>
      </c>
      <c r="W279" s="27" t="s">
        <v>69</v>
      </c>
      <c r="X279" s="27" t="s">
        <v>3881</v>
      </c>
      <c r="Y279" s="27" t="s">
        <v>3882</v>
      </c>
      <c r="Z279" s="27" t="s">
        <v>780</v>
      </c>
      <c r="AA279" s="27" t="s">
        <v>781</v>
      </c>
      <c r="AB279" s="27" t="s">
        <v>585</v>
      </c>
      <c r="AC279" s="27" t="s">
        <v>3883</v>
      </c>
      <c r="AD279" s="27" t="s">
        <v>3884</v>
      </c>
      <c r="AE279" s="27" t="s">
        <v>110</v>
      </c>
      <c r="AF279" s="27" t="s">
        <v>3885</v>
      </c>
      <c r="AG279" s="27" t="s">
        <v>3886</v>
      </c>
      <c r="AH279" s="27" t="s">
        <v>1427</v>
      </c>
      <c r="AI279" s="27" t="s">
        <v>141</v>
      </c>
      <c r="AJ279" s="27" t="s">
        <v>262</v>
      </c>
      <c r="AK279" s="27" t="s">
        <v>89</v>
      </c>
      <c r="AL279" s="27"/>
      <c r="AM279" s="34">
        <v>182200000</v>
      </c>
      <c r="AN279" s="34">
        <v>139575893</v>
      </c>
      <c r="AO279" s="34">
        <v>25875000</v>
      </c>
      <c r="AP279" s="34">
        <v>15677678</v>
      </c>
      <c r="AQ279" s="34">
        <v>0</v>
      </c>
      <c r="AR279" s="34">
        <v>0</v>
      </c>
      <c r="AS279" s="34">
        <v>8928571</v>
      </c>
      <c r="AT279" s="34">
        <v>172200000</v>
      </c>
      <c r="AU279" s="34">
        <v>2500000</v>
      </c>
      <c r="AV279" s="34">
        <v>-10000000</v>
      </c>
      <c r="AW279" s="27" t="s">
        <v>431</v>
      </c>
      <c r="AX279" s="27" t="s">
        <v>431</v>
      </c>
      <c r="AY279" s="27" t="s">
        <v>83</v>
      </c>
      <c r="AZ279" s="27">
        <v>1</v>
      </c>
      <c r="BA279" s="27" t="s">
        <v>163</v>
      </c>
      <c r="BB279" s="27" t="s">
        <v>415</v>
      </c>
      <c r="BC279" s="27" t="s">
        <v>3887</v>
      </c>
      <c r="BD279" s="27" t="s">
        <v>345</v>
      </c>
      <c r="BE279" s="27" t="s">
        <v>345</v>
      </c>
      <c r="BF279" s="27" t="s">
        <v>3888</v>
      </c>
      <c r="BG279" s="27" t="s">
        <v>3889</v>
      </c>
      <c r="BH279" s="27" t="s">
        <v>416</v>
      </c>
      <c r="BI279" s="27" t="s">
        <v>438</v>
      </c>
      <c r="BJ279" s="27" t="s">
        <v>3890</v>
      </c>
      <c r="BK279" s="27" t="s">
        <v>428</v>
      </c>
      <c r="BL279" s="27" t="s">
        <v>3891</v>
      </c>
      <c r="BM279" s="35">
        <v>0</v>
      </c>
    </row>
    <row r="280" spans="1:65" s="1" customFormat="1" x14ac:dyDescent="0.2">
      <c r="A280" s="33">
        <v>28</v>
      </c>
      <c r="B280" s="27">
        <v>146</v>
      </c>
      <c r="C280" s="27" t="s">
        <v>503</v>
      </c>
      <c r="D280" s="27" t="s">
        <v>3892</v>
      </c>
      <c r="E280" s="27" t="s">
        <v>432</v>
      </c>
      <c r="F280" s="27" t="s">
        <v>425</v>
      </c>
      <c r="G280" s="28">
        <v>2026</v>
      </c>
      <c r="H280" s="20" t="str">
        <f>VLOOKUP(U280,'[1]KODE TYPE standar'!$D:$U,17,0)</f>
        <v>AVANZA</v>
      </c>
      <c r="I280" s="20" t="str">
        <f>VLOOKUP(U280,'[1]KODE TYPE standar'!$D:$U,16,0)</f>
        <v>AVANZA</v>
      </c>
      <c r="J280" s="20" t="str">
        <f>VLOOKUP(U280,'[1]KODE TYPE standar'!$D:$U,18,0)</f>
        <v>AVANZA G A/T</v>
      </c>
      <c r="K280" s="27" t="s">
        <v>119</v>
      </c>
      <c r="L280" s="27" t="s">
        <v>110</v>
      </c>
      <c r="M280" s="27" t="s">
        <v>262</v>
      </c>
      <c r="N280" s="27" t="s">
        <v>106</v>
      </c>
      <c r="O280" s="28" t="s">
        <v>156</v>
      </c>
      <c r="P280" s="29" t="s">
        <v>151</v>
      </c>
      <c r="Q280" s="29" t="s">
        <v>161</v>
      </c>
      <c r="R280" s="29" t="s">
        <v>145</v>
      </c>
      <c r="S280" s="27" t="s">
        <v>724</v>
      </c>
      <c r="T280" s="27" t="s">
        <v>541</v>
      </c>
      <c r="U280" s="27" t="s">
        <v>329</v>
      </c>
      <c r="V280" s="27" t="s">
        <v>60</v>
      </c>
      <c r="W280" s="27" t="s">
        <v>61</v>
      </c>
      <c r="X280" s="27" t="s">
        <v>3893</v>
      </c>
      <c r="Y280" s="27" t="s">
        <v>3894</v>
      </c>
      <c r="Z280" s="27" t="s">
        <v>723</v>
      </c>
      <c r="AA280" s="27" t="s">
        <v>724</v>
      </c>
      <c r="AB280" s="27" t="s">
        <v>541</v>
      </c>
      <c r="AC280" s="27" t="s">
        <v>3895</v>
      </c>
      <c r="AD280" s="27" t="s">
        <v>3896</v>
      </c>
      <c r="AE280" s="27" t="s">
        <v>110</v>
      </c>
      <c r="AF280" s="27" t="s">
        <v>3896</v>
      </c>
      <c r="AG280" s="27" t="s">
        <v>3897</v>
      </c>
      <c r="AH280" s="27" t="s">
        <v>2021</v>
      </c>
      <c r="AI280" s="27" t="s">
        <v>106</v>
      </c>
      <c r="AJ280" s="27" t="s">
        <v>262</v>
      </c>
      <c r="AK280" s="27" t="s">
        <v>89</v>
      </c>
      <c r="AL280" s="27"/>
      <c r="AM280" s="34">
        <v>285000000</v>
      </c>
      <c r="AN280" s="34">
        <v>219888393</v>
      </c>
      <c r="AO280" s="34">
        <v>38725000</v>
      </c>
      <c r="AP280" s="34">
        <v>24779464</v>
      </c>
      <c r="AQ280" s="34">
        <v>0</v>
      </c>
      <c r="AR280" s="34">
        <v>0</v>
      </c>
      <c r="AS280" s="34">
        <v>13392857</v>
      </c>
      <c r="AT280" s="34">
        <v>270000000</v>
      </c>
      <c r="AU280" s="34">
        <v>5000000</v>
      </c>
      <c r="AV280" s="34">
        <v>-15000000</v>
      </c>
      <c r="AW280" s="27" t="s">
        <v>430</v>
      </c>
      <c r="AX280" s="27" t="s">
        <v>430</v>
      </c>
      <c r="AY280" s="27" t="s">
        <v>83</v>
      </c>
      <c r="AZ280" s="27">
        <v>1</v>
      </c>
      <c r="BA280" s="27"/>
      <c r="BB280" s="27" t="s">
        <v>396</v>
      </c>
      <c r="BC280" s="27" t="s">
        <v>3898</v>
      </c>
      <c r="BD280" s="27" t="s">
        <v>402</v>
      </c>
      <c r="BE280" s="27" t="s">
        <v>402</v>
      </c>
      <c r="BF280" s="27" t="s">
        <v>3899</v>
      </c>
      <c r="BG280" s="27" t="s">
        <v>3900</v>
      </c>
      <c r="BH280" s="27" t="s">
        <v>432</v>
      </c>
      <c r="BI280" s="27" t="s">
        <v>421</v>
      </c>
      <c r="BJ280" s="27" t="s">
        <v>3901</v>
      </c>
      <c r="BK280" s="27" t="s">
        <v>416</v>
      </c>
      <c r="BL280" s="27" t="s">
        <v>3902</v>
      </c>
      <c r="BM280" s="35">
        <v>0</v>
      </c>
    </row>
    <row r="281" spans="1:65" s="1" customFormat="1" x14ac:dyDescent="0.2">
      <c r="A281" s="33">
        <v>40</v>
      </c>
      <c r="B281" s="27">
        <v>146</v>
      </c>
      <c r="C281" s="27" t="s">
        <v>503</v>
      </c>
      <c r="D281" s="27" t="s">
        <v>3903</v>
      </c>
      <c r="E281" s="27" t="s">
        <v>419</v>
      </c>
      <c r="F281" s="27" t="s">
        <v>425</v>
      </c>
      <c r="G281" s="28">
        <v>2026</v>
      </c>
      <c r="H281" s="20" t="str">
        <f>VLOOKUP(U281,'[1]KODE TYPE standar'!$D:$U,17,0)</f>
        <v>AVANZA</v>
      </c>
      <c r="I281" s="20" t="str">
        <f>VLOOKUP(U281,'[1]KODE TYPE standar'!$D:$U,16,0)</f>
        <v>AVANZA</v>
      </c>
      <c r="J281" s="20" t="str">
        <f>VLOOKUP(U281,'[1]KODE TYPE standar'!$D:$U,18,0)</f>
        <v>AVANZA G A/T</v>
      </c>
      <c r="K281" s="27" t="s">
        <v>119</v>
      </c>
      <c r="L281" s="27" t="s">
        <v>110</v>
      </c>
      <c r="M281" s="27" t="s">
        <v>262</v>
      </c>
      <c r="N281" s="27" t="s">
        <v>141</v>
      </c>
      <c r="O281" s="28" t="s">
        <v>156</v>
      </c>
      <c r="P281" s="29" t="s">
        <v>151</v>
      </c>
      <c r="Q281" s="29" t="s">
        <v>161</v>
      </c>
      <c r="R281" s="29" t="s">
        <v>597</v>
      </c>
      <c r="S281" s="27" t="s">
        <v>3907</v>
      </c>
      <c r="T281" s="27" t="s">
        <v>541</v>
      </c>
      <c r="U281" s="27" t="s">
        <v>329</v>
      </c>
      <c r="V281" s="27" t="s">
        <v>60</v>
      </c>
      <c r="W281" s="27" t="s">
        <v>61</v>
      </c>
      <c r="X281" s="27" t="s">
        <v>3904</v>
      </c>
      <c r="Y281" s="27" t="s">
        <v>3905</v>
      </c>
      <c r="Z281" s="27" t="s">
        <v>3906</v>
      </c>
      <c r="AA281" s="27" t="s">
        <v>3907</v>
      </c>
      <c r="AB281" s="27" t="s">
        <v>541</v>
      </c>
      <c r="AC281" s="27" t="s">
        <v>3908</v>
      </c>
      <c r="AD281" s="27" t="s">
        <v>3909</v>
      </c>
      <c r="AE281" s="27" t="s">
        <v>110</v>
      </c>
      <c r="AF281" s="27" t="s">
        <v>3910</v>
      </c>
      <c r="AG281" s="27" t="s">
        <v>3911</v>
      </c>
      <c r="AH281" s="27" t="s">
        <v>636</v>
      </c>
      <c r="AI281" s="27" t="s">
        <v>141</v>
      </c>
      <c r="AJ281" s="27" t="s">
        <v>262</v>
      </c>
      <c r="AK281" s="27" t="s">
        <v>89</v>
      </c>
      <c r="AL281" s="27"/>
      <c r="AM281" s="34">
        <v>285000000</v>
      </c>
      <c r="AN281" s="34">
        <v>219888393</v>
      </c>
      <c r="AO281" s="34">
        <v>38725000</v>
      </c>
      <c r="AP281" s="34">
        <v>24779464</v>
      </c>
      <c r="AQ281" s="34">
        <v>0</v>
      </c>
      <c r="AR281" s="34">
        <v>0</v>
      </c>
      <c r="AS281" s="34">
        <v>13392857</v>
      </c>
      <c r="AT281" s="34">
        <v>270000000</v>
      </c>
      <c r="AU281" s="34">
        <v>103000000</v>
      </c>
      <c r="AV281" s="34">
        <v>-15000000</v>
      </c>
      <c r="AW281" s="27"/>
      <c r="AX281" s="27"/>
      <c r="AY281" s="27" t="s">
        <v>83</v>
      </c>
      <c r="AZ281" s="27">
        <v>1</v>
      </c>
      <c r="BA281" s="27"/>
      <c r="BB281" s="27" t="s">
        <v>419</v>
      </c>
      <c r="BC281" s="27" t="s">
        <v>3912</v>
      </c>
      <c r="BD281" s="27" t="s">
        <v>430</v>
      </c>
      <c r="BE281" s="27" t="s">
        <v>430</v>
      </c>
      <c r="BF281" s="27" t="s">
        <v>3913</v>
      </c>
      <c r="BG281" s="27" t="s">
        <v>3914</v>
      </c>
      <c r="BH281" s="27"/>
      <c r="BI281" s="27" t="s">
        <v>427</v>
      </c>
      <c r="BJ281" s="27" t="s">
        <v>3915</v>
      </c>
      <c r="BK281" s="27" t="s">
        <v>446</v>
      </c>
      <c r="BL281" s="27" t="s">
        <v>3916</v>
      </c>
      <c r="BM281" s="35">
        <v>0</v>
      </c>
    </row>
    <row r="282" spans="1:65" s="1" customFormat="1" x14ac:dyDescent="0.2">
      <c r="A282" s="33">
        <v>42</v>
      </c>
      <c r="B282" s="27">
        <v>146</v>
      </c>
      <c r="C282" s="27" t="s">
        <v>503</v>
      </c>
      <c r="D282" s="27" t="s">
        <v>3917</v>
      </c>
      <c r="E282" s="27" t="s">
        <v>419</v>
      </c>
      <c r="F282" s="27" t="s">
        <v>425</v>
      </c>
      <c r="G282" s="28">
        <v>2026</v>
      </c>
      <c r="H282" s="20" t="str">
        <f>VLOOKUP(U282,'[1]KODE TYPE standar'!$D:$U,17,0)</f>
        <v>CALYA</v>
      </c>
      <c r="I282" s="20" t="str">
        <f>VLOOKUP(U282,'[1]KODE TYPE standar'!$D:$U,16,0)</f>
        <v>CALYA</v>
      </c>
      <c r="J282" s="20" t="str">
        <f>VLOOKUP(U282,'[1]KODE TYPE standar'!$D:$U,18,0)</f>
        <v>CALYA G M/T</v>
      </c>
      <c r="K282" s="27" t="s">
        <v>119</v>
      </c>
      <c r="L282" s="27" t="s">
        <v>110</v>
      </c>
      <c r="M282" s="27" t="s">
        <v>262</v>
      </c>
      <c r="N282" s="27" t="s">
        <v>106</v>
      </c>
      <c r="O282" s="28" t="s">
        <v>156</v>
      </c>
      <c r="P282" s="29" t="s">
        <v>151</v>
      </c>
      <c r="Q282" s="29" t="s">
        <v>147</v>
      </c>
      <c r="R282" s="29" t="s">
        <v>597</v>
      </c>
      <c r="S282" s="27" t="s">
        <v>795</v>
      </c>
      <c r="T282" s="27" t="s">
        <v>509</v>
      </c>
      <c r="U282" s="27" t="s">
        <v>268</v>
      </c>
      <c r="V282" s="27" t="s">
        <v>60</v>
      </c>
      <c r="W282" s="27" t="s">
        <v>61</v>
      </c>
      <c r="X282" s="27" t="s">
        <v>3918</v>
      </c>
      <c r="Y282" s="27" t="s">
        <v>3919</v>
      </c>
      <c r="Z282" s="27" t="s">
        <v>794</v>
      </c>
      <c r="AA282" s="27" t="s">
        <v>795</v>
      </c>
      <c r="AB282" s="27" t="s">
        <v>509</v>
      </c>
      <c r="AC282" s="27" t="s">
        <v>3920</v>
      </c>
      <c r="AD282" s="27" t="s">
        <v>3921</v>
      </c>
      <c r="AE282" s="27" t="s">
        <v>110</v>
      </c>
      <c r="AF282" s="27" t="s">
        <v>3922</v>
      </c>
      <c r="AG282" s="27" t="s">
        <v>3923</v>
      </c>
      <c r="AH282" s="27" t="s">
        <v>1087</v>
      </c>
      <c r="AI282" s="27" t="s">
        <v>106</v>
      </c>
      <c r="AJ282" s="27" t="s">
        <v>262</v>
      </c>
      <c r="AK282" s="27" t="s">
        <v>89</v>
      </c>
      <c r="AL282" s="27"/>
      <c r="AM282" s="34">
        <v>182200000</v>
      </c>
      <c r="AN282" s="34">
        <v>139575893</v>
      </c>
      <c r="AO282" s="34">
        <v>25875000</v>
      </c>
      <c r="AP282" s="34">
        <v>15677678</v>
      </c>
      <c r="AQ282" s="34">
        <v>0</v>
      </c>
      <c r="AR282" s="34">
        <v>0</v>
      </c>
      <c r="AS282" s="34">
        <v>8928571</v>
      </c>
      <c r="AT282" s="34">
        <v>172200000</v>
      </c>
      <c r="AU282" s="34">
        <v>2350000</v>
      </c>
      <c r="AV282" s="34">
        <v>-10000000</v>
      </c>
      <c r="AW282" s="27"/>
      <c r="AX282" s="27"/>
      <c r="AY282" s="27" t="s">
        <v>83</v>
      </c>
      <c r="AZ282" s="27">
        <v>1</v>
      </c>
      <c r="BA282" s="27"/>
      <c r="BB282" s="27" t="s">
        <v>431</v>
      </c>
      <c r="BC282" s="27" t="s">
        <v>3924</v>
      </c>
      <c r="BD282" s="27" t="s">
        <v>430</v>
      </c>
      <c r="BE282" s="27" t="s">
        <v>430</v>
      </c>
      <c r="BF282" s="27" t="s">
        <v>3925</v>
      </c>
      <c r="BG282" s="27" t="s">
        <v>3926</v>
      </c>
      <c r="BH282" s="27"/>
      <c r="BI282" s="27" t="s">
        <v>427</v>
      </c>
      <c r="BJ282" s="27" t="s">
        <v>3927</v>
      </c>
      <c r="BK282" s="27" t="s">
        <v>431</v>
      </c>
      <c r="BL282" s="27" t="s">
        <v>3928</v>
      </c>
      <c r="BM282" s="35">
        <v>0</v>
      </c>
    </row>
    <row r="283" spans="1:65" s="1" customFormat="1" x14ac:dyDescent="0.2">
      <c r="A283" s="33">
        <v>58</v>
      </c>
      <c r="B283" s="27">
        <v>146</v>
      </c>
      <c r="C283" s="27" t="s">
        <v>503</v>
      </c>
      <c r="D283" s="27" t="s">
        <v>3929</v>
      </c>
      <c r="E283" s="27" t="s">
        <v>419</v>
      </c>
      <c r="F283" s="27" t="s">
        <v>425</v>
      </c>
      <c r="G283" s="28">
        <v>2026</v>
      </c>
      <c r="H283" s="20" t="str">
        <f>VLOOKUP(U283,'[1]KODE TYPE standar'!$D:$U,17,0)</f>
        <v>INV REBORN</v>
      </c>
      <c r="I283" s="20" t="str">
        <f>VLOOKUP(U283,'[1]KODE TYPE standar'!$D:$U,16,0)</f>
        <v>INNOVA</v>
      </c>
      <c r="J283" s="20" t="str">
        <f>VLOOKUP(U283,'[1]KODE TYPE standar'!$D:$U,18,0)</f>
        <v>INNOVA G A/T DIESEL</v>
      </c>
      <c r="K283" s="27" t="s">
        <v>119</v>
      </c>
      <c r="L283" s="27" t="s">
        <v>110</v>
      </c>
      <c r="M283" s="27" t="s">
        <v>262</v>
      </c>
      <c r="N283" s="27" t="s">
        <v>140</v>
      </c>
      <c r="O283" s="28" t="s">
        <v>156</v>
      </c>
      <c r="P283" s="29" t="s">
        <v>149</v>
      </c>
      <c r="Q283" s="29" t="s">
        <v>161</v>
      </c>
      <c r="R283" s="29" t="s">
        <v>145</v>
      </c>
      <c r="S283" s="27" t="s">
        <v>3933</v>
      </c>
      <c r="T283" s="27" t="s">
        <v>541</v>
      </c>
      <c r="U283" s="27" t="s">
        <v>192</v>
      </c>
      <c r="V283" s="27" t="s">
        <v>283</v>
      </c>
      <c r="W283" s="27" t="s">
        <v>284</v>
      </c>
      <c r="X283" s="27" t="s">
        <v>3930</v>
      </c>
      <c r="Y283" s="27" t="s">
        <v>3931</v>
      </c>
      <c r="Z283" s="27" t="s">
        <v>3932</v>
      </c>
      <c r="AA283" s="27" t="s">
        <v>3933</v>
      </c>
      <c r="AB283" s="27" t="s">
        <v>541</v>
      </c>
      <c r="AC283" s="27" t="s">
        <v>3934</v>
      </c>
      <c r="AD283" s="27" t="s">
        <v>3935</v>
      </c>
      <c r="AE283" s="27" t="s">
        <v>110</v>
      </c>
      <c r="AF283" s="27" t="s">
        <v>3936</v>
      </c>
      <c r="AG283" s="27" t="s">
        <v>3937</v>
      </c>
      <c r="AH283" s="27" t="s">
        <v>1983</v>
      </c>
      <c r="AI283" s="27" t="s">
        <v>140</v>
      </c>
      <c r="AJ283" s="27" t="s">
        <v>262</v>
      </c>
      <c r="AK283" s="27" t="s">
        <v>89</v>
      </c>
      <c r="AL283" s="27"/>
      <c r="AM283" s="34">
        <v>442700000</v>
      </c>
      <c r="AN283" s="34">
        <v>343091518</v>
      </c>
      <c r="AO283" s="34">
        <v>58437500</v>
      </c>
      <c r="AP283" s="34">
        <v>38920982</v>
      </c>
      <c r="AQ283" s="34">
        <v>0</v>
      </c>
      <c r="AR283" s="34">
        <v>0</v>
      </c>
      <c r="AS283" s="34">
        <v>18750000</v>
      </c>
      <c r="AT283" s="34">
        <v>421700000</v>
      </c>
      <c r="AU283" s="34">
        <v>4000000</v>
      </c>
      <c r="AV283" s="34">
        <v>-21000000</v>
      </c>
      <c r="AW283" s="27"/>
      <c r="AX283" s="27"/>
      <c r="AY283" s="27" t="s">
        <v>83</v>
      </c>
      <c r="AZ283" s="27">
        <v>1</v>
      </c>
      <c r="BA283" s="27"/>
      <c r="BB283" s="27" t="s">
        <v>419</v>
      </c>
      <c r="BC283" s="27" t="s">
        <v>3938</v>
      </c>
      <c r="BD283" s="27" t="s">
        <v>419</v>
      </c>
      <c r="BE283" s="27" t="s">
        <v>419</v>
      </c>
      <c r="BF283" s="27" t="s">
        <v>3939</v>
      </c>
      <c r="BG283" s="27" t="s">
        <v>3940</v>
      </c>
      <c r="BH283" s="27"/>
      <c r="BI283" s="27" t="s">
        <v>427</v>
      </c>
      <c r="BJ283" s="27" t="s">
        <v>3941</v>
      </c>
      <c r="BK283" s="27" t="s">
        <v>409</v>
      </c>
      <c r="BL283" s="27" t="s">
        <v>3942</v>
      </c>
      <c r="BM283" s="35">
        <v>0</v>
      </c>
    </row>
    <row r="284" spans="1:65" s="1" customFormat="1" x14ac:dyDescent="0.2">
      <c r="A284" s="33">
        <v>88</v>
      </c>
      <c r="B284" s="27">
        <v>146</v>
      </c>
      <c r="C284" s="27" t="s">
        <v>503</v>
      </c>
      <c r="D284" s="27" t="s">
        <v>3943</v>
      </c>
      <c r="E284" s="27" t="s">
        <v>396</v>
      </c>
      <c r="F284" s="27" t="s">
        <v>425</v>
      </c>
      <c r="G284" s="28">
        <v>2026</v>
      </c>
      <c r="H284" s="20" t="str">
        <f>VLOOKUP(U284,'[1]KODE TYPE standar'!$D:$U,17,0)</f>
        <v>YARIS</v>
      </c>
      <c r="I284" s="20" t="str">
        <f>VLOOKUP(U284,'[1]KODE TYPE standar'!$D:$U,16,0)</f>
        <v>YARIS</v>
      </c>
      <c r="J284" s="20" t="str">
        <f>VLOOKUP(U284,'[1]KODE TYPE standar'!$D:$U,18,0)</f>
        <v>YARIS CROSS G A/T</v>
      </c>
      <c r="K284" s="27" t="s">
        <v>118</v>
      </c>
      <c r="L284" s="27" t="s">
        <v>110</v>
      </c>
      <c r="M284" s="27" t="s">
        <v>262</v>
      </c>
      <c r="N284" s="27" t="s">
        <v>140</v>
      </c>
      <c r="O284" s="28" t="s">
        <v>156</v>
      </c>
      <c r="P284" s="29" t="s">
        <v>149</v>
      </c>
      <c r="Q284" s="29" t="s">
        <v>162</v>
      </c>
      <c r="R284" s="29" t="s">
        <v>1016</v>
      </c>
      <c r="S284" s="27" t="s">
        <v>795</v>
      </c>
      <c r="T284" s="27" t="s">
        <v>509</v>
      </c>
      <c r="U284" s="27" t="s">
        <v>496</v>
      </c>
      <c r="V284" s="27" t="s">
        <v>48</v>
      </c>
      <c r="W284" s="27" t="s">
        <v>49</v>
      </c>
      <c r="X284" s="27" t="s">
        <v>3944</v>
      </c>
      <c r="Y284" s="27" t="s">
        <v>3945</v>
      </c>
      <c r="Z284" s="27" t="s">
        <v>794</v>
      </c>
      <c r="AA284" s="27" t="s">
        <v>795</v>
      </c>
      <c r="AB284" s="27" t="s">
        <v>509</v>
      </c>
      <c r="AC284" s="27" t="s">
        <v>3946</v>
      </c>
      <c r="AD284" s="27" t="s">
        <v>3947</v>
      </c>
      <c r="AE284" s="27" t="s">
        <v>110</v>
      </c>
      <c r="AF284" s="27" t="s">
        <v>3947</v>
      </c>
      <c r="AG284" s="27" t="s">
        <v>3948</v>
      </c>
      <c r="AH284" s="27" t="s">
        <v>528</v>
      </c>
      <c r="AI284" s="27" t="s">
        <v>140</v>
      </c>
      <c r="AJ284" s="27" t="s">
        <v>262</v>
      </c>
      <c r="AK284" s="27" t="s">
        <v>63</v>
      </c>
      <c r="AL284" s="27"/>
      <c r="AM284" s="34">
        <v>399000000</v>
      </c>
      <c r="AN284" s="34">
        <v>308950893</v>
      </c>
      <c r="AO284" s="34">
        <v>52975000</v>
      </c>
      <c r="AP284" s="34">
        <v>34931250</v>
      </c>
      <c r="AQ284" s="34">
        <v>0</v>
      </c>
      <c r="AR284" s="34">
        <v>0</v>
      </c>
      <c r="AS284" s="34">
        <v>17857143</v>
      </c>
      <c r="AT284" s="34">
        <v>379000000</v>
      </c>
      <c r="AU284" s="34">
        <v>0</v>
      </c>
      <c r="AV284" s="34">
        <v>-20000000</v>
      </c>
      <c r="AW284" s="27" t="s">
        <v>345</v>
      </c>
      <c r="AX284" s="27" t="s">
        <v>345</v>
      </c>
      <c r="AY284" s="27" t="s">
        <v>83</v>
      </c>
      <c r="AZ284" s="27">
        <v>1</v>
      </c>
      <c r="BA284" s="27"/>
      <c r="BB284" s="27" t="s">
        <v>396</v>
      </c>
      <c r="BC284" s="27" t="s">
        <v>3949</v>
      </c>
      <c r="BD284" s="27" t="s">
        <v>396</v>
      </c>
      <c r="BE284" s="27" t="s">
        <v>396</v>
      </c>
      <c r="BF284" s="27" t="s">
        <v>3950</v>
      </c>
      <c r="BG284" s="27" t="s">
        <v>3951</v>
      </c>
      <c r="BH284" s="27" t="s">
        <v>396</v>
      </c>
      <c r="BI284" s="27" t="s">
        <v>442</v>
      </c>
      <c r="BJ284" s="27" t="s">
        <v>3952</v>
      </c>
      <c r="BK284" s="27" t="s">
        <v>411</v>
      </c>
      <c r="BL284" s="27" t="s">
        <v>3953</v>
      </c>
      <c r="BM284" s="35">
        <v>0</v>
      </c>
    </row>
    <row r="285" spans="1:65" s="1" customFormat="1" x14ac:dyDescent="0.2">
      <c r="A285" s="33">
        <v>100</v>
      </c>
      <c r="B285" s="27">
        <v>146</v>
      </c>
      <c r="C285" s="27" t="s">
        <v>503</v>
      </c>
      <c r="D285" s="27" t="s">
        <v>3954</v>
      </c>
      <c r="E285" s="27" t="s">
        <v>414</v>
      </c>
      <c r="F285" s="27" t="s">
        <v>425</v>
      </c>
      <c r="G285" s="28">
        <v>2026</v>
      </c>
      <c r="H285" s="20" t="str">
        <f>VLOOKUP(U285,'[1]KODE TYPE standar'!$D:$U,17,0)</f>
        <v>AVANZA</v>
      </c>
      <c r="I285" s="20" t="str">
        <f>VLOOKUP(U285,'[1]KODE TYPE standar'!$D:$U,16,0)</f>
        <v>AVANZA</v>
      </c>
      <c r="J285" s="20" t="str">
        <f>VLOOKUP(U285,'[1]KODE TYPE standar'!$D:$U,18,0)</f>
        <v>AVANZA E A/T</v>
      </c>
      <c r="K285" s="27" t="s">
        <v>119</v>
      </c>
      <c r="L285" s="27" t="s">
        <v>110</v>
      </c>
      <c r="M285" s="27" t="s">
        <v>262</v>
      </c>
      <c r="N285" s="27" t="s">
        <v>141</v>
      </c>
      <c r="O285" s="28" t="s">
        <v>156</v>
      </c>
      <c r="P285" s="29" t="s">
        <v>149</v>
      </c>
      <c r="Q285" s="29" t="s">
        <v>161</v>
      </c>
      <c r="R285" s="29" t="s">
        <v>597</v>
      </c>
      <c r="S285" s="27" t="s">
        <v>601</v>
      </c>
      <c r="T285" s="27" t="s">
        <v>509</v>
      </c>
      <c r="U285" s="27" t="s">
        <v>328</v>
      </c>
      <c r="V285" s="27" t="s">
        <v>60</v>
      </c>
      <c r="W285" s="27" t="s">
        <v>61</v>
      </c>
      <c r="X285" s="27" t="s">
        <v>3955</v>
      </c>
      <c r="Y285" s="27" t="s">
        <v>3956</v>
      </c>
      <c r="Z285" s="27" t="s">
        <v>600</v>
      </c>
      <c r="AA285" s="27" t="s">
        <v>601</v>
      </c>
      <c r="AB285" s="27" t="s">
        <v>509</v>
      </c>
      <c r="AC285" s="27" t="s">
        <v>3957</v>
      </c>
      <c r="AD285" s="27" t="s">
        <v>3958</v>
      </c>
      <c r="AE285" s="27" t="s">
        <v>110</v>
      </c>
      <c r="AF285" s="27" t="s">
        <v>3958</v>
      </c>
      <c r="AG285" s="27" t="s">
        <v>3959</v>
      </c>
      <c r="AH285" s="27" t="s">
        <v>605</v>
      </c>
      <c r="AI285" s="27" t="s">
        <v>141</v>
      </c>
      <c r="AJ285" s="27" t="s">
        <v>262</v>
      </c>
      <c r="AK285" s="27" t="s">
        <v>89</v>
      </c>
      <c r="AL285" s="27"/>
      <c r="AM285" s="34">
        <v>262200000</v>
      </c>
      <c r="AN285" s="34">
        <v>202075893</v>
      </c>
      <c r="AO285" s="34">
        <v>35875000</v>
      </c>
      <c r="AP285" s="34">
        <v>22641964</v>
      </c>
      <c r="AQ285" s="34">
        <v>0</v>
      </c>
      <c r="AR285" s="34">
        <v>0</v>
      </c>
      <c r="AS285" s="34">
        <v>13392857</v>
      </c>
      <c r="AT285" s="34">
        <v>247200000</v>
      </c>
      <c r="AU285" s="34">
        <v>10990000</v>
      </c>
      <c r="AV285" s="34">
        <v>-15000000</v>
      </c>
      <c r="AW285" s="27"/>
      <c r="AX285" s="27"/>
      <c r="AY285" s="27" t="s">
        <v>83</v>
      </c>
      <c r="AZ285" s="27">
        <v>1</v>
      </c>
      <c r="BA285" s="27" t="s">
        <v>163</v>
      </c>
      <c r="BB285" s="27" t="s">
        <v>430</v>
      </c>
      <c r="BC285" s="27" t="s">
        <v>3960</v>
      </c>
      <c r="BD285" s="27" t="s">
        <v>430</v>
      </c>
      <c r="BE285" s="27" t="s">
        <v>430</v>
      </c>
      <c r="BF285" s="27" t="s">
        <v>3961</v>
      </c>
      <c r="BG285" s="27" t="s">
        <v>3962</v>
      </c>
      <c r="BH285" s="27"/>
      <c r="BI285" s="27" t="s">
        <v>422</v>
      </c>
      <c r="BJ285" s="27" t="s">
        <v>3963</v>
      </c>
      <c r="BK285" s="27" t="s">
        <v>419</v>
      </c>
      <c r="BL285" s="27" t="s">
        <v>3964</v>
      </c>
      <c r="BM285" s="35">
        <v>0</v>
      </c>
    </row>
    <row r="286" spans="1:65" s="1" customFormat="1" x14ac:dyDescent="0.2">
      <c r="A286" s="33">
        <v>168</v>
      </c>
      <c r="B286" s="27">
        <v>146</v>
      </c>
      <c r="C286" s="27" t="s">
        <v>503</v>
      </c>
      <c r="D286" s="27" t="s">
        <v>3965</v>
      </c>
      <c r="E286" s="27" t="s">
        <v>428</v>
      </c>
      <c r="F286" s="27" t="s">
        <v>425</v>
      </c>
      <c r="G286" s="28">
        <v>2026</v>
      </c>
      <c r="H286" s="20" t="str">
        <f>VLOOKUP(U286,'[1]KODE TYPE standar'!$D:$U,17,0)</f>
        <v>CALYA</v>
      </c>
      <c r="I286" s="20" t="str">
        <f>VLOOKUP(U286,'[1]KODE TYPE standar'!$D:$U,16,0)</f>
        <v>CALYA</v>
      </c>
      <c r="J286" s="20" t="str">
        <f>VLOOKUP(U286,'[1]KODE TYPE standar'!$D:$U,18,0)</f>
        <v>CALYA G A/T</v>
      </c>
      <c r="K286" s="27" t="s">
        <v>118</v>
      </c>
      <c r="L286" s="27" t="s">
        <v>110</v>
      </c>
      <c r="M286" s="27" t="s">
        <v>262</v>
      </c>
      <c r="N286" s="27" t="s">
        <v>141</v>
      </c>
      <c r="O286" s="28" t="s">
        <v>156</v>
      </c>
      <c r="P286" s="29" t="s">
        <v>3966</v>
      </c>
      <c r="Q286" s="29" t="s">
        <v>162</v>
      </c>
      <c r="R286" s="29" t="s">
        <v>597</v>
      </c>
      <c r="S286" s="27" t="s">
        <v>753</v>
      </c>
      <c r="T286" s="27" t="s">
        <v>541</v>
      </c>
      <c r="U286" s="27" t="s">
        <v>88</v>
      </c>
      <c r="V286" s="27" t="s">
        <v>68</v>
      </c>
      <c r="W286" s="27" t="s">
        <v>69</v>
      </c>
      <c r="X286" s="27" t="s">
        <v>3967</v>
      </c>
      <c r="Y286" s="27" t="s">
        <v>3968</v>
      </c>
      <c r="Z286" s="27" t="s">
        <v>752</v>
      </c>
      <c r="AA286" s="27" t="s">
        <v>753</v>
      </c>
      <c r="AB286" s="27" t="s">
        <v>541</v>
      </c>
      <c r="AC286" s="27" t="s">
        <v>3969</v>
      </c>
      <c r="AD286" s="27" t="s">
        <v>3970</v>
      </c>
      <c r="AE286" s="27" t="s">
        <v>110</v>
      </c>
      <c r="AF286" s="27" t="s">
        <v>3970</v>
      </c>
      <c r="AG286" s="27" t="s">
        <v>3971</v>
      </c>
      <c r="AH286" s="27" t="s">
        <v>1602</v>
      </c>
      <c r="AI286" s="27" t="s">
        <v>141</v>
      </c>
      <c r="AJ286" s="27" t="s">
        <v>262</v>
      </c>
      <c r="AK286" s="27" t="s">
        <v>63</v>
      </c>
      <c r="AL286" s="27"/>
      <c r="AM286" s="34">
        <v>196800000</v>
      </c>
      <c r="AN286" s="34">
        <v>150982143</v>
      </c>
      <c r="AO286" s="34">
        <v>27700000</v>
      </c>
      <c r="AP286" s="34">
        <v>17046428</v>
      </c>
      <c r="AQ286" s="34">
        <v>0</v>
      </c>
      <c r="AR286" s="34">
        <v>0</v>
      </c>
      <c r="AS286" s="34">
        <v>8928571</v>
      </c>
      <c r="AT286" s="34">
        <v>186800000</v>
      </c>
      <c r="AU286" s="34">
        <v>2500000</v>
      </c>
      <c r="AV286" s="34">
        <v>-10000000</v>
      </c>
      <c r="AW286" s="27" t="s">
        <v>409</v>
      </c>
      <c r="AX286" s="27" t="s">
        <v>409</v>
      </c>
      <c r="AY286" s="27" t="s">
        <v>83</v>
      </c>
      <c r="AZ286" s="27">
        <v>1</v>
      </c>
      <c r="BA286" s="27"/>
      <c r="BB286" s="27" t="s">
        <v>435</v>
      </c>
      <c r="BC286" s="27" t="s">
        <v>3972</v>
      </c>
      <c r="BD286" s="27" t="s">
        <v>415</v>
      </c>
      <c r="BE286" s="27" t="s">
        <v>415</v>
      </c>
      <c r="BF286" s="27" t="s">
        <v>3973</v>
      </c>
      <c r="BG286" s="27" t="s">
        <v>3974</v>
      </c>
      <c r="BH286" s="27" t="s">
        <v>428</v>
      </c>
      <c r="BI286" s="27" t="s">
        <v>439</v>
      </c>
      <c r="BJ286" s="27" t="s">
        <v>3975</v>
      </c>
      <c r="BK286" s="27" t="s">
        <v>396</v>
      </c>
      <c r="BL286" s="27" t="s">
        <v>3976</v>
      </c>
      <c r="BM286" s="35">
        <v>0</v>
      </c>
    </row>
    <row r="287" spans="1:65" s="1" customFormat="1" x14ac:dyDescent="0.2">
      <c r="A287" s="33">
        <v>178</v>
      </c>
      <c r="B287" s="27">
        <v>146</v>
      </c>
      <c r="C287" s="27" t="s">
        <v>503</v>
      </c>
      <c r="D287" s="27" t="s">
        <v>3977</v>
      </c>
      <c r="E287" s="27" t="s">
        <v>435</v>
      </c>
      <c r="F287" s="27" t="s">
        <v>425</v>
      </c>
      <c r="G287" s="28">
        <v>2026</v>
      </c>
      <c r="H287" s="20" t="str">
        <f>VLOOKUP(U287,'[1]KODE TYPE standar'!$D:$U,17,0)</f>
        <v>CALYA</v>
      </c>
      <c r="I287" s="20" t="str">
        <f>VLOOKUP(U287,'[1]KODE TYPE standar'!$D:$U,16,0)</f>
        <v>CALYA</v>
      </c>
      <c r="J287" s="20" t="str">
        <f>VLOOKUP(U287,'[1]KODE TYPE standar'!$D:$U,18,0)</f>
        <v>CALYA G M/T</v>
      </c>
      <c r="K287" s="27" t="s">
        <v>119</v>
      </c>
      <c r="L287" s="27" t="s">
        <v>110</v>
      </c>
      <c r="M287" s="27" t="s">
        <v>262</v>
      </c>
      <c r="N287" s="27" t="s">
        <v>140</v>
      </c>
      <c r="O287" s="28" t="s">
        <v>156</v>
      </c>
      <c r="P287" s="29" t="s">
        <v>149</v>
      </c>
      <c r="Q287" s="29" t="s">
        <v>161</v>
      </c>
      <c r="R287" s="29" t="s">
        <v>145</v>
      </c>
      <c r="S287" s="27" t="s">
        <v>554</v>
      </c>
      <c r="T287" s="27" t="s">
        <v>509</v>
      </c>
      <c r="U287" s="27" t="s">
        <v>268</v>
      </c>
      <c r="V287" s="27" t="s">
        <v>68</v>
      </c>
      <c r="W287" s="27" t="s">
        <v>69</v>
      </c>
      <c r="X287" s="27" t="s">
        <v>3978</v>
      </c>
      <c r="Y287" s="27" t="s">
        <v>3979</v>
      </c>
      <c r="Z287" s="27" t="s">
        <v>553</v>
      </c>
      <c r="AA287" s="27" t="s">
        <v>554</v>
      </c>
      <c r="AB287" s="27" t="s">
        <v>509</v>
      </c>
      <c r="AC287" s="27" t="s">
        <v>3980</v>
      </c>
      <c r="AD287" s="27" t="s">
        <v>3981</v>
      </c>
      <c r="AE287" s="27" t="s">
        <v>110</v>
      </c>
      <c r="AF287" s="27" t="s">
        <v>3982</v>
      </c>
      <c r="AG287" s="27" t="s">
        <v>3983</v>
      </c>
      <c r="AH287" s="27" t="s">
        <v>3984</v>
      </c>
      <c r="AI287" s="27" t="s">
        <v>140</v>
      </c>
      <c r="AJ287" s="27" t="s">
        <v>262</v>
      </c>
      <c r="AK287" s="27" t="s">
        <v>89</v>
      </c>
      <c r="AL287" s="27"/>
      <c r="AM287" s="34">
        <v>182200000</v>
      </c>
      <c r="AN287" s="34">
        <v>139575893</v>
      </c>
      <c r="AO287" s="34">
        <v>25875000</v>
      </c>
      <c r="AP287" s="34">
        <v>15677678</v>
      </c>
      <c r="AQ287" s="34">
        <v>0</v>
      </c>
      <c r="AR287" s="34">
        <v>0</v>
      </c>
      <c r="AS287" s="34">
        <v>8928571</v>
      </c>
      <c r="AT287" s="34">
        <v>172200000</v>
      </c>
      <c r="AU287" s="34">
        <v>2000000</v>
      </c>
      <c r="AV287" s="34">
        <v>-10000000</v>
      </c>
      <c r="AW287" s="27" t="s">
        <v>432</v>
      </c>
      <c r="AX287" s="27" t="s">
        <v>432</v>
      </c>
      <c r="AY287" s="27" t="s">
        <v>83</v>
      </c>
      <c r="AZ287" s="27">
        <v>1</v>
      </c>
      <c r="BA287" s="27" t="s">
        <v>3985</v>
      </c>
      <c r="BB287" s="27" t="s">
        <v>411</v>
      </c>
      <c r="BC287" s="27" t="s">
        <v>3986</v>
      </c>
      <c r="BD287" s="27" t="s">
        <v>407</v>
      </c>
      <c r="BE287" s="27" t="s">
        <v>407</v>
      </c>
      <c r="BF287" s="27" t="s">
        <v>3987</v>
      </c>
      <c r="BG287" s="27" t="s">
        <v>3988</v>
      </c>
      <c r="BH287" s="27" t="s">
        <v>435</v>
      </c>
      <c r="BI287" s="27" t="s">
        <v>437</v>
      </c>
      <c r="BJ287" s="27" t="s">
        <v>3989</v>
      </c>
      <c r="BK287" s="27" t="s">
        <v>345</v>
      </c>
      <c r="BL287" s="27" t="s">
        <v>3990</v>
      </c>
      <c r="BM287" s="35">
        <v>0</v>
      </c>
    </row>
    <row r="288" spans="1:65" s="1" customFormat="1" x14ac:dyDescent="0.2">
      <c r="A288" s="33">
        <v>233</v>
      </c>
      <c r="B288" s="27">
        <v>146</v>
      </c>
      <c r="C288" s="27" t="s">
        <v>503</v>
      </c>
      <c r="D288" s="27" t="s">
        <v>3991</v>
      </c>
      <c r="E288" s="27" t="s">
        <v>430</v>
      </c>
      <c r="F288" s="27" t="s">
        <v>425</v>
      </c>
      <c r="G288" s="28">
        <v>2026</v>
      </c>
      <c r="H288" s="20" t="str">
        <f>VLOOKUP(U288,'[1]KODE TYPE standar'!$D:$U,17,0)</f>
        <v>CALYA</v>
      </c>
      <c r="I288" s="20" t="str">
        <f>VLOOKUP(U288,'[1]KODE TYPE standar'!$D:$U,16,0)</f>
        <v>CALYA</v>
      </c>
      <c r="J288" s="20" t="str">
        <f>VLOOKUP(U288,'[1]KODE TYPE standar'!$D:$U,18,0)</f>
        <v>CALYA G M/T</v>
      </c>
      <c r="K288" s="27" t="s">
        <v>118</v>
      </c>
      <c r="L288" s="27" t="s">
        <v>110</v>
      </c>
      <c r="M288" s="27" t="s">
        <v>262</v>
      </c>
      <c r="N288" s="27" t="s">
        <v>92</v>
      </c>
      <c r="O288" s="28" t="s">
        <v>6581</v>
      </c>
      <c r="P288" s="29" t="s">
        <v>149</v>
      </c>
      <c r="Q288" s="29" t="s">
        <v>161</v>
      </c>
      <c r="R288" s="29" t="s">
        <v>597</v>
      </c>
      <c r="S288" s="27" t="s">
        <v>631</v>
      </c>
      <c r="T288" s="27" t="s">
        <v>509</v>
      </c>
      <c r="U288" s="27" t="s">
        <v>268</v>
      </c>
      <c r="V288" s="27" t="s">
        <v>77</v>
      </c>
      <c r="W288" s="27" t="s">
        <v>78</v>
      </c>
      <c r="X288" s="27" t="s">
        <v>3992</v>
      </c>
      <c r="Y288" s="27" t="s">
        <v>3993</v>
      </c>
      <c r="Z288" s="27" t="s">
        <v>630</v>
      </c>
      <c r="AA288" s="27" t="s">
        <v>631</v>
      </c>
      <c r="AB288" s="27" t="s">
        <v>509</v>
      </c>
      <c r="AC288" s="27" t="s">
        <v>3994</v>
      </c>
      <c r="AD288" s="27" t="s">
        <v>3995</v>
      </c>
      <c r="AE288" s="27" t="s">
        <v>110</v>
      </c>
      <c r="AF288" s="27" t="s">
        <v>3995</v>
      </c>
      <c r="AG288" s="27" t="s">
        <v>3996</v>
      </c>
      <c r="AH288" s="27" t="s">
        <v>3997</v>
      </c>
      <c r="AI288" s="27" t="s">
        <v>92</v>
      </c>
      <c r="AJ288" s="27" t="s">
        <v>262</v>
      </c>
      <c r="AK288" s="27" t="s">
        <v>63</v>
      </c>
      <c r="AL288" s="27"/>
      <c r="AM288" s="34">
        <v>178800000</v>
      </c>
      <c r="AN288" s="34">
        <v>137375893</v>
      </c>
      <c r="AO288" s="34">
        <v>24939000</v>
      </c>
      <c r="AP288" s="34">
        <v>15413678</v>
      </c>
      <c r="AQ288" s="34">
        <v>0</v>
      </c>
      <c r="AR288" s="34">
        <v>0</v>
      </c>
      <c r="AS288" s="34">
        <v>8928571</v>
      </c>
      <c r="AT288" s="34">
        <v>168800000</v>
      </c>
      <c r="AU288" s="34">
        <v>2000000</v>
      </c>
      <c r="AV288" s="34">
        <v>-10000000</v>
      </c>
      <c r="AW288" s="27"/>
      <c r="AX288" s="27"/>
      <c r="AY288" s="27" t="s">
        <v>83</v>
      </c>
      <c r="AZ288" s="27">
        <v>1</v>
      </c>
      <c r="BA288" s="27"/>
      <c r="BB288" s="27" t="s">
        <v>432</v>
      </c>
      <c r="BC288" s="27" t="s">
        <v>3998</v>
      </c>
      <c r="BD288" s="27" t="s">
        <v>435</v>
      </c>
      <c r="BE288" s="27" t="s">
        <v>435</v>
      </c>
      <c r="BF288" s="27" t="s">
        <v>3999</v>
      </c>
      <c r="BG288" s="27" t="s">
        <v>4000</v>
      </c>
      <c r="BH288" s="27"/>
      <c r="BI288" s="27" t="s">
        <v>434</v>
      </c>
      <c r="BJ288" s="27" t="s">
        <v>4001</v>
      </c>
      <c r="BK288" s="27" t="s">
        <v>432</v>
      </c>
      <c r="BL288" s="27" t="s">
        <v>4002</v>
      </c>
      <c r="BM288" s="35">
        <v>0</v>
      </c>
    </row>
    <row r="289" spans="1:65" s="1" customFormat="1" x14ac:dyDescent="0.2">
      <c r="A289" s="33">
        <v>238</v>
      </c>
      <c r="B289" s="27">
        <v>146</v>
      </c>
      <c r="C289" s="27" t="s">
        <v>503</v>
      </c>
      <c r="D289" s="27" t="s">
        <v>4003</v>
      </c>
      <c r="E289" s="27" t="s">
        <v>430</v>
      </c>
      <c r="F289" s="27" t="s">
        <v>425</v>
      </c>
      <c r="G289" s="28">
        <v>2026</v>
      </c>
      <c r="H289" s="20" t="str">
        <f>VLOOKUP(U289,'[1]KODE TYPE standar'!$D:$U,17,0)</f>
        <v>RUSH</v>
      </c>
      <c r="I289" s="20" t="str">
        <f>VLOOKUP(U289,'[1]KODE TYPE standar'!$D:$U,16,0)</f>
        <v>RUSH</v>
      </c>
      <c r="J289" s="20" t="str">
        <f>VLOOKUP(U289,'[1]KODE TYPE standar'!$D:$U,18,0)</f>
        <v>RUSH S M/T</v>
      </c>
      <c r="K289" s="27" t="s">
        <v>50</v>
      </c>
      <c r="L289" s="27" t="s">
        <v>110</v>
      </c>
      <c r="M289" s="27" t="s">
        <v>50</v>
      </c>
      <c r="N289" s="27" t="s">
        <v>139</v>
      </c>
      <c r="O289" s="28" t="s">
        <v>156</v>
      </c>
      <c r="P289" s="29" t="s">
        <v>150</v>
      </c>
      <c r="Q289" s="29" t="s">
        <v>162</v>
      </c>
      <c r="R289" s="29" t="s">
        <v>1016</v>
      </c>
      <c r="S289" s="27" t="s">
        <v>978</v>
      </c>
      <c r="T289" s="27" t="s">
        <v>541</v>
      </c>
      <c r="U289" s="27" t="s">
        <v>276</v>
      </c>
      <c r="V289" s="27" t="s">
        <v>64</v>
      </c>
      <c r="W289" s="27" t="s">
        <v>65</v>
      </c>
      <c r="X289" s="27" t="s">
        <v>4004</v>
      </c>
      <c r="Y289" s="27" t="s">
        <v>4005</v>
      </c>
      <c r="Z289" s="27" t="s">
        <v>977</v>
      </c>
      <c r="AA289" s="27" t="s">
        <v>978</v>
      </c>
      <c r="AB289" s="27" t="s">
        <v>541</v>
      </c>
      <c r="AC289" s="27" t="s">
        <v>4006</v>
      </c>
      <c r="AD289" s="27" t="s">
        <v>4007</v>
      </c>
      <c r="AE289" s="27" t="s">
        <v>110</v>
      </c>
      <c r="AF289" s="27" t="s">
        <v>375</v>
      </c>
      <c r="AG289" s="27" t="s">
        <v>4008</v>
      </c>
      <c r="AH289" s="27" t="s">
        <v>913</v>
      </c>
      <c r="AI289" s="27" t="s">
        <v>139</v>
      </c>
      <c r="AJ289" s="27" t="s">
        <v>50</v>
      </c>
      <c r="AK289" s="27" t="s">
        <v>50</v>
      </c>
      <c r="AL289" s="27"/>
      <c r="AM289" s="34">
        <v>311800000</v>
      </c>
      <c r="AN289" s="34">
        <v>240825893</v>
      </c>
      <c r="AO289" s="34">
        <v>42075000</v>
      </c>
      <c r="AP289" s="34">
        <v>27291964</v>
      </c>
      <c r="AQ289" s="34">
        <v>0</v>
      </c>
      <c r="AR289" s="34">
        <v>0</v>
      </c>
      <c r="AS289" s="34">
        <v>13392857</v>
      </c>
      <c r="AT289" s="34">
        <v>296800000</v>
      </c>
      <c r="AU289" s="34">
        <v>9000000</v>
      </c>
      <c r="AV289" s="34">
        <v>-15000000</v>
      </c>
      <c r="AW289" s="27"/>
      <c r="AX289" s="27"/>
      <c r="AY289" s="27" t="s">
        <v>83</v>
      </c>
      <c r="AZ289" s="27">
        <v>1</v>
      </c>
      <c r="BA289" s="27"/>
      <c r="BB289" s="27" t="s">
        <v>430</v>
      </c>
      <c r="BC289" s="27" t="s">
        <v>4009</v>
      </c>
      <c r="BD289" s="27" t="s">
        <v>442</v>
      </c>
      <c r="BE289" s="27" t="s">
        <v>442</v>
      </c>
      <c r="BF289" s="27" t="s">
        <v>4010</v>
      </c>
      <c r="BG289" s="27" t="s">
        <v>4011</v>
      </c>
      <c r="BH289" s="27" t="s">
        <v>430</v>
      </c>
      <c r="BI289" s="27" t="s">
        <v>421</v>
      </c>
      <c r="BJ289" s="27" t="s">
        <v>4012</v>
      </c>
      <c r="BK289" s="27" t="s">
        <v>408</v>
      </c>
      <c r="BL289" s="27" t="s">
        <v>4013</v>
      </c>
      <c r="BM289" s="35">
        <v>0</v>
      </c>
    </row>
    <row r="290" spans="1:65" s="1" customFormat="1" x14ac:dyDescent="0.2">
      <c r="A290" s="33">
        <v>239</v>
      </c>
      <c r="B290" s="27">
        <v>146</v>
      </c>
      <c r="C290" s="27" t="s">
        <v>503</v>
      </c>
      <c r="D290" s="27" t="s">
        <v>4014</v>
      </c>
      <c r="E290" s="27" t="s">
        <v>435</v>
      </c>
      <c r="F290" s="27" t="s">
        <v>425</v>
      </c>
      <c r="G290" s="28">
        <v>2026</v>
      </c>
      <c r="H290" s="20" t="str">
        <f>VLOOKUP(U290,'[1]KODE TYPE standar'!$D:$U,17,0)</f>
        <v>INV ZENIX HYBRID</v>
      </c>
      <c r="I290" s="20" t="str">
        <f>VLOOKUP(U290,'[1]KODE TYPE standar'!$D:$U,16,0)</f>
        <v>INNOVA</v>
      </c>
      <c r="J290" s="20" t="str">
        <f>VLOOKUP(U290,'[1]KODE TYPE standar'!$D:$U,18,0)</f>
        <v>INNOVA ZENIX G A/T HIYBRID</v>
      </c>
      <c r="K290" s="27" t="s">
        <v>119</v>
      </c>
      <c r="L290" s="27" t="s">
        <v>110</v>
      </c>
      <c r="M290" s="27" t="s">
        <v>262</v>
      </c>
      <c r="N290" s="27" t="s">
        <v>141</v>
      </c>
      <c r="O290" s="28" t="s">
        <v>156</v>
      </c>
      <c r="P290" s="29" t="s">
        <v>151</v>
      </c>
      <c r="Q290" s="29" t="s">
        <v>161</v>
      </c>
      <c r="R290" s="29" t="s">
        <v>145</v>
      </c>
      <c r="S290" s="27" t="s">
        <v>978</v>
      </c>
      <c r="T290" s="27" t="s">
        <v>541</v>
      </c>
      <c r="U290" s="27" t="s">
        <v>388</v>
      </c>
      <c r="V290" s="27" t="s">
        <v>48</v>
      </c>
      <c r="W290" s="27" t="s">
        <v>49</v>
      </c>
      <c r="X290" s="27" t="s">
        <v>4015</v>
      </c>
      <c r="Y290" s="27" t="s">
        <v>4016</v>
      </c>
      <c r="Z290" s="27" t="s">
        <v>977</v>
      </c>
      <c r="AA290" s="27" t="s">
        <v>978</v>
      </c>
      <c r="AB290" s="27" t="s">
        <v>541</v>
      </c>
      <c r="AC290" s="27" t="s">
        <v>4017</v>
      </c>
      <c r="AD290" s="27" t="s">
        <v>4018</v>
      </c>
      <c r="AE290" s="27" t="s">
        <v>110</v>
      </c>
      <c r="AF290" s="27" t="s">
        <v>4019</v>
      </c>
      <c r="AG290" s="27" t="s">
        <v>4020</v>
      </c>
      <c r="AH290" s="27" t="s">
        <v>3438</v>
      </c>
      <c r="AI290" s="27" t="s">
        <v>141</v>
      </c>
      <c r="AJ290" s="27" t="s">
        <v>262</v>
      </c>
      <c r="AK290" s="27" t="s">
        <v>89</v>
      </c>
      <c r="AL290" s="27"/>
      <c r="AM290" s="34">
        <v>477500000</v>
      </c>
      <c r="AN290" s="34">
        <v>370279018</v>
      </c>
      <c r="AO290" s="34">
        <v>62787500</v>
      </c>
      <c r="AP290" s="34">
        <v>42183482</v>
      </c>
      <c r="AQ290" s="34">
        <v>0</v>
      </c>
      <c r="AR290" s="34">
        <v>0</v>
      </c>
      <c r="AS290" s="34">
        <v>18750000</v>
      </c>
      <c r="AT290" s="34">
        <v>456500000</v>
      </c>
      <c r="AU290" s="34">
        <v>6230000</v>
      </c>
      <c r="AV290" s="34">
        <v>-21000000</v>
      </c>
      <c r="AW290" s="27" t="s">
        <v>416</v>
      </c>
      <c r="AX290" s="27" t="s">
        <v>416</v>
      </c>
      <c r="AY290" s="27" t="s">
        <v>83</v>
      </c>
      <c r="AZ290" s="27">
        <v>1</v>
      </c>
      <c r="BA290" s="27"/>
      <c r="BB290" s="27" t="s">
        <v>400</v>
      </c>
      <c r="BC290" s="27" t="s">
        <v>4021</v>
      </c>
      <c r="BD290" s="27" t="s">
        <v>400</v>
      </c>
      <c r="BE290" s="27" t="s">
        <v>400</v>
      </c>
      <c r="BF290" s="27" t="s">
        <v>4022</v>
      </c>
      <c r="BG290" s="27" t="s">
        <v>4023</v>
      </c>
      <c r="BH290" s="27" t="s">
        <v>435</v>
      </c>
      <c r="BI290" s="27" t="s">
        <v>437</v>
      </c>
      <c r="BJ290" s="27" t="s">
        <v>4024</v>
      </c>
      <c r="BK290" s="27" t="s">
        <v>271</v>
      </c>
      <c r="BL290" s="27" t="s">
        <v>4025</v>
      </c>
      <c r="BM290" s="35">
        <v>0</v>
      </c>
    </row>
    <row r="291" spans="1:65" s="1" customFormat="1" x14ac:dyDescent="0.2">
      <c r="A291" s="33">
        <v>247</v>
      </c>
      <c r="B291" s="27">
        <v>146</v>
      </c>
      <c r="C291" s="27" t="s">
        <v>503</v>
      </c>
      <c r="D291" s="27" t="s">
        <v>4026</v>
      </c>
      <c r="E291" s="27" t="s">
        <v>431</v>
      </c>
      <c r="F291" s="27" t="s">
        <v>425</v>
      </c>
      <c r="G291" s="28">
        <v>2026</v>
      </c>
      <c r="H291" s="20" t="str">
        <f>VLOOKUP(U291,'[1]KODE TYPE standar'!$D:$U,17,0)</f>
        <v>CALYA</v>
      </c>
      <c r="I291" s="20" t="str">
        <f>VLOOKUP(U291,'[1]KODE TYPE standar'!$D:$U,16,0)</f>
        <v>CALYA</v>
      </c>
      <c r="J291" s="20" t="str">
        <f>VLOOKUP(U291,'[1]KODE TYPE standar'!$D:$U,18,0)</f>
        <v>CALYA G M/T</v>
      </c>
      <c r="K291" s="27" t="s">
        <v>119</v>
      </c>
      <c r="L291" s="27" t="s">
        <v>110</v>
      </c>
      <c r="M291" s="27" t="s">
        <v>262</v>
      </c>
      <c r="N291" s="27" t="s">
        <v>139</v>
      </c>
      <c r="O291" s="28" t="s">
        <v>156</v>
      </c>
      <c r="P291" s="29" t="s">
        <v>149</v>
      </c>
      <c r="Q291" s="29" t="s">
        <v>161</v>
      </c>
      <c r="R291" s="29" t="s">
        <v>597</v>
      </c>
      <c r="S291" s="27" t="s">
        <v>601</v>
      </c>
      <c r="T291" s="27" t="s">
        <v>509</v>
      </c>
      <c r="U291" s="27" t="s">
        <v>268</v>
      </c>
      <c r="V291" s="27" t="s">
        <v>68</v>
      </c>
      <c r="W291" s="27" t="s">
        <v>69</v>
      </c>
      <c r="X291" s="27" t="s">
        <v>4027</v>
      </c>
      <c r="Y291" s="27" t="s">
        <v>4028</v>
      </c>
      <c r="Z291" s="27" t="s">
        <v>600</v>
      </c>
      <c r="AA291" s="27" t="s">
        <v>601</v>
      </c>
      <c r="AB291" s="27" t="s">
        <v>509</v>
      </c>
      <c r="AC291" s="27" t="s">
        <v>4029</v>
      </c>
      <c r="AD291" s="27" t="s">
        <v>4030</v>
      </c>
      <c r="AE291" s="27" t="s">
        <v>110</v>
      </c>
      <c r="AF291" s="27" t="s">
        <v>4031</v>
      </c>
      <c r="AG291" s="27" t="s">
        <v>4032</v>
      </c>
      <c r="AH291" s="27" t="s">
        <v>913</v>
      </c>
      <c r="AI291" s="27" t="s">
        <v>139</v>
      </c>
      <c r="AJ291" s="27" t="s">
        <v>262</v>
      </c>
      <c r="AK291" s="27" t="s">
        <v>89</v>
      </c>
      <c r="AL291" s="27"/>
      <c r="AM291" s="34">
        <v>182200000</v>
      </c>
      <c r="AN291" s="34">
        <v>139575893</v>
      </c>
      <c r="AO291" s="34">
        <v>25875000</v>
      </c>
      <c r="AP291" s="34">
        <v>15677678</v>
      </c>
      <c r="AQ291" s="34">
        <v>0</v>
      </c>
      <c r="AR291" s="34">
        <v>0</v>
      </c>
      <c r="AS291" s="34">
        <v>8928571</v>
      </c>
      <c r="AT291" s="34">
        <v>172200000</v>
      </c>
      <c r="AU291" s="34">
        <v>4990000</v>
      </c>
      <c r="AV291" s="34">
        <v>-10000000</v>
      </c>
      <c r="AW291" s="27"/>
      <c r="AX291" s="27"/>
      <c r="AY291" s="27" t="s">
        <v>83</v>
      </c>
      <c r="AZ291" s="27">
        <v>1</v>
      </c>
      <c r="BA291" s="27" t="s">
        <v>163</v>
      </c>
      <c r="BB291" s="27" t="s">
        <v>409</v>
      </c>
      <c r="BC291" s="27" t="s">
        <v>4033</v>
      </c>
      <c r="BD291" s="27" t="s">
        <v>409</v>
      </c>
      <c r="BE291" s="27" t="s">
        <v>409</v>
      </c>
      <c r="BF291" s="27" t="s">
        <v>4034</v>
      </c>
      <c r="BG291" s="27" t="s">
        <v>4035</v>
      </c>
      <c r="BH291" s="27"/>
      <c r="BI291" s="27" t="s">
        <v>440</v>
      </c>
      <c r="BJ291" s="27" t="s">
        <v>4036</v>
      </c>
      <c r="BK291" s="27" t="s">
        <v>430</v>
      </c>
      <c r="BL291" s="27" t="s">
        <v>4037</v>
      </c>
      <c r="BM291" s="35">
        <v>0</v>
      </c>
    </row>
    <row r="292" spans="1:65" s="1" customFormat="1" x14ac:dyDescent="0.2">
      <c r="A292" s="33">
        <v>284</v>
      </c>
      <c r="B292" s="27">
        <v>146</v>
      </c>
      <c r="C292" s="27" t="s">
        <v>503</v>
      </c>
      <c r="D292" s="27" t="s">
        <v>4038</v>
      </c>
      <c r="E292" s="27" t="s">
        <v>432</v>
      </c>
      <c r="F292" s="27" t="s">
        <v>425</v>
      </c>
      <c r="G292" s="28">
        <v>2026</v>
      </c>
      <c r="H292" s="20" t="str">
        <f>VLOOKUP(U292,'[1]KODE TYPE standar'!$D:$U,17,0)</f>
        <v>AVANZA</v>
      </c>
      <c r="I292" s="20" t="str">
        <f>VLOOKUP(U292,'[1]KODE TYPE standar'!$D:$U,16,0)</f>
        <v>AVANZA</v>
      </c>
      <c r="J292" s="20" t="str">
        <f>VLOOKUP(U292,'[1]KODE TYPE standar'!$D:$U,18,0)</f>
        <v>AVANZA E M/T</v>
      </c>
      <c r="K292" s="27" t="s">
        <v>119</v>
      </c>
      <c r="L292" s="27" t="s">
        <v>110</v>
      </c>
      <c r="M292" s="27" t="s">
        <v>262</v>
      </c>
      <c r="N292" s="27" t="s">
        <v>157</v>
      </c>
      <c r="O292" s="28" t="s">
        <v>6581</v>
      </c>
      <c r="P292" s="29" t="s">
        <v>151</v>
      </c>
      <c r="Q292" s="29" t="s">
        <v>161</v>
      </c>
      <c r="R292" s="29" t="s">
        <v>145</v>
      </c>
      <c r="S292" s="27" t="s">
        <v>3907</v>
      </c>
      <c r="T292" s="27" t="s">
        <v>541</v>
      </c>
      <c r="U292" s="27" t="s">
        <v>447</v>
      </c>
      <c r="V292" s="27" t="s">
        <v>60</v>
      </c>
      <c r="W292" s="27" t="s">
        <v>61</v>
      </c>
      <c r="X292" s="27" t="s">
        <v>4039</v>
      </c>
      <c r="Y292" s="27" t="s">
        <v>4040</v>
      </c>
      <c r="Z292" s="27" t="s">
        <v>3906</v>
      </c>
      <c r="AA292" s="27" t="s">
        <v>3907</v>
      </c>
      <c r="AB292" s="27" t="s">
        <v>541</v>
      </c>
      <c r="AC292" s="27" t="s">
        <v>4041</v>
      </c>
      <c r="AD292" s="27" t="s">
        <v>4042</v>
      </c>
      <c r="AE292" s="27" t="s">
        <v>110</v>
      </c>
      <c r="AF292" s="27" t="s">
        <v>4043</v>
      </c>
      <c r="AG292" s="27" t="s">
        <v>4044</v>
      </c>
      <c r="AH292" s="27" t="s">
        <v>4045</v>
      </c>
      <c r="AI292" s="27" t="s">
        <v>157</v>
      </c>
      <c r="AJ292" s="27" t="s">
        <v>262</v>
      </c>
      <c r="AK292" s="27" t="s">
        <v>89</v>
      </c>
      <c r="AL292" s="27"/>
      <c r="AM292" s="34">
        <v>247000000</v>
      </c>
      <c r="AN292" s="34">
        <v>190200893</v>
      </c>
      <c r="AO292" s="34">
        <v>33975000</v>
      </c>
      <c r="AP292" s="34">
        <v>21216964</v>
      </c>
      <c r="AQ292" s="34">
        <v>0</v>
      </c>
      <c r="AR292" s="34">
        <v>0</v>
      </c>
      <c r="AS292" s="34">
        <v>13392857</v>
      </c>
      <c r="AT292" s="34">
        <v>232000000</v>
      </c>
      <c r="AU292" s="34">
        <v>6000000</v>
      </c>
      <c r="AV292" s="34">
        <v>-15000000</v>
      </c>
      <c r="AW292" s="27" t="s">
        <v>409</v>
      </c>
      <c r="AX292" s="27" t="s">
        <v>409</v>
      </c>
      <c r="AY292" s="27" t="s">
        <v>83</v>
      </c>
      <c r="AZ292" s="27">
        <v>1</v>
      </c>
      <c r="BA292" s="27"/>
      <c r="BB292" s="27" t="s">
        <v>345</v>
      </c>
      <c r="BC292" s="27" t="s">
        <v>4046</v>
      </c>
      <c r="BD292" s="27" t="s">
        <v>390</v>
      </c>
      <c r="BE292" s="27" t="s">
        <v>390</v>
      </c>
      <c r="BF292" s="27" t="s">
        <v>4047</v>
      </c>
      <c r="BG292" s="27" t="s">
        <v>4048</v>
      </c>
      <c r="BH292" s="27" t="s">
        <v>432</v>
      </c>
      <c r="BI292" s="27" t="s">
        <v>421</v>
      </c>
      <c r="BJ292" s="27" t="s">
        <v>4049</v>
      </c>
      <c r="BK292" s="27" t="s">
        <v>428</v>
      </c>
      <c r="BL292" s="27" t="s">
        <v>4050</v>
      </c>
      <c r="BM292" s="35">
        <v>0</v>
      </c>
    </row>
    <row r="293" spans="1:65" s="1" customFormat="1" x14ac:dyDescent="0.2">
      <c r="A293" s="33">
        <v>286</v>
      </c>
      <c r="B293" s="27">
        <v>146</v>
      </c>
      <c r="C293" s="27" t="s">
        <v>503</v>
      </c>
      <c r="D293" s="27" t="s">
        <v>4051</v>
      </c>
      <c r="E293" s="27" t="s">
        <v>431</v>
      </c>
      <c r="F293" s="27" t="s">
        <v>425</v>
      </c>
      <c r="G293" s="28">
        <v>2026</v>
      </c>
      <c r="H293" s="20" t="str">
        <f>VLOOKUP(U293,'[1]KODE TYPE standar'!$D:$U,17,0)</f>
        <v>CALYA</v>
      </c>
      <c r="I293" s="20" t="str">
        <f>VLOOKUP(U293,'[1]KODE TYPE standar'!$D:$U,16,0)</f>
        <v>CALYA</v>
      </c>
      <c r="J293" s="20" t="str">
        <f>VLOOKUP(U293,'[1]KODE TYPE standar'!$D:$U,18,0)</f>
        <v>CALYA G M/T</v>
      </c>
      <c r="K293" s="27" t="s">
        <v>119</v>
      </c>
      <c r="L293" s="27" t="s">
        <v>110</v>
      </c>
      <c r="M293" s="27" t="s">
        <v>262</v>
      </c>
      <c r="N293" s="27" t="s">
        <v>140</v>
      </c>
      <c r="O293" s="28" t="s">
        <v>156</v>
      </c>
      <c r="P293" s="29" t="s">
        <v>151</v>
      </c>
      <c r="Q293" s="29" t="s">
        <v>161</v>
      </c>
      <c r="R293" s="29" t="s">
        <v>597</v>
      </c>
      <c r="S293" s="27" t="s">
        <v>1476</v>
      </c>
      <c r="T293" s="27" t="s">
        <v>541</v>
      </c>
      <c r="U293" s="27" t="s">
        <v>268</v>
      </c>
      <c r="V293" s="27" t="s">
        <v>77</v>
      </c>
      <c r="W293" s="27" t="s">
        <v>78</v>
      </c>
      <c r="X293" s="27" t="s">
        <v>4052</v>
      </c>
      <c r="Y293" s="27" t="s">
        <v>4053</v>
      </c>
      <c r="Z293" s="27" t="s">
        <v>1475</v>
      </c>
      <c r="AA293" s="27" t="s">
        <v>1476</v>
      </c>
      <c r="AB293" s="27" t="s">
        <v>541</v>
      </c>
      <c r="AC293" s="27" t="s">
        <v>4054</v>
      </c>
      <c r="AD293" s="27" t="s">
        <v>4055</v>
      </c>
      <c r="AE293" s="27" t="s">
        <v>110</v>
      </c>
      <c r="AF293" s="27" t="s">
        <v>4056</v>
      </c>
      <c r="AG293" s="27" t="s">
        <v>4057</v>
      </c>
      <c r="AH293" s="27" t="s">
        <v>4058</v>
      </c>
      <c r="AI293" s="27" t="s">
        <v>140</v>
      </c>
      <c r="AJ293" s="27" t="s">
        <v>262</v>
      </c>
      <c r="AK293" s="27" t="s">
        <v>89</v>
      </c>
      <c r="AL293" s="27"/>
      <c r="AM293" s="34">
        <v>182200000</v>
      </c>
      <c r="AN293" s="34">
        <v>139575893</v>
      </c>
      <c r="AO293" s="34">
        <v>25875000</v>
      </c>
      <c r="AP293" s="34">
        <v>15677678</v>
      </c>
      <c r="AQ293" s="34">
        <v>0</v>
      </c>
      <c r="AR293" s="34">
        <v>0</v>
      </c>
      <c r="AS293" s="34">
        <v>8928571</v>
      </c>
      <c r="AT293" s="34">
        <v>172200000</v>
      </c>
      <c r="AU293" s="34">
        <v>2400000</v>
      </c>
      <c r="AV293" s="34">
        <v>-10000000</v>
      </c>
      <c r="AW293" s="27"/>
      <c r="AX293" s="27"/>
      <c r="AY293" s="27" t="s">
        <v>83</v>
      </c>
      <c r="AZ293" s="27">
        <v>1</v>
      </c>
      <c r="BA293" s="27"/>
      <c r="BB293" s="27" t="s">
        <v>431</v>
      </c>
      <c r="BC293" s="27" t="s">
        <v>4059</v>
      </c>
      <c r="BD293" s="27" t="s">
        <v>442</v>
      </c>
      <c r="BE293" s="27" t="s">
        <v>442</v>
      </c>
      <c r="BF293" s="27" t="s">
        <v>4060</v>
      </c>
      <c r="BG293" s="27" t="s">
        <v>4061</v>
      </c>
      <c r="BH293" s="27"/>
      <c r="BI293" s="27" t="s">
        <v>440</v>
      </c>
      <c r="BJ293" s="27" t="s">
        <v>4062</v>
      </c>
      <c r="BK293" s="27" t="s">
        <v>433</v>
      </c>
      <c r="BL293" s="27" t="s">
        <v>4063</v>
      </c>
      <c r="BM293" s="35">
        <v>0</v>
      </c>
    </row>
    <row r="294" spans="1:65" s="1" customFormat="1" x14ac:dyDescent="0.2">
      <c r="A294" s="33">
        <v>287</v>
      </c>
      <c r="B294" s="27">
        <v>146</v>
      </c>
      <c r="C294" s="27" t="s">
        <v>503</v>
      </c>
      <c r="D294" s="27" t="s">
        <v>4064</v>
      </c>
      <c r="E294" s="27" t="s">
        <v>435</v>
      </c>
      <c r="F294" s="27" t="s">
        <v>425</v>
      </c>
      <c r="G294" s="28">
        <v>2026</v>
      </c>
      <c r="H294" s="20" t="str">
        <f>VLOOKUP(U294,'[1]KODE TYPE standar'!$D:$U,17,0)</f>
        <v>RAIZE</v>
      </c>
      <c r="I294" s="20" t="str">
        <f>VLOOKUP(U294,'[1]KODE TYPE standar'!$D:$U,16,0)</f>
        <v>RAIZE</v>
      </c>
      <c r="J294" s="20" t="str">
        <f>VLOOKUP(U294,'[1]KODE TYPE standar'!$D:$U,18,0)</f>
        <v>RAIZE G A/T</v>
      </c>
      <c r="K294" s="27" t="s">
        <v>118</v>
      </c>
      <c r="L294" s="27" t="s">
        <v>110</v>
      </c>
      <c r="M294" s="27" t="s">
        <v>262</v>
      </c>
      <c r="N294" s="27" t="s">
        <v>141</v>
      </c>
      <c r="O294" s="28" t="s">
        <v>156</v>
      </c>
      <c r="P294" s="29" t="s">
        <v>149</v>
      </c>
      <c r="Q294" s="29" t="s">
        <v>161</v>
      </c>
      <c r="R294" s="29" t="s">
        <v>145</v>
      </c>
      <c r="S294" s="27" t="s">
        <v>631</v>
      </c>
      <c r="T294" s="27" t="s">
        <v>509</v>
      </c>
      <c r="U294" s="27" t="s">
        <v>239</v>
      </c>
      <c r="V294" s="27" t="s">
        <v>68</v>
      </c>
      <c r="W294" s="27" t="s">
        <v>69</v>
      </c>
      <c r="X294" s="27" t="s">
        <v>4065</v>
      </c>
      <c r="Y294" s="27" t="s">
        <v>4066</v>
      </c>
      <c r="Z294" s="27" t="s">
        <v>630</v>
      </c>
      <c r="AA294" s="27" t="s">
        <v>631</v>
      </c>
      <c r="AB294" s="27" t="s">
        <v>509</v>
      </c>
      <c r="AC294" s="27" t="s">
        <v>4067</v>
      </c>
      <c r="AD294" s="27" t="s">
        <v>4068</v>
      </c>
      <c r="AE294" s="27" t="s">
        <v>110</v>
      </c>
      <c r="AF294" s="27" t="s">
        <v>4069</v>
      </c>
      <c r="AG294" s="27" t="s">
        <v>4070</v>
      </c>
      <c r="AH294" s="27" t="s">
        <v>1202</v>
      </c>
      <c r="AI294" s="27" t="s">
        <v>141</v>
      </c>
      <c r="AJ294" s="27" t="s">
        <v>262</v>
      </c>
      <c r="AK294" s="27" t="s">
        <v>63</v>
      </c>
      <c r="AL294" s="27"/>
      <c r="AM294" s="34">
        <v>262100000</v>
      </c>
      <c r="AN294" s="34">
        <v>201997768</v>
      </c>
      <c r="AO294" s="34">
        <v>35862500</v>
      </c>
      <c r="AP294" s="34">
        <v>22632589</v>
      </c>
      <c r="AQ294" s="34">
        <v>0</v>
      </c>
      <c r="AR294" s="34">
        <v>0</v>
      </c>
      <c r="AS294" s="34">
        <v>13392857</v>
      </c>
      <c r="AT294" s="34">
        <v>247100000</v>
      </c>
      <c r="AU294" s="34">
        <v>5000000</v>
      </c>
      <c r="AV294" s="34">
        <v>-15000000</v>
      </c>
      <c r="AW294" s="27" t="s">
        <v>433</v>
      </c>
      <c r="AX294" s="27" t="s">
        <v>433</v>
      </c>
      <c r="AY294" s="27" t="s">
        <v>83</v>
      </c>
      <c r="AZ294" s="27">
        <v>1</v>
      </c>
      <c r="BA294" s="27"/>
      <c r="BB294" s="27" t="s">
        <v>415</v>
      </c>
      <c r="BC294" s="27" t="s">
        <v>4071</v>
      </c>
      <c r="BD294" s="27" t="s">
        <v>400</v>
      </c>
      <c r="BE294" s="27" t="s">
        <v>400</v>
      </c>
      <c r="BF294" s="27" t="s">
        <v>4072</v>
      </c>
      <c r="BG294" s="27" t="s">
        <v>4073</v>
      </c>
      <c r="BH294" s="27" t="s">
        <v>435</v>
      </c>
      <c r="BI294" s="27" t="s">
        <v>437</v>
      </c>
      <c r="BJ294" s="27" t="s">
        <v>4074</v>
      </c>
      <c r="BK294" s="27" t="s">
        <v>408</v>
      </c>
      <c r="BL294" s="27" t="s">
        <v>4075</v>
      </c>
      <c r="BM294" s="35">
        <v>0</v>
      </c>
    </row>
    <row r="295" spans="1:65" s="1" customFormat="1" x14ac:dyDescent="0.2">
      <c r="A295" s="33">
        <v>298</v>
      </c>
      <c r="B295" s="27">
        <v>146</v>
      </c>
      <c r="C295" s="27" t="s">
        <v>503</v>
      </c>
      <c r="D295" s="27" t="s">
        <v>4076</v>
      </c>
      <c r="E295" s="27" t="s">
        <v>408</v>
      </c>
      <c r="F295" s="27" t="s">
        <v>425</v>
      </c>
      <c r="G295" s="28">
        <v>2026</v>
      </c>
      <c r="H295" s="20" t="str">
        <f>VLOOKUP(U295,'[1]KODE TYPE standar'!$D:$U,17,0)</f>
        <v>RUSH</v>
      </c>
      <c r="I295" s="20" t="str">
        <f>VLOOKUP(U295,'[1]KODE TYPE standar'!$D:$U,16,0)</f>
        <v>RUSH</v>
      </c>
      <c r="J295" s="20" t="str">
        <f>VLOOKUP(U295,'[1]KODE TYPE standar'!$D:$U,18,0)</f>
        <v>RUSH S M/T</v>
      </c>
      <c r="K295" s="27" t="s">
        <v>119</v>
      </c>
      <c r="L295" s="27" t="s">
        <v>110</v>
      </c>
      <c r="M295" s="27" t="s">
        <v>262</v>
      </c>
      <c r="N295" s="27" t="s">
        <v>143</v>
      </c>
      <c r="O295" s="28" t="s">
        <v>6581</v>
      </c>
      <c r="P295" s="29" t="s">
        <v>151</v>
      </c>
      <c r="Q295" s="29" t="s">
        <v>161</v>
      </c>
      <c r="R295" s="29" t="s">
        <v>145</v>
      </c>
      <c r="S295" s="27" t="s">
        <v>781</v>
      </c>
      <c r="T295" s="27" t="s">
        <v>585</v>
      </c>
      <c r="U295" s="27" t="s">
        <v>276</v>
      </c>
      <c r="V295" s="27" t="s">
        <v>60</v>
      </c>
      <c r="W295" s="27" t="s">
        <v>61</v>
      </c>
      <c r="X295" s="27" t="s">
        <v>4077</v>
      </c>
      <c r="Y295" s="27" t="s">
        <v>4078</v>
      </c>
      <c r="Z295" s="27" t="s">
        <v>780</v>
      </c>
      <c r="AA295" s="27" t="s">
        <v>781</v>
      </c>
      <c r="AB295" s="27" t="s">
        <v>585</v>
      </c>
      <c r="AC295" s="27" t="s">
        <v>4079</v>
      </c>
      <c r="AD295" s="27" t="s">
        <v>4080</v>
      </c>
      <c r="AE295" s="27" t="s">
        <v>110</v>
      </c>
      <c r="AF295" s="27" t="s">
        <v>4080</v>
      </c>
      <c r="AG295" s="27" t="s">
        <v>4081</v>
      </c>
      <c r="AH295" s="27" t="s">
        <v>4082</v>
      </c>
      <c r="AI295" s="27" t="s">
        <v>143</v>
      </c>
      <c r="AJ295" s="27" t="s">
        <v>262</v>
      </c>
      <c r="AK295" s="27" t="s">
        <v>89</v>
      </c>
      <c r="AL295" s="27"/>
      <c r="AM295" s="34">
        <v>311800000</v>
      </c>
      <c r="AN295" s="34">
        <v>240066964</v>
      </c>
      <c r="AO295" s="34">
        <v>42925000</v>
      </c>
      <c r="AP295" s="34">
        <v>27200892</v>
      </c>
      <c r="AQ295" s="34">
        <v>0</v>
      </c>
      <c r="AR295" s="34">
        <v>0</v>
      </c>
      <c r="AS295" s="34">
        <v>13392857</v>
      </c>
      <c r="AT295" s="34">
        <v>296800000</v>
      </c>
      <c r="AU295" s="34">
        <v>8000000</v>
      </c>
      <c r="AV295" s="34">
        <v>-15000000</v>
      </c>
      <c r="AW295" s="27" t="s">
        <v>435</v>
      </c>
      <c r="AX295" s="27" t="s">
        <v>435</v>
      </c>
      <c r="AY295" s="27" t="s">
        <v>83</v>
      </c>
      <c r="AZ295" s="27">
        <v>1</v>
      </c>
      <c r="BA295" s="27" t="s">
        <v>163</v>
      </c>
      <c r="BB295" s="27" t="s">
        <v>408</v>
      </c>
      <c r="BC295" s="27" t="s">
        <v>4083</v>
      </c>
      <c r="BD295" s="27" t="s">
        <v>396</v>
      </c>
      <c r="BE295" s="27" t="s">
        <v>396</v>
      </c>
      <c r="BF295" s="27" t="s">
        <v>4084</v>
      </c>
      <c r="BG295" s="27" t="s">
        <v>4085</v>
      </c>
      <c r="BH295" s="27" t="s">
        <v>408</v>
      </c>
      <c r="BI295" s="27" t="s">
        <v>430</v>
      </c>
      <c r="BJ295" s="27" t="s">
        <v>4086</v>
      </c>
      <c r="BK295" s="27" t="s">
        <v>396</v>
      </c>
      <c r="BL295" s="27" t="s">
        <v>4087</v>
      </c>
      <c r="BM295" s="35">
        <v>0</v>
      </c>
    </row>
    <row r="296" spans="1:65" s="1" customFormat="1" x14ac:dyDescent="0.2">
      <c r="A296" s="33">
        <v>329</v>
      </c>
      <c r="B296" s="27">
        <v>146</v>
      </c>
      <c r="C296" s="27" t="s">
        <v>503</v>
      </c>
      <c r="D296" s="27" t="s">
        <v>4088</v>
      </c>
      <c r="E296" s="27" t="s">
        <v>396</v>
      </c>
      <c r="F296" s="27" t="s">
        <v>425</v>
      </c>
      <c r="G296" s="28">
        <v>2026</v>
      </c>
      <c r="H296" s="20" t="str">
        <f>VLOOKUP(U296,'[1]KODE TYPE standar'!$D:$U,17,0)</f>
        <v>VELOZ</v>
      </c>
      <c r="I296" s="20" t="str">
        <f>VLOOKUP(U296,'[1]KODE TYPE standar'!$D:$U,16,0)</f>
        <v>VELOZ</v>
      </c>
      <c r="J296" s="20" t="str">
        <f>VLOOKUP(U296,'[1]KODE TYPE standar'!$D:$U,18,0)</f>
        <v>VELOZ V AT HYBRID</v>
      </c>
      <c r="K296" s="27" t="s">
        <v>119</v>
      </c>
      <c r="L296" s="27" t="s">
        <v>110</v>
      </c>
      <c r="M296" s="27" t="s">
        <v>262</v>
      </c>
      <c r="N296" s="27" t="s">
        <v>141</v>
      </c>
      <c r="O296" s="28" t="s">
        <v>156</v>
      </c>
      <c r="P296" s="29" t="s">
        <v>151</v>
      </c>
      <c r="Q296" s="29" t="s">
        <v>162</v>
      </c>
      <c r="R296" s="29" t="s">
        <v>145</v>
      </c>
      <c r="S296" s="27" t="s">
        <v>540</v>
      </c>
      <c r="T296" s="27" t="s">
        <v>541</v>
      </c>
      <c r="U296" s="27" t="s">
        <v>335</v>
      </c>
      <c r="V296" s="27" t="s">
        <v>51</v>
      </c>
      <c r="W296" s="27" t="s">
        <v>286</v>
      </c>
      <c r="X296" s="27" t="s">
        <v>4089</v>
      </c>
      <c r="Y296" s="27" t="s">
        <v>4090</v>
      </c>
      <c r="Z296" s="27" t="s">
        <v>539</v>
      </c>
      <c r="AA296" s="27" t="s">
        <v>540</v>
      </c>
      <c r="AB296" s="27" t="s">
        <v>541</v>
      </c>
      <c r="AC296" s="27" t="s">
        <v>4091</v>
      </c>
      <c r="AD296" s="27" t="s">
        <v>4092</v>
      </c>
      <c r="AE296" s="27" t="s">
        <v>110</v>
      </c>
      <c r="AF296" s="27" t="s">
        <v>4093</v>
      </c>
      <c r="AG296" s="27" t="s">
        <v>4094</v>
      </c>
      <c r="AH296" s="27" t="s">
        <v>815</v>
      </c>
      <c r="AI296" s="27" t="s">
        <v>141</v>
      </c>
      <c r="AJ296" s="27" t="s">
        <v>262</v>
      </c>
      <c r="AK296" s="27" t="s">
        <v>89</v>
      </c>
      <c r="AL296" s="27"/>
      <c r="AM296" s="34">
        <v>304500000</v>
      </c>
      <c r="AN296" s="34">
        <v>235122768</v>
      </c>
      <c r="AO296" s="34">
        <v>41162500</v>
      </c>
      <c r="AP296" s="34">
        <v>28214732</v>
      </c>
      <c r="AQ296" s="34">
        <v>0</v>
      </c>
      <c r="AR296" s="34">
        <v>0</v>
      </c>
      <c r="AS296" s="34">
        <v>0</v>
      </c>
      <c r="AT296" s="34">
        <v>304500000</v>
      </c>
      <c r="AU296" s="34">
        <v>0</v>
      </c>
      <c r="AV296" s="34">
        <v>0</v>
      </c>
      <c r="AW296" s="27" t="s">
        <v>400</v>
      </c>
      <c r="AX296" s="27" t="s">
        <v>400</v>
      </c>
      <c r="AY296" s="27" t="s">
        <v>83</v>
      </c>
      <c r="AZ296" s="27">
        <v>1</v>
      </c>
      <c r="BA296" s="27"/>
      <c r="BB296" s="27" t="s">
        <v>396</v>
      </c>
      <c r="BC296" s="27" t="s">
        <v>4095</v>
      </c>
      <c r="BD296" s="27" t="s">
        <v>418</v>
      </c>
      <c r="BE296" s="27" t="s">
        <v>418</v>
      </c>
      <c r="BF296" s="27" t="s">
        <v>4096</v>
      </c>
      <c r="BG296" s="27" t="s">
        <v>4097</v>
      </c>
      <c r="BH296" s="27" t="s">
        <v>396</v>
      </c>
      <c r="BI296" s="27" t="s">
        <v>442</v>
      </c>
      <c r="BJ296" s="27" t="s">
        <v>4098</v>
      </c>
      <c r="BK296" s="27" t="s">
        <v>391</v>
      </c>
      <c r="BL296" s="27" t="s">
        <v>4099</v>
      </c>
      <c r="BM296" s="35">
        <v>0</v>
      </c>
    </row>
    <row r="297" spans="1:65" s="1" customFormat="1" x14ac:dyDescent="0.2">
      <c r="A297" s="33">
        <v>340</v>
      </c>
      <c r="B297" s="27">
        <v>146</v>
      </c>
      <c r="C297" s="27" t="s">
        <v>503</v>
      </c>
      <c r="D297" s="27" t="s">
        <v>4100</v>
      </c>
      <c r="E297" s="27" t="s">
        <v>433</v>
      </c>
      <c r="F297" s="27" t="s">
        <v>425</v>
      </c>
      <c r="G297" s="28">
        <v>2026</v>
      </c>
      <c r="H297" s="20" t="str">
        <f>VLOOKUP(U297,'[1]KODE TYPE standar'!$D:$U,17,0)</f>
        <v>RUSH</v>
      </c>
      <c r="I297" s="20" t="str">
        <f>VLOOKUP(U297,'[1]KODE TYPE standar'!$D:$U,16,0)</f>
        <v>RUSH</v>
      </c>
      <c r="J297" s="20" t="str">
        <f>VLOOKUP(U297,'[1]KODE TYPE standar'!$D:$U,18,0)</f>
        <v>RUSH S M/T</v>
      </c>
      <c r="K297" s="27" t="s">
        <v>119</v>
      </c>
      <c r="L297" s="27" t="s">
        <v>110</v>
      </c>
      <c r="M297" s="27" t="s">
        <v>262</v>
      </c>
      <c r="N297" s="27" t="s">
        <v>143</v>
      </c>
      <c r="O297" s="28" t="s">
        <v>6581</v>
      </c>
      <c r="P297" s="29" t="s">
        <v>151</v>
      </c>
      <c r="Q297" s="29" t="s">
        <v>161</v>
      </c>
      <c r="R297" s="29" t="s">
        <v>145</v>
      </c>
      <c r="S297" s="27" t="s">
        <v>724</v>
      </c>
      <c r="T297" s="27" t="s">
        <v>541</v>
      </c>
      <c r="U297" s="27" t="s">
        <v>276</v>
      </c>
      <c r="V297" s="27" t="s">
        <v>64</v>
      </c>
      <c r="W297" s="27" t="s">
        <v>65</v>
      </c>
      <c r="X297" s="27" t="s">
        <v>4101</v>
      </c>
      <c r="Y297" s="27" t="s">
        <v>4102</v>
      </c>
      <c r="Z297" s="27" t="s">
        <v>723</v>
      </c>
      <c r="AA297" s="27" t="s">
        <v>724</v>
      </c>
      <c r="AB297" s="27" t="s">
        <v>541</v>
      </c>
      <c r="AC297" s="27" t="s">
        <v>4103</v>
      </c>
      <c r="AD297" s="27" t="s">
        <v>4104</v>
      </c>
      <c r="AE297" s="27" t="s">
        <v>110</v>
      </c>
      <c r="AF297" s="27" t="s">
        <v>4104</v>
      </c>
      <c r="AG297" s="27" t="s">
        <v>4105</v>
      </c>
      <c r="AH297" s="27" t="s">
        <v>4106</v>
      </c>
      <c r="AI297" s="27" t="s">
        <v>143</v>
      </c>
      <c r="AJ297" s="27" t="s">
        <v>262</v>
      </c>
      <c r="AK297" s="27" t="s">
        <v>89</v>
      </c>
      <c r="AL297" s="27"/>
      <c r="AM297" s="34">
        <v>311800000</v>
      </c>
      <c r="AN297" s="34">
        <v>240066964</v>
      </c>
      <c r="AO297" s="34">
        <v>42925000</v>
      </c>
      <c r="AP297" s="34">
        <v>27200892</v>
      </c>
      <c r="AQ297" s="34">
        <v>0</v>
      </c>
      <c r="AR297" s="34">
        <v>0</v>
      </c>
      <c r="AS297" s="34">
        <v>13392857</v>
      </c>
      <c r="AT297" s="34">
        <v>296800000</v>
      </c>
      <c r="AU297" s="34">
        <v>8000000</v>
      </c>
      <c r="AV297" s="34">
        <v>-15000000</v>
      </c>
      <c r="AW297" s="27" t="s">
        <v>430</v>
      </c>
      <c r="AX297" s="27" t="s">
        <v>430</v>
      </c>
      <c r="AY297" s="27" t="s">
        <v>83</v>
      </c>
      <c r="AZ297" s="27">
        <v>1</v>
      </c>
      <c r="BA297" s="27"/>
      <c r="BB297" s="27" t="s">
        <v>400</v>
      </c>
      <c r="BC297" s="27" t="s">
        <v>4107</v>
      </c>
      <c r="BD297" s="27" t="s">
        <v>408</v>
      </c>
      <c r="BE297" s="27" t="s">
        <v>408</v>
      </c>
      <c r="BF297" s="27" t="s">
        <v>4108</v>
      </c>
      <c r="BG297" s="27" t="s">
        <v>4109</v>
      </c>
      <c r="BH297" s="27" t="s">
        <v>433</v>
      </c>
      <c r="BI297" s="27" t="s">
        <v>436</v>
      </c>
      <c r="BJ297" s="27" t="s">
        <v>4110</v>
      </c>
      <c r="BK297" s="27" t="s">
        <v>416</v>
      </c>
      <c r="BL297" s="27" t="s">
        <v>4111</v>
      </c>
      <c r="BM297" s="35">
        <v>0</v>
      </c>
    </row>
    <row r="298" spans="1:65" s="1" customFormat="1" x14ac:dyDescent="0.2">
      <c r="A298" s="33">
        <v>351</v>
      </c>
      <c r="B298" s="27">
        <v>146</v>
      </c>
      <c r="C298" s="27" t="s">
        <v>503</v>
      </c>
      <c r="D298" s="27" t="s">
        <v>4112</v>
      </c>
      <c r="E298" s="27" t="s">
        <v>414</v>
      </c>
      <c r="F298" s="27" t="s">
        <v>425</v>
      </c>
      <c r="G298" s="28">
        <v>2026</v>
      </c>
      <c r="H298" s="20" t="str">
        <f>VLOOKUP(U298,'[1]KODE TYPE standar'!$D:$U,17,0)</f>
        <v>CALYA</v>
      </c>
      <c r="I298" s="20" t="str">
        <f>VLOOKUP(U298,'[1]KODE TYPE standar'!$D:$U,16,0)</f>
        <v>CALYA</v>
      </c>
      <c r="J298" s="20" t="str">
        <f>VLOOKUP(U298,'[1]KODE TYPE standar'!$D:$U,18,0)</f>
        <v>CALYA G M/T</v>
      </c>
      <c r="K298" s="27" t="s">
        <v>119</v>
      </c>
      <c r="L298" s="27" t="s">
        <v>110</v>
      </c>
      <c r="M298" s="27" t="s">
        <v>262</v>
      </c>
      <c r="N298" s="27" t="s">
        <v>106</v>
      </c>
      <c r="O298" s="28" t="s">
        <v>156</v>
      </c>
      <c r="P298" s="29" t="s">
        <v>151</v>
      </c>
      <c r="Q298" s="29" t="s">
        <v>161</v>
      </c>
      <c r="R298" s="29" t="s">
        <v>597</v>
      </c>
      <c r="S298" s="27" t="s">
        <v>2486</v>
      </c>
      <c r="T298" s="27" t="s">
        <v>541</v>
      </c>
      <c r="U298" s="27" t="s">
        <v>268</v>
      </c>
      <c r="V298" s="27" t="s">
        <v>96</v>
      </c>
      <c r="W298" s="27" t="s">
        <v>97</v>
      </c>
      <c r="X298" s="27" t="s">
        <v>4113</v>
      </c>
      <c r="Y298" s="27" t="s">
        <v>4114</v>
      </c>
      <c r="Z298" s="27" t="s">
        <v>2485</v>
      </c>
      <c r="AA298" s="27" t="s">
        <v>2486</v>
      </c>
      <c r="AB298" s="27" t="s">
        <v>541</v>
      </c>
      <c r="AC298" s="27" t="s">
        <v>4115</v>
      </c>
      <c r="AD298" s="27" t="s">
        <v>4116</v>
      </c>
      <c r="AE298" s="27" t="s">
        <v>110</v>
      </c>
      <c r="AF298" s="27" t="s">
        <v>4116</v>
      </c>
      <c r="AG298" s="27" t="s">
        <v>1769</v>
      </c>
      <c r="AH298" s="27" t="s">
        <v>1336</v>
      </c>
      <c r="AI298" s="27" t="s">
        <v>106</v>
      </c>
      <c r="AJ298" s="27" t="s">
        <v>262</v>
      </c>
      <c r="AK298" s="27" t="s">
        <v>89</v>
      </c>
      <c r="AL298" s="27"/>
      <c r="AM298" s="34">
        <v>182200000</v>
      </c>
      <c r="AN298" s="34">
        <v>139575893</v>
      </c>
      <c r="AO298" s="34">
        <v>25875000</v>
      </c>
      <c r="AP298" s="34">
        <v>15677678</v>
      </c>
      <c r="AQ298" s="34">
        <v>0</v>
      </c>
      <c r="AR298" s="34">
        <v>0</v>
      </c>
      <c r="AS298" s="34">
        <v>8928571</v>
      </c>
      <c r="AT298" s="34">
        <v>172200000</v>
      </c>
      <c r="AU298" s="34">
        <v>23360000</v>
      </c>
      <c r="AV298" s="34">
        <v>-10000000</v>
      </c>
      <c r="AW298" s="27"/>
      <c r="AX298" s="27"/>
      <c r="AY298" s="27" t="s">
        <v>83</v>
      </c>
      <c r="AZ298" s="27">
        <v>1</v>
      </c>
      <c r="BA298" s="27"/>
      <c r="BB298" s="27" t="s">
        <v>400</v>
      </c>
      <c r="BC298" s="27" t="s">
        <v>4117</v>
      </c>
      <c r="BD298" s="27" t="s">
        <v>396</v>
      </c>
      <c r="BE298" s="27" t="s">
        <v>396</v>
      </c>
      <c r="BF298" s="27" t="s">
        <v>4118</v>
      </c>
      <c r="BG298" s="27" t="s">
        <v>4119</v>
      </c>
      <c r="BH298" s="27"/>
      <c r="BI298" s="27" t="s">
        <v>422</v>
      </c>
      <c r="BJ298" s="27" t="s">
        <v>4120</v>
      </c>
      <c r="BK298" s="27" t="s">
        <v>414</v>
      </c>
      <c r="BL298" s="27" t="s">
        <v>4121</v>
      </c>
      <c r="BM298" s="35">
        <v>0</v>
      </c>
    </row>
    <row r="299" spans="1:65" s="1" customFormat="1" x14ac:dyDescent="0.2">
      <c r="A299" s="33">
        <v>391</v>
      </c>
      <c r="B299" s="27">
        <v>146</v>
      </c>
      <c r="C299" s="27" t="s">
        <v>503</v>
      </c>
      <c r="D299" s="27" t="s">
        <v>4122</v>
      </c>
      <c r="E299" s="27" t="s">
        <v>428</v>
      </c>
      <c r="F299" s="27" t="s">
        <v>425</v>
      </c>
      <c r="G299" s="28">
        <v>2026</v>
      </c>
      <c r="H299" s="20" t="str">
        <f>VLOOKUP(U299,'[1]KODE TYPE standar'!$D:$U,17,0)</f>
        <v>VELOZ</v>
      </c>
      <c r="I299" s="20" t="str">
        <f>VLOOKUP(U299,'[1]KODE TYPE standar'!$D:$U,16,0)</f>
        <v>VELOZ</v>
      </c>
      <c r="J299" s="20" t="str">
        <f>VLOOKUP(U299,'[1]KODE TYPE standar'!$D:$U,18,0)</f>
        <v>VELOZ Q AT HYBRID</v>
      </c>
      <c r="K299" s="27" t="s">
        <v>50</v>
      </c>
      <c r="L299" s="27" t="s">
        <v>110</v>
      </c>
      <c r="M299" s="27" t="s">
        <v>50</v>
      </c>
      <c r="N299" s="27" t="s">
        <v>140</v>
      </c>
      <c r="O299" s="28" t="s">
        <v>156</v>
      </c>
      <c r="P299" s="29" t="s">
        <v>150</v>
      </c>
      <c r="Q299" s="29" t="s">
        <v>162</v>
      </c>
      <c r="R299" s="29" t="s">
        <v>597</v>
      </c>
      <c r="S299" s="27" t="s">
        <v>1184</v>
      </c>
      <c r="T299" s="27" t="s">
        <v>585</v>
      </c>
      <c r="U299" s="27" t="s">
        <v>336</v>
      </c>
      <c r="V299" s="27" t="s">
        <v>269</v>
      </c>
      <c r="W299" s="27" t="s">
        <v>81</v>
      </c>
      <c r="X299" s="27" t="s">
        <v>4123</v>
      </c>
      <c r="Y299" s="27" t="s">
        <v>4124</v>
      </c>
      <c r="Z299" s="27" t="s">
        <v>1183</v>
      </c>
      <c r="AA299" s="27" t="s">
        <v>1184</v>
      </c>
      <c r="AB299" s="27" t="s">
        <v>585</v>
      </c>
      <c r="AC299" s="27" t="s">
        <v>4125</v>
      </c>
      <c r="AD299" s="27" t="s">
        <v>4126</v>
      </c>
      <c r="AE299" s="27" t="s">
        <v>110</v>
      </c>
      <c r="AF299" s="27" t="s">
        <v>4127</v>
      </c>
      <c r="AG299" s="27" t="s">
        <v>4128</v>
      </c>
      <c r="AH299" s="27" t="s">
        <v>528</v>
      </c>
      <c r="AI299" s="27" t="s">
        <v>140</v>
      </c>
      <c r="AJ299" s="27" t="s">
        <v>50</v>
      </c>
      <c r="AK299" s="27" t="s">
        <v>50</v>
      </c>
      <c r="AL299" s="27"/>
      <c r="AM299" s="34">
        <v>325000000</v>
      </c>
      <c r="AN299" s="34">
        <v>251138393</v>
      </c>
      <c r="AO299" s="34">
        <v>43725000</v>
      </c>
      <c r="AP299" s="34">
        <v>30136607</v>
      </c>
      <c r="AQ299" s="34">
        <v>0</v>
      </c>
      <c r="AR299" s="34">
        <v>0</v>
      </c>
      <c r="AS299" s="34">
        <v>0</v>
      </c>
      <c r="AT299" s="34">
        <v>325000000</v>
      </c>
      <c r="AU299" s="34">
        <v>5000000</v>
      </c>
      <c r="AV299" s="34">
        <v>0</v>
      </c>
      <c r="AW299" s="27" t="s">
        <v>409</v>
      </c>
      <c r="AX299" s="27" t="s">
        <v>409</v>
      </c>
      <c r="AY299" s="27" t="s">
        <v>83</v>
      </c>
      <c r="AZ299" s="27">
        <v>1</v>
      </c>
      <c r="BA299" s="27" t="s">
        <v>163</v>
      </c>
      <c r="BB299" s="27" t="s">
        <v>345</v>
      </c>
      <c r="BC299" s="27" t="s">
        <v>4129</v>
      </c>
      <c r="BD299" s="27" t="s">
        <v>400</v>
      </c>
      <c r="BE299" s="27" t="s">
        <v>400</v>
      </c>
      <c r="BF299" s="27" t="s">
        <v>4130</v>
      </c>
      <c r="BG299" s="27" t="s">
        <v>4131</v>
      </c>
      <c r="BH299" s="27" t="s">
        <v>428</v>
      </c>
      <c r="BI299" s="27" t="s">
        <v>439</v>
      </c>
      <c r="BJ299" s="27" t="s">
        <v>4132</v>
      </c>
      <c r="BK299" s="27" t="s">
        <v>428</v>
      </c>
      <c r="BL299" s="27" t="s">
        <v>4133</v>
      </c>
      <c r="BM299" s="35">
        <v>0</v>
      </c>
    </row>
    <row r="300" spans="1:65" s="1" customFormat="1" x14ac:dyDescent="0.2">
      <c r="A300" s="33">
        <v>418</v>
      </c>
      <c r="B300" s="27">
        <v>146</v>
      </c>
      <c r="C300" s="27" t="s">
        <v>503</v>
      </c>
      <c r="D300" s="27" t="s">
        <v>4134</v>
      </c>
      <c r="E300" s="27" t="s">
        <v>432</v>
      </c>
      <c r="F300" s="27" t="s">
        <v>425</v>
      </c>
      <c r="G300" s="28">
        <v>2026</v>
      </c>
      <c r="H300" s="20" t="str">
        <f>VLOOKUP(U300,'[1]KODE TYPE standar'!$D:$U,17,0)</f>
        <v>VELOZ</v>
      </c>
      <c r="I300" s="20" t="str">
        <f>VLOOKUP(U300,'[1]KODE TYPE standar'!$D:$U,16,0)</f>
        <v>VELOZ</v>
      </c>
      <c r="J300" s="20" t="str">
        <f>VLOOKUP(U300,'[1]KODE TYPE standar'!$D:$U,18,0)</f>
        <v>VELOZ Q AT HYBRID</v>
      </c>
      <c r="K300" s="27" t="s">
        <v>50</v>
      </c>
      <c r="L300" s="27" t="s">
        <v>110</v>
      </c>
      <c r="M300" s="27" t="s">
        <v>50</v>
      </c>
      <c r="N300" s="27" t="s">
        <v>157</v>
      </c>
      <c r="O300" s="28" t="s">
        <v>6581</v>
      </c>
      <c r="P300" s="29" t="s">
        <v>149</v>
      </c>
      <c r="Q300" s="29" t="s">
        <v>161</v>
      </c>
      <c r="R300" s="29" t="s">
        <v>145</v>
      </c>
      <c r="S300" s="27" t="s">
        <v>631</v>
      </c>
      <c r="T300" s="27" t="s">
        <v>509</v>
      </c>
      <c r="U300" s="27" t="s">
        <v>385</v>
      </c>
      <c r="V300" s="27" t="s">
        <v>51</v>
      </c>
      <c r="W300" s="27" t="s">
        <v>286</v>
      </c>
      <c r="X300" s="27" t="s">
        <v>4135</v>
      </c>
      <c r="Y300" s="27" t="s">
        <v>4136</v>
      </c>
      <c r="Z300" s="27" t="s">
        <v>630</v>
      </c>
      <c r="AA300" s="27" t="s">
        <v>631</v>
      </c>
      <c r="AB300" s="27" t="s">
        <v>509</v>
      </c>
      <c r="AC300" s="27" t="s">
        <v>4137</v>
      </c>
      <c r="AD300" s="27" t="s">
        <v>4138</v>
      </c>
      <c r="AE300" s="27" t="s">
        <v>110</v>
      </c>
      <c r="AF300" s="27" t="s">
        <v>4139</v>
      </c>
      <c r="AG300" s="27" t="s">
        <v>4140</v>
      </c>
      <c r="AH300" s="27" t="s">
        <v>4141</v>
      </c>
      <c r="AI300" s="27" t="s">
        <v>157</v>
      </c>
      <c r="AJ300" s="27" t="s">
        <v>50</v>
      </c>
      <c r="AK300" s="27" t="s">
        <v>50</v>
      </c>
      <c r="AL300" s="27"/>
      <c r="AM300" s="34">
        <v>351500000</v>
      </c>
      <c r="AN300" s="34">
        <v>271841518</v>
      </c>
      <c r="AO300" s="34">
        <v>47037500</v>
      </c>
      <c r="AP300" s="34">
        <v>32620982</v>
      </c>
      <c r="AQ300" s="34">
        <v>0</v>
      </c>
      <c r="AR300" s="34">
        <v>0</v>
      </c>
      <c r="AS300" s="34">
        <v>0</v>
      </c>
      <c r="AT300" s="34">
        <v>351500000</v>
      </c>
      <c r="AU300" s="34">
        <v>3000000</v>
      </c>
      <c r="AV300" s="34">
        <v>0</v>
      </c>
      <c r="AW300" s="27" t="s">
        <v>431</v>
      </c>
      <c r="AX300" s="27" t="s">
        <v>431</v>
      </c>
      <c r="AY300" s="27" t="s">
        <v>83</v>
      </c>
      <c r="AZ300" s="27">
        <v>1</v>
      </c>
      <c r="BA300" s="27" t="s">
        <v>163</v>
      </c>
      <c r="BB300" s="27" t="s">
        <v>432</v>
      </c>
      <c r="BC300" s="27" t="s">
        <v>4142</v>
      </c>
      <c r="BD300" s="27" t="s">
        <v>416</v>
      </c>
      <c r="BE300" s="27" t="s">
        <v>416</v>
      </c>
      <c r="BF300" s="27" t="s">
        <v>4143</v>
      </c>
      <c r="BG300" s="27" t="s">
        <v>4144</v>
      </c>
      <c r="BH300" s="27" t="s">
        <v>432</v>
      </c>
      <c r="BI300" s="27" t="s">
        <v>421</v>
      </c>
      <c r="BJ300" s="27" t="s">
        <v>4145</v>
      </c>
      <c r="BK300" s="27" t="s">
        <v>392</v>
      </c>
      <c r="BL300" s="27" t="s">
        <v>4146</v>
      </c>
      <c r="BM300" s="35">
        <v>0</v>
      </c>
    </row>
    <row r="301" spans="1:65" s="1" customFormat="1" x14ac:dyDescent="0.2">
      <c r="A301" s="33">
        <v>425</v>
      </c>
      <c r="B301" s="27">
        <v>146</v>
      </c>
      <c r="C301" s="27" t="s">
        <v>503</v>
      </c>
      <c r="D301" s="27" t="s">
        <v>4147</v>
      </c>
      <c r="E301" s="27" t="s">
        <v>432</v>
      </c>
      <c r="F301" s="27" t="s">
        <v>425</v>
      </c>
      <c r="G301" s="28">
        <v>2026</v>
      </c>
      <c r="H301" s="20" t="str">
        <f>VLOOKUP(U301,'[1]KODE TYPE standar'!$D:$U,17,0)</f>
        <v>VELOZ</v>
      </c>
      <c r="I301" s="20" t="str">
        <f>VLOOKUP(U301,'[1]KODE TYPE standar'!$D:$U,16,0)</f>
        <v>VELOZ</v>
      </c>
      <c r="J301" s="20" t="str">
        <f>VLOOKUP(U301,'[1]KODE TYPE standar'!$D:$U,18,0)</f>
        <v>VELOZ Q AT HYBRID</v>
      </c>
      <c r="K301" s="27" t="s">
        <v>118</v>
      </c>
      <c r="L301" s="27" t="s">
        <v>110</v>
      </c>
      <c r="M301" s="27" t="s">
        <v>262</v>
      </c>
      <c r="N301" s="27" t="s">
        <v>141</v>
      </c>
      <c r="O301" s="28" t="s">
        <v>156</v>
      </c>
      <c r="P301" s="29" t="s">
        <v>319</v>
      </c>
      <c r="Q301" s="29" t="s">
        <v>161</v>
      </c>
      <c r="R301" s="29" t="s">
        <v>597</v>
      </c>
      <c r="S301" s="27" t="s">
        <v>1171</v>
      </c>
      <c r="T301" s="27" t="s">
        <v>509</v>
      </c>
      <c r="U301" s="27" t="s">
        <v>336</v>
      </c>
      <c r="V301" s="27" t="s">
        <v>64</v>
      </c>
      <c r="W301" s="27" t="s">
        <v>65</v>
      </c>
      <c r="X301" s="27" t="s">
        <v>4148</v>
      </c>
      <c r="Y301" s="27" t="s">
        <v>4149</v>
      </c>
      <c r="Z301" s="27" t="s">
        <v>1170</v>
      </c>
      <c r="AA301" s="27" t="s">
        <v>1171</v>
      </c>
      <c r="AB301" s="27" t="s">
        <v>509</v>
      </c>
      <c r="AC301" s="27" t="s">
        <v>4150</v>
      </c>
      <c r="AD301" s="27" t="s">
        <v>4151</v>
      </c>
      <c r="AE301" s="27" t="s">
        <v>110</v>
      </c>
      <c r="AF301" s="27" t="s">
        <v>4152</v>
      </c>
      <c r="AG301" s="27" t="s">
        <v>4153</v>
      </c>
      <c r="AH301" s="27" t="s">
        <v>941</v>
      </c>
      <c r="AI301" s="27" t="s">
        <v>141</v>
      </c>
      <c r="AJ301" s="27" t="s">
        <v>262</v>
      </c>
      <c r="AK301" s="27" t="s">
        <v>63</v>
      </c>
      <c r="AL301" s="27"/>
      <c r="AM301" s="34">
        <v>325000000</v>
      </c>
      <c r="AN301" s="34">
        <v>251138393</v>
      </c>
      <c r="AO301" s="34">
        <v>43725000</v>
      </c>
      <c r="AP301" s="34">
        <v>30136607</v>
      </c>
      <c r="AQ301" s="34">
        <v>0</v>
      </c>
      <c r="AR301" s="34">
        <v>0</v>
      </c>
      <c r="AS301" s="34">
        <v>0</v>
      </c>
      <c r="AT301" s="34">
        <v>325000000</v>
      </c>
      <c r="AU301" s="34">
        <v>5000000</v>
      </c>
      <c r="AV301" s="34">
        <v>0</v>
      </c>
      <c r="AW301" s="27" t="s">
        <v>431</v>
      </c>
      <c r="AX301" s="27" t="s">
        <v>431</v>
      </c>
      <c r="AY301" s="27" t="s">
        <v>83</v>
      </c>
      <c r="AZ301" s="27">
        <v>1</v>
      </c>
      <c r="BA301" s="27"/>
      <c r="BB301" s="27" t="s">
        <v>428</v>
      </c>
      <c r="BC301" s="27" t="s">
        <v>4154</v>
      </c>
      <c r="BD301" s="27" t="s">
        <v>428</v>
      </c>
      <c r="BE301" s="27" t="s">
        <v>428</v>
      </c>
      <c r="BF301" s="27" t="s">
        <v>4155</v>
      </c>
      <c r="BG301" s="27" t="s">
        <v>4156</v>
      </c>
      <c r="BH301" s="27" t="s">
        <v>432</v>
      </c>
      <c r="BI301" s="27" t="s">
        <v>421</v>
      </c>
      <c r="BJ301" s="27" t="s">
        <v>4157</v>
      </c>
      <c r="BK301" s="27" t="s">
        <v>345</v>
      </c>
      <c r="BL301" s="27" t="s">
        <v>4158</v>
      </c>
      <c r="BM301" s="35">
        <v>0</v>
      </c>
    </row>
    <row r="302" spans="1:65" s="1" customFormat="1" x14ac:dyDescent="0.2">
      <c r="A302" s="33">
        <v>431</v>
      </c>
      <c r="B302" s="27">
        <v>146</v>
      </c>
      <c r="C302" s="27" t="s">
        <v>503</v>
      </c>
      <c r="D302" s="27" t="s">
        <v>4159</v>
      </c>
      <c r="E302" s="27" t="s">
        <v>408</v>
      </c>
      <c r="F302" s="27" t="s">
        <v>425</v>
      </c>
      <c r="G302" s="28">
        <v>2026</v>
      </c>
      <c r="H302" s="20" t="str">
        <f>VLOOKUP(U302,'[1]KODE TYPE standar'!$D:$U,17,0)</f>
        <v>AVANZA</v>
      </c>
      <c r="I302" s="20" t="str">
        <f>VLOOKUP(U302,'[1]KODE TYPE standar'!$D:$U,16,0)</f>
        <v>AVANZA</v>
      </c>
      <c r="J302" s="20" t="str">
        <f>VLOOKUP(U302,'[1]KODE TYPE standar'!$D:$U,18,0)</f>
        <v>AVANZA G A/T</v>
      </c>
      <c r="K302" s="27" t="s">
        <v>118</v>
      </c>
      <c r="L302" s="27" t="s">
        <v>110</v>
      </c>
      <c r="M302" s="27" t="s">
        <v>262</v>
      </c>
      <c r="N302" s="27" t="s">
        <v>141</v>
      </c>
      <c r="O302" s="28" t="s">
        <v>156</v>
      </c>
      <c r="P302" s="29" t="s">
        <v>149</v>
      </c>
      <c r="Q302" s="29" t="s">
        <v>162</v>
      </c>
      <c r="R302" s="29" t="s">
        <v>145</v>
      </c>
      <c r="S302" s="27" t="s">
        <v>540</v>
      </c>
      <c r="T302" s="27" t="s">
        <v>541</v>
      </c>
      <c r="U302" s="27" t="s">
        <v>329</v>
      </c>
      <c r="V302" s="27" t="s">
        <v>60</v>
      </c>
      <c r="W302" s="27" t="s">
        <v>61</v>
      </c>
      <c r="X302" s="27" t="s">
        <v>4160</v>
      </c>
      <c r="Y302" s="27" t="s">
        <v>4161</v>
      </c>
      <c r="Z302" s="27" t="s">
        <v>539</v>
      </c>
      <c r="AA302" s="27" t="s">
        <v>540</v>
      </c>
      <c r="AB302" s="27" t="s">
        <v>541</v>
      </c>
      <c r="AC302" s="27" t="s">
        <v>4162</v>
      </c>
      <c r="AD302" s="27" t="s">
        <v>4163</v>
      </c>
      <c r="AE302" s="27" t="s">
        <v>110</v>
      </c>
      <c r="AF302" s="27" t="s">
        <v>4164</v>
      </c>
      <c r="AG302" s="27" t="s">
        <v>4165</v>
      </c>
      <c r="AH302" s="27" t="s">
        <v>1149</v>
      </c>
      <c r="AI302" s="27" t="s">
        <v>141</v>
      </c>
      <c r="AJ302" s="27" t="s">
        <v>262</v>
      </c>
      <c r="AK302" s="27" t="s">
        <v>63</v>
      </c>
      <c r="AL302" s="27"/>
      <c r="AM302" s="34">
        <v>285000000</v>
      </c>
      <c r="AN302" s="34">
        <v>219888393</v>
      </c>
      <c r="AO302" s="34">
        <v>38725000</v>
      </c>
      <c r="AP302" s="34">
        <v>24779464</v>
      </c>
      <c r="AQ302" s="34">
        <v>0</v>
      </c>
      <c r="AR302" s="34">
        <v>0</v>
      </c>
      <c r="AS302" s="34">
        <v>13392857</v>
      </c>
      <c r="AT302" s="34">
        <v>270000000</v>
      </c>
      <c r="AU302" s="34">
        <v>5500000</v>
      </c>
      <c r="AV302" s="34">
        <v>-15000000</v>
      </c>
      <c r="AW302" s="27" t="s">
        <v>435</v>
      </c>
      <c r="AX302" s="27" t="s">
        <v>435</v>
      </c>
      <c r="AY302" s="27" t="s">
        <v>83</v>
      </c>
      <c r="AZ302" s="27">
        <v>1</v>
      </c>
      <c r="BA302" s="27"/>
      <c r="BB302" s="27" t="s">
        <v>403</v>
      </c>
      <c r="BC302" s="27" t="s">
        <v>4166</v>
      </c>
      <c r="BD302" s="27" t="s">
        <v>403</v>
      </c>
      <c r="BE302" s="27" t="s">
        <v>403</v>
      </c>
      <c r="BF302" s="27" t="s">
        <v>4167</v>
      </c>
      <c r="BG302" s="27" t="s">
        <v>4168</v>
      </c>
      <c r="BH302" s="27" t="s">
        <v>408</v>
      </c>
      <c r="BI302" s="27" t="s">
        <v>430</v>
      </c>
      <c r="BJ302" s="27" t="s">
        <v>4169</v>
      </c>
      <c r="BK302" s="27" t="s">
        <v>396</v>
      </c>
      <c r="BL302" s="27" t="s">
        <v>4170</v>
      </c>
      <c r="BM302" s="35">
        <v>0</v>
      </c>
    </row>
    <row r="303" spans="1:65" s="1" customFormat="1" x14ac:dyDescent="0.2">
      <c r="A303" s="33">
        <v>433</v>
      </c>
      <c r="B303" s="27">
        <v>146</v>
      </c>
      <c r="C303" s="27" t="s">
        <v>503</v>
      </c>
      <c r="D303" s="27" t="s">
        <v>4171</v>
      </c>
      <c r="E303" s="27" t="s">
        <v>442</v>
      </c>
      <c r="F303" s="27" t="s">
        <v>425</v>
      </c>
      <c r="G303" s="28">
        <v>2026</v>
      </c>
      <c r="H303" s="20" t="str">
        <f>VLOOKUP(U303,'[1]KODE TYPE standar'!$D:$U,17,0)</f>
        <v>AVANZA</v>
      </c>
      <c r="I303" s="20" t="str">
        <f>VLOOKUP(U303,'[1]KODE TYPE standar'!$D:$U,16,0)</f>
        <v>AVANZA</v>
      </c>
      <c r="J303" s="20" t="str">
        <f>VLOOKUP(U303,'[1]KODE TYPE standar'!$D:$U,18,0)</f>
        <v>AVANZA G M/T</v>
      </c>
      <c r="K303" s="27" t="s">
        <v>119</v>
      </c>
      <c r="L303" s="27" t="s">
        <v>110</v>
      </c>
      <c r="M303" s="27" t="s">
        <v>262</v>
      </c>
      <c r="N303" s="27" t="s">
        <v>55</v>
      </c>
      <c r="O303" s="28" t="s">
        <v>6581</v>
      </c>
      <c r="P303" s="29" t="s">
        <v>149</v>
      </c>
      <c r="Q303" s="29" t="s">
        <v>161</v>
      </c>
      <c r="R303" s="29" t="s">
        <v>597</v>
      </c>
      <c r="S303" s="27" t="s">
        <v>540</v>
      </c>
      <c r="T303" s="27" t="s">
        <v>541</v>
      </c>
      <c r="U303" s="27" t="s">
        <v>373</v>
      </c>
      <c r="V303" s="27" t="s">
        <v>64</v>
      </c>
      <c r="W303" s="27" t="s">
        <v>65</v>
      </c>
      <c r="X303" s="27" t="s">
        <v>4172</v>
      </c>
      <c r="Y303" s="27" t="s">
        <v>4173</v>
      </c>
      <c r="Z303" s="27" t="s">
        <v>539</v>
      </c>
      <c r="AA303" s="27" t="s">
        <v>540</v>
      </c>
      <c r="AB303" s="27" t="s">
        <v>541</v>
      </c>
      <c r="AC303" s="27" t="s">
        <v>4174</v>
      </c>
      <c r="AD303" s="27" t="s">
        <v>4175</v>
      </c>
      <c r="AE303" s="27" t="s">
        <v>110</v>
      </c>
      <c r="AF303" s="27" t="s">
        <v>4175</v>
      </c>
      <c r="AG303" s="27" t="s">
        <v>4176</v>
      </c>
      <c r="AH303" s="27" t="s">
        <v>4177</v>
      </c>
      <c r="AI303" s="27" t="s">
        <v>55</v>
      </c>
      <c r="AJ303" s="27" t="s">
        <v>262</v>
      </c>
      <c r="AK303" s="27" t="s">
        <v>89</v>
      </c>
      <c r="AL303" s="27"/>
      <c r="AM303" s="34">
        <v>270200000</v>
      </c>
      <c r="AN303" s="34">
        <v>208022321</v>
      </c>
      <c r="AO303" s="34">
        <v>37215000</v>
      </c>
      <c r="AP303" s="34">
        <v>23355535</v>
      </c>
      <c r="AQ303" s="34">
        <v>0</v>
      </c>
      <c r="AR303" s="34">
        <v>0</v>
      </c>
      <c r="AS303" s="34">
        <v>13392857</v>
      </c>
      <c r="AT303" s="34">
        <v>255200000</v>
      </c>
      <c r="AU303" s="34">
        <v>6000000</v>
      </c>
      <c r="AV303" s="34">
        <v>-15000000</v>
      </c>
      <c r="AW303" s="27" t="s">
        <v>419</v>
      </c>
      <c r="AX303" s="27" t="s">
        <v>419</v>
      </c>
      <c r="AY303" s="27" t="s">
        <v>83</v>
      </c>
      <c r="AZ303" s="27">
        <v>1</v>
      </c>
      <c r="BA303" s="27"/>
      <c r="BB303" s="27" t="s">
        <v>405</v>
      </c>
      <c r="BC303" s="27" t="s">
        <v>4178</v>
      </c>
      <c r="BD303" s="27" t="s">
        <v>449</v>
      </c>
      <c r="BE303" s="27" t="s">
        <v>449</v>
      </c>
      <c r="BF303" s="27" t="s">
        <v>4179</v>
      </c>
      <c r="BG303" s="27" t="s">
        <v>4180</v>
      </c>
      <c r="BH303" s="27" t="s">
        <v>442</v>
      </c>
      <c r="BI303" s="27" t="s">
        <v>443</v>
      </c>
      <c r="BJ303" s="27" t="s">
        <v>4181</v>
      </c>
      <c r="BK303" s="27" t="s">
        <v>433</v>
      </c>
      <c r="BL303" s="27" t="s">
        <v>4182</v>
      </c>
      <c r="BM303" s="35">
        <v>0</v>
      </c>
    </row>
    <row r="304" spans="1:65" s="1" customFormat="1" x14ac:dyDescent="0.2">
      <c r="A304" s="33">
        <v>437</v>
      </c>
      <c r="B304" s="27">
        <v>146</v>
      </c>
      <c r="C304" s="27" t="s">
        <v>503</v>
      </c>
      <c r="D304" s="27" t="s">
        <v>4183</v>
      </c>
      <c r="E304" s="27" t="s">
        <v>428</v>
      </c>
      <c r="F304" s="27" t="s">
        <v>425</v>
      </c>
      <c r="G304" s="28">
        <v>2026</v>
      </c>
      <c r="H304" s="20" t="str">
        <f>VLOOKUP(U304,'[1]KODE TYPE standar'!$D:$U,17,0)</f>
        <v>INV ZENIX HYBRID</v>
      </c>
      <c r="I304" s="20" t="str">
        <f>VLOOKUP(U304,'[1]KODE TYPE standar'!$D:$U,16,0)</f>
        <v>INNOVA</v>
      </c>
      <c r="J304" s="20" t="str">
        <f>VLOOKUP(U304,'[1]KODE TYPE standar'!$D:$U,18,0)</f>
        <v>INNOVA ZENIX Q A/T HYBRID</v>
      </c>
      <c r="K304" s="27" t="s">
        <v>120</v>
      </c>
      <c r="L304" s="27" t="s">
        <v>110</v>
      </c>
      <c r="M304" s="27" t="s">
        <v>262</v>
      </c>
      <c r="N304" s="27" t="s">
        <v>141</v>
      </c>
      <c r="O304" s="28" t="s">
        <v>156</v>
      </c>
      <c r="P304" s="29" t="s">
        <v>149</v>
      </c>
      <c r="Q304" s="29" t="s">
        <v>162</v>
      </c>
      <c r="R304" s="29" t="s">
        <v>1016</v>
      </c>
      <c r="S304" s="27" t="s">
        <v>877</v>
      </c>
      <c r="T304" s="27" t="s">
        <v>585</v>
      </c>
      <c r="U304" s="27" t="s">
        <v>208</v>
      </c>
      <c r="V304" s="27" t="s">
        <v>51</v>
      </c>
      <c r="W304" s="27" t="s">
        <v>86</v>
      </c>
      <c r="X304" s="27" t="s">
        <v>4184</v>
      </c>
      <c r="Y304" s="27" t="s">
        <v>4185</v>
      </c>
      <c r="Z304" s="27" t="s">
        <v>876</v>
      </c>
      <c r="AA304" s="27" t="s">
        <v>877</v>
      </c>
      <c r="AB304" s="27" t="s">
        <v>585</v>
      </c>
      <c r="AC304" s="27" t="s">
        <v>4186</v>
      </c>
      <c r="AD304" s="27" t="s">
        <v>4187</v>
      </c>
      <c r="AE304" s="27" t="s">
        <v>110</v>
      </c>
      <c r="AF304" s="27" t="s">
        <v>4188</v>
      </c>
      <c r="AG304" s="27" t="s">
        <v>4189</v>
      </c>
      <c r="AH304" s="27" t="s">
        <v>757</v>
      </c>
      <c r="AI304" s="27" t="s">
        <v>141</v>
      </c>
      <c r="AJ304" s="27" t="s">
        <v>262</v>
      </c>
      <c r="AK304" s="27" t="s">
        <v>1216</v>
      </c>
      <c r="AL304" s="27"/>
      <c r="AM304" s="34">
        <v>631100000</v>
      </c>
      <c r="AN304" s="34">
        <v>490279018</v>
      </c>
      <c r="AO304" s="34">
        <v>81987500</v>
      </c>
      <c r="AP304" s="34">
        <v>56583482</v>
      </c>
      <c r="AQ304" s="34">
        <v>0</v>
      </c>
      <c r="AR304" s="34">
        <v>0</v>
      </c>
      <c r="AS304" s="34">
        <v>18750000</v>
      </c>
      <c r="AT304" s="34">
        <v>610100000</v>
      </c>
      <c r="AU304" s="34">
        <v>7000000</v>
      </c>
      <c r="AV304" s="34">
        <v>-21000000</v>
      </c>
      <c r="AW304" s="27" t="s">
        <v>433</v>
      </c>
      <c r="AX304" s="27" t="s">
        <v>433</v>
      </c>
      <c r="AY304" s="27" t="s">
        <v>83</v>
      </c>
      <c r="AZ304" s="27">
        <v>1</v>
      </c>
      <c r="BA304" s="27"/>
      <c r="BB304" s="27" t="s">
        <v>408</v>
      </c>
      <c r="BC304" s="27" t="s">
        <v>4190</v>
      </c>
      <c r="BD304" s="27" t="s">
        <v>396</v>
      </c>
      <c r="BE304" s="27" t="s">
        <v>396</v>
      </c>
      <c r="BF304" s="27" t="s">
        <v>4191</v>
      </c>
      <c r="BG304" s="27" t="s">
        <v>4192</v>
      </c>
      <c r="BH304" s="27" t="s">
        <v>428</v>
      </c>
      <c r="BI304" s="27" t="s">
        <v>439</v>
      </c>
      <c r="BJ304" s="27" t="s">
        <v>4193</v>
      </c>
      <c r="BK304" s="27" t="s">
        <v>428</v>
      </c>
      <c r="BL304" s="27" t="s">
        <v>4194</v>
      </c>
      <c r="BM304" s="35">
        <v>0</v>
      </c>
    </row>
    <row r="305" spans="1:65" s="1" customFormat="1" x14ac:dyDescent="0.2">
      <c r="A305" s="33">
        <v>438</v>
      </c>
      <c r="B305" s="27">
        <v>146</v>
      </c>
      <c r="C305" s="27" t="s">
        <v>503</v>
      </c>
      <c r="D305" s="27" t="s">
        <v>4195</v>
      </c>
      <c r="E305" s="27" t="s">
        <v>419</v>
      </c>
      <c r="F305" s="27" t="s">
        <v>425</v>
      </c>
      <c r="G305" s="28">
        <v>2026</v>
      </c>
      <c r="H305" s="20" t="str">
        <f>VLOOKUP(U305,'[1]KODE TYPE standar'!$D:$U,17,0)</f>
        <v>RUSH</v>
      </c>
      <c r="I305" s="20" t="str">
        <f>VLOOKUP(U305,'[1]KODE TYPE standar'!$D:$U,16,0)</f>
        <v>RUSH</v>
      </c>
      <c r="J305" s="20" t="str">
        <f>VLOOKUP(U305,'[1]KODE TYPE standar'!$D:$U,18,0)</f>
        <v>RUSH S A/T</v>
      </c>
      <c r="K305" s="27" t="s">
        <v>118</v>
      </c>
      <c r="L305" s="27" t="s">
        <v>110</v>
      </c>
      <c r="M305" s="27" t="s">
        <v>262</v>
      </c>
      <c r="N305" s="27" t="s">
        <v>140</v>
      </c>
      <c r="O305" s="28" t="s">
        <v>156</v>
      </c>
      <c r="P305" s="29" t="s">
        <v>151</v>
      </c>
      <c r="Q305" s="29" t="s">
        <v>161</v>
      </c>
      <c r="R305" s="29" t="s">
        <v>145</v>
      </c>
      <c r="S305" s="27" t="s">
        <v>1373</v>
      </c>
      <c r="T305" s="27" t="s">
        <v>509</v>
      </c>
      <c r="U305" s="27" t="s">
        <v>116</v>
      </c>
      <c r="V305" s="27" t="s">
        <v>64</v>
      </c>
      <c r="W305" s="27" t="s">
        <v>65</v>
      </c>
      <c r="X305" s="27" t="s">
        <v>4196</v>
      </c>
      <c r="Y305" s="27" t="s">
        <v>4197</v>
      </c>
      <c r="Z305" s="27" t="s">
        <v>1372</v>
      </c>
      <c r="AA305" s="27" t="s">
        <v>1373</v>
      </c>
      <c r="AB305" s="27" t="s">
        <v>509</v>
      </c>
      <c r="AC305" s="27" t="s">
        <v>4198</v>
      </c>
      <c r="AD305" s="27" t="s">
        <v>4199</v>
      </c>
      <c r="AE305" s="27" t="s">
        <v>110</v>
      </c>
      <c r="AF305" s="27" t="s">
        <v>4199</v>
      </c>
      <c r="AG305" s="27" t="s">
        <v>4200</v>
      </c>
      <c r="AH305" s="27" t="s">
        <v>881</v>
      </c>
      <c r="AI305" s="27" t="s">
        <v>140</v>
      </c>
      <c r="AJ305" s="27" t="s">
        <v>262</v>
      </c>
      <c r="AK305" s="27" t="s">
        <v>63</v>
      </c>
      <c r="AL305" s="27"/>
      <c r="AM305" s="34">
        <v>322500000</v>
      </c>
      <c r="AN305" s="34">
        <v>249185268</v>
      </c>
      <c r="AO305" s="34">
        <v>43412500</v>
      </c>
      <c r="AP305" s="34">
        <v>28295089</v>
      </c>
      <c r="AQ305" s="34">
        <v>0</v>
      </c>
      <c r="AR305" s="34">
        <v>0</v>
      </c>
      <c r="AS305" s="34">
        <v>13392857</v>
      </c>
      <c r="AT305" s="34">
        <v>307500000</v>
      </c>
      <c r="AU305" s="34">
        <v>9000000</v>
      </c>
      <c r="AV305" s="34">
        <v>-15000000</v>
      </c>
      <c r="AW305" s="27"/>
      <c r="AX305" s="27"/>
      <c r="AY305" s="27" t="s">
        <v>83</v>
      </c>
      <c r="AZ305" s="27">
        <v>1</v>
      </c>
      <c r="BA305" s="27"/>
      <c r="BB305" s="27" t="s">
        <v>419</v>
      </c>
      <c r="BC305" s="27" t="s">
        <v>4201</v>
      </c>
      <c r="BD305" s="27" t="s">
        <v>431</v>
      </c>
      <c r="BE305" s="27" t="s">
        <v>431</v>
      </c>
      <c r="BF305" s="27" t="s">
        <v>4202</v>
      </c>
      <c r="BG305" s="27" t="s">
        <v>4203</v>
      </c>
      <c r="BH305" s="27"/>
      <c r="BI305" s="27" t="s">
        <v>427</v>
      </c>
      <c r="BJ305" s="27" t="s">
        <v>4204</v>
      </c>
      <c r="BK305" s="27" t="s">
        <v>416</v>
      </c>
      <c r="BL305" s="27" t="s">
        <v>4205</v>
      </c>
      <c r="BM305" s="35">
        <v>0</v>
      </c>
    </row>
    <row r="306" spans="1:65" s="1" customFormat="1" x14ac:dyDescent="0.2">
      <c r="A306" s="33">
        <v>439</v>
      </c>
      <c r="B306" s="27">
        <v>146</v>
      </c>
      <c r="C306" s="27" t="s">
        <v>503</v>
      </c>
      <c r="D306" s="27" t="s">
        <v>4206</v>
      </c>
      <c r="E306" s="27" t="s">
        <v>403</v>
      </c>
      <c r="F306" s="27" t="s">
        <v>425</v>
      </c>
      <c r="G306" s="28">
        <v>2026</v>
      </c>
      <c r="H306" s="20" t="str">
        <f>VLOOKUP(U306,'[1]KODE TYPE standar'!$D:$U,17,0)</f>
        <v>RAIZE</v>
      </c>
      <c r="I306" s="20" t="str">
        <f>VLOOKUP(U306,'[1]KODE TYPE standar'!$D:$U,16,0)</f>
        <v>RAIZE</v>
      </c>
      <c r="J306" s="20" t="str">
        <f>VLOOKUP(U306,'[1]KODE TYPE standar'!$D:$U,18,0)</f>
        <v>RAIZE G A/T</v>
      </c>
      <c r="K306" s="27" t="s">
        <v>118</v>
      </c>
      <c r="L306" s="27" t="s">
        <v>110</v>
      </c>
      <c r="M306" s="27" t="s">
        <v>262</v>
      </c>
      <c r="N306" s="27" t="s">
        <v>140</v>
      </c>
      <c r="O306" s="28" t="s">
        <v>156</v>
      </c>
      <c r="P306" s="29" t="s">
        <v>149</v>
      </c>
      <c r="Q306" s="29" t="s">
        <v>161</v>
      </c>
      <c r="R306" s="29" t="s">
        <v>597</v>
      </c>
      <c r="S306" s="27" t="s">
        <v>631</v>
      </c>
      <c r="T306" s="27" t="s">
        <v>509</v>
      </c>
      <c r="U306" s="27" t="s">
        <v>239</v>
      </c>
      <c r="V306" s="27" t="s">
        <v>60</v>
      </c>
      <c r="W306" s="27" t="s">
        <v>61</v>
      </c>
      <c r="X306" s="27" t="s">
        <v>4207</v>
      </c>
      <c r="Y306" s="27" t="s">
        <v>4208</v>
      </c>
      <c r="Z306" s="27" t="s">
        <v>630</v>
      </c>
      <c r="AA306" s="27" t="s">
        <v>631</v>
      </c>
      <c r="AB306" s="27" t="s">
        <v>509</v>
      </c>
      <c r="AC306" s="27" t="s">
        <v>4209</v>
      </c>
      <c r="AD306" s="27" t="s">
        <v>4210</v>
      </c>
      <c r="AE306" s="27" t="s">
        <v>110</v>
      </c>
      <c r="AF306" s="27" t="s">
        <v>4210</v>
      </c>
      <c r="AG306" s="27" t="s">
        <v>4211</v>
      </c>
      <c r="AH306" s="27" t="s">
        <v>1035</v>
      </c>
      <c r="AI306" s="27" t="s">
        <v>140</v>
      </c>
      <c r="AJ306" s="27" t="s">
        <v>262</v>
      </c>
      <c r="AK306" s="27" t="s">
        <v>63</v>
      </c>
      <c r="AL306" s="27" t="s">
        <v>4212</v>
      </c>
      <c r="AM306" s="34">
        <v>262100000</v>
      </c>
      <c r="AN306" s="34">
        <v>201997768</v>
      </c>
      <c r="AO306" s="34">
        <v>35862500</v>
      </c>
      <c r="AP306" s="34">
        <v>22632589</v>
      </c>
      <c r="AQ306" s="34">
        <v>0</v>
      </c>
      <c r="AR306" s="34">
        <v>0</v>
      </c>
      <c r="AS306" s="34">
        <v>13392857</v>
      </c>
      <c r="AT306" s="34">
        <v>247100000</v>
      </c>
      <c r="AU306" s="34">
        <v>0</v>
      </c>
      <c r="AV306" s="34">
        <v>-15000000</v>
      </c>
      <c r="AW306" s="27" t="s">
        <v>400</v>
      </c>
      <c r="AX306" s="27" t="s">
        <v>400</v>
      </c>
      <c r="AY306" s="27" t="s">
        <v>83</v>
      </c>
      <c r="AZ306" s="27">
        <v>1</v>
      </c>
      <c r="BA306" s="27"/>
      <c r="BB306" s="27" t="s">
        <v>403</v>
      </c>
      <c r="BC306" s="27" t="s">
        <v>4213</v>
      </c>
      <c r="BD306" s="27" t="s">
        <v>365</v>
      </c>
      <c r="BE306" s="27" t="s">
        <v>365</v>
      </c>
      <c r="BF306" s="27" t="s">
        <v>4214</v>
      </c>
      <c r="BG306" s="27" t="s">
        <v>4215</v>
      </c>
      <c r="BH306" s="27" t="s">
        <v>403</v>
      </c>
      <c r="BI306" s="27" t="s">
        <v>416</v>
      </c>
      <c r="BJ306" s="27" t="s">
        <v>4216</v>
      </c>
      <c r="BK306" s="27" t="s">
        <v>407</v>
      </c>
      <c r="BL306" s="27" t="s">
        <v>4217</v>
      </c>
      <c r="BM306" s="35">
        <v>0</v>
      </c>
    </row>
    <row r="307" spans="1:65" s="1" customFormat="1" x14ac:dyDescent="0.2">
      <c r="A307" s="33">
        <v>480</v>
      </c>
      <c r="B307" s="27">
        <v>146</v>
      </c>
      <c r="C307" s="27" t="s">
        <v>503</v>
      </c>
      <c r="D307" s="27" t="s">
        <v>4218</v>
      </c>
      <c r="E307" s="27" t="s">
        <v>414</v>
      </c>
      <c r="F307" s="27" t="s">
        <v>425</v>
      </c>
      <c r="G307" s="28">
        <v>2026</v>
      </c>
      <c r="H307" s="20" t="str">
        <f>VLOOKUP(U307,'[1]KODE TYPE standar'!$D:$U,17,0)</f>
        <v>CALYA</v>
      </c>
      <c r="I307" s="20" t="str">
        <f>VLOOKUP(U307,'[1]KODE TYPE standar'!$D:$U,16,0)</f>
        <v>CALYA</v>
      </c>
      <c r="J307" s="20" t="str">
        <f>VLOOKUP(U307,'[1]KODE TYPE standar'!$D:$U,18,0)</f>
        <v>CALYA G M/T</v>
      </c>
      <c r="K307" s="27" t="s">
        <v>118</v>
      </c>
      <c r="L307" s="27" t="s">
        <v>110</v>
      </c>
      <c r="M307" s="27" t="s">
        <v>262</v>
      </c>
      <c r="N307" s="27" t="s">
        <v>141</v>
      </c>
      <c r="O307" s="28" t="s">
        <v>156</v>
      </c>
      <c r="P307" s="29" t="s">
        <v>536</v>
      </c>
      <c r="Q307" s="29" t="s">
        <v>161</v>
      </c>
      <c r="R307" s="29" t="s">
        <v>1016</v>
      </c>
      <c r="S307" s="27" t="s">
        <v>631</v>
      </c>
      <c r="T307" s="27" t="s">
        <v>509</v>
      </c>
      <c r="U307" s="27" t="s">
        <v>268</v>
      </c>
      <c r="V307" s="27" t="s">
        <v>68</v>
      </c>
      <c r="W307" s="27" t="s">
        <v>69</v>
      </c>
      <c r="X307" s="27" t="s">
        <v>4219</v>
      </c>
      <c r="Y307" s="27" t="s">
        <v>4220</v>
      </c>
      <c r="Z307" s="27" t="s">
        <v>630</v>
      </c>
      <c r="AA307" s="27" t="s">
        <v>631</v>
      </c>
      <c r="AB307" s="27" t="s">
        <v>509</v>
      </c>
      <c r="AC307" s="27" t="s">
        <v>4221</v>
      </c>
      <c r="AD307" s="27" t="s">
        <v>4222</v>
      </c>
      <c r="AE307" s="27" t="s">
        <v>110</v>
      </c>
      <c r="AF307" s="27" t="s">
        <v>4222</v>
      </c>
      <c r="AG307" s="27" t="s">
        <v>4223</v>
      </c>
      <c r="AH307" s="27" t="s">
        <v>1377</v>
      </c>
      <c r="AI307" s="27" t="s">
        <v>141</v>
      </c>
      <c r="AJ307" s="27" t="s">
        <v>262</v>
      </c>
      <c r="AK307" s="27" t="s">
        <v>63</v>
      </c>
      <c r="AL307" s="27"/>
      <c r="AM307" s="34">
        <v>182200000</v>
      </c>
      <c r="AN307" s="34">
        <v>139575893</v>
      </c>
      <c r="AO307" s="34">
        <v>25875000</v>
      </c>
      <c r="AP307" s="34">
        <v>15677678</v>
      </c>
      <c r="AQ307" s="34">
        <v>0</v>
      </c>
      <c r="AR307" s="34">
        <v>0</v>
      </c>
      <c r="AS307" s="34">
        <v>8928571</v>
      </c>
      <c r="AT307" s="34">
        <v>172200000</v>
      </c>
      <c r="AU307" s="34">
        <v>290000</v>
      </c>
      <c r="AV307" s="34">
        <v>-10000000</v>
      </c>
      <c r="AW307" s="27"/>
      <c r="AX307" s="27"/>
      <c r="AY307" s="27" t="s">
        <v>83</v>
      </c>
      <c r="AZ307" s="27">
        <v>1</v>
      </c>
      <c r="BA307" s="27"/>
      <c r="BB307" s="27" t="s">
        <v>414</v>
      </c>
      <c r="BC307" s="27" t="s">
        <v>4224</v>
      </c>
      <c r="BD307" s="27" t="s">
        <v>431</v>
      </c>
      <c r="BE307" s="27" t="s">
        <v>431</v>
      </c>
      <c r="BF307" s="27" t="s">
        <v>4225</v>
      </c>
      <c r="BG307" s="27" t="s">
        <v>4226</v>
      </c>
      <c r="BH307" s="27"/>
      <c r="BI307" s="27" t="s">
        <v>422</v>
      </c>
      <c r="BJ307" s="27" t="s">
        <v>4227</v>
      </c>
      <c r="BK307" s="27" t="s">
        <v>430</v>
      </c>
      <c r="BL307" s="27" t="s">
        <v>4228</v>
      </c>
      <c r="BM307" s="35">
        <v>0</v>
      </c>
    </row>
    <row r="308" spans="1:65" s="1" customFormat="1" x14ac:dyDescent="0.2">
      <c r="A308" s="33">
        <v>541</v>
      </c>
      <c r="B308" s="27">
        <v>146</v>
      </c>
      <c r="C308" s="27" t="s">
        <v>503</v>
      </c>
      <c r="D308" s="27" t="s">
        <v>4229</v>
      </c>
      <c r="E308" s="27" t="s">
        <v>414</v>
      </c>
      <c r="F308" s="27" t="s">
        <v>425</v>
      </c>
      <c r="G308" s="28">
        <v>2026</v>
      </c>
      <c r="H308" s="20" t="str">
        <f>VLOOKUP(U308,'[1]KODE TYPE standar'!$D:$U,17,0)</f>
        <v>INV REBORN</v>
      </c>
      <c r="I308" s="20" t="str">
        <f>VLOOKUP(U308,'[1]KODE TYPE standar'!$D:$U,16,0)</f>
        <v>INNOVA</v>
      </c>
      <c r="J308" s="20" t="str">
        <f>VLOOKUP(U308,'[1]KODE TYPE standar'!$D:$U,18,0)</f>
        <v>INNOVA G A/T DIESEL</v>
      </c>
      <c r="K308" s="27" t="s">
        <v>121</v>
      </c>
      <c r="L308" s="27" t="s">
        <v>110</v>
      </c>
      <c r="M308" s="27" t="s">
        <v>262</v>
      </c>
      <c r="N308" s="27" t="s">
        <v>140</v>
      </c>
      <c r="O308" s="28" t="s">
        <v>156</v>
      </c>
      <c r="P308" s="29" t="s">
        <v>536</v>
      </c>
      <c r="Q308" s="29" t="s">
        <v>162</v>
      </c>
      <c r="R308" s="29" t="s">
        <v>145</v>
      </c>
      <c r="S308" s="27" t="s">
        <v>908</v>
      </c>
      <c r="T308" s="27" t="s">
        <v>509</v>
      </c>
      <c r="U308" s="27" t="s">
        <v>192</v>
      </c>
      <c r="V308" s="27" t="s">
        <v>283</v>
      </c>
      <c r="W308" s="27" t="s">
        <v>284</v>
      </c>
      <c r="X308" s="27" t="s">
        <v>4230</v>
      </c>
      <c r="Y308" s="27" t="s">
        <v>4231</v>
      </c>
      <c r="Z308" s="27" t="s">
        <v>907</v>
      </c>
      <c r="AA308" s="27" t="s">
        <v>908</v>
      </c>
      <c r="AB308" s="27" t="s">
        <v>509</v>
      </c>
      <c r="AC308" s="27" t="s">
        <v>4232</v>
      </c>
      <c r="AD308" s="27" t="s">
        <v>4233</v>
      </c>
      <c r="AE308" s="27" t="s">
        <v>110</v>
      </c>
      <c r="AF308" s="27" t="s">
        <v>4233</v>
      </c>
      <c r="AG308" s="27" t="s">
        <v>4234</v>
      </c>
      <c r="AH308" s="27" t="s">
        <v>1637</v>
      </c>
      <c r="AI308" s="27" t="s">
        <v>140</v>
      </c>
      <c r="AJ308" s="27" t="s">
        <v>262</v>
      </c>
      <c r="AK308" s="27" t="s">
        <v>104</v>
      </c>
      <c r="AL308" s="27"/>
      <c r="AM308" s="34">
        <v>442700000</v>
      </c>
      <c r="AN308" s="34">
        <v>343091518</v>
      </c>
      <c r="AO308" s="34">
        <v>58437500</v>
      </c>
      <c r="AP308" s="34">
        <v>38920982</v>
      </c>
      <c r="AQ308" s="34">
        <v>0</v>
      </c>
      <c r="AR308" s="34">
        <v>0</v>
      </c>
      <c r="AS308" s="34">
        <v>18750000</v>
      </c>
      <c r="AT308" s="34">
        <v>421700000</v>
      </c>
      <c r="AU308" s="34">
        <v>38635000</v>
      </c>
      <c r="AV308" s="34">
        <v>-21000000</v>
      </c>
      <c r="AW308" s="27"/>
      <c r="AX308" s="27"/>
      <c r="AY308" s="27" t="s">
        <v>83</v>
      </c>
      <c r="AZ308" s="27">
        <v>1</v>
      </c>
      <c r="BA308" s="27" t="s">
        <v>4235</v>
      </c>
      <c r="BB308" s="27" t="s">
        <v>414</v>
      </c>
      <c r="BC308" s="27" t="s">
        <v>4236</v>
      </c>
      <c r="BD308" s="27" t="s">
        <v>406</v>
      </c>
      <c r="BE308" s="27" t="s">
        <v>406</v>
      </c>
      <c r="BF308" s="27" t="s">
        <v>4237</v>
      </c>
      <c r="BG308" s="27" t="s">
        <v>4238</v>
      </c>
      <c r="BH308" s="27"/>
      <c r="BI308" s="27" t="s">
        <v>422</v>
      </c>
      <c r="BJ308" s="27" t="s">
        <v>4239</v>
      </c>
      <c r="BK308" s="27" t="s">
        <v>430</v>
      </c>
      <c r="BL308" s="27" t="s">
        <v>4240</v>
      </c>
      <c r="BM308" s="35">
        <v>0</v>
      </c>
    </row>
    <row r="309" spans="1:65" s="1" customFormat="1" x14ac:dyDescent="0.2">
      <c r="A309" s="33">
        <v>561</v>
      </c>
      <c r="B309" s="27">
        <v>146</v>
      </c>
      <c r="C309" s="27" t="s">
        <v>503</v>
      </c>
      <c r="D309" s="27" t="s">
        <v>4241</v>
      </c>
      <c r="E309" s="27" t="s">
        <v>408</v>
      </c>
      <c r="F309" s="27" t="s">
        <v>425</v>
      </c>
      <c r="G309" s="28">
        <v>2026</v>
      </c>
      <c r="H309" s="20" t="str">
        <f>VLOOKUP(U309,'[1]KODE TYPE standar'!$D:$U,17,0)</f>
        <v>INV ZENIX HYBRID</v>
      </c>
      <c r="I309" s="20" t="str">
        <f>VLOOKUP(U309,'[1]KODE TYPE standar'!$D:$U,16,0)</f>
        <v>INNOVA</v>
      </c>
      <c r="J309" s="20" t="str">
        <f>VLOOKUP(U309,'[1]KODE TYPE standar'!$D:$U,18,0)</f>
        <v>INNOVA ZENIX Q A/T HYBRID</v>
      </c>
      <c r="K309" s="27" t="s">
        <v>50</v>
      </c>
      <c r="L309" s="27" t="s">
        <v>110</v>
      </c>
      <c r="M309" s="27" t="s">
        <v>50</v>
      </c>
      <c r="N309" s="27" t="s">
        <v>141</v>
      </c>
      <c r="O309" s="28" t="s">
        <v>156</v>
      </c>
      <c r="P309" s="29" t="s">
        <v>150</v>
      </c>
      <c r="Q309" s="29" t="s">
        <v>162</v>
      </c>
      <c r="R309" s="29" t="s">
        <v>145</v>
      </c>
      <c r="S309" s="27" t="s">
        <v>524</v>
      </c>
      <c r="T309" s="27" t="s">
        <v>509</v>
      </c>
      <c r="U309" s="27" t="s">
        <v>174</v>
      </c>
      <c r="V309" s="27" t="s">
        <v>48</v>
      </c>
      <c r="W309" s="27" t="s">
        <v>49</v>
      </c>
      <c r="X309" s="27" t="s">
        <v>4242</v>
      </c>
      <c r="Y309" s="27" t="s">
        <v>4243</v>
      </c>
      <c r="Z309" s="27" t="s">
        <v>523</v>
      </c>
      <c r="AA309" s="27" t="s">
        <v>524</v>
      </c>
      <c r="AB309" s="27" t="s">
        <v>509</v>
      </c>
      <c r="AC309" s="27" t="s">
        <v>4244</v>
      </c>
      <c r="AD309" s="27" t="s">
        <v>4245</v>
      </c>
      <c r="AE309" s="27" t="s">
        <v>110</v>
      </c>
      <c r="AF309" s="27" t="s">
        <v>4246</v>
      </c>
      <c r="AG309" s="27" t="s">
        <v>4247</v>
      </c>
      <c r="AH309" s="27" t="s">
        <v>1602</v>
      </c>
      <c r="AI309" s="27" t="s">
        <v>141</v>
      </c>
      <c r="AJ309" s="27" t="s">
        <v>50</v>
      </c>
      <c r="AK309" s="27" t="s">
        <v>50</v>
      </c>
      <c r="AL309" s="27"/>
      <c r="AM309" s="34">
        <v>628200000</v>
      </c>
      <c r="AN309" s="34">
        <v>488013393</v>
      </c>
      <c r="AO309" s="34">
        <v>81625000</v>
      </c>
      <c r="AP309" s="34">
        <v>56418750</v>
      </c>
      <c r="AQ309" s="34">
        <v>0</v>
      </c>
      <c r="AR309" s="34">
        <v>0</v>
      </c>
      <c r="AS309" s="34">
        <v>17857143</v>
      </c>
      <c r="AT309" s="34">
        <v>608200000</v>
      </c>
      <c r="AU309" s="34">
        <v>8200000</v>
      </c>
      <c r="AV309" s="34">
        <v>-20000000</v>
      </c>
      <c r="AW309" s="27" t="s">
        <v>415</v>
      </c>
      <c r="AX309" s="27" t="s">
        <v>415</v>
      </c>
      <c r="AY309" s="27" t="s">
        <v>83</v>
      </c>
      <c r="AZ309" s="27">
        <v>1</v>
      </c>
      <c r="BA309" s="27"/>
      <c r="BB309" s="27" t="s">
        <v>396</v>
      </c>
      <c r="BC309" s="27" t="s">
        <v>4248</v>
      </c>
      <c r="BD309" s="27" t="s">
        <v>396</v>
      </c>
      <c r="BE309" s="27" t="s">
        <v>396</v>
      </c>
      <c r="BF309" s="27" t="s">
        <v>4249</v>
      </c>
      <c r="BG309" s="27" t="s">
        <v>4250</v>
      </c>
      <c r="BH309" s="27" t="s">
        <v>408</v>
      </c>
      <c r="BI309" s="27" t="s">
        <v>430</v>
      </c>
      <c r="BJ309" s="27" t="s">
        <v>4251</v>
      </c>
      <c r="BK309" s="27" t="s">
        <v>365</v>
      </c>
      <c r="BL309" s="27" t="s">
        <v>4252</v>
      </c>
      <c r="BM309" s="35">
        <v>0</v>
      </c>
    </row>
    <row r="310" spans="1:65" s="1" customFormat="1" x14ac:dyDescent="0.2">
      <c r="A310" s="33">
        <v>588</v>
      </c>
      <c r="B310" s="27">
        <v>146</v>
      </c>
      <c r="C310" s="27" t="s">
        <v>503</v>
      </c>
      <c r="D310" s="27" t="s">
        <v>4253</v>
      </c>
      <c r="E310" s="27" t="s">
        <v>406</v>
      </c>
      <c r="F310" s="27" t="s">
        <v>425</v>
      </c>
      <c r="G310" s="28">
        <v>2026</v>
      </c>
      <c r="H310" s="20" t="str">
        <f>VLOOKUP(U310,'[1]KODE TYPE standar'!$D:$U,17,0)</f>
        <v>AGYA</v>
      </c>
      <c r="I310" s="20" t="str">
        <f>VLOOKUP(U310,'[1]KODE TYPE standar'!$D:$U,16,0)</f>
        <v>AGYA</v>
      </c>
      <c r="J310" s="20" t="str">
        <f>VLOOKUP(U310,'[1]KODE TYPE standar'!$D:$U,18,0)</f>
        <v>AGYA G A/T</v>
      </c>
      <c r="K310" s="27" t="s">
        <v>118</v>
      </c>
      <c r="L310" s="27" t="s">
        <v>110</v>
      </c>
      <c r="M310" s="27" t="s">
        <v>262</v>
      </c>
      <c r="N310" s="27" t="s">
        <v>140</v>
      </c>
      <c r="O310" s="28" t="s">
        <v>156</v>
      </c>
      <c r="P310" s="29" t="s">
        <v>149</v>
      </c>
      <c r="Q310" s="29" t="s">
        <v>161</v>
      </c>
      <c r="R310" s="29" t="s">
        <v>597</v>
      </c>
      <c r="S310" s="27" t="s">
        <v>508</v>
      </c>
      <c r="T310" s="27" t="s">
        <v>509</v>
      </c>
      <c r="U310" s="27" t="s">
        <v>74</v>
      </c>
      <c r="V310" s="27" t="s">
        <v>60</v>
      </c>
      <c r="W310" s="27" t="s">
        <v>61</v>
      </c>
      <c r="X310" s="27" t="s">
        <v>4254</v>
      </c>
      <c r="Y310" s="27" t="s">
        <v>4255</v>
      </c>
      <c r="Z310" s="27" t="s">
        <v>507</v>
      </c>
      <c r="AA310" s="27" t="s">
        <v>508</v>
      </c>
      <c r="AB310" s="27" t="s">
        <v>509</v>
      </c>
      <c r="AC310" s="27" t="s">
        <v>4256</v>
      </c>
      <c r="AD310" s="27" t="s">
        <v>4257</v>
      </c>
      <c r="AE310" s="27" t="s">
        <v>110</v>
      </c>
      <c r="AF310" s="27" t="s">
        <v>4257</v>
      </c>
      <c r="AG310" s="27" t="s">
        <v>4258</v>
      </c>
      <c r="AH310" s="27" t="s">
        <v>844</v>
      </c>
      <c r="AI310" s="27" t="s">
        <v>140</v>
      </c>
      <c r="AJ310" s="27" t="s">
        <v>262</v>
      </c>
      <c r="AK310" s="27" t="s">
        <v>63</v>
      </c>
      <c r="AL310" s="27"/>
      <c r="AM310" s="34">
        <v>200800000</v>
      </c>
      <c r="AN310" s="34">
        <v>154107143</v>
      </c>
      <c r="AO310" s="34">
        <v>28200000</v>
      </c>
      <c r="AP310" s="34">
        <v>17421428</v>
      </c>
      <c r="AQ310" s="34">
        <v>0</v>
      </c>
      <c r="AR310" s="34">
        <v>0</v>
      </c>
      <c r="AS310" s="34">
        <v>8928571</v>
      </c>
      <c r="AT310" s="34">
        <v>190800000</v>
      </c>
      <c r="AU310" s="34">
        <v>0</v>
      </c>
      <c r="AV310" s="34">
        <v>-10000000</v>
      </c>
      <c r="AW310" s="27" t="s">
        <v>400</v>
      </c>
      <c r="AX310" s="27" t="s">
        <v>400</v>
      </c>
      <c r="AY310" s="27" t="s">
        <v>83</v>
      </c>
      <c r="AZ310" s="27">
        <v>1</v>
      </c>
      <c r="BA310" s="27" t="s">
        <v>163</v>
      </c>
      <c r="BB310" s="27" t="s">
        <v>392</v>
      </c>
      <c r="BC310" s="27" t="s">
        <v>4259</v>
      </c>
      <c r="BD310" s="27" t="s">
        <v>393</v>
      </c>
      <c r="BE310" s="27" t="s">
        <v>393</v>
      </c>
      <c r="BF310" s="27" t="s">
        <v>4260</v>
      </c>
      <c r="BG310" s="27" t="s">
        <v>4261</v>
      </c>
      <c r="BH310" s="27" t="s">
        <v>406</v>
      </c>
      <c r="BI310" s="27" t="s">
        <v>433</v>
      </c>
      <c r="BJ310" s="27" t="s">
        <v>4262</v>
      </c>
      <c r="BK310" s="27" t="s">
        <v>411</v>
      </c>
      <c r="BL310" s="27" t="s">
        <v>4263</v>
      </c>
      <c r="BM310" s="35">
        <v>0</v>
      </c>
    </row>
    <row r="311" spans="1:65" s="1" customFormat="1" x14ac:dyDescent="0.2">
      <c r="A311" s="33">
        <v>594</v>
      </c>
      <c r="B311" s="27">
        <v>146</v>
      </c>
      <c r="C311" s="27" t="s">
        <v>503</v>
      </c>
      <c r="D311" s="27" t="s">
        <v>4264</v>
      </c>
      <c r="E311" s="27" t="s">
        <v>435</v>
      </c>
      <c r="F311" s="27" t="s">
        <v>425</v>
      </c>
      <c r="G311" s="28">
        <v>2026</v>
      </c>
      <c r="H311" s="20" t="str">
        <f>VLOOKUP(U311,'[1]KODE TYPE standar'!$D:$U,17,0)</f>
        <v>INV REBORN</v>
      </c>
      <c r="I311" s="20" t="str">
        <f>VLOOKUP(U311,'[1]KODE TYPE standar'!$D:$U,16,0)</f>
        <v>INNOVA</v>
      </c>
      <c r="J311" s="20" t="str">
        <f>VLOOKUP(U311,'[1]KODE TYPE standar'!$D:$U,18,0)</f>
        <v>INNOVA G A/T DIESEL</v>
      </c>
      <c r="K311" s="27" t="s">
        <v>118</v>
      </c>
      <c r="L311" s="27" t="s">
        <v>110</v>
      </c>
      <c r="M311" s="27" t="s">
        <v>262</v>
      </c>
      <c r="N311" s="27" t="s">
        <v>140</v>
      </c>
      <c r="O311" s="28" t="s">
        <v>156</v>
      </c>
      <c r="P311" s="29" t="s">
        <v>151</v>
      </c>
      <c r="Q311" s="29" t="s">
        <v>161</v>
      </c>
      <c r="R311" s="29" t="s">
        <v>597</v>
      </c>
      <c r="S311" s="27" t="s">
        <v>631</v>
      </c>
      <c r="T311" s="27" t="s">
        <v>509</v>
      </c>
      <c r="U311" s="27" t="s">
        <v>192</v>
      </c>
      <c r="V311" s="27" t="s">
        <v>93</v>
      </c>
      <c r="W311" s="27" t="s">
        <v>81</v>
      </c>
      <c r="X311" s="27" t="s">
        <v>4265</v>
      </c>
      <c r="Y311" s="27" t="s">
        <v>4266</v>
      </c>
      <c r="Z311" s="27" t="s">
        <v>630</v>
      </c>
      <c r="AA311" s="27" t="s">
        <v>631</v>
      </c>
      <c r="AB311" s="27" t="s">
        <v>509</v>
      </c>
      <c r="AC311" s="27" t="s">
        <v>4267</v>
      </c>
      <c r="AD311" s="27" t="s">
        <v>4268</v>
      </c>
      <c r="AE311" s="27" t="s">
        <v>110</v>
      </c>
      <c r="AF311" s="27" t="s">
        <v>4269</v>
      </c>
      <c r="AG311" s="27" t="s">
        <v>4270</v>
      </c>
      <c r="AH311" s="27" t="s">
        <v>3170</v>
      </c>
      <c r="AI311" s="27" t="s">
        <v>140</v>
      </c>
      <c r="AJ311" s="27" t="s">
        <v>262</v>
      </c>
      <c r="AK311" s="27" t="s">
        <v>63</v>
      </c>
      <c r="AL311" s="27"/>
      <c r="AM311" s="34">
        <v>442700000</v>
      </c>
      <c r="AN311" s="34">
        <v>343091518</v>
      </c>
      <c r="AO311" s="34">
        <v>58437500</v>
      </c>
      <c r="AP311" s="34">
        <v>39028125</v>
      </c>
      <c r="AQ311" s="34">
        <v>0</v>
      </c>
      <c r="AR311" s="34">
        <v>0</v>
      </c>
      <c r="AS311" s="34">
        <v>17857143</v>
      </c>
      <c r="AT311" s="34">
        <v>422700000</v>
      </c>
      <c r="AU311" s="34">
        <v>3000000</v>
      </c>
      <c r="AV311" s="34">
        <v>-20000000</v>
      </c>
      <c r="AW311" s="27" t="s">
        <v>409</v>
      </c>
      <c r="AX311" s="27" t="s">
        <v>409</v>
      </c>
      <c r="AY311" s="27" t="s">
        <v>83</v>
      </c>
      <c r="AZ311" s="27">
        <v>1</v>
      </c>
      <c r="BA311" s="27"/>
      <c r="BB311" s="27" t="s">
        <v>435</v>
      </c>
      <c r="BC311" s="27" t="s">
        <v>4271</v>
      </c>
      <c r="BD311" s="27" t="s">
        <v>441</v>
      </c>
      <c r="BE311" s="27" t="s">
        <v>441</v>
      </c>
      <c r="BF311" s="27" t="s">
        <v>4272</v>
      </c>
      <c r="BG311" s="27" t="s">
        <v>4273</v>
      </c>
      <c r="BH311" s="27" t="s">
        <v>435</v>
      </c>
      <c r="BI311" s="27" t="s">
        <v>437</v>
      </c>
      <c r="BJ311" s="27" t="s">
        <v>4274</v>
      </c>
      <c r="BK311" s="27" t="s">
        <v>406</v>
      </c>
      <c r="BL311" s="27" t="s">
        <v>4275</v>
      </c>
      <c r="BM311" s="35">
        <v>0</v>
      </c>
    </row>
    <row r="312" spans="1:65" s="1" customFormat="1" x14ac:dyDescent="0.2">
      <c r="A312" s="33">
        <v>626</v>
      </c>
      <c r="B312" s="27">
        <v>146</v>
      </c>
      <c r="C312" s="27" t="s">
        <v>503</v>
      </c>
      <c r="D312" s="27" t="s">
        <v>4276</v>
      </c>
      <c r="E312" s="27" t="s">
        <v>432</v>
      </c>
      <c r="F312" s="27" t="s">
        <v>425</v>
      </c>
      <c r="G312" s="28">
        <v>2026</v>
      </c>
      <c r="H312" s="20" t="str">
        <f>VLOOKUP(U312,'[1]KODE TYPE standar'!$D:$U,17,0)</f>
        <v>RAIZE</v>
      </c>
      <c r="I312" s="20" t="str">
        <f>VLOOKUP(U312,'[1]KODE TYPE standar'!$D:$U,16,0)</f>
        <v>RAIZE</v>
      </c>
      <c r="J312" s="20" t="str">
        <f>VLOOKUP(U312,'[1]KODE TYPE standar'!$D:$U,18,0)</f>
        <v>RAIZE G M/T</v>
      </c>
      <c r="K312" s="27" t="s">
        <v>50</v>
      </c>
      <c r="L312" s="27" t="s">
        <v>110</v>
      </c>
      <c r="M312" s="27" t="s">
        <v>50</v>
      </c>
      <c r="N312" s="27" t="s">
        <v>141</v>
      </c>
      <c r="O312" s="28" t="s">
        <v>156</v>
      </c>
      <c r="P312" s="29" t="s">
        <v>149</v>
      </c>
      <c r="Q312" s="29" t="s">
        <v>162</v>
      </c>
      <c r="R312" s="29" t="s">
        <v>145</v>
      </c>
      <c r="S312" s="27" t="s">
        <v>1373</v>
      </c>
      <c r="T312" s="27" t="s">
        <v>509</v>
      </c>
      <c r="U312" s="27" t="s">
        <v>4277</v>
      </c>
      <c r="V312" s="27" t="s">
        <v>310</v>
      </c>
      <c r="W312" s="27" t="s">
        <v>311</v>
      </c>
      <c r="X312" s="27" t="s">
        <v>4278</v>
      </c>
      <c r="Y312" s="27" t="s">
        <v>4279</v>
      </c>
      <c r="Z312" s="27" t="s">
        <v>1372</v>
      </c>
      <c r="AA312" s="27" t="s">
        <v>1373</v>
      </c>
      <c r="AB312" s="27" t="s">
        <v>509</v>
      </c>
      <c r="AC312" s="27" t="s">
        <v>4280</v>
      </c>
      <c r="AD312" s="27" t="s">
        <v>4281</v>
      </c>
      <c r="AE312" s="27" t="s">
        <v>110</v>
      </c>
      <c r="AF312" s="27" t="s">
        <v>4282</v>
      </c>
      <c r="AG312" s="27" t="s">
        <v>4283</v>
      </c>
      <c r="AH312" s="27" t="s">
        <v>170</v>
      </c>
      <c r="AI312" s="27" t="s">
        <v>141</v>
      </c>
      <c r="AJ312" s="27" t="s">
        <v>50</v>
      </c>
      <c r="AK312" s="27" t="s">
        <v>50</v>
      </c>
      <c r="AL312" s="27"/>
      <c r="AM312" s="34">
        <v>246900000</v>
      </c>
      <c r="AN312" s="34">
        <v>190122768</v>
      </c>
      <c r="AO312" s="34">
        <v>33962500</v>
      </c>
      <c r="AP312" s="34">
        <v>21207589</v>
      </c>
      <c r="AQ312" s="34">
        <v>0</v>
      </c>
      <c r="AR312" s="34">
        <v>0</v>
      </c>
      <c r="AS312" s="34">
        <v>13392857</v>
      </c>
      <c r="AT312" s="34">
        <v>231900000</v>
      </c>
      <c r="AU312" s="34">
        <v>3300000</v>
      </c>
      <c r="AV312" s="34">
        <v>-15000000</v>
      </c>
      <c r="AW312" s="27" t="s">
        <v>442</v>
      </c>
      <c r="AX312" s="27" t="s">
        <v>442</v>
      </c>
      <c r="AY312" s="27" t="s">
        <v>83</v>
      </c>
      <c r="AZ312" s="27">
        <v>1</v>
      </c>
      <c r="BA312" s="27"/>
      <c r="BB312" s="27" t="s">
        <v>237</v>
      </c>
      <c r="BC312" s="27" t="s">
        <v>4284</v>
      </c>
      <c r="BD312" s="27" t="s">
        <v>260</v>
      </c>
      <c r="BE312" s="27" t="s">
        <v>260</v>
      </c>
      <c r="BF312" s="27" t="s">
        <v>4285</v>
      </c>
      <c r="BG312" s="27" t="s">
        <v>4286</v>
      </c>
      <c r="BH312" s="27" t="s">
        <v>432</v>
      </c>
      <c r="BI312" s="27" t="s">
        <v>421</v>
      </c>
      <c r="BJ312" s="27" t="s">
        <v>4287</v>
      </c>
      <c r="BK312" s="27" t="s">
        <v>416</v>
      </c>
      <c r="BL312" s="27" t="s">
        <v>4288</v>
      </c>
      <c r="BM312" s="35">
        <v>0</v>
      </c>
    </row>
    <row r="313" spans="1:65" s="1" customFormat="1" x14ac:dyDescent="0.2">
      <c r="A313" s="33">
        <v>632</v>
      </c>
      <c r="B313" s="27">
        <v>146</v>
      </c>
      <c r="C313" s="27" t="s">
        <v>503</v>
      </c>
      <c r="D313" s="27" t="s">
        <v>4289</v>
      </c>
      <c r="E313" s="27" t="s">
        <v>406</v>
      </c>
      <c r="F313" s="27" t="s">
        <v>425</v>
      </c>
      <c r="G313" s="28">
        <v>2026</v>
      </c>
      <c r="H313" s="20" t="str">
        <f>VLOOKUP(U313,'[1]KODE TYPE standar'!$D:$U,17,0)</f>
        <v>CALYA</v>
      </c>
      <c r="I313" s="20" t="str">
        <f>VLOOKUP(U313,'[1]KODE TYPE standar'!$D:$U,16,0)</f>
        <v>CALYA</v>
      </c>
      <c r="J313" s="20" t="str">
        <f>VLOOKUP(U313,'[1]KODE TYPE standar'!$D:$U,18,0)</f>
        <v>CALYA G M/T</v>
      </c>
      <c r="K313" s="27" t="s">
        <v>118</v>
      </c>
      <c r="L313" s="27" t="s">
        <v>110</v>
      </c>
      <c r="M313" s="27" t="s">
        <v>262</v>
      </c>
      <c r="N313" s="27" t="s">
        <v>106</v>
      </c>
      <c r="O313" s="28" t="s">
        <v>156</v>
      </c>
      <c r="P313" s="29" t="s">
        <v>151</v>
      </c>
      <c r="Q313" s="29" t="s">
        <v>161</v>
      </c>
      <c r="R313" s="29" t="s">
        <v>597</v>
      </c>
      <c r="S313" s="27" t="s">
        <v>1476</v>
      </c>
      <c r="T313" s="27" t="s">
        <v>541</v>
      </c>
      <c r="U313" s="27" t="s">
        <v>268</v>
      </c>
      <c r="V313" s="27" t="s">
        <v>1912</v>
      </c>
      <c r="W313" s="27" t="s">
        <v>1913</v>
      </c>
      <c r="X313" s="27" t="s">
        <v>4290</v>
      </c>
      <c r="Y313" s="27" t="s">
        <v>4291</v>
      </c>
      <c r="Z313" s="27" t="s">
        <v>1475</v>
      </c>
      <c r="AA313" s="27" t="s">
        <v>1476</v>
      </c>
      <c r="AB313" s="27" t="s">
        <v>541</v>
      </c>
      <c r="AC313" s="27" t="s">
        <v>4292</v>
      </c>
      <c r="AD313" s="27" t="s">
        <v>4293</v>
      </c>
      <c r="AE313" s="27" t="s">
        <v>110</v>
      </c>
      <c r="AF313" s="27" t="s">
        <v>4294</v>
      </c>
      <c r="AG313" s="27" t="s">
        <v>4295</v>
      </c>
      <c r="AH313" s="27" t="s">
        <v>2491</v>
      </c>
      <c r="AI313" s="27" t="s">
        <v>106</v>
      </c>
      <c r="AJ313" s="27" t="s">
        <v>262</v>
      </c>
      <c r="AK313" s="27" t="s">
        <v>63</v>
      </c>
      <c r="AL313" s="27"/>
      <c r="AM313" s="34">
        <v>182200000</v>
      </c>
      <c r="AN313" s="34">
        <v>139575893</v>
      </c>
      <c r="AO313" s="34">
        <v>25875000</v>
      </c>
      <c r="AP313" s="34">
        <v>15677678</v>
      </c>
      <c r="AQ313" s="34">
        <v>0</v>
      </c>
      <c r="AR313" s="34">
        <v>0</v>
      </c>
      <c r="AS313" s="34">
        <v>8928571</v>
      </c>
      <c r="AT313" s="34">
        <v>172200000</v>
      </c>
      <c r="AU313" s="34">
        <v>0</v>
      </c>
      <c r="AV313" s="34">
        <v>-10000000</v>
      </c>
      <c r="AW313" s="27" t="s">
        <v>400</v>
      </c>
      <c r="AX313" s="27" t="s">
        <v>400</v>
      </c>
      <c r="AY313" s="27" t="s">
        <v>83</v>
      </c>
      <c r="AZ313" s="27">
        <v>1</v>
      </c>
      <c r="BA313" s="27"/>
      <c r="BB313" s="27" t="s">
        <v>344</v>
      </c>
      <c r="BC313" s="27" t="s">
        <v>4296</v>
      </c>
      <c r="BD313" s="27" t="s">
        <v>399</v>
      </c>
      <c r="BE313" s="27" t="s">
        <v>399</v>
      </c>
      <c r="BF313" s="27" t="s">
        <v>4297</v>
      </c>
      <c r="BG313" s="27" t="s">
        <v>4298</v>
      </c>
      <c r="BH313" s="27" t="s">
        <v>406</v>
      </c>
      <c r="BI313" s="27" t="s">
        <v>433</v>
      </c>
      <c r="BJ313" s="27" t="s">
        <v>4299</v>
      </c>
      <c r="BK313" s="27" t="s">
        <v>411</v>
      </c>
      <c r="BL313" s="27" t="s">
        <v>4300</v>
      </c>
      <c r="BM313" s="35">
        <v>0</v>
      </c>
    </row>
    <row r="314" spans="1:65" s="1" customFormat="1" x14ac:dyDescent="0.2">
      <c r="A314" s="33">
        <v>711</v>
      </c>
      <c r="B314" s="27">
        <v>146</v>
      </c>
      <c r="C314" s="27" t="s">
        <v>503</v>
      </c>
      <c r="D314" s="27" t="s">
        <v>4301</v>
      </c>
      <c r="E314" s="27" t="s">
        <v>345</v>
      </c>
      <c r="F314" s="27" t="s">
        <v>425</v>
      </c>
      <c r="G314" s="28">
        <v>2026</v>
      </c>
      <c r="H314" s="20" t="str">
        <f>VLOOKUP(U314,'[1]KODE TYPE standar'!$D:$U,17,0)</f>
        <v>RUSH</v>
      </c>
      <c r="I314" s="20" t="str">
        <f>VLOOKUP(U314,'[1]KODE TYPE standar'!$D:$U,16,0)</f>
        <v>RUSH</v>
      </c>
      <c r="J314" s="20" t="str">
        <f>VLOOKUP(U314,'[1]KODE TYPE standar'!$D:$U,18,0)</f>
        <v>RUSH S M/T</v>
      </c>
      <c r="K314" s="27" t="s">
        <v>118</v>
      </c>
      <c r="L314" s="27" t="s">
        <v>110</v>
      </c>
      <c r="M314" s="27" t="s">
        <v>262</v>
      </c>
      <c r="N314" s="27" t="s">
        <v>140</v>
      </c>
      <c r="O314" s="28" t="s">
        <v>156</v>
      </c>
      <c r="P314" s="29" t="s">
        <v>149</v>
      </c>
      <c r="Q314" s="29" t="s">
        <v>161</v>
      </c>
      <c r="R314" s="29" t="s">
        <v>597</v>
      </c>
      <c r="S314" s="27" t="s">
        <v>631</v>
      </c>
      <c r="T314" s="27" t="s">
        <v>509</v>
      </c>
      <c r="U314" s="27" t="s">
        <v>276</v>
      </c>
      <c r="V314" s="27" t="s">
        <v>64</v>
      </c>
      <c r="W314" s="27" t="s">
        <v>65</v>
      </c>
      <c r="X314" s="27" t="s">
        <v>4302</v>
      </c>
      <c r="Y314" s="27" t="s">
        <v>4303</v>
      </c>
      <c r="Z314" s="27" t="s">
        <v>630</v>
      </c>
      <c r="AA314" s="27" t="s">
        <v>631</v>
      </c>
      <c r="AB314" s="27" t="s">
        <v>509</v>
      </c>
      <c r="AC314" s="27" t="s">
        <v>4304</v>
      </c>
      <c r="AD314" s="27" t="s">
        <v>4305</v>
      </c>
      <c r="AE314" s="27" t="s">
        <v>110</v>
      </c>
      <c r="AF314" s="27" t="s">
        <v>4306</v>
      </c>
      <c r="AG314" s="27" t="s">
        <v>4307</v>
      </c>
      <c r="AH314" s="27" t="s">
        <v>1745</v>
      </c>
      <c r="AI314" s="27" t="s">
        <v>140</v>
      </c>
      <c r="AJ314" s="27" t="s">
        <v>262</v>
      </c>
      <c r="AK314" s="27" t="s">
        <v>63</v>
      </c>
      <c r="AL314" s="27"/>
      <c r="AM314" s="34">
        <v>311800000</v>
      </c>
      <c r="AN314" s="34">
        <v>240825893</v>
      </c>
      <c r="AO314" s="34">
        <v>42075000</v>
      </c>
      <c r="AP314" s="34">
        <v>27291964</v>
      </c>
      <c r="AQ314" s="34">
        <v>0</v>
      </c>
      <c r="AR314" s="34">
        <v>0</v>
      </c>
      <c r="AS314" s="34">
        <v>13392857</v>
      </c>
      <c r="AT314" s="34">
        <v>296800000</v>
      </c>
      <c r="AU314" s="34">
        <v>5000000</v>
      </c>
      <c r="AV314" s="34">
        <v>-15000000</v>
      </c>
      <c r="AW314" s="27" t="s">
        <v>432</v>
      </c>
      <c r="AX314" s="27" t="s">
        <v>432</v>
      </c>
      <c r="AY314" s="27" t="s">
        <v>83</v>
      </c>
      <c r="AZ314" s="27">
        <v>1</v>
      </c>
      <c r="BA314" s="27"/>
      <c r="BB314" s="27" t="s">
        <v>345</v>
      </c>
      <c r="BC314" s="27" t="s">
        <v>4308</v>
      </c>
      <c r="BD314" s="27" t="s">
        <v>400</v>
      </c>
      <c r="BE314" s="27" t="s">
        <v>400</v>
      </c>
      <c r="BF314" s="27" t="s">
        <v>4309</v>
      </c>
      <c r="BG314" s="27" t="s">
        <v>4310</v>
      </c>
      <c r="BH314" s="27" t="s">
        <v>345</v>
      </c>
      <c r="BI314" s="27" t="s">
        <v>419</v>
      </c>
      <c r="BJ314" s="27" t="s">
        <v>4311</v>
      </c>
      <c r="BK314" s="27" t="s">
        <v>400</v>
      </c>
      <c r="BL314" s="27" t="s">
        <v>4312</v>
      </c>
      <c r="BM314" s="35">
        <v>0</v>
      </c>
    </row>
    <row r="315" spans="1:65" s="1" customFormat="1" x14ac:dyDescent="0.2">
      <c r="A315" s="33">
        <v>753</v>
      </c>
      <c r="B315" s="27">
        <v>146</v>
      </c>
      <c r="C315" s="27" t="s">
        <v>503</v>
      </c>
      <c r="D315" s="27" t="s">
        <v>4313</v>
      </c>
      <c r="E315" s="27" t="s">
        <v>411</v>
      </c>
      <c r="F315" s="27" t="s">
        <v>425</v>
      </c>
      <c r="G315" s="28">
        <v>2026</v>
      </c>
      <c r="H315" s="20" t="str">
        <f>VLOOKUP(U315,'[1]KODE TYPE standar'!$D:$U,17,0)</f>
        <v>AVANZA</v>
      </c>
      <c r="I315" s="20" t="str">
        <f>VLOOKUP(U315,'[1]KODE TYPE standar'!$D:$U,16,0)</f>
        <v>AVANZA</v>
      </c>
      <c r="J315" s="20" t="str">
        <f>VLOOKUP(U315,'[1]KODE TYPE standar'!$D:$U,18,0)</f>
        <v>AVANZA E M/T</v>
      </c>
      <c r="K315" s="27" t="s">
        <v>121</v>
      </c>
      <c r="L315" s="27" t="s">
        <v>110</v>
      </c>
      <c r="M315" s="27" t="s">
        <v>262</v>
      </c>
      <c r="N315" s="27" t="s">
        <v>106</v>
      </c>
      <c r="O315" s="28" t="s">
        <v>156</v>
      </c>
      <c r="P315" s="29" t="s">
        <v>151</v>
      </c>
      <c r="Q315" s="29" t="s">
        <v>161</v>
      </c>
      <c r="R315" s="29" t="s">
        <v>597</v>
      </c>
      <c r="S315" s="27" t="s">
        <v>795</v>
      </c>
      <c r="T315" s="27" t="s">
        <v>509</v>
      </c>
      <c r="U315" s="27" t="s">
        <v>447</v>
      </c>
      <c r="V315" s="27" t="s">
        <v>60</v>
      </c>
      <c r="W315" s="27" t="s">
        <v>61</v>
      </c>
      <c r="X315" s="27" t="s">
        <v>4314</v>
      </c>
      <c r="Y315" s="27" t="s">
        <v>4315</v>
      </c>
      <c r="Z315" s="27" t="s">
        <v>794</v>
      </c>
      <c r="AA315" s="27" t="s">
        <v>795</v>
      </c>
      <c r="AB315" s="27" t="s">
        <v>509</v>
      </c>
      <c r="AC315" s="27" t="s">
        <v>4316</v>
      </c>
      <c r="AD315" s="27" t="s">
        <v>4317</v>
      </c>
      <c r="AE315" s="27" t="s">
        <v>110</v>
      </c>
      <c r="AF315" s="27" t="s">
        <v>4318</v>
      </c>
      <c r="AG315" s="27" t="s">
        <v>4319</v>
      </c>
      <c r="AH315" s="27" t="s">
        <v>1336</v>
      </c>
      <c r="AI315" s="27" t="s">
        <v>106</v>
      </c>
      <c r="AJ315" s="27" t="s">
        <v>262</v>
      </c>
      <c r="AK315" s="27" t="s">
        <v>104</v>
      </c>
      <c r="AL315" s="27"/>
      <c r="AM315" s="34">
        <v>247000000</v>
      </c>
      <c r="AN315" s="34">
        <v>190200893</v>
      </c>
      <c r="AO315" s="34">
        <v>33975000</v>
      </c>
      <c r="AP315" s="34">
        <v>21216964</v>
      </c>
      <c r="AQ315" s="34">
        <v>0</v>
      </c>
      <c r="AR315" s="34">
        <v>0</v>
      </c>
      <c r="AS315" s="34">
        <v>13392857</v>
      </c>
      <c r="AT315" s="34">
        <v>232000000</v>
      </c>
      <c r="AU315" s="34">
        <v>6000000</v>
      </c>
      <c r="AV315" s="34">
        <v>-15000000</v>
      </c>
      <c r="AW315" s="27" t="s">
        <v>408</v>
      </c>
      <c r="AX315" s="27" t="s">
        <v>408</v>
      </c>
      <c r="AY315" s="27" t="s">
        <v>83</v>
      </c>
      <c r="AZ315" s="27">
        <v>1</v>
      </c>
      <c r="BA315" s="27"/>
      <c r="BB315" s="27" t="s">
        <v>391</v>
      </c>
      <c r="BC315" s="27" t="s">
        <v>4320</v>
      </c>
      <c r="BD315" s="27" t="s">
        <v>347</v>
      </c>
      <c r="BE315" s="27" t="s">
        <v>347</v>
      </c>
      <c r="BF315" s="27" t="s">
        <v>4321</v>
      </c>
      <c r="BG315" s="27" t="s">
        <v>4322</v>
      </c>
      <c r="BH315" s="27" t="s">
        <v>411</v>
      </c>
      <c r="BI315" s="27" t="s">
        <v>432</v>
      </c>
      <c r="BJ315" s="27" t="s">
        <v>4323</v>
      </c>
      <c r="BK315" s="27" t="s">
        <v>401</v>
      </c>
      <c r="BL315" s="27" t="s">
        <v>4324</v>
      </c>
      <c r="BM315" s="35">
        <v>0</v>
      </c>
    </row>
    <row r="316" spans="1:65" s="1" customFormat="1" x14ac:dyDescent="0.2">
      <c r="A316" s="33">
        <v>810</v>
      </c>
      <c r="B316" s="27">
        <v>146</v>
      </c>
      <c r="C316" s="27" t="s">
        <v>503</v>
      </c>
      <c r="D316" s="27" t="s">
        <v>4325</v>
      </c>
      <c r="E316" s="27" t="s">
        <v>428</v>
      </c>
      <c r="F316" s="27" t="s">
        <v>425</v>
      </c>
      <c r="G316" s="28">
        <v>2026</v>
      </c>
      <c r="H316" s="20" t="str">
        <f>VLOOKUP(U316,'[1]KODE TYPE standar'!$D:$U,17,0)</f>
        <v>CALYA</v>
      </c>
      <c r="I316" s="20" t="str">
        <f>VLOOKUP(U316,'[1]KODE TYPE standar'!$D:$U,16,0)</f>
        <v>CALYA</v>
      </c>
      <c r="J316" s="20" t="str">
        <f>VLOOKUP(U316,'[1]KODE TYPE standar'!$D:$U,18,0)</f>
        <v>CALYA G M/T</v>
      </c>
      <c r="K316" s="27" t="s">
        <v>120</v>
      </c>
      <c r="L316" s="27" t="s">
        <v>110</v>
      </c>
      <c r="M316" s="27" t="s">
        <v>262</v>
      </c>
      <c r="N316" s="27" t="s">
        <v>141</v>
      </c>
      <c r="O316" s="28" t="s">
        <v>156</v>
      </c>
      <c r="P316" s="29" t="s">
        <v>536</v>
      </c>
      <c r="Q316" s="29" t="s">
        <v>162</v>
      </c>
      <c r="R316" s="29" t="s">
        <v>145</v>
      </c>
      <c r="S316" s="27" t="s">
        <v>554</v>
      </c>
      <c r="T316" s="27" t="s">
        <v>509</v>
      </c>
      <c r="U316" s="27" t="s">
        <v>268</v>
      </c>
      <c r="V316" s="27" t="s">
        <v>77</v>
      </c>
      <c r="W316" s="27" t="s">
        <v>78</v>
      </c>
      <c r="X316" s="27" t="s">
        <v>4326</v>
      </c>
      <c r="Y316" s="27" t="s">
        <v>4327</v>
      </c>
      <c r="Z316" s="27" t="s">
        <v>553</v>
      </c>
      <c r="AA316" s="27" t="s">
        <v>554</v>
      </c>
      <c r="AB316" s="27" t="s">
        <v>509</v>
      </c>
      <c r="AC316" s="27" t="s">
        <v>4328</v>
      </c>
      <c r="AD316" s="27" t="s">
        <v>4329</v>
      </c>
      <c r="AE316" s="27" t="s">
        <v>110</v>
      </c>
      <c r="AF316" s="27" t="s">
        <v>4329</v>
      </c>
      <c r="AG316" s="27" t="s">
        <v>4330</v>
      </c>
      <c r="AH316" s="27" t="s">
        <v>1720</v>
      </c>
      <c r="AI316" s="27" t="s">
        <v>141</v>
      </c>
      <c r="AJ316" s="27" t="s">
        <v>262</v>
      </c>
      <c r="AK316" s="27" t="s">
        <v>423</v>
      </c>
      <c r="AL316" s="27"/>
      <c r="AM316" s="34">
        <v>182200000</v>
      </c>
      <c r="AN316" s="34">
        <v>139575893</v>
      </c>
      <c r="AO316" s="34">
        <v>25875000</v>
      </c>
      <c r="AP316" s="34">
        <v>15677678</v>
      </c>
      <c r="AQ316" s="34">
        <v>0</v>
      </c>
      <c r="AR316" s="34">
        <v>0</v>
      </c>
      <c r="AS316" s="34">
        <v>8928571</v>
      </c>
      <c r="AT316" s="34">
        <v>172200000</v>
      </c>
      <c r="AU316" s="34">
        <v>2000000</v>
      </c>
      <c r="AV316" s="34">
        <v>-10000000</v>
      </c>
      <c r="AW316" s="27" t="s">
        <v>416</v>
      </c>
      <c r="AX316" s="27" t="s">
        <v>416</v>
      </c>
      <c r="AY316" s="27" t="s">
        <v>83</v>
      </c>
      <c r="AZ316" s="27">
        <v>1</v>
      </c>
      <c r="BA316" s="27" t="s">
        <v>4331</v>
      </c>
      <c r="BB316" s="27" t="s">
        <v>345</v>
      </c>
      <c r="BC316" s="27" t="s">
        <v>4332</v>
      </c>
      <c r="BD316" s="27" t="s">
        <v>400</v>
      </c>
      <c r="BE316" s="27" t="s">
        <v>400</v>
      </c>
      <c r="BF316" s="27" t="s">
        <v>4333</v>
      </c>
      <c r="BG316" s="27" t="s">
        <v>4334</v>
      </c>
      <c r="BH316" s="27" t="s">
        <v>428</v>
      </c>
      <c r="BI316" s="27" t="s">
        <v>439</v>
      </c>
      <c r="BJ316" s="27" t="s">
        <v>3989</v>
      </c>
      <c r="BK316" s="27" t="s">
        <v>345</v>
      </c>
      <c r="BL316" s="27" t="s">
        <v>4335</v>
      </c>
      <c r="BM316" s="35">
        <v>0</v>
      </c>
    </row>
    <row r="317" spans="1:65" s="1" customFormat="1" x14ac:dyDescent="0.2">
      <c r="A317" s="33">
        <v>811</v>
      </c>
      <c r="B317" s="27">
        <v>146</v>
      </c>
      <c r="C317" s="27" t="s">
        <v>503</v>
      </c>
      <c r="D317" s="27" t="s">
        <v>4336</v>
      </c>
      <c r="E317" s="27" t="s">
        <v>416</v>
      </c>
      <c r="F317" s="27" t="s">
        <v>425</v>
      </c>
      <c r="G317" s="28">
        <v>2026</v>
      </c>
      <c r="H317" s="20" t="str">
        <f>VLOOKUP(U317,'[1]KODE TYPE standar'!$D:$U,17,0)</f>
        <v>AVANZA</v>
      </c>
      <c r="I317" s="20" t="str">
        <f>VLOOKUP(U317,'[1]KODE TYPE standar'!$D:$U,16,0)</f>
        <v>AVANZA</v>
      </c>
      <c r="J317" s="20" t="str">
        <f>VLOOKUP(U317,'[1]KODE TYPE standar'!$D:$U,18,0)</f>
        <v>AVANZA G A/T</v>
      </c>
      <c r="K317" s="27" t="s">
        <v>118</v>
      </c>
      <c r="L317" s="27" t="s">
        <v>110</v>
      </c>
      <c r="M317" s="27" t="s">
        <v>262</v>
      </c>
      <c r="N317" s="27" t="s">
        <v>140</v>
      </c>
      <c r="O317" s="28" t="s">
        <v>156</v>
      </c>
      <c r="P317" s="29" t="s">
        <v>149</v>
      </c>
      <c r="Q317" s="29" t="s">
        <v>161</v>
      </c>
      <c r="R317" s="29" t="s">
        <v>145</v>
      </c>
      <c r="S317" s="27" t="s">
        <v>709</v>
      </c>
      <c r="T317" s="27" t="s">
        <v>585</v>
      </c>
      <c r="U317" s="27" t="s">
        <v>329</v>
      </c>
      <c r="V317" s="27" t="s">
        <v>64</v>
      </c>
      <c r="W317" s="27" t="s">
        <v>65</v>
      </c>
      <c r="X317" s="27" t="s">
        <v>4337</v>
      </c>
      <c r="Y317" s="27" t="s">
        <v>4338</v>
      </c>
      <c r="Z317" s="27" t="s">
        <v>708</v>
      </c>
      <c r="AA317" s="27" t="s">
        <v>709</v>
      </c>
      <c r="AB317" s="27" t="s">
        <v>585</v>
      </c>
      <c r="AC317" s="27" t="s">
        <v>4339</v>
      </c>
      <c r="AD317" s="27" t="s">
        <v>4340</v>
      </c>
      <c r="AE317" s="27" t="s">
        <v>110</v>
      </c>
      <c r="AF317" s="27" t="s">
        <v>4341</v>
      </c>
      <c r="AG317" s="27" t="s">
        <v>4342</v>
      </c>
      <c r="AH317" s="27" t="s">
        <v>2575</v>
      </c>
      <c r="AI317" s="27" t="s">
        <v>140</v>
      </c>
      <c r="AJ317" s="27" t="s">
        <v>262</v>
      </c>
      <c r="AK317" s="27" t="s">
        <v>63</v>
      </c>
      <c r="AL317" s="27"/>
      <c r="AM317" s="34">
        <v>285000000</v>
      </c>
      <c r="AN317" s="34">
        <v>219888393</v>
      </c>
      <c r="AO317" s="34">
        <v>38725000</v>
      </c>
      <c r="AP317" s="34">
        <v>24779464</v>
      </c>
      <c r="AQ317" s="34">
        <v>0</v>
      </c>
      <c r="AR317" s="34">
        <v>0</v>
      </c>
      <c r="AS317" s="34">
        <v>13392857</v>
      </c>
      <c r="AT317" s="34">
        <v>270000000</v>
      </c>
      <c r="AU317" s="34">
        <v>5000000</v>
      </c>
      <c r="AV317" s="34">
        <v>-15000000</v>
      </c>
      <c r="AW317" s="27" t="s">
        <v>442</v>
      </c>
      <c r="AX317" s="27" t="s">
        <v>442</v>
      </c>
      <c r="AY317" s="27" t="s">
        <v>83</v>
      </c>
      <c r="AZ317" s="27">
        <v>1</v>
      </c>
      <c r="BA317" s="27" t="s">
        <v>163</v>
      </c>
      <c r="BB317" s="27" t="s">
        <v>902</v>
      </c>
      <c r="BC317" s="27" t="s">
        <v>4343</v>
      </c>
      <c r="BD317" s="27" t="s">
        <v>193</v>
      </c>
      <c r="BE317" s="27" t="s">
        <v>193</v>
      </c>
      <c r="BF317" s="27" t="s">
        <v>4344</v>
      </c>
      <c r="BG317" s="27" t="s">
        <v>4345</v>
      </c>
      <c r="BH317" s="27" t="s">
        <v>416</v>
      </c>
      <c r="BI317" s="27" t="s">
        <v>438</v>
      </c>
      <c r="BJ317" s="27" t="s">
        <v>4346</v>
      </c>
      <c r="BK317" s="27" t="s">
        <v>428</v>
      </c>
      <c r="BL317" s="27" t="s">
        <v>4347</v>
      </c>
      <c r="BM317" s="35">
        <v>0</v>
      </c>
    </row>
    <row r="318" spans="1:65" s="1" customFormat="1" x14ac:dyDescent="0.2">
      <c r="A318" s="33">
        <v>822</v>
      </c>
      <c r="B318" s="27">
        <v>146</v>
      </c>
      <c r="C318" s="27" t="s">
        <v>503</v>
      </c>
      <c r="D318" s="27" t="s">
        <v>4348</v>
      </c>
      <c r="E318" s="27" t="s">
        <v>396</v>
      </c>
      <c r="F318" s="27" t="s">
        <v>425</v>
      </c>
      <c r="G318" s="28">
        <v>2026</v>
      </c>
      <c r="H318" s="20" t="str">
        <f>VLOOKUP(U318,'[1]KODE TYPE standar'!$D:$U,17,0)</f>
        <v>HILUX</v>
      </c>
      <c r="I318" s="20" t="str">
        <f>VLOOKUP(U318,'[1]KODE TYPE standar'!$D:$U,16,0)</f>
        <v>HILUX</v>
      </c>
      <c r="J318" s="20" t="str">
        <f>VLOOKUP(U318,'[1]KODE TYPE standar'!$D:$U,18,0)</f>
        <v>HILUX DC G M/T DIESEL</v>
      </c>
      <c r="K318" s="27" t="s">
        <v>120</v>
      </c>
      <c r="L318" s="27" t="s">
        <v>110</v>
      </c>
      <c r="M318" s="27" t="s">
        <v>262</v>
      </c>
      <c r="N318" s="27" t="s">
        <v>56</v>
      </c>
      <c r="O318" s="28" t="s">
        <v>6581</v>
      </c>
      <c r="P318" s="29" t="s">
        <v>150</v>
      </c>
      <c r="Q318" s="29" t="s">
        <v>147</v>
      </c>
      <c r="R318" s="29" t="s">
        <v>597</v>
      </c>
      <c r="S318" s="27" t="s">
        <v>4352</v>
      </c>
      <c r="T318" s="27" t="s">
        <v>585</v>
      </c>
      <c r="U318" s="27" t="s">
        <v>112</v>
      </c>
      <c r="V318" s="27" t="s">
        <v>48</v>
      </c>
      <c r="W318" s="27" t="s">
        <v>49</v>
      </c>
      <c r="X318" s="27" t="s">
        <v>4349</v>
      </c>
      <c r="Y318" s="27" t="s">
        <v>4350</v>
      </c>
      <c r="Z318" s="27" t="s">
        <v>4351</v>
      </c>
      <c r="AA318" s="27" t="s">
        <v>4352</v>
      </c>
      <c r="AB318" s="27" t="s">
        <v>585</v>
      </c>
      <c r="AC318" s="27" t="s">
        <v>4353</v>
      </c>
      <c r="AD318" s="27" t="s">
        <v>4354</v>
      </c>
      <c r="AE318" s="27" t="s">
        <v>110</v>
      </c>
      <c r="AF318" s="27" t="s">
        <v>4354</v>
      </c>
      <c r="AG318" s="27" t="s">
        <v>4355</v>
      </c>
      <c r="AH318" s="27" t="s">
        <v>289</v>
      </c>
      <c r="AI318" s="27" t="s">
        <v>56</v>
      </c>
      <c r="AJ318" s="27" t="s">
        <v>262</v>
      </c>
      <c r="AK318" s="27" t="s">
        <v>423</v>
      </c>
      <c r="AL318" s="27"/>
      <c r="AM318" s="34">
        <v>490100000</v>
      </c>
      <c r="AN318" s="34">
        <v>380171875</v>
      </c>
      <c r="AO318" s="34">
        <v>64307500</v>
      </c>
      <c r="AP318" s="34">
        <v>42942053</v>
      </c>
      <c r="AQ318" s="34">
        <v>0</v>
      </c>
      <c r="AR318" s="34">
        <v>0</v>
      </c>
      <c r="AS318" s="34">
        <v>22321429</v>
      </c>
      <c r="AT318" s="34">
        <v>465100000</v>
      </c>
      <c r="AU318" s="34">
        <v>0</v>
      </c>
      <c r="AV318" s="34">
        <v>-25000000</v>
      </c>
      <c r="AW318" s="27" t="s">
        <v>400</v>
      </c>
      <c r="AX318" s="27" t="s">
        <v>400</v>
      </c>
      <c r="AY318" s="27" t="s">
        <v>83</v>
      </c>
      <c r="AZ318" s="27">
        <v>1</v>
      </c>
      <c r="BA318" s="27" t="s">
        <v>163</v>
      </c>
      <c r="BB318" s="27" t="s">
        <v>396</v>
      </c>
      <c r="BC318" s="27" t="s">
        <v>4356</v>
      </c>
      <c r="BD318" s="27" t="s">
        <v>396</v>
      </c>
      <c r="BE318" s="27" t="s">
        <v>396</v>
      </c>
      <c r="BF318" s="27" t="s">
        <v>4357</v>
      </c>
      <c r="BG318" s="27" t="s">
        <v>4358</v>
      </c>
      <c r="BH318" s="27" t="s">
        <v>396</v>
      </c>
      <c r="BI318" s="27" t="s">
        <v>442</v>
      </c>
      <c r="BJ318" s="27" t="s">
        <v>4359</v>
      </c>
      <c r="BK318" s="27" t="s">
        <v>392</v>
      </c>
      <c r="BL318" s="27" t="s">
        <v>4360</v>
      </c>
      <c r="BM318" s="35">
        <v>0</v>
      </c>
    </row>
    <row r="319" spans="1:65" s="1" customFormat="1" x14ac:dyDescent="0.2">
      <c r="A319" s="33">
        <v>831</v>
      </c>
      <c r="B319" s="27">
        <v>146</v>
      </c>
      <c r="C319" s="27" t="s">
        <v>503</v>
      </c>
      <c r="D319" s="27" t="s">
        <v>4361</v>
      </c>
      <c r="E319" s="27" t="s">
        <v>442</v>
      </c>
      <c r="F319" s="27" t="s">
        <v>425</v>
      </c>
      <c r="G319" s="28">
        <v>2026</v>
      </c>
      <c r="H319" s="20" t="str">
        <f>VLOOKUP(U319,'[1]KODE TYPE standar'!$D:$U,17,0)</f>
        <v>FORTUNER</v>
      </c>
      <c r="I319" s="20" t="str">
        <f>VLOOKUP(U319,'[1]KODE TYPE standar'!$D:$U,16,0)</f>
        <v>FORTUNER</v>
      </c>
      <c r="J319" s="20" t="str">
        <f>VLOOKUP(U319,'[1]KODE TYPE standar'!$D:$U,18,0)</f>
        <v>FORTUNER 4X2 VRZ A/T DIESEL</v>
      </c>
      <c r="K319" s="27" t="s">
        <v>118</v>
      </c>
      <c r="L319" s="27" t="s">
        <v>110</v>
      </c>
      <c r="M319" s="27" t="s">
        <v>262</v>
      </c>
      <c r="N319" s="27" t="s">
        <v>141</v>
      </c>
      <c r="O319" s="28" t="s">
        <v>156</v>
      </c>
      <c r="P319" s="29" t="s">
        <v>319</v>
      </c>
      <c r="Q319" s="29" t="s">
        <v>162</v>
      </c>
      <c r="R319" s="29" t="s">
        <v>145</v>
      </c>
      <c r="S319" s="27" t="s">
        <v>724</v>
      </c>
      <c r="T319" s="27" t="s">
        <v>541</v>
      </c>
      <c r="U319" s="27" t="s">
        <v>279</v>
      </c>
      <c r="V319" s="27" t="s">
        <v>51</v>
      </c>
      <c r="W319" s="27" t="s">
        <v>86</v>
      </c>
      <c r="X319" s="27" t="s">
        <v>4362</v>
      </c>
      <c r="Y319" s="27" t="s">
        <v>4363</v>
      </c>
      <c r="Z319" s="27" t="s">
        <v>723</v>
      </c>
      <c r="AA319" s="27" t="s">
        <v>724</v>
      </c>
      <c r="AB319" s="27" t="s">
        <v>541</v>
      </c>
      <c r="AC319" s="27" t="s">
        <v>4364</v>
      </c>
      <c r="AD319" s="27" t="s">
        <v>4365</v>
      </c>
      <c r="AE319" s="27" t="s">
        <v>110</v>
      </c>
      <c r="AF319" s="27" t="s">
        <v>4365</v>
      </c>
      <c r="AG319" s="27" t="s">
        <v>4366</v>
      </c>
      <c r="AH319" s="27" t="s">
        <v>1349</v>
      </c>
      <c r="AI319" s="27" t="s">
        <v>141</v>
      </c>
      <c r="AJ319" s="27" t="s">
        <v>262</v>
      </c>
      <c r="AK319" s="27" t="s">
        <v>63</v>
      </c>
      <c r="AL319" s="27"/>
      <c r="AM319" s="34">
        <v>683700000</v>
      </c>
      <c r="AN319" s="34">
        <v>531372768</v>
      </c>
      <c r="AO319" s="34">
        <v>88562500</v>
      </c>
      <c r="AP319" s="34">
        <v>60443303</v>
      </c>
      <c r="AQ319" s="34">
        <v>0</v>
      </c>
      <c r="AR319" s="34">
        <v>0</v>
      </c>
      <c r="AS319" s="34">
        <v>27678571</v>
      </c>
      <c r="AT319" s="34">
        <v>652700000</v>
      </c>
      <c r="AU319" s="34">
        <v>9000000</v>
      </c>
      <c r="AV319" s="34">
        <v>-31000000</v>
      </c>
      <c r="AW319" s="27"/>
      <c r="AX319" s="27"/>
      <c r="AY319" s="27" t="s">
        <v>83</v>
      </c>
      <c r="AZ319" s="27">
        <v>1</v>
      </c>
      <c r="BA319" s="27"/>
      <c r="BB319" s="27" t="s">
        <v>390</v>
      </c>
      <c r="BC319" s="27" t="s">
        <v>4367</v>
      </c>
      <c r="BD319" s="27" t="s">
        <v>390</v>
      </c>
      <c r="BE319" s="27" t="s">
        <v>390</v>
      </c>
      <c r="BF319" s="27" t="s">
        <v>4368</v>
      </c>
      <c r="BG319" s="27" t="s">
        <v>4369</v>
      </c>
      <c r="BH319" s="27" t="s">
        <v>442</v>
      </c>
      <c r="BI319" s="27" t="s">
        <v>443</v>
      </c>
      <c r="BJ319" s="27" t="s">
        <v>4370</v>
      </c>
      <c r="BK319" s="27" t="s">
        <v>432</v>
      </c>
      <c r="BL319" s="27" t="s">
        <v>4371</v>
      </c>
      <c r="BM319" s="35">
        <v>0</v>
      </c>
    </row>
    <row r="320" spans="1:65" s="1" customFormat="1" x14ac:dyDescent="0.2">
      <c r="A320" s="33">
        <v>894</v>
      </c>
      <c r="B320" s="27">
        <v>146</v>
      </c>
      <c r="C320" s="27" t="s">
        <v>503</v>
      </c>
      <c r="D320" s="27" t="s">
        <v>4372</v>
      </c>
      <c r="E320" s="27" t="s">
        <v>411</v>
      </c>
      <c r="F320" s="27" t="s">
        <v>425</v>
      </c>
      <c r="G320" s="28">
        <v>2026</v>
      </c>
      <c r="H320" s="20" t="str">
        <f>VLOOKUP(U320,'[1]KODE TYPE standar'!$D:$U,17,0)</f>
        <v>VELOZ</v>
      </c>
      <c r="I320" s="20" t="str">
        <f>VLOOKUP(U320,'[1]KODE TYPE standar'!$D:$U,16,0)</f>
        <v>VELOZ</v>
      </c>
      <c r="J320" s="20" t="str">
        <f>VLOOKUP(U320,'[1]KODE TYPE standar'!$D:$U,18,0)</f>
        <v>VELOZ V AT HYBRID</v>
      </c>
      <c r="K320" s="27" t="s">
        <v>118</v>
      </c>
      <c r="L320" s="27" t="s">
        <v>110</v>
      </c>
      <c r="M320" s="27" t="s">
        <v>262</v>
      </c>
      <c r="N320" s="27" t="s">
        <v>140</v>
      </c>
      <c r="O320" s="28" t="s">
        <v>156</v>
      </c>
      <c r="P320" s="29" t="s">
        <v>149</v>
      </c>
      <c r="Q320" s="29" t="s">
        <v>162</v>
      </c>
      <c r="R320" s="29" t="s">
        <v>1016</v>
      </c>
      <c r="S320" s="27" t="s">
        <v>540</v>
      </c>
      <c r="T320" s="27" t="s">
        <v>541</v>
      </c>
      <c r="U320" s="27" t="s">
        <v>327</v>
      </c>
      <c r="V320" s="27" t="s">
        <v>64</v>
      </c>
      <c r="W320" s="27" t="s">
        <v>65</v>
      </c>
      <c r="X320" s="27" t="s">
        <v>4373</v>
      </c>
      <c r="Y320" s="27" t="s">
        <v>4374</v>
      </c>
      <c r="Z320" s="27" t="s">
        <v>539</v>
      </c>
      <c r="AA320" s="27" t="s">
        <v>540</v>
      </c>
      <c r="AB320" s="27" t="s">
        <v>541</v>
      </c>
      <c r="AC320" s="27" t="s">
        <v>4375</v>
      </c>
      <c r="AD320" s="27" t="s">
        <v>4376</v>
      </c>
      <c r="AE320" s="27" t="s">
        <v>110</v>
      </c>
      <c r="AF320" s="27" t="s">
        <v>4376</v>
      </c>
      <c r="AG320" s="27" t="s">
        <v>4377</v>
      </c>
      <c r="AH320" s="27" t="s">
        <v>1391</v>
      </c>
      <c r="AI320" s="27" t="s">
        <v>140</v>
      </c>
      <c r="AJ320" s="27" t="s">
        <v>262</v>
      </c>
      <c r="AK320" s="27" t="s">
        <v>63</v>
      </c>
      <c r="AL320" s="27"/>
      <c r="AM320" s="34">
        <v>303000000</v>
      </c>
      <c r="AN320" s="34">
        <v>233950893</v>
      </c>
      <c r="AO320" s="34">
        <v>40975000</v>
      </c>
      <c r="AP320" s="34">
        <v>28074107</v>
      </c>
      <c r="AQ320" s="34">
        <v>0</v>
      </c>
      <c r="AR320" s="34">
        <v>0</v>
      </c>
      <c r="AS320" s="34">
        <v>0</v>
      </c>
      <c r="AT320" s="34">
        <v>303000000</v>
      </c>
      <c r="AU320" s="34">
        <v>0</v>
      </c>
      <c r="AV320" s="34">
        <v>0</v>
      </c>
      <c r="AW320" s="27" t="s">
        <v>402</v>
      </c>
      <c r="AX320" s="27" t="s">
        <v>402</v>
      </c>
      <c r="AY320" s="27" t="s">
        <v>83</v>
      </c>
      <c r="AZ320" s="27">
        <v>1</v>
      </c>
      <c r="BA320" s="27"/>
      <c r="BB320" s="27" t="s">
        <v>403</v>
      </c>
      <c r="BC320" s="27" t="s">
        <v>4378</v>
      </c>
      <c r="BD320" s="27" t="s">
        <v>403</v>
      </c>
      <c r="BE320" s="27" t="s">
        <v>403</v>
      </c>
      <c r="BF320" s="27" t="s">
        <v>4379</v>
      </c>
      <c r="BG320" s="27" t="s">
        <v>4380</v>
      </c>
      <c r="BH320" s="27" t="s">
        <v>411</v>
      </c>
      <c r="BI320" s="27" t="s">
        <v>432</v>
      </c>
      <c r="BJ320" s="27" t="s">
        <v>4381</v>
      </c>
      <c r="BK320" s="27" t="s">
        <v>395</v>
      </c>
      <c r="BL320" s="27" t="s">
        <v>4382</v>
      </c>
      <c r="BM320" s="35">
        <v>0</v>
      </c>
    </row>
    <row r="321" spans="1:65" s="1" customFormat="1" x14ac:dyDescent="0.2">
      <c r="A321" s="33">
        <v>1106</v>
      </c>
      <c r="B321" s="27">
        <v>146</v>
      </c>
      <c r="C321" s="27" t="s">
        <v>503</v>
      </c>
      <c r="D321" s="27" t="s">
        <v>4383</v>
      </c>
      <c r="E321" s="27" t="s">
        <v>442</v>
      </c>
      <c r="F321" s="27" t="s">
        <v>425</v>
      </c>
      <c r="G321" s="28">
        <v>2026</v>
      </c>
      <c r="H321" s="20" t="str">
        <f>VLOOKUP(U321,'[1]KODE TYPE standar'!$D:$U,17,0)</f>
        <v>VELOZ</v>
      </c>
      <c r="I321" s="20" t="str">
        <f>VLOOKUP(U321,'[1]KODE TYPE standar'!$D:$U,16,0)</f>
        <v>VELOZ</v>
      </c>
      <c r="J321" s="20" t="str">
        <f>VLOOKUP(U321,'[1]KODE TYPE standar'!$D:$U,18,0)</f>
        <v>VELOZ V AT HYBRID</v>
      </c>
      <c r="K321" s="27" t="s">
        <v>118</v>
      </c>
      <c r="L321" s="27" t="s">
        <v>109</v>
      </c>
      <c r="M321" s="27" t="s">
        <v>262</v>
      </c>
      <c r="N321" s="27" t="s">
        <v>106</v>
      </c>
      <c r="O321" s="28" t="s">
        <v>156</v>
      </c>
      <c r="P321" s="29" t="s">
        <v>150</v>
      </c>
      <c r="Q321" s="29" t="s">
        <v>147</v>
      </c>
      <c r="R321" s="29" t="s">
        <v>109</v>
      </c>
      <c r="S321" s="27" t="s">
        <v>4387</v>
      </c>
      <c r="T321" s="27" t="s">
        <v>585</v>
      </c>
      <c r="U321" s="27" t="s">
        <v>327</v>
      </c>
      <c r="V321" s="27" t="s">
        <v>64</v>
      </c>
      <c r="W321" s="27" t="s">
        <v>65</v>
      </c>
      <c r="X321" s="27" t="s">
        <v>4384</v>
      </c>
      <c r="Y321" s="27" t="s">
        <v>4385</v>
      </c>
      <c r="Z321" s="27" t="s">
        <v>4386</v>
      </c>
      <c r="AA321" s="27" t="s">
        <v>4387</v>
      </c>
      <c r="AB321" s="27" t="s">
        <v>585</v>
      </c>
      <c r="AC321" s="27" t="s">
        <v>4388</v>
      </c>
      <c r="AD321" s="27" t="s">
        <v>4389</v>
      </c>
      <c r="AE321" s="27" t="s">
        <v>109</v>
      </c>
      <c r="AF321" s="27" t="s">
        <v>4390</v>
      </c>
      <c r="AG321" s="27" t="s">
        <v>4391</v>
      </c>
      <c r="AH321" s="27" t="s">
        <v>2107</v>
      </c>
      <c r="AI321" s="27" t="s">
        <v>106</v>
      </c>
      <c r="AJ321" s="27" t="s">
        <v>262</v>
      </c>
      <c r="AK321" s="27" t="s">
        <v>63</v>
      </c>
      <c r="AL321" s="27"/>
      <c r="AM321" s="34">
        <v>303000000</v>
      </c>
      <c r="AN321" s="34">
        <v>233950893</v>
      </c>
      <c r="AO321" s="34">
        <v>40975000</v>
      </c>
      <c r="AP321" s="34">
        <v>27859821</v>
      </c>
      <c r="AQ321" s="34">
        <v>0</v>
      </c>
      <c r="AR321" s="34">
        <v>0</v>
      </c>
      <c r="AS321" s="34">
        <v>1785714</v>
      </c>
      <c r="AT321" s="34">
        <v>301000000</v>
      </c>
      <c r="AU321" s="34">
        <v>3000000</v>
      </c>
      <c r="AV321" s="34">
        <v>-2000000</v>
      </c>
      <c r="AW321" s="27" t="s">
        <v>430</v>
      </c>
      <c r="AX321" s="27" t="s">
        <v>430</v>
      </c>
      <c r="AY321" s="27" t="s">
        <v>83</v>
      </c>
      <c r="AZ321" s="27">
        <v>1</v>
      </c>
      <c r="BA321" s="27" t="s">
        <v>4392</v>
      </c>
      <c r="BB321" s="27" t="s">
        <v>411</v>
      </c>
      <c r="BC321" s="27" t="s">
        <v>4393</v>
      </c>
      <c r="BD321" s="27" t="s">
        <v>403</v>
      </c>
      <c r="BE321" s="27" t="s">
        <v>403</v>
      </c>
      <c r="BF321" s="27" t="s">
        <v>4394</v>
      </c>
      <c r="BG321" s="27" t="s">
        <v>4395</v>
      </c>
      <c r="BH321" s="27" t="s">
        <v>442</v>
      </c>
      <c r="BI321" s="27" t="s">
        <v>443</v>
      </c>
      <c r="BJ321" s="27" t="s">
        <v>4396</v>
      </c>
      <c r="BK321" s="27" t="s">
        <v>360</v>
      </c>
      <c r="BL321" s="27" t="s">
        <v>4397</v>
      </c>
      <c r="BM321" s="35">
        <v>0</v>
      </c>
    </row>
    <row r="322" spans="1:65" s="1" customFormat="1" x14ac:dyDescent="0.2">
      <c r="A322" s="33">
        <v>1140</v>
      </c>
      <c r="B322" s="27">
        <v>146</v>
      </c>
      <c r="C322" s="27" t="s">
        <v>503</v>
      </c>
      <c r="D322" s="27" t="s">
        <v>4398</v>
      </c>
      <c r="E322" s="27" t="s">
        <v>400</v>
      </c>
      <c r="F322" s="27" t="s">
        <v>425</v>
      </c>
      <c r="G322" s="28">
        <v>2026</v>
      </c>
      <c r="H322" s="20" t="str">
        <f>VLOOKUP(U322,'[1]KODE TYPE standar'!$D:$U,17,0)</f>
        <v>FORTUNER</v>
      </c>
      <c r="I322" s="20" t="str">
        <f>VLOOKUP(U322,'[1]KODE TYPE standar'!$D:$U,16,0)</f>
        <v>FORTUNER</v>
      </c>
      <c r="J322" s="20" t="str">
        <f>VLOOKUP(U322,'[1]KODE TYPE standar'!$D:$U,18,0)</f>
        <v>FORTUNER 4X2 VRZ A/T DIESEL</v>
      </c>
      <c r="K322" s="27" t="s">
        <v>101</v>
      </c>
      <c r="L322" s="27" t="s">
        <v>109</v>
      </c>
      <c r="M322" s="27" t="s">
        <v>262</v>
      </c>
      <c r="N322" s="27" t="s">
        <v>71</v>
      </c>
      <c r="O322" s="28" t="s">
        <v>6581</v>
      </c>
      <c r="P322" s="29" t="s">
        <v>149</v>
      </c>
      <c r="Q322" s="29" t="s">
        <v>162</v>
      </c>
      <c r="R322" s="29" t="s">
        <v>109</v>
      </c>
      <c r="S322" s="27" t="s">
        <v>795</v>
      </c>
      <c r="T322" s="27" t="s">
        <v>509</v>
      </c>
      <c r="U322" s="27" t="s">
        <v>122</v>
      </c>
      <c r="V322" s="27" t="s">
        <v>77</v>
      </c>
      <c r="W322" s="27" t="s">
        <v>78</v>
      </c>
      <c r="X322" s="27" t="s">
        <v>4399</v>
      </c>
      <c r="Y322" s="27" t="s">
        <v>4400</v>
      </c>
      <c r="Z322" s="27" t="s">
        <v>794</v>
      </c>
      <c r="AA322" s="27" t="s">
        <v>795</v>
      </c>
      <c r="AB322" s="27" t="s">
        <v>509</v>
      </c>
      <c r="AC322" s="27" t="s">
        <v>4401</v>
      </c>
      <c r="AD322" s="27" t="s">
        <v>4402</v>
      </c>
      <c r="AE322" s="27" t="s">
        <v>109</v>
      </c>
      <c r="AF322" s="27" t="s">
        <v>4403</v>
      </c>
      <c r="AG322" s="27" t="s">
        <v>4404</v>
      </c>
      <c r="AH322" s="27" t="s">
        <v>304</v>
      </c>
      <c r="AI322" s="27" t="s">
        <v>71</v>
      </c>
      <c r="AJ322" s="27" t="s">
        <v>262</v>
      </c>
      <c r="AK322" s="27" t="s">
        <v>103</v>
      </c>
      <c r="AL322" s="27"/>
      <c r="AM322" s="34">
        <v>679300000</v>
      </c>
      <c r="AN322" s="34">
        <v>528391518</v>
      </c>
      <c r="AO322" s="34">
        <v>87501500</v>
      </c>
      <c r="AP322" s="34">
        <v>59871267</v>
      </c>
      <c r="AQ322" s="34">
        <v>0</v>
      </c>
      <c r="AR322" s="34">
        <v>0</v>
      </c>
      <c r="AS322" s="34">
        <v>29464286</v>
      </c>
      <c r="AT322" s="34">
        <v>646300000</v>
      </c>
      <c r="AU322" s="34">
        <v>5000000</v>
      </c>
      <c r="AV322" s="34">
        <v>-33000000</v>
      </c>
      <c r="AW322" s="27" t="s">
        <v>415</v>
      </c>
      <c r="AX322" s="27" t="s">
        <v>415</v>
      </c>
      <c r="AY322" s="27" t="s">
        <v>83</v>
      </c>
      <c r="AZ322" s="27">
        <v>1</v>
      </c>
      <c r="BA322" s="27" t="s">
        <v>4405</v>
      </c>
      <c r="BB322" s="27" t="s">
        <v>346</v>
      </c>
      <c r="BC322" s="27" t="s">
        <v>4406</v>
      </c>
      <c r="BD322" s="27" t="s">
        <v>347</v>
      </c>
      <c r="BE322" s="27" t="s">
        <v>347</v>
      </c>
      <c r="BF322" s="27" t="s">
        <v>4407</v>
      </c>
      <c r="BG322" s="27" t="s">
        <v>4408</v>
      </c>
      <c r="BH322" s="27" t="s">
        <v>400</v>
      </c>
      <c r="BI322" s="27" t="s">
        <v>426</v>
      </c>
      <c r="BJ322" s="27" t="s">
        <v>461</v>
      </c>
      <c r="BK322" s="27" t="s">
        <v>405</v>
      </c>
      <c r="BL322" s="27" t="s">
        <v>4409</v>
      </c>
      <c r="BM322" s="35">
        <v>0</v>
      </c>
    </row>
    <row r="323" spans="1:65" s="1" customFormat="1" x14ac:dyDescent="0.2">
      <c r="A323" s="33">
        <v>1155</v>
      </c>
      <c r="B323" s="27">
        <v>146</v>
      </c>
      <c r="C323" s="27" t="s">
        <v>503</v>
      </c>
      <c r="D323" s="27" t="s">
        <v>4410</v>
      </c>
      <c r="E323" s="27" t="s">
        <v>403</v>
      </c>
      <c r="F323" s="27" t="s">
        <v>425</v>
      </c>
      <c r="G323" s="28">
        <v>2026</v>
      </c>
      <c r="H323" s="20" t="str">
        <f>VLOOKUP(U323,'[1]KODE TYPE standar'!$D:$U,17,0)</f>
        <v>INV ZENIX HYBRID</v>
      </c>
      <c r="I323" s="20" t="str">
        <f>VLOOKUP(U323,'[1]KODE TYPE standar'!$D:$U,16,0)</f>
        <v>INNOVA</v>
      </c>
      <c r="J323" s="20" t="str">
        <f>VLOOKUP(U323,'[1]KODE TYPE standar'!$D:$U,18,0)</f>
        <v>INNOVA ZENIX G A/T HIYBRID</v>
      </c>
      <c r="K323" s="27" t="s">
        <v>101</v>
      </c>
      <c r="L323" s="27" t="s">
        <v>109</v>
      </c>
      <c r="M323" s="27" t="s">
        <v>262</v>
      </c>
      <c r="N323" s="27" t="s">
        <v>141</v>
      </c>
      <c r="O323" s="28" t="s">
        <v>156</v>
      </c>
      <c r="P323" s="29" t="s">
        <v>151</v>
      </c>
      <c r="Q323" s="29" t="s">
        <v>162</v>
      </c>
      <c r="R323" s="29" t="s">
        <v>109</v>
      </c>
      <c r="S323" s="27" t="s">
        <v>923</v>
      </c>
      <c r="T323" s="27" t="s">
        <v>541</v>
      </c>
      <c r="U323" s="27" t="s">
        <v>388</v>
      </c>
      <c r="V323" s="27" t="s">
        <v>48</v>
      </c>
      <c r="W323" s="27" t="s">
        <v>49</v>
      </c>
      <c r="X323" s="27" t="s">
        <v>4411</v>
      </c>
      <c r="Y323" s="27" t="s">
        <v>4412</v>
      </c>
      <c r="Z323" s="27" t="s">
        <v>922</v>
      </c>
      <c r="AA323" s="27" t="s">
        <v>923</v>
      </c>
      <c r="AB323" s="27" t="s">
        <v>541</v>
      </c>
      <c r="AC323" s="27" t="s">
        <v>4413</v>
      </c>
      <c r="AD323" s="27" t="s">
        <v>4414</v>
      </c>
      <c r="AE323" s="27" t="s">
        <v>109</v>
      </c>
      <c r="AF323" s="27" t="s">
        <v>4415</v>
      </c>
      <c r="AG323" s="27" t="s">
        <v>4416</v>
      </c>
      <c r="AH323" s="27" t="s">
        <v>1149</v>
      </c>
      <c r="AI323" s="27" t="s">
        <v>141</v>
      </c>
      <c r="AJ323" s="27" t="s">
        <v>262</v>
      </c>
      <c r="AK323" s="27" t="s">
        <v>103</v>
      </c>
      <c r="AL323" s="27" t="s">
        <v>4417</v>
      </c>
      <c r="AM323" s="34">
        <v>477500000</v>
      </c>
      <c r="AN323" s="34">
        <v>370279018</v>
      </c>
      <c r="AO323" s="34">
        <v>62787500</v>
      </c>
      <c r="AP323" s="34">
        <v>42076339</v>
      </c>
      <c r="AQ323" s="34">
        <v>0</v>
      </c>
      <c r="AR323" s="34">
        <v>0</v>
      </c>
      <c r="AS323" s="34">
        <v>19642857</v>
      </c>
      <c r="AT323" s="34">
        <v>455500000</v>
      </c>
      <c r="AU323" s="34">
        <v>0</v>
      </c>
      <c r="AV323" s="34">
        <v>-22000000</v>
      </c>
      <c r="AW323" s="27" t="s">
        <v>406</v>
      </c>
      <c r="AX323" s="27" t="s">
        <v>406</v>
      </c>
      <c r="AY323" s="27" t="s">
        <v>83</v>
      </c>
      <c r="AZ323" s="27">
        <v>1</v>
      </c>
      <c r="BA323" s="27"/>
      <c r="BB323" s="27" t="s">
        <v>405</v>
      </c>
      <c r="BC323" s="27" t="s">
        <v>4418</v>
      </c>
      <c r="BD323" s="27" t="s">
        <v>405</v>
      </c>
      <c r="BE323" s="27" t="s">
        <v>405</v>
      </c>
      <c r="BF323" s="27" t="s">
        <v>4419</v>
      </c>
      <c r="BG323" s="27" t="s">
        <v>4420</v>
      </c>
      <c r="BH323" s="27" t="s">
        <v>403</v>
      </c>
      <c r="BI323" s="27" t="s">
        <v>416</v>
      </c>
      <c r="BJ323" s="27" t="s">
        <v>4421</v>
      </c>
      <c r="BK323" s="27" t="s">
        <v>308</v>
      </c>
      <c r="BL323" s="27" t="s">
        <v>4422</v>
      </c>
      <c r="BM323" s="35">
        <v>0</v>
      </c>
    </row>
    <row r="324" spans="1:65" s="1" customFormat="1" x14ac:dyDescent="0.2">
      <c r="A324" s="33">
        <v>1166</v>
      </c>
      <c r="B324" s="27">
        <v>146</v>
      </c>
      <c r="C324" s="27" t="s">
        <v>503</v>
      </c>
      <c r="D324" s="27" t="s">
        <v>4423</v>
      </c>
      <c r="E324" s="27" t="s">
        <v>428</v>
      </c>
      <c r="F324" s="27" t="s">
        <v>425</v>
      </c>
      <c r="G324" s="28">
        <v>2026</v>
      </c>
      <c r="H324" s="20" t="str">
        <f>VLOOKUP(U324,'[1]KODE TYPE standar'!$D:$U,17,0)</f>
        <v>HIACE</v>
      </c>
      <c r="I324" s="20" t="str">
        <f>VLOOKUP(U324,'[1]KODE TYPE standar'!$D:$U,16,0)</f>
        <v>HIACE</v>
      </c>
      <c r="J324" s="20" t="str">
        <f>VLOOKUP(U324,'[1]KODE TYPE standar'!$D:$U,18,0)</f>
        <v>HIACE COMM</v>
      </c>
      <c r="K324" s="27" t="s">
        <v>50</v>
      </c>
      <c r="L324" s="27" t="s">
        <v>109</v>
      </c>
      <c r="M324" s="27" t="s">
        <v>50</v>
      </c>
      <c r="N324" s="27" t="s">
        <v>142</v>
      </c>
      <c r="O324" s="28" t="s">
        <v>6581</v>
      </c>
      <c r="P324" s="29" t="s">
        <v>150</v>
      </c>
      <c r="Q324" s="29" t="s">
        <v>147</v>
      </c>
      <c r="R324" s="29" t="s">
        <v>109</v>
      </c>
      <c r="S324" s="27" t="s">
        <v>937</v>
      </c>
      <c r="T324" s="27" t="s">
        <v>541</v>
      </c>
      <c r="U324" s="27" t="s">
        <v>4424</v>
      </c>
      <c r="V324" s="27" t="s">
        <v>99</v>
      </c>
      <c r="W324" s="27" t="s">
        <v>61</v>
      </c>
      <c r="X324" s="27" t="s">
        <v>4425</v>
      </c>
      <c r="Y324" s="27" t="s">
        <v>4426</v>
      </c>
      <c r="Z324" s="27" t="s">
        <v>936</v>
      </c>
      <c r="AA324" s="27" t="s">
        <v>937</v>
      </c>
      <c r="AB324" s="27" t="s">
        <v>541</v>
      </c>
      <c r="AC324" s="27" t="s">
        <v>4427</v>
      </c>
      <c r="AD324" s="27" t="s">
        <v>4428</v>
      </c>
      <c r="AE324" s="27" t="s">
        <v>109</v>
      </c>
      <c r="AF324" s="27" t="s">
        <v>4429</v>
      </c>
      <c r="AG324" s="27" t="s">
        <v>4430</v>
      </c>
      <c r="AH324" s="27" t="s">
        <v>4431</v>
      </c>
      <c r="AI324" s="27" t="s">
        <v>142</v>
      </c>
      <c r="AJ324" s="27" t="s">
        <v>50</v>
      </c>
      <c r="AK324" s="27" t="s">
        <v>50</v>
      </c>
      <c r="AL324" s="27"/>
      <c r="AM324" s="34">
        <v>578900000</v>
      </c>
      <c r="AN324" s="34">
        <v>450984234</v>
      </c>
      <c r="AO324" s="34">
        <v>78307500</v>
      </c>
      <c r="AP324" s="34">
        <v>47130788</v>
      </c>
      <c r="AQ324" s="34">
        <v>0</v>
      </c>
      <c r="AR324" s="34">
        <v>0</v>
      </c>
      <c r="AS324" s="34">
        <v>22522523</v>
      </c>
      <c r="AT324" s="34">
        <v>553900000</v>
      </c>
      <c r="AU324" s="34">
        <v>5000000</v>
      </c>
      <c r="AV324" s="34">
        <v>-25000000</v>
      </c>
      <c r="AW324" s="27" t="s">
        <v>416</v>
      </c>
      <c r="AX324" s="27" t="s">
        <v>416</v>
      </c>
      <c r="AY324" s="27" t="s">
        <v>83</v>
      </c>
      <c r="AZ324" s="27">
        <v>1</v>
      </c>
      <c r="BA324" s="27"/>
      <c r="BB324" s="27" t="s">
        <v>435</v>
      </c>
      <c r="BC324" s="27" t="s">
        <v>4432</v>
      </c>
      <c r="BD324" s="27" t="s">
        <v>435</v>
      </c>
      <c r="BE324" s="27" t="s">
        <v>435</v>
      </c>
      <c r="BF324" s="27" t="s">
        <v>4433</v>
      </c>
      <c r="BG324" s="27" t="s">
        <v>4434</v>
      </c>
      <c r="BH324" s="27" t="s">
        <v>428</v>
      </c>
      <c r="BI324" s="27" t="s">
        <v>431</v>
      </c>
      <c r="BJ324" s="27" t="s">
        <v>4435</v>
      </c>
      <c r="BK324" s="27" t="s">
        <v>411</v>
      </c>
      <c r="BL324" s="27" t="s">
        <v>4436</v>
      </c>
      <c r="BM324" s="35">
        <v>0</v>
      </c>
    </row>
    <row r="325" spans="1:65" s="1" customFormat="1" x14ac:dyDescent="0.2">
      <c r="A325" s="33">
        <v>1187</v>
      </c>
      <c r="B325" s="27">
        <v>146</v>
      </c>
      <c r="C325" s="27" t="s">
        <v>503</v>
      </c>
      <c r="D325" s="27" t="s">
        <v>4437</v>
      </c>
      <c r="E325" s="27" t="s">
        <v>403</v>
      </c>
      <c r="F325" s="27" t="s">
        <v>425</v>
      </c>
      <c r="G325" s="28">
        <v>2026</v>
      </c>
      <c r="H325" s="20" t="str">
        <f>VLOOKUP(U325,'[1]KODE TYPE standar'!$D:$U,17,0)</f>
        <v>AVANZA</v>
      </c>
      <c r="I325" s="20" t="str">
        <f>VLOOKUP(U325,'[1]KODE TYPE standar'!$D:$U,16,0)</f>
        <v>AVANZA</v>
      </c>
      <c r="J325" s="20" t="str">
        <f>VLOOKUP(U325,'[1]KODE TYPE standar'!$D:$U,18,0)</f>
        <v>AVANZA E A/T</v>
      </c>
      <c r="K325" s="27" t="s">
        <v>50</v>
      </c>
      <c r="L325" s="27" t="s">
        <v>109</v>
      </c>
      <c r="M325" s="27" t="s">
        <v>50</v>
      </c>
      <c r="N325" s="27" t="s">
        <v>141</v>
      </c>
      <c r="O325" s="28" t="s">
        <v>156</v>
      </c>
      <c r="P325" s="29" t="s">
        <v>150</v>
      </c>
      <c r="Q325" s="29" t="s">
        <v>162</v>
      </c>
      <c r="R325" s="29" t="s">
        <v>109</v>
      </c>
      <c r="S325" s="27" t="s">
        <v>795</v>
      </c>
      <c r="T325" s="27" t="s">
        <v>509</v>
      </c>
      <c r="U325" s="27" t="s">
        <v>328</v>
      </c>
      <c r="V325" s="27" t="s">
        <v>77</v>
      </c>
      <c r="W325" s="27" t="s">
        <v>78</v>
      </c>
      <c r="X325" s="27" t="s">
        <v>4438</v>
      </c>
      <c r="Y325" s="27" t="s">
        <v>4439</v>
      </c>
      <c r="Z325" s="27" t="s">
        <v>794</v>
      </c>
      <c r="AA325" s="27" t="s">
        <v>795</v>
      </c>
      <c r="AB325" s="27" t="s">
        <v>509</v>
      </c>
      <c r="AC325" s="27" t="s">
        <v>2782</v>
      </c>
      <c r="AD325" s="27" t="s">
        <v>314</v>
      </c>
      <c r="AE325" s="27" t="s">
        <v>109</v>
      </c>
      <c r="AF325" s="27" t="s">
        <v>314</v>
      </c>
      <c r="AG325" s="27" t="s">
        <v>2783</v>
      </c>
      <c r="AH325" s="27" t="s">
        <v>1494</v>
      </c>
      <c r="AI325" s="27" t="s">
        <v>141</v>
      </c>
      <c r="AJ325" s="27" t="s">
        <v>50</v>
      </c>
      <c r="AK325" s="27" t="s">
        <v>50</v>
      </c>
      <c r="AL325" s="27" t="s">
        <v>4440</v>
      </c>
      <c r="AM325" s="34">
        <v>262200000</v>
      </c>
      <c r="AN325" s="34">
        <v>202075893</v>
      </c>
      <c r="AO325" s="34">
        <v>35875000</v>
      </c>
      <c r="AP325" s="34">
        <v>22052678</v>
      </c>
      <c r="AQ325" s="34">
        <v>0</v>
      </c>
      <c r="AR325" s="34">
        <v>0</v>
      </c>
      <c r="AS325" s="34">
        <v>18303571</v>
      </c>
      <c r="AT325" s="34">
        <v>241700000</v>
      </c>
      <c r="AU325" s="34">
        <v>241700000</v>
      </c>
      <c r="AV325" s="34">
        <v>-20764886</v>
      </c>
      <c r="AW325" s="27" t="s">
        <v>409</v>
      </c>
      <c r="AX325" s="27" t="s">
        <v>409</v>
      </c>
      <c r="AY325" s="27" t="s">
        <v>83</v>
      </c>
      <c r="AZ325" s="27">
        <v>1</v>
      </c>
      <c r="BA325" s="27" t="s">
        <v>316</v>
      </c>
      <c r="BB325" s="27" t="s">
        <v>407</v>
      </c>
      <c r="BC325" s="27" t="s">
        <v>4441</v>
      </c>
      <c r="BD325" s="27" t="s">
        <v>407</v>
      </c>
      <c r="BE325" s="27" t="s">
        <v>407</v>
      </c>
      <c r="BF325" s="27" t="s">
        <v>4442</v>
      </c>
      <c r="BG325" s="27" t="s">
        <v>4443</v>
      </c>
      <c r="BH325" s="27" t="s">
        <v>403</v>
      </c>
      <c r="BI325" s="27" t="s">
        <v>436</v>
      </c>
      <c r="BJ325" s="27" t="s">
        <v>4444</v>
      </c>
      <c r="BK325" s="27" t="s">
        <v>407</v>
      </c>
      <c r="BL325" s="27" t="s">
        <v>4445</v>
      </c>
      <c r="BM325" s="35">
        <v>0</v>
      </c>
    </row>
    <row r="326" spans="1:65" s="1" customFormat="1" x14ac:dyDescent="0.2">
      <c r="A326" s="33">
        <v>1285</v>
      </c>
      <c r="B326" s="27">
        <v>146</v>
      </c>
      <c r="C326" s="27" t="s">
        <v>503</v>
      </c>
      <c r="D326" s="27" t="s">
        <v>4446</v>
      </c>
      <c r="E326" s="27" t="s">
        <v>419</v>
      </c>
      <c r="F326" s="27" t="s">
        <v>425</v>
      </c>
      <c r="G326" s="28">
        <v>2026</v>
      </c>
      <c r="H326" s="20" t="str">
        <f>VLOOKUP(U326,'[1]KODE TYPE standar'!$D:$U,17,0)</f>
        <v>HIACE</v>
      </c>
      <c r="I326" s="20" t="str">
        <f>VLOOKUP(U326,'[1]KODE TYPE standar'!$D:$U,16,0)</f>
        <v>HIACE</v>
      </c>
      <c r="J326" s="20" t="str">
        <f>VLOOKUP(U326,'[1]KODE TYPE standar'!$D:$U,18,0)</f>
        <v>HIACE COMM</v>
      </c>
      <c r="K326" s="27" t="s">
        <v>50</v>
      </c>
      <c r="L326" s="27" t="s">
        <v>109</v>
      </c>
      <c r="M326" s="27" t="s">
        <v>50</v>
      </c>
      <c r="N326" s="27" t="s">
        <v>141</v>
      </c>
      <c r="O326" s="28" t="s">
        <v>156</v>
      </c>
      <c r="P326" s="29" t="s">
        <v>149</v>
      </c>
      <c r="Q326" s="29" t="s">
        <v>162</v>
      </c>
      <c r="R326" s="29" t="s">
        <v>109</v>
      </c>
      <c r="S326" s="27" t="s">
        <v>877</v>
      </c>
      <c r="T326" s="27" t="s">
        <v>585</v>
      </c>
      <c r="U326" s="27" t="s">
        <v>4424</v>
      </c>
      <c r="V326" s="27" t="s">
        <v>99</v>
      </c>
      <c r="W326" s="27" t="s">
        <v>61</v>
      </c>
      <c r="X326" s="27" t="s">
        <v>4447</v>
      </c>
      <c r="Y326" s="27" t="s">
        <v>4448</v>
      </c>
      <c r="Z326" s="27" t="s">
        <v>876</v>
      </c>
      <c r="AA326" s="27" t="s">
        <v>877</v>
      </c>
      <c r="AB326" s="27" t="s">
        <v>585</v>
      </c>
      <c r="AC326" s="27" t="s">
        <v>4449</v>
      </c>
      <c r="AD326" s="27" t="s">
        <v>4450</v>
      </c>
      <c r="AE326" s="27" t="s">
        <v>109</v>
      </c>
      <c r="AF326" s="27" t="s">
        <v>4450</v>
      </c>
      <c r="AG326" s="27" t="s">
        <v>4451</v>
      </c>
      <c r="AH326" s="27" t="s">
        <v>1602</v>
      </c>
      <c r="AI326" s="27" t="s">
        <v>141</v>
      </c>
      <c r="AJ326" s="27" t="s">
        <v>50</v>
      </c>
      <c r="AK326" s="27" t="s">
        <v>50</v>
      </c>
      <c r="AL326" s="27"/>
      <c r="AM326" s="34">
        <v>578900000</v>
      </c>
      <c r="AN326" s="34">
        <v>447399554</v>
      </c>
      <c r="AO326" s="34">
        <v>77812500</v>
      </c>
      <c r="AP326" s="34">
        <v>50795089</v>
      </c>
      <c r="AQ326" s="34">
        <v>0</v>
      </c>
      <c r="AR326" s="34">
        <v>0</v>
      </c>
      <c r="AS326" s="34">
        <v>24107143</v>
      </c>
      <c r="AT326" s="34">
        <v>551900000</v>
      </c>
      <c r="AU326" s="34">
        <v>501900000</v>
      </c>
      <c r="AV326" s="34">
        <v>-27000000</v>
      </c>
      <c r="AW326" s="27"/>
      <c r="AX326" s="27"/>
      <c r="AY326" s="27" t="s">
        <v>83</v>
      </c>
      <c r="AZ326" s="27">
        <v>1</v>
      </c>
      <c r="BA326" s="27"/>
      <c r="BB326" s="27" t="s">
        <v>419</v>
      </c>
      <c r="BC326" s="27" t="s">
        <v>4452</v>
      </c>
      <c r="BD326" s="27" t="s">
        <v>431</v>
      </c>
      <c r="BE326" s="27" t="s">
        <v>431</v>
      </c>
      <c r="BF326" s="27" t="s">
        <v>4453</v>
      </c>
      <c r="BG326" s="27" t="s">
        <v>4454</v>
      </c>
      <c r="BH326" s="27"/>
      <c r="BI326" s="27" t="s">
        <v>427</v>
      </c>
      <c r="BJ326" s="27" t="s">
        <v>4455</v>
      </c>
      <c r="BK326" s="27" t="s">
        <v>403</v>
      </c>
      <c r="BL326" s="27" t="s">
        <v>4456</v>
      </c>
      <c r="BM326" s="35">
        <v>0</v>
      </c>
    </row>
    <row r="327" spans="1:65" s="1" customFormat="1" x14ac:dyDescent="0.2">
      <c r="A327" s="33">
        <v>1595</v>
      </c>
      <c r="B327" s="27">
        <v>146</v>
      </c>
      <c r="C327" s="27" t="s">
        <v>503</v>
      </c>
      <c r="D327" s="27" t="s">
        <v>4457</v>
      </c>
      <c r="E327" s="27" t="s">
        <v>442</v>
      </c>
      <c r="F327" s="27" t="s">
        <v>425</v>
      </c>
      <c r="G327" s="28">
        <v>2026</v>
      </c>
      <c r="H327" s="20" t="str">
        <f>VLOOKUP(U327,'[1]KODE TYPE standar'!$D:$U,17,0)</f>
        <v>INV ZENIX HYBRID</v>
      </c>
      <c r="I327" s="20" t="str">
        <f>VLOOKUP(U327,'[1]KODE TYPE standar'!$D:$U,16,0)</f>
        <v>INNOVA</v>
      </c>
      <c r="J327" s="20" t="str">
        <f>VLOOKUP(U327,'[1]KODE TYPE standar'!$D:$U,18,0)</f>
        <v>INNOVA ZENIX Q A/T HYBRID</v>
      </c>
      <c r="K327" s="27" t="s">
        <v>50</v>
      </c>
      <c r="L327" s="27" t="s">
        <v>110</v>
      </c>
      <c r="M327" s="27" t="s">
        <v>50</v>
      </c>
      <c r="N327" s="27" t="s">
        <v>139</v>
      </c>
      <c r="O327" s="28" t="s">
        <v>156</v>
      </c>
      <c r="P327" s="29" t="s">
        <v>150</v>
      </c>
      <c r="Q327" s="29" t="s">
        <v>162</v>
      </c>
      <c r="R327" s="29" t="s">
        <v>1016</v>
      </c>
      <c r="S327" s="27" t="s">
        <v>978</v>
      </c>
      <c r="T327" s="27" t="s">
        <v>541</v>
      </c>
      <c r="U327" s="27" t="s">
        <v>174</v>
      </c>
      <c r="V327" s="27" t="s">
        <v>48</v>
      </c>
      <c r="W327" s="27" t="s">
        <v>49</v>
      </c>
      <c r="X327" s="27" t="s">
        <v>4458</v>
      </c>
      <c r="Y327" s="27" t="s">
        <v>4459</v>
      </c>
      <c r="Z327" s="27" t="s">
        <v>977</v>
      </c>
      <c r="AA327" s="27" t="s">
        <v>978</v>
      </c>
      <c r="AB327" s="27" t="s">
        <v>541</v>
      </c>
      <c r="AC327" s="27" t="s">
        <v>4460</v>
      </c>
      <c r="AD327" s="27" t="s">
        <v>4461</v>
      </c>
      <c r="AE327" s="27" t="s">
        <v>110</v>
      </c>
      <c r="AF327" s="27" t="s">
        <v>4462</v>
      </c>
      <c r="AG327" s="27" t="s">
        <v>4463</v>
      </c>
      <c r="AH327" s="27" t="s">
        <v>913</v>
      </c>
      <c r="AI327" s="27" t="s">
        <v>139</v>
      </c>
      <c r="AJ327" s="27" t="s">
        <v>50</v>
      </c>
      <c r="AK327" s="27" t="s">
        <v>50</v>
      </c>
      <c r="AL327" s="27"/>
      <c r="AM327" s="34">
        <v>628200000</v>
      </c>
      <c r="AN327" s="34">
        <v>488013393</v>
      </c>
      <c r="AO327" s="34">
        <v>81625000</v>
      </c>
      <c r="AP327" s="34">
        <v>56311607</v>
      </c>
      <c r="AQ327" s="34">
        <v>0</v>
      </c>
      <c r="AR327" s="34">
        <v>0</v>
      </c>
      <c r="AS327" s="34">
        <v>18750000</v>
      </c>
      <c r="AT327" s="34">
        <v>607200000</v>
      </c>
      <c r="AU327" s="34">
        <v>9000000</v>
      </c>
      <c r="AV327" s="34">
        <v>-21000000</v>
      </c>
      <c r="AW327" s="27" t="s">
        <v>431</v>
      </c>
      <c r="AX327" s="27" t="s">
        <v>431</v>
      </c>
      <c r="AY327" s="27" t="s">
        <v>83</v>
      </c>
      <c r="AZ327" s="27">
        <v>1</v>
      </c>
      <c r="BA327" s="27"/>
      <c r="BB327" s="27" t="s">
        <v>409</v>
      </c>
      <c r="BC327" s="27" t="s">
        <v>4464</v>
      </c>
      <c r="BD327" s="27" t="s">
        <v>409</v>
      </c>
      <c r="BE327" s="27" t="s">
        <v>409</v>
      </c>
      <c r="BF327" s="27" t="s">
        <v>4465</v>
      </c>
      <c r="BG327" s="27" t="s">
        <v>4466</v>
      </c>
      <c r="BH327" s="27" t="s">
        <v>442</v>
      </c>
      <c r="BI327" s="27" t="s">
        <v>438</v>
      </c>
      <c r="BJ327" s="27" t="s">
        <v>4467</v>
      </c>
      <c r="BK327" s="27" t="s">
        <v>433</v>
      </c>
      <c r="BL327" s="27" t="s">
        <v>4468</v>
      </c>
      <c r="BM327" s="35">
        <v>0</v>
      </c>
    </row>
    <row r="328" spans="1:65" s="1" customFormat="1" x14ac:dyDescent="0.2">
      <c r="A328" s="33">
        <v>1640</v>
      </c>
      <c r="B328" s="27">
        <v>146</v>
      </c>
      <c r="C328" s="27" t="s">
        <v>503</v>
      </c>
      <c r="D328" s="27" t="s">
        <v>4469</v>
      </c>
      <c r="E328" s="27" t="s">
        <v>414</v>
      </c>
      <c r="F328" s="27" t="s">
        <v>425</v>
      </c>
      <c r="G328" s="28">
        <v>2026</v>
      </c>
      <c r="H328" s="20" t="str">
        <f>VLOOKUP(U328,'[1]KODE TYPE standar'!$D:$U,17,0)</f>
        <v>RUSH</v>
      </c>
      <c r="I328" s="20" t="str">
        <f>VLOOKUP(U328,'[1]KODE TYPE standar'!$D:$U,16,0)</f>
        <v>RUSH</v>
      </c>
      <c r="J328" s="20" t="str">
        <f>VLOOKUP(U328,'[1]KODE TYPE standar'!$D:$U,18,0)</f>
        <v>RUSH S M/T</v>
      </c>
      <c r="K328" s="27" t="s">
        <v>118</v>
      </c>
      <c r="L328" s="27" t="s">
        <v>110</v>
      </c>
      <c r="M328" s="27" t="s">
        <v>262</v>
      </c>
      <c r="N328" s="27" t="s">
        <v>106</v>
      </c>
      <c r="O328" s="28" t="s">
        <v>156</v>
      </c>
      <c r="P328" s="29" t="s">
        <v>151</v>
      </c>
      <c r="Q328" s="29" t="s">
        <v>161</v>
      </c>
      <c r="R328" s="29" t="s">
        <v>1016</v>
      </c>
      <c r="S328" s="27" t="s">
        <v>4352</v>
      </c>
      <c r="T328" s="27" t="s">
        <v>585</v>
      </c>
      <c r="U328" s="27" t="s">
        <v>276</v>
      </c>
      <c r="V328" s="27" t="s">
        <v>60</v>
      </c>
      <c r="W328" s="27" t="s">
        <v>61</v>
      </c>
      <c r="X328" s="27" t="s">
        <v>4470</v>
      </c>
      <c r="Y328" s="27" t="s">
        <v>4471</v>
      </c>
      <c r="Z328" s="27" t="s">
        <v>4351</v>
      </c>
      <c r="AA328" s="27" t="s">
        <v>4352</v>
      </c>
      <c r="AB328" s="27" t="s">
        <v>585</v>
      </c>
      <c r="AC328" s="27" t="s">
        <v>4472</v>
      </c>
      <c r="AD328" s="27" t="s">
        <v>4473</v>
      </c>
      <c r="AE328" s="27" t="s">
        <v>110</v>
      </c>
      <c r="AF328" s="27" t="s">
        <v>4473</v>
      </c>
      <c r="AG328" s="27" t="s">
        <v>4474</v>
      </c>
      <c r="AH328" s="27" t="s">
        <v>2491</v>
      </c>
      <c r="AI328" s="27" t="s">
        <v>106</v>
      </c>
      <c r="AJ328" s="27" t="s">
        <v>262</v>
      </c>
      <c r="AK328" s="27" t="s">
        <v>63</v>
      </c>
      <c r="AL328" s="27"/>
      <c r="AM328" s="34">
        <v>311800000</v>
      </c>
      <c r="AN328" s="34">
        <v>240825893</v>
      </c>
      <c r="AO328" s="34">
        <v>42075000</v>
      </c>
      <c r="AP328" s="34">
        <v>27291964</v>
      </c>
      <c r="AQ328" s="34">
        <v>0</v>
      </c>
      <c r="AR328" s="34">
        <v>0</v>
      </c>
      <c r="AS328" s="34">
        <v>13392857</v>
      </c>
      <c r="AT328" s="34">
        <v>296800000</v>
      </c>
      <c r="AU328" s="34">
        <v>28000000</v>
      </c>
      <c r="AV328" s="34">
        <v>-15000000</v>
      </c>
      <c r="AW328" s="27"/>
      <c r="AX328" s="27"/>
      <c r="AY328" s="27" t="s">
        <v>83</v>
      </c>
      <c r="AZ328" s="27">
        <v>1</v>
      </c>
      <c r="BA328" s="27" t="s">
        <v>163</v>
      </c>
      <c r="BB328" s="27" t="s">
        <v>433</v>
      </c>
      <c r="BC328" s="27" t="s">
        <v>4475</v>
      </c>
      <c r="BD328" s="27" t="s">
        <v>433</v>
      </c>
      <c r="BE328" s="27" t="s">
        <v>433</v>
      </c>
      <c r="BF328" s="27" t="s">
        <v>4476</v>
      </c>
      <c r="BG328" s="27" t="s">
        <v>4477</v>
      </c>
      <c r="BH328" s="27"/>
      <c r="BI328" s="27" t="s">
        <v>422</v>
      </c>
      <c r="BJ328" s="27" t="s">
        <v>4478</v>
      </c>
      <c r="BK328" s="27" t="s">
        <v>414</v>
      </c>
      <c r="BL328" s="27" t="s">
        <v>4479</v>
      </c>
      <c r="BM328" s="35">
        <v>0</v>
      </c>
    </row>
    <row r="329" spans="1:65" s="1" customFormat="1" x14ac:dyDescent="0.2">
      <c r="A329" s="33">
        <v>1652</v>
      </c>
      <c r="B329" s="27">
        <v>146</v>
      </c>
      <c r="C329" s="27" t="s">
        <v>503</v>
      </c>
      <c r="D329" s="27" t="s">
        <v>4480</v>
      </c>
      <c r="E329" s="27" t="s">
        <v>419</v>
      </c>
      <c r="F329" s="27" t="s">
        <v>425</v>
      </c>
      <c r="G329" s="28">
        <v>2026</v>
      </c>
      <c r="H329" s="20" t="str">
        <f>VLOOKUP(U329,'[1]KODE TYPE standar'!$D:$U,17,0)</f>
        <v>AVANZA</v>
      </c>
      <c r="I329" s="20" t="str">
        <f>VLOOKUP(U329,'[1]KODE TYPE standar'!$D:$U,16,0)</f>
        <v>AVANZA</v>
      </c>
      <c r="J329" s="20" t="str">
        <f>VLOOKUP(U329,'[1]KODE TYPE standar'!$D:$U,18,0)</f>
        <v>AVANZA E M/T</v>
      </c>
      <c r="K329" s="27" t="s">
        <v>370</v>
      </c>
      <c r="L329" s="27" t="s">
        <v>110</v>
      </c>
      <c r="M329" s="27" t="s">
        <v>262</v>
      </c>
      <c r="N329" s="27" t="s">
        <v>141</v>
      </c>
      <c r="O329" s="28" t="s">
        <v>156</v>
      </c>
      <c r="P329" s="29" t="s">
        <v>149</v>
      </c>
      <c r="Q329" s="29" t="s">
        <v>161</v>
      </c>
      <c r="R329" s="29" t="s">
        <v>1016</v>
      </c>
      <c r="S329" s="27" t="s">
        <v>631</v>
      </c>
      <c r="T329" s="27" t="s">
        <v>509</v>
      </c>
      <c r="U329" s="27" t="s">
        <v>447</v>
      </c>
      <c r="V329" s="27" t="s">
        <v>269</v>
      </c>
      <c r="W329" s="27" t="s">
        <v>81</v>
      </c>
      <c r="X329" s="27" t="s">
        <v>4481</v>
      </c>
      <c r="Y329" s="27" t="s">
        <v>4482</v>
      </c>
      <c r="Z329" s="27" t="s">
        <v>630</v>
      </c>
      <c r="AA329" s="27" t="s">
        <v>631</v>
      </c>
      <c r="AB329" s="27" t="s">
        <v>509</v>
      </c>
      <c r="AC329" s="27" t="s">
        <v>4483</v>
      </c>
      <c r="AD329" s="27" t="s">
        <v>4484</v>
      </c>
      <c r="AE329" s="27" t="s">
        <v>110</v>
      </c>
      <c r="AF329" s="27" t="s">
        <v>4484</v>
      </c>
      <c r="AG329" s="27" t="s">
        <v>4485</v>
      </c>
      <c r="AH329" s="27" t="s">
        <v>1519</v>
      </c>
      <c r="AI329" s="27" t="s">
        <v>141</v>
      </c>
      <c r="AJ329" s="27" t="s">
        <v>262</v>
      </c>
      <c r="AK329" s="27" t="s">
        <v>357</v>
      </c>
      <c r="AL329" s="27"/>
      <c r="AM329" s="34">
        <v>247000000</v>
      </c>
      <c r="AN329" s="34">
        <v>190200893</v>
      </c>
      <c r="AO329" s="34">
        <v>33975000</v>
      </c>
      <c r="AP329" s="34">
        <v>21216964</v>
      </c>
      <c r="AQ329" s="34">
        <v>0</v>
      </c>
      <c r="AR329" s="34">
        <v>0</v>
      </c>
      <c r="AS329" s="34">
        <v>13392857</v>
      </c>
      <c r="AT329" s="34">
        <v>232000000</v>
      </c>
      <c r="AU329" s="34">
        <v>5000000</v>
      </c>
      <c r="AV329" s="34">
        <v>-15000000</v>
      </c>
      <c r="AW329" s="27"/>
      <c r="AX329" s="27"/>
      <c r="AY329" s="27" t="s">
        <v>83</v>
      </c>
      <c r="AZ329" s="27">
        <v>1</v>
      </c>
      <c r="BA329" s="27"/>
      <c r="BB329" s="27" t="s">
        <v>419</v>
      </c>
      <c r="BC329" s="27" t="s">
        <v>4486</v>
      </c>
      <c r="BD329" s="27" t="s">
        <v>419</v>
      </c>
      <c r="BE329" s="27" t="s">
        <v>419</v>
      </c>
      <c r="BF329" s="27" t="s">
        <v>4487</v>
      </c>
      <c r="BG329" s="27" t="s">
        <v>4488</v>
      </c>
      <c r="BH329" s="27"/>
      <c r="BI329" s="27" t="s">
        <v>427</v>
      </c>
      <c r="BJ329" s="27" t="s">
        <v>4489</v>
      </c>
      <c r="BK329" s="27" t="s">
        <v>430</v>
      </c>
      <c r="BL329" s="27" t="s">
        <v>4490</v>
      </c>
      <c r="BM329" s="35">
        <v>0</v>
      </c>
    </row>
    <row r="330" spans="1:65" s="1" customFormat="1" x14ac:dyDescent="0.2">
      <c r="A330" s="33">
        <v>1659</v>
      </c>
      <c r="B330" s="27">
        <v>146</v>
      </c>
      <c r="C330" s="27" t="s">
        <v>503</v>
      </c>
      <c r="D330" s="27" t="s">
        <v>4491</v>
      </c>
      <c r="E330" s="27" t="s">
        <v>414</v>
      </c>
      <c r="F330" s="27" t="s">
        <v>425</v>
      </c>
      <c r="G330" s="28">
        <v>2026</v>
      </c>
      <c r="H330" s="20" t="str">
        <f>VLOOKUP(U330,'[1]KODE TYPE standar'!$D:$U,17,0)</f>
        <v>AVANZA</v>
      </c>
      <c r="I330" s="20" t="str">
        <f>VLOOKUP(U330,'[1]KODE TYPE standar'!$D:$U,16,0)</f>
        <v>AVANZA</v>
      </c>
      <c r="J330" s="20" t="str">
        <f>VLOOKUP(U330,'[1]KODE TYPE standar'!$D:$U,18,0)</f>
        <v>AVANZA G M/T</v>
      </c>
      <c r="K330" s="27" t="s">
        <v>118</v>
      </c>
      <c r="L330" s="27" t="s">
        <v>110</v>
      </c>
      <c r="M330" s="27" t="s">
        <v>262</v>
      </c>
      <c r="N330" s="27" t="s">
        <v>158</v>
      </c>
      <c r="O330" s="28" t="s">
        <v>6581</v>
      </c>
      <c r="P330" s="29" t="s">
        <v>151</v>
      </c>
      <c r="Q330" s="29" t="s">
        <v>161</v>
      </c>
      <c r="R330" s="29" t="s">
        <v>145</v>
      </c>
      <c r="S330" s="27" t="s">
        <v>2486</v>
      </c>
      <c r="T330" s="27" t="s">
        <v>541</v>
      </c>
      <c r="U330" s="27" t="s">
        <v>373</v>
      </c>
      <c r="V330" s="27" t="s">
        <v>64</v>
      </c>
      <c r="W330" s="27" t="s">
        <v>65</v>
      </c>
      <c r="X330" s="27" t="s">
        <v>4492</v>
      </c>
      <c r="Y330" s="27" t="s">
        <v>4493</v>
      </c>
      <c r="Z330" s="27" t="s">
        <v>2485</v>
      </c>
      <c r="AA330" s="27" t="s">
        <v>2486</v>
      </c>
      <c r="AB330" s="27" t="s">
        <v>541</v>
      </c>
      <c r="AC330" s="27" t="s">
        <v>4494</v>
      </c>
      <c r="AD330" s="27" t="s">
        <v>4495</v>
      </c>
      <c r="AE330" s="27" t="s">
        <v>110</v>
      </c>
      <c r="AF330" s="27" t="s">
        <v>4495</v>
      </c>
      <c r="AG330" s="27" t="s">
        <v>4496</v>
      </c>
      <c r="AH330" s="27" t="s">
        <v>4497</v>
      </c>
      <c r="AI330" s="27" t="s">
        <v>158</v>
      </c>
      <c r="AJ330" s="27" t="s">
        <v>262</v>
      </c>
      <c r="AK330" s="27" t="s">
        <v>63</v>
      </c>
      <c r="AL330" s="27"/>
      <c r="AM330" s="34">
        <v>270200000</v>
      </c>
      <c r="AN330" s="34">
        <v>208013393</v>
      </c>
      <c r="AO330" s="34">
        <v>37225000</v>
      </c>
      <c r="AP330" s="34">
        <v>23354464</v>
      </c>
      <c r="AQ330" s="34">
        <v>0</v>
      </c>
      <c r="AR330" s="34">
        <v>0</v>
      </c>
      <c r="AS330" s="34">
        <v>13392857</v>
      </c>
      <c r="AT330" s="34">
        <v>255200000</v>
      </c>
      <c r="AU330" s="34">
        <v>5000000</v>
      </c>
      <c r="AV330" s="34">
        <v>-15000000</v>
      </c>
      <c r="AW330" s="27"/>
      <c r="AX330" s="27"/>
      <c r="AY330" s="27" t="s">
        <v>83</v>
      </c>
      <c r="AZ330" s="27">
        <v>1</v>
      </c>
      <c r="BA330" s="27"/>
      <c r="BB330" s="27" t="s">
        <v>431</v>
      </c>
      <c r="BC330" s="27" t="s">
        <v>4498</v>
      </c>
      <c r="BD330" s="27" t="s">
        <v>431</v>
      </c>
      <c r="BE330" s="27" t="s">
        <v>431</v>
      </c>
      <c r="BF330" s="27" t="s">
        <v>4499</v>
      </c>
      <c r="BG330" s="27" t="s">
        <v>4500</v>
      </c>
      <c r="BH330" s="27"/>
      <c r="BI330" s="27" t="s">
        <v>422</v>
      </c>
      <c r="BJ330" s="27" t="s">
        <v>4501</v>
      </c>
      <c r="BK330" s="27" t="s">
        <v>414</v>
      </c>
      <c r="BL330" s="27" t="s">
        <v>4502</v>
      </c>
      <c r="BM330" s="35">
        <v>0</v>
      </c>
    </row>
    <row r="331" spans="1:65" s="1" customFormat="1" x14ac:dyDescent="0.2">
      <c r="A331" s="33">
        <v>1665</v>
      </c>
      <c r="B331" s="27">
        <v>146</v>
      </c>
      <c r="C331" s="27" t="s">
        <v>503</v>
      </c>
      <c r="D331" s="27" t="s">
        <v>4503</v>
      </c>
      <c r="E331" s="27" t="s">
        <v>433</v>
      </c>
      <c r="F331" s="27" t="s">
        <v>425</v>
      </c>
      <c r="G331" s="28">
        <v>2026</v>
      </c>
      <c r="H331" s="20" t="str">
        <f>VLOOKUP(U331,'[1]KODE TYPE standar'!$D:$U,17,0)</f>
        <v>AGYA</v>
      </c>
      <c r="I331" s="20" t="str">
        <f>VLOOKUP(U331,'[1]KODE TYPE standar'!$D:$U,16,0)</f>
        <v>AGYA</v>
      </c>
      <c r="J331" s="20" t="str">
        <f>VLOOKUP(U331,'[1]KODE TYPE standar'!$D:$U,18,0)</f>
        <v>AGYA G A/T</v>
      </c>
      <c r="K331" s="27" t="s">
        <v>118</v>
      </c>
      <c r="L331" s="27" t="s">
        <v>110</v>
      </c>
      <c r="M331" s="27" t="s">
        <v>262</v>
      </c>
      <c r="N331" s="27" t="s">
        <v>141</v>
      </c>
      <c r="O331" s="28" t="s">
        <v>156</v>
      </c>
      <c r="P331" s="29" t="s">
        <v>151</v>
      </c>
      <c r="Q331" s="29" t="s">
        <v>161</v>
      </c>
      <c r="R331" s="29" t="s">
        <v>145</v>
      </c>
      <c r="S331" s="27" t="s">
        <v>1476</v>
      </c>
      <c r="T331" s="27" t="s">
        <v>541</v>
      </c>
      <c r="U331" s="27" t="s">
        <v>74</v>
      </c>
      <c r="V331" s="27" t="s">
        <v>60</v>
      </c>
      <c r="W331" s="27" t="s">
        <v>61</v>
      </c>
      <c r="X331" s="27" t="s">
        <v>4504</v>
      </c>
      <c r="Y331" s="27" t="s">
        <v>4505</v>
      </c>
      <c r="Z331" s="27" t="s">
        <v>1475</v>
      </c>
      <c r="AA331" s="27" t="s">
        <v>1476</v>
      </c>
      <c r="AB331" s="27" t="s">
        <v>541</v>
      </c>
      <c r="AC331" s="27" t="s">
        <v>4506</v>
      </c>
      <c r="AD331" s="27" t="s">
        <v>4507</v>
      </c>
      <c r="AE331" s="27" t="s">
        <v>110</v>
      </c>
      <c r="AF331" s="27" t="s">
        <v>4507</v>
      </c>
      <c r="AG331" s="27" t="s">
        <v>4508</v>
      </c>
      <c r="AH331" s="27" t="s">
        <v>1808</v>
      </c>
      <c r="AI331" s="27" t="s">
        <v>141</v>
      </c>
      <c r="AJ331" s="27" t="s">
        <v>262</v>
      </c>
      <c r="AK331" s="27" t="s">
        <v>63</v>
      </c>
      <c r="AL331" s="27"/>
      <c r="AM331" s="34">
        <v>200800000</v>
      </c>
      <c r="AN331" s="34">
        <v>154107143</v>
      </c>
      <c r="AO331" s="34">
        <v>28200000</v>
      </c>
      <c r="AP331" s="34">
        <v>17421428</v>
      </c>
      <c r="AQ331" s="34">
        <v>0</v>
      </c>
      <c r="AR331" s="34">
        <v>0</v>
      </c>
      <c r="AS331" s="34">
        <v>8928571</v>
      </c>
      <c r="AT331" s="34">
        <v>190800000</v>
      </c>
      <c r="AU331" s="34">
        <v>3000000</v>
      </c>
      <c r="AV331" s="34">
        <v>-10000000</v>
      </c>
      <c r="AW331" s="27" t="s">
        <v>430</v>
      </c>
      <c r="AX331" s="27" t="s">
        <v>430</v>
      </c>
      <c r="AY331" s="27" t="s">
        <v>83</v>
      </c>
      <c r="AZ331" s="27">
        <v>1</v>
      </c>
      <c r="BA331" s="27"/>
      <c r="BB331" s="27" t="s">
        <v>400</v>
      </c>
      <c r="BC331" s="27" t="s">
        <v>4509</v>
      </c>
      <c r="BD331" s="27" t="s">
        <v>408</v>
      </c>
      <c r="BE331" s="27" t="s">
        <v>408</v>
      </c>
      <c r="BF331" s="27" t="s">
        <v>4510</v>
      </c>
      <c r="BG331" s="27" t="s">
        <v>4511</v>
      </c>
      <c r="BH331" s="27" t="s">
        <v>433</v>
      </c>
      <c r="BI331" s="27" t="s">
        <v>436</v>
      </c>
      <c r="BJ331" s="27" t="s">
        <v>4512</v>
      </c>
      <c r="BK331" s="27" t="s">
        <v>432</v>
      </c>
      <c r="BL331" s="27" t="s">
        <v>4513</v>
      </c>
      <c r="BM331" s="35">
        <v>0</v>
      </c>
    </row>
    <row r="332" spans="1:65" s="1" customFormat="1" x14ac:dyDescent="0.2">
      <c r="A332" s="33">
        <v>1697</v>
      </c>
      <c r="B332" s="27">
        <v>146</v>
      </c>
      <c r="C332" s="27" t="s">
        <v>503</v>
      </c>
      <c r="D332" s="27" t="s">
        <v>4514</v>
      </c>
      <c r="E332" s="27" t="s">
        <v>406</v>
      </c>
      <c r="F332" s="27" t="s">
        <v>425</v>
      </c>
      <c r="G332" s="28">
        <v>2026</v>
      </c>
      <c r="H332" s="20" t="str">
        <f>VLOOKUP(U332,'[1]KODE TYPE standar'!$D:$U,17,0)</f>
        <v>FORTUNER</v>
      </c>
      <c r="I332" s="20" t="str">
        <f>VLOOKUP(U332,'[1]KODE TYPE standar'!$D:$U,16,0)</f>
        <v>FORTUNER</v>
      </c>
      <c r="J332" s="20" t="str">
        <f>VLOOKUP(U332,'[1]KODE TYPE standar'!$D:$U,18,0)</f>
        <v>FORTUNER 4X4 VRZ A/T DIESEL</v>
      </c>
      <c r="K332" s="27" t="s">
        <v>118</v>
      </c>
      <c r="L332" s="27" t="s">
        <v>110</v>
      </c>
      <c r="M332" s="27" t="s">
        <v>262</v>
      </c>
      <c r="N332" s="27" t="s">
        <v>106</v>
      </c>
      <c r="O332" s="28" t="s">
        <v>156</v>
      </c>
      <c r="P332" s="29" t="s">
        <v>536</v>
      </c>
      <c r="Q332" s="29" t="s">
        <v>162</v>
      </c>
      <c r="R332" s="29" t="s">
        <v>145</v>
      </c>
      <c r="S332" s="27" t="s">
        <v>923</v>
      </c>
      <c r="T332" s="27" t="s">
        <v>541</v>
      </c>
      <c r="U332" s="27" t="s">
        <v>1369</v>
      </c>
      <c r="V332" s="27" t="s">
        <v>48</v>
      </c>
      <c r="W332" s="27" t="s">
        <v>49</v>
      </c>
      <c r="X332" s="27" t="s">
        <v>4515</v>
      </c>
      <c r="Y332" s="27" t="s">
        <v>4516</v>
      </c>
      <c r="Z332" s="27" t="s">
        <v>922</v>
      </c>
      <c r="AA332" s="27" t="s">
        <v>923</v>
      </c>
      <c r="AB332" s="27" t="s">
        <v>541</v>
      </c>
      <c r="AC332" s="27" t="s">
        <v>4517</v>
      </c>
      <c r="AD332" s="27" t="s">
        <v>4518</v>
      </c>
      <c r="AE332" s="27" t="s">
        <v>110</v>
      </c>
      <c r="AF332" s="27" t="s">
        <v>4519</v>
      </c>
      <c r="AG332" s="27" t="s">
        <v>4520</v>
      </c>
      <c r="AH332" s="27" t="s">
        <v>1087</v>
      </c>
      <c r="AI332" s="27" t="s">
        <v>106</v>
      </c>
      <c r="AJ332" s="27" t="s">
        <v>262</v>
      </c>
      <c r="AK332" s="27" t="s">
        <v>63</v>
      </c>
      <c r="AL332" s="27"/>
      <c r="AM332" s="34">
        <v>790500000</v>
      </c>
      <c r="AN332" s="34">
        <v>614810268</v>
      </c>
      <c r="AO332" s="34">
        <v>101912500</v>
      </c>
      <c r="AP332" s="34">
        <v>70455803</v>
      </c>
      <c r="AQ332" s="34">
        <v>0</v>
      </c>
      <c r="AR332" s="34">
        <v>0</v>
      </c>
      <c r="AS332" s="34">
        <v>27678571</v>
      </c>
      <c r="AT332" s="34">
        <v>759500000</v>
      </c>
      <c r="AU332" s="34">
        <v>0</v>
      </c>
      <c r="AV332" s="34">
        <v>-31000000</v>
      </c>
      <c r="AW332" s="27" t="s">
        <v>406</v>
      </c>
      <c r="AX332" s="27" t="s">
        <v>406</v>
      </c>
      <c r="AY332" s="27" t="s">
        <v>83</v>
      </c>
      <c r="AZ332" s="27">
        <v>1</v>
      </c>
      <c r="BA332" s="27"/>
      <c r="BB332" s="27" t="s">
        <v>403</v>
      </c>
      <c r="BC332" s="27" t="s">
        <v>4521</v>
      </c>
      <c r="BD332" s="27" t="s">
        <v>398</v>
      </c>
      <c r="BE332" s="27" t="s">
        <v>398</v>
      </c>
      <c r="BF332" s="27" t="s">
        <v>4522</v>
      </c>
      <c r="BG332" s="27" t="s">
        <v>4523</v>
      </c>
      <c r="BH332" s="27" t="s">
        <v>406</v>
      </c>
      <c r="BI332" s="27" t="s">
        <v>433</v>
      </c>
      <c r="BJ332" s="27" t="s">
        <v>4524</v>
      </c>
      <c r="BK332" s="27" t="s">
        <v>403</v>
      </c>
      <c r="BL332" s="27" t="s">
        <v>4525</v>
      </c>
      <c r="BM332" s="35">
        <v>0</v>
      </c>
    </row>
    <row r="333" spans="1:65" s="1" customFormat="1" x14ac:dyDescent="0.2">
      <c r="A333" s="33">
        <v>1749</v>
      </c>
      <c r="B333" s="27">
        <v>146</v>
      </c>
      <c r="C333" s="27" t="s">
        <v>503</v>
      </c>
      <c r="D333" s="27" t="s">
        <v>4526</v>
      </c>
      <c r="E333" s="27" t="s">
        <v>419</v>
      </c>
      <c r="F333" s="27" t="s">
        <v>425</v>
      </c>
      <c r="G333" s="28">
        <v>2026</v>
      </c>
      <c r="H333" s="20" t="str">
        <f>VLOOKUP(U333,'[1]KODE TYPE standar'!$D:$U,17,0)</f>
        <v>CALYA</v>
      </c>
      <c r="I333" s="20" t="str">
        <f>VLOOKUP(U333,'[1]KODE TYPE standar'!$D:$U,16,0)</f>
        <v>CALYA</v>
      </c>
      <c r="J333" s="20" t="str">
        <f>VLOOKUP(U333,'[1]KODE TYPE standar'!$D:$U,18,0)</f>
        <v>CALYA G M/T</v>
      </c>
      <c r="K333" s="27" t="s">
        <v>118</v>
      </c>
      <c r="L333" s="27" t="s">
        <v>110</v>
      </c>
      <c r="M333" s="27" t="s">
        <v>262</v>
      </c>
      <c r="N333" s="27" t="s">
        <v>141</v>
      </c>
      <c r="O333" s="28" t="s">
        <v>156</v>
      </c>
      <c r="P333" s="29" t="s">
        <v>151</v>
      </c>
      <c r="Q333" s="29" t="s">
        <v>161</v>
      </c>
      <c r="R333" s="29" t="s">
        <v>597</v>
      </c>
      <c r="S333" s="27" t="s">
        <v>1555</v>
      </c>
      <c r="T333" s="27" t="s">
        <v>585</v>
      </c>
      <c r="U333" s="27" t="s">
        <v>268</v>
      </c>
      <c r="V333" s="27" t="s">
        <v>68</v>
      </c>
      <c r="W333" s="27" t="s">
        <v>69</v>
      </c>
      <c r="X333" s="27" t="s">
        <v>4527</v>
      </c>
      <c r="Y333" s="27" t="s">
        <v>4528</v>
      </c>
      <c r="Z333" s="27" t="s">
        <v>1554</v>
      </c>
      <c r="AA333" s="27" t="s">
        <v>1555</v>
      </c>
      <c r="AB333" s="27" t="s">
        <v>585</v>
      </c>
      <c r="AC333" s="27" t="s">
        <v>4529</v>
      </c>
      <c r="AD333" s="27" t="s">
        <v>4530</v>
      </c>
      <c r="AE333" s="27" t="s">
        <v>110</v>
      </c>
      <c r="AF333" s="27" t="s">
        <v>4530</v>
      </c>
      <c r="AG333" s="27" t="s">
        <v>4531</v>
      </c>
      <c r="AH333" s="27" t="s">
        <v>996</v>
      </c>
      <c r="AI333" s="27" t="s">
        <v>141</v>
      </c>
      <c r="AJ333" s="27" t="s">
        <v>262</v>
      </c>
      <c r="AK333" s="27" t="s">
        <v>63</v>
      </c>
      <c r="AL333" s="27"/>
      <c r="AM333" s="34">
        <v>182200000</v>
      </c>
      <c r="AN333" s="34">
        <v>139575893</v>
      </c>
      <c r="AO333" s="34">
        <v>25875000</v>
      </c>
      <c r="AP333" s="34">
        <v>15677678</v>
      </c>
      <c r="AQ333" s="34">
        <v>0</v>
      </c>
      <c r="AR333" s="34">
        <v>0</v>
      </c>
      <c r="AS333" s="34">
        <v>8928571</v>
      </c>
      <c r="AT333" s="34">
        <v>172200000</v>
      </c>
      <c r="AU333" s="34">
        <v>7380000</v>
      </c>
      <c r="AV333" s="34">
        <v>-10000000</v>
      </c>
      <c r="AW333" s="27"/>
      <c r="AX333" s="27"/>
      <c r="AY333" s="27" t="s">
        <v>83</v>
      </c>
      <c r="AZ333" s="27">
        <v>1</v>
      </c>
      <c r="BA333" s="27" t="s">
        <v>163</v>
      </c>
      <c r="BB333" s="27" t="s">
        <v>431</v>
      </c>
      <c r="BC333" s="27" t="s">
        <v>4532</v>
      </c>
      <c r="BD333" s="27" t="s">
        <v>430</v>
      </c>
      <c r="BE333" s="27" t="s">
        <v>430</v>
      </c>
      <c r="BF333" s="27" t="s">
        <v>4533</v>
      </c>
      <c r="BG333" s="27" t="s">
        <v>4534</v>
      </c>
      <c r="BH333" s="27"/>
      <c r="BI333" s="27" t="s">
        <v>427</v>
      </c>
      <c r="BJ333" s="27" t="s">
        <v>4535</v>
      </c>
      <c r="BK333" s="27" t="s">
        <v>442</v>
      </c>
      <c r="BL333" s="27" t="s">
        <v>4536</v>
      </c>
      <c r="BM333" s="35">
        <v>0</v>
      </c>
    </row>
    <row r="334" spans="1:65" s="1" customFormat="1" x14ac:dyDescent="0.2">
      <c r="A334" s="33">
        <v>1793</v>
      </c>
      <c r="B334" s="27">
        <v>146</v>
      </c>
      <c r="C334" s="27" t="s">
        <v>503</v>
      </c>
      <c r="D334" s="27" t="s">
        <v>4537</v>
      </c>
      <c r="E334" s="27" t="s">
        <v>403</v>
      </c>
      <c r="F334" s="27" t="s">
        <v>425</v>
      </c>
      <c r="G334" s="28">
        <v>2026</v>
      </c>
      <c r="H334" s="20" t="str">
        <f>VLOOKUP(U334,'[1]KODE TYPE standar'!$D:$U,17,0)</f>
        <v>INV REBORN</v>
      </c>
      <c r="I334" s="20" t="str">
        <f>VLOOKUP(U334,'[1]KODE TYPE standar'!$D:$U,16,0)</f>
        <v>INNOVA</v>
      </c>
      <c r="J334" s="20" t="str">
        <f>VLOOKUP(U334,'[1]KODE TYPE standar'!$D:$U,18,0)</f>
        <v>INNOVA G A/T DIESEL</v>
      </c>
      <c r="K334" s="27" t="s">
        <v>50</v>
      </c>
      <c r="L334" s="27" t="s">
        <v>110</v>
      </c>
      <c r="M334" s="27" t="s">
        <v>50</v>
      </c>
      <c r="N334" s="27" t="s">
        <v>140</v>
      </c>
      <c r="O334" s="28" t="s">
        <v>156</v>
      </c>
      <c r="P334" s="29" t="s">
        <v>149</v>
      </c>
      <c r="Q334" s="29" t="s">
        <v>161</v>
      </c>
      <c r="R334" s="29" t="s">
        <v>145</v>
      </c>
      <c r="S334" s="27" t="s">
        <v>631</v>
      </c>
      <c r="T334" s="27" t="s">
        <v>509</v>
      </c>
      <c r="U334" s="27" t="s">
        <v>192</v>
      </c>
      <c r="V334" s="27" t="s">
        <v>48</v>
      </c>
      <c r="W334" s="27" t="s">
        <v>49</v>
      </c>
      <c r="X334" s="27" t="s">
        <v>4538</v>
      </c>
      <c r="Y334" s="27" t="s">
        <v>4539</v>
      </c>
      <c r="Z334" s="27" t="s">
        <v>630</v>
      </c>
      <c r="AA334" s="27" t="s">
        <v>631</v>
      </c>
      <c r="AB334" s="27" t="s">
        <v>509</v>
      </c>
      <c r="AC334" s="27" t="s">
        <v>4540</v>
      </c>
      <c r="AD334" s="27" t="s">
        <v>4541</v>
      </c>
      <c r="AE334" s="27" t="s">
        <v>110</v>
      </c>
      <c r="AF334" s="27" t="s">
        <v>4541</v>
      </c>
      <c r="AG334" s="27" t="s">
        <v>4542</v>
      </c>
      <c r="AH334" s="27" t="s">
        <v>844</v>
      </c>
      <c r="AI334" s="27" t="s">
        <v>140</v>
      </c>
      <c r="AJ334" s="27" t="s">
        <v>50</v>
      </c>
      <c r="AK334" s="27" t="s">
        <v>50</v>
      </c>
      <c r="AL334" s="27" t="s">
        <v>4543</v>
      </c>
      <c r="AM334" s="34">
        <v>442700000</v>
      </c>
      <c r="AN334" s="34">
        <v>343091518</v>
      </c>
      <c r="AO334" s="34">
        <v>58437500</v>
      </c>
      <c r="AP334" s="34">
        <v>38920982</v>
      </c>
      <c r="AQ334" s="34">
        <v>0</v>
      </c>
      <c r="AR334" s="34">
        <v>0</v>
      </c>
      <c r="AS334" s="34">
        <v>18750000</v>
      </c>
      <c r="AT334" s="34">
        <v>421700000</v>
      </c>
      <c r="AU334" s="34">
        <v>0</v>
      </c>
      <c r="AV334" s="34">
        <v>-21000000</v>
      </c>
      <c r="AW334" s="27" t="s">
        <v>400</v>
      </c>
      <c r="AX334" s="27" t="s">
        <v>400</v>
      </c>
      <c r="AY334" s="27" t="s">
        <v>83</v>
      </c>
      <c r="AZ334" s="27">
        <v>1</v>
      </c>
      <c r="BA334" s="27"/>
      <c r="BB334" s="27" t="s">
        <v>403</v>
      </c>
      <c r="BC334" s="27" t="s">
        <v>4544</v>
      </c>
      <c r="BD334" s="27" t="s">
        <v>401</v>
      </c>
      <c r="BE334" s="27" t="s">
        <v>401</v>
      </c>
      <c r="BF334" s="27" t="s">
        <v>4545</v>
      </c>
      <c r="BG334" s="27" t="s">
        <v>4546</v>
      </c>
      <c r="BH334" s="27" t="s">
        <v>403</v>
      </c>
      <c r="BI334" s="27" t="s">
        <v>416</v>
      </c>
      <c r="BJ334" s="27" t="s">
        <v>4547</v>
      </c>
      <c r="BK334" s="27" t="s">
        <v>401</v>
      </c>
      <c r="BL334" s="27" t="s">
        <v>4548</v>
      </c>
      <c r="BM334" s="35">
        <v>0</v>
      </c>
    </row>
    <row r="335" spans="1:65" s="1" customFormat="1" x14ac:dyDescent="0.2">
      <c r="A335" s="33">
        <v>1811</v>
      </c>
      <c r="B335" s="27">
        <v>146</v>
      </c>
      <c r="C335" s="27" t="s">
        <v>503</v>
      </c>
      <c r="D335" s="27" t="s">
        <v>4549</v>
      </c>
      <c r="E335" s="27" t="s">
        <v>406</v>
      </c>
      <c r="F335" s="27" t="s">
        <v>425</v>
      </c>
      <c r="G335" s="28">
        <v>2026</v>
      </c>
      <c r="H335" s="20" t="str">
        <f>VLOOKUP(U335,'[1]KODE TYPE standar'!$D:$U,17,0)</f>
        <v>INV ZENIX HYBRID</v>
      </c>
      <c r="I335" s="20" t="str">
        <f>VLOOKUP(U335,'[1]KODE TYPE standar'!$D:$U,16,0)</f>
        <v>INNOVA</v>
      </c>
      <c r="J335" s="20" t="str">
        <f>VLOOKUP(U335,'[1]KODE TYPE standar'!$D:$U,18,0)</f>
        <v>INNOVA ZENIX Q A/T HYBRID</v>
      </c>
      <c r="K335" s="27" t="s">
        <v>119</v>
      </c>
      <c r="L335" s="27" t="s">
        <v>110</v>
      </c>
      <c r="M335" s="27" t="s">
        <v>262</v>
      </c>
      <c r="N335" s="27" t="s">
        <v>141</v>
      </c>
      <c r="O335" s="28" t="s">
        <v>156</v>
      </c>
      <c r="P335" s="29" t="s">
        <v>149</v>
      </c>
      <c r="Q335" s="29" t="s">
        <v>161</v>
      </c>
      <c r="R335" s="29" t="s">
        <v>145</v>
      </c>
      <c r="S335" s="27" t="s">
        <v>709</v>
      </c>
      <c r="T335" s="27" t="s">
        <v>585</v>
      </c>
      <c r="U335" s="27" t="s">
        <v>208</v>
      </c>
      <c r="V335" s="27" t="s">
        <v>51</v>
      </c>
      <c r="W335" s="27" t="s">
        <v>86</v>
      </c>
      <c r="X335" s="27" t="s">
        <v>4550</v>
      </c>
      <c r="Y335" s="27" t="s">
        <v>4551</v>
      </c>
      <c r="Z335" s="27" t="s">
        <v>708</v>
      </c>
      <c r="AA335" s="27" t="s">
        <v>709</v>
      </c>
      <c r="AB335" s="27" t="s">
        <v>585</v>
      </c>
      <c r="AC335" s="27" t="s">
        <v>4552</v>
      </c>
      <c r="AD335" s="27" t="s">
        <v>4553</v>
      </c>
      <c r="AE335" s="27" t="s">
        <v>110</v>
      </c>
      <c r="AF335" s="27" t="s">
        <v>4554</v>
      </c>
      <c r="AG335" s="27" t="s">
        <v>4555</v>
      </c>
      <c r="AH335" s="27" t="s">
        <v>170</v>
      </c>
      <c r="AI335" s="27" t="s">
        <v>141</v>
      </c>
      <c r="AJ335" s="27" t="s">
        <v>262</v>
      </c>
      <c r="AK335" s="27" t="s">
        <v>89</v>
      </c>
      <c r="AL335" s="27"/>
      <c r="AM335" s="34">
        <v>631100000</v>
      </c>
      <c r="AN335" s="34">
        <v>490279018</v>
      </c>
      <c r="AO335" s="34">
        <v>81987500</v>
      </c>
      <c r="AP335" s="34">
        <v>56583482</v>
      </c>
      <c r="AQ335" s="34">
        <v>0</v>
      </c>
      <c r="AR335" s="34">
        <v>0</v>
      </c>
      <c r="AS335" s="34">
        <v>18750000</v>
      </c>
      <c r="AT335" s="34">
        <v>610100000</v>
      </c>
      <c r="AU335" s="34">
        <v>0</v>
      </c>
      <c r="AV335" s="34">
        <v>-21000000</v>
      </c>
      <c r="AW335" s="27" t="s">
        <v>400</v>
      </c>
      <c r="AX335" s="27" t="s">
        <v>400</v>
      </c>
      <c r="AY335" s="27" t="s">
        <v>83</v>
      </c>
      <c r="AZ335" s="27">
        <v>1</v>
      </c>
      <c r="BA335" s="27" t="s">
        <v>163</v>
      </c>
      <c r="BB335" s="27" t="s">
        <v>403</v>
      </c>
      <c r="BC335" s="27" t="s">
        <v>4556</v>
      </c>
      <c r="BD335" s="27" t="s">
        <v>407</v>
      </c>
      <c r="BE335" s="27" t="s">
        <v>407</v>
      </c>
      <c r="BF335" s="27" t="s">
        <v>4557</v>
      </c>
      <c r="BG335" s="27" t="s">
        <v>4558</v>
      </c>
      <c r="BH335" s="27" t="s">
        <v>406</v>
      </c>
      <c r="BI335" s="27" t="s">
        <v>433</v>
      </c>
      <c r="BJ335" s="27" t="s">
        <v>4559</v>
      </c>
      <c r="BK335" s="27" t="s">
        <v>411</v>
      </c>
      <c r="BL335" s="27" t="s">
        <v>4560</v>
      </c>
      <c r="BM335" s="35">
        <v>0</v>
      </c>
    </row>
    <row r="336" spans="1:65" s="1" customFormat="1" x14ac:dyDescent="0.2">
      <c r="A336" s="33">
        <v>1834</v>
      </c>
      <c r="B336" s="27">
        <v>146</v>
      </c>
      <c r="C336" s="27" t="s">
        <v>503</v>
      </c>
      <c r="D336" s="27" t="s">
        <v>4561</v>
      </c>
      <c r="E336" s="27" t="s">
        <v>430</v>
      </c>
      <c r="F336" s="27" t="s">
        <v>425</v>
      </c>
      <c r="G336" s="28">
        <v>2026</v>
      </c>
      <c r="H336" s="20" t="str">
        <f>VLOOKUP(U336,'[1]KODE TYPE standar'!$D:$U,17,0)</f>
        <v>AVANZA</v>
      </c>
      <c r="I336" s="20" t="str">
        <f>VLOOKUP(U336,'[1]KODE TYPE standar'!$D:$U,16,0)</f>
        <v>AVANZA</v>
      </c>
      <c r="J336" s="20" t="str">
        <f>VLOOKUP(U336,'[1]KODE TYPE standar'!$D:$U,18,0)</f>
        <v>AVANZA G M/T</v>
      </c>
      <c r="K336" s="27" t="s">
        <v>119</v>
      </c>
      <c r="L336" s="27" t="s">
        <v>110</v>
      </c>
      <c r="M336" s="27" t="s">
        <v>262</v>
      </c>
      <c r="N336" s="27" t="s">
        <v>141</v>
      </c>
      <c r="O336" s="28" t="s">
        <v>156</v>
      </c>
      <c r="P336" s="29" t="s">
        <v>149</v>
      </c>
      <c r="Q336" s="29" t="s">
        <v>161</v>
      </c>
      <c r="R336" s="29" t="s">
        <v>597</v>
      </c>
      <c r="S336" s="27" t="s">
        <v>709</v>
      </c>
      <c r="T336" s="27" t="s">
        <v>585</v>
      </c>
      <c r="U336" s="27" t="s">
        <v>373</v>
      </c>
      <c r="V336" s="27" t="s">
        <v>64</v>
      </c>
      <c r="W336" s="27" t="s">
        <v>65</v>
      </c>
      <c r="X336" s="27" t="s">
        <v>4562</v>
      </c>
      <c r="Y336" s="27" t="s">
        <v>4563</v>
      </c>
      <c r="Z336" s="27" t="s">
        <v>708</v>
      </c>
      <c r="AA336" s="27" t="s">
        <v>709</v>
      </c>
      <c r="AB336" s="27" t="s">
        <v>585</v>
      </c>
      <c r="AC336" s="27" t="s">
        <v>4564</v>
      </c>
      <c r="AD336" s="27" t="s">
        <v>4565</v>
      </c>
      <c r="AE336" s="27" t="s">
        <v>110</v>
      </c>
      <c r="AF336" s="27" t="s">
        <v>4565</v>
      </c>
      <c r="AG336" s="27" t="s">
        <v>4566</v>
      </c>
      <c r="AH336" s="27" t="s">
        <v>1879</v>
      </c>
      <c r="AI336" s="27" t="s">
        <v>141</v>
      </c>
      <c r="AJ336" s="27" t="s">
        <v>262</v>
      </c>
      <c r="AK336" s="27" t="s">
        <v>89</v>
      </c>
      <c r="AL336" s="27"/>
      <c r="AM336" s="34">
        <v>270200000</v>
      </c>
      <c r="AN336" s="34">
        <v>208325893</v>
      </c>
      <c r="AO336" s="34">
        <v>36875000</v>
      </c>
      <c r="AP336" s="34">
        <v>23391964</v>
      </c>
      <c r="AQ336" s="34">
        <v>0</v>
      </c>
      <c r="AR336" s="34">
        <v>0</v>
      </c>
      <c r="AS336" s="34">
        <v>13392857</v>
      </c>
      <c r="AT336" s="34">
        <v>255200000</v>
      </c>
      <c r="AU336" s="34">
        <v>34000000</v>
      </c>
      <c r="AV336" s="34">
        <v>-15000000</v>
      </c>
      <c r="AW336" s="27"/>
      <c r="AX336" s="27"/>
      <c r="AY336" s="27" t="s">
        <v>83</v>
      </c>
      <c r="AZ336" s="27">
        <v>1</v>
      </c>
      <c r="BA336" s="27" t="s">
        <v>163</v>
      </c>
      <c r="BB336" s="27" t="s">
        <v>442</v>
      </c>
      <c r="BC336" s="27" t="s">
        <v>4567</v>
      </c>
      <c r="BD336" s="27" t="s">
        <v>442</v>
      </c>
      <c r="BE336" s="27" t="s">
        <v>442</v>
      </c>
      <c r="BF336" s="27" t="s">
        <v>4568</v>
      </c>
      <c r="BG336" s="27" t="s">
        <v>4569</v>
      </c>
      <c r="BH336" s="27"/>
      <c r="BI336" s="27" t="s">
        <v>434</v>
      </c>
      <c r="BJ336" s="27" t="s">
        <v>4570</v>
      </c>
      <c r="BK336" s="27" t="s">
        <v>442</v>
      </c>
      <c r="BL336" s="27" t="s">
        <v>4571</v>
      </c>
      <c r="BM336" s="35">
        <v>0</v>
      </c>
    </row>
    <row r="337" spans="1:65" s="1" customFormat="1" x14ac:dyDescent="0.2">
      <c r="A337" s="33">
        <v>1838</v>
      </c>
      <c r="B337" s="27">
        <v>146</v>
      </c>
      <c r="C337" s="27" t="s">
        <v>503</v>
      </c>
      <c r="D337" s="27" t="s">
        <v>4572</v>
      </c>
      <c r="E337" s="27" t="s">
        <v>433</v>
      </c>
      <c r="F337" s="27" t="s">
        <v>425</v>
      </c>
      <c r="G337" s="28">
        <v>2026</v>
      </c>
      <c r="H337" s="20" t="str">
        <f>VLOOKUP(U337,'[1]KODE TYPE standar'!$D:$U,17,0)</f>
        <v>AVANZA</v>
      </c>
      <c r="I337" s="20" t="str">
        <f>VLOOKUP(U337,'[1]KODE TYPE standar'!$D:$U,16,0)</f>
        <v>AVANZA</v>
      </c>
      <c r="J337" s="20" t="str">
        <f>VLOOKUP(U337,'[1]KODE TYPE standar'!$D:$U,18,0)</f>
        <v>AVANZA E A/T</v>
      </c>
      <c r="K337" s="27" t="s">
        <v>118</v>
      </c>
      <c r="L337" s="27" t="s">
        <v>110</v>
      </c>
      <c r="M337" s="27" t="s">
        <v>262</v>
      </c>
      <c r="N337" s="27" t="s">
        <v>141</v>
      </c>
      <c r="O337" s="28" t="s">
        <v>156</v>
      </c>
      <c r="P337" s="29" t="s">
        <v>536</v>
      </c>
      <c r="Q337" s="29" t="s">
        <v>162</v>
      </c>
      <c r="R337" s="29" t="s">
        <v>597</v>
      </c>
      <c r="S337" s="27" t="s">
        <v>937</v>
      </c>
      <c r="T337" s="27" t="s">
        <v>541</v>
      </c>
      <c r="U337" s="27" t="s">
        <v>328</v>
      </c>
      <c r="V337" s="27" t="s">
        <v>64</v>
      </c>
      <c r="W337" s="27" t="s">
        <v>65</v>
      </c>
      <c r="X337" s="27" t="s">
        <v>4573</v>
      </c>
      <c r="Y337" s="27" t="s">
        <v>4574</v>
      </c>
      <c r="Z337" s="27" t="s">
        <v>936</v>
      </c>
      <c r="AA337" s="27" t="s">
        <v>937</v>
      </c>
      <c r="AB337" s="27" t="s">
        <v>541</v>
      </c>
      <c r="AC337" s="27" t="s">
        <v>4575</v>
      </c>
      <c r="AD337" s="27" t="s">
        <v>4576</v>
      </c>
      <c r="AE337" s="27" t="s">
        <v>110</v>
      </c>
      <c r="AF337" s="27" t="s">
        <v>4577</v>
      </c>
      <c r="AG337" s="27" t="s">
        <v>4578</v>
      </c>
      <c r="AH337" s="27" t="s">
        <v>1442</v>
      </c>
      <c r="AI337" s="27" t="s">
        <v>141</v>
      </c>
      <c r="AJ337" s="27" t="s">
        <v>262</v>
      </c>
      <c r="AK337" s="27" t="s">
        <v>63</v>
      </c>
      <c r="AL337" s="27"/>
      <c r="AM337" s="34">
        <v>262200000</v>
      </c>
      <c r="AN337" s="34">
        <v>202075893</v>
      </c>
      <c r="AO337" s="34">
        <v>35875000</v>
      </c>
      <c r="AP337" s="34">
        <v>22641964</v>
      </c>
      <c r="AQ337" s="34">
        <v>0</v>
      </c>
      <c r="AR337" s="34">
        <v>0</v>
      </c>
      <c r="AS337" s="34">
        <v>13392857</v>
      </c>
      <c r="AT337" s="34">
        <v>247200000</v>
      </c>
      <c r="AU337" s="34">
        <v>5534000</v>
      </c>
      <c r="AV337" s="34">
        <v>-15000000</v>
      </c>
      <c r="AW337" s="27" t="s">
        <v>431</v>
      </c>
      <c r="AX337" s="27" t="s">
        <v>431</v>
      </c>
      <c r="AY337" s="27" t="s">
        <v>83</v>
      </c>
      <c r="AZ337" s="27">
        <v>1</v>
      </c>
      <c r="BA337" s="27"/>
      <c r="BB337" s="27" t="s">
        <v>432</v>
      </c>
      <c r="BC337" s="27" t="s">
        <v>4579</v>
      </c>
      <c r="BD337" s="27" t="s">
        <v>435</v>
      </c>
      <c r="BE337" s="27" t="s">
        <v>435</v>
      </c>
      <c r="BF337" s="27" t="s">
        <v>4580</v>
      </c>
      <c r="BG337" s="27" t="s">
        <v>4581</v>
      </c>
      <c r="BH337" s="27" t="s">
        <v>433</v>
      </c>
      <c r="BI337" s="27" t="s">
        <v>436</v>
      </c>
      <c r="BJ337" s="27" t="s">
        <v>4582</v>
      </c>
      <c r="BK337" s="27" t="s">
        <v>432</v>
      </c>
      <c r="BL337" s="27" t="s">
        <v>4583</v>
      </c>
      <c r="BM337" s="35">
        <v>0</v>
      </c>
    </row>
    <row r="338" spans="1:65" s="1" customFormat="1" x14ac:dyDescent="0.2">
      <c r="A338" s="33">
        <v>1871</v>
      </c>
      <c r="B338" s="27">
        <v>146</v>
      </c>
      <c r="C338" s="27" t="s">
        <v>503</v>
      </c>
      <c r="D338" s="27" t="s">
        <v>4584</v>
      </c>
      <c r="E338" s="27" t="s">
        <v>435</v>
      </c>
      <c r="F338" s="27" t="s">
        <v>425</v>
      </c>
      <c r="G338" s="28">
        <v>2026</v>
      </c>
      <c r="H338" s="20" t="str">
        <f>VLOOKUP(U338,'[1]KODE TYPE standar'!$D:$U,17,0)</f>
        <v>INV ZENIX HYBRID</v>
      </c>
      <c r="I338" s="20" t="str">
        <f>VLOOKUP(U338,'[1]KODE TYPE standar'!$D:$U,16,0)</f>
        <v>INNOVA</v>
      </c>
      <c r="J338" s="20" t="str">
        <f>VLOOKUP(U338,'[1]KODE TYPE standar'!$D:$U,18,0)</f>
        <v>INNOVA ZENIX Q A/T HYBRID</v>
      </c>
      <c r="K338" s="27" t="s">
        <v>121</v>
      </c>
      <c r="L338" s="27" t="s">
        <v>110</v>
      </c>
      <c r="M338" s="27" t="s">
        <v>262</v>
      </c>
      <c r="N338" s="27" t="s">
        <v>106</v>
      </c>
      <c r="O338" s="28" t="s">
        <v>156</v>
      </c>
      <c r="P338" s="29" t="s">
        <v>150</v>
      </c>
      <c r="Q338" s="29" t="s">
        <v>162</v>
      </c>
      <c r="R338" s="29" t="s">
        <v>145</v>
      </c>
      <c r="S338" s="27" t="s">
        <v>923</v>
      </c>
      <c r="T338" s="27" t="s">
        <v>541</v>
      </c>
      <c r="U338" s="27" t="s">
        <v>174</v>
      </c>
      <c r="V338" s="27" t="s">
        <v>48</v>
      </c>
      <c r="W338" s="27" t="s">
        <v>49</v>
      </c>
      <c r="X338" s="27" t="s">
        <v>4585</v>
      </c>
      <c r="Y338" s="27" t="s">
        <v>4586</v>
      </c>
      <c r="Z338" s="27" t="s">
        <v>922</v>
      </c>
      <c r="AA338" s="27" t="s">
        <v>923</v>
      </c>
      <c r="AB338" s="27" t="s">
        <v>541</v>
      </c>
      <c r="AC338" s="27" t="s">
        <v>4587</v>
      </c>
      <c r="AD338" s="27" t="s">
        <v>4588</v>
      </c>
      <c r="AE338" s="27" t="s">
        <v>110</v>
      </c>
      <c r="AF338" s="27" t="s">
        <v>4588</v>
      </c>
      <c r="AG338" s="27" t="s">
        <v>4589</v>
      </c>
      <c r="AH338" s="27" t="s">
        <v>2107</v>
      </c>
      <c r="AI338" s="27" t="s">
        <v>106</v>
      </c>
      <c r="AJ338" s="27" t="s">
        <v>262</v>
      </c>
      <c r="AK338" s="27" t="s">
        <v>104</v>
      </c>
      <c r="AL338" s="27"/>
      <c r="AM338" s="34">
        <v>628200000</v>
      </c>
      <c r="AN338" s="34">
        <v>488013393</v>
      </c>
      <c r="AO338" s="34">
        <v>81625000</v>
      </c>
      <c r="AP338" s="34">
        <v>56311607</v>
      </c>
      <c r="AQ338" s="34">
        <v>0</v>
      </c>
      <c r="AR338" s="34">
        <v>0</v>
      </c>
      <c r="AS338" s="34">
        <v>18750000</v>
      </c>
      <c r="AT338" s="34">
        <v>607200000</v>
      </c>
      <c r="AU338" s="34">
        <v>5751600</v>
      </c>
      <c r="AV338" s="34">
        <v>-21000000</v>
      </c>
      <c r="AW338" s="27" t="s">
        <v>433</v>
      </c>
      <c r="AX338" s="27" t="s">
        <v>433</v>
      </c>
      <c r="AY338" s="27" t="s">
        <v>83</v>
      </c>
      <c r="AZ338" s="27">
        <v>1</v>
      </c>
      <c r="BA338" s="27"/>
      <c r="BB338" s="27" t="s">
        <v>435</v>
      </c>
      <c r="BC338" s="27" t="s">
        <v>4590</v>
      </c>
      <c r="BD338" s="27" t="s">
        <v>403</v>
      </c>
      <c r="BE338" s="27" t="s">
        <v>403</v>
      </c>
      <c r="BF338" s="27" t="s">
        <v>4591</v>
      </c>
      <c r="BG338" s="27" t="s">
        <v>4592</v>
      </c>
      <c r="BH338" s="27" t="s">
        <v>435</v>
      </c>
      <c r="BI338" s="27" t="s">
        <v>437</v>
      </c>
      <c r="BJ338" s="27" t="s">
        <v>4593</v>
      </c>
      <c r="BK338" s="27" t="s">
        <v>408</v>
      </c>
      <c r="BL338" s="27" t="s">
        <v>4594</v>
      </c>
      <c r="BM338" s="35">
        <v>0</v>
      </c>
    </row>
    <row r="339" spans="1:65" s="1" customFormat="1" x14ac:dyDescent="0.2">
      <c r="A339" s="33">
        <v>1884</v>
      </c>
      <c r="B339" s="27">
        <v>146</v>
      </c>
      <c r="C339" s="27" t="s">
        <v>503</v>
      </c>
      <c r="D339" s="27" t="s">
        <v>4595</v>
      </c>
      <c r="E339" s="27" t="s">
        <v>409</v>
      </c>
      <c r="F339" s="27" t="s">
        <v>425</v>
      </c>
      <c r="G339" s="28">
        <v>2026</v>
      </c>
      <c r="H339" s="20" t="str">
        <f>VLOOKUP(U339,'[1]KODE TYPE standar'!$D:$U,17,0)</f>
        <v>AVANZA</v>
      </c>
      <c r="I339" s="20" t="str">
        <f>VLOOKUP(U339,'[1]KODE TYPE standar'!$D:$U,16,0)</f>
        <v>AVANZA</v>
      </c>
      <c r="J339" s="20" t="str">
        <f>VLOOKUP(U339,'[1]KODE TYPE standar'!$D:$U,18,0)</f>
        <v>AVANZA G A/T</v>
      </c>
      <c r="K339" s="27" t="s">
        <v>118</v>
      </c>
      <c r="L339" s="27" t="s">
        <v>110</v>
      </c>
      <c r="M339" s="27" t="s">
        <v>262</v>
      </c>
      <c r="N339" s="27" t="s">
        <v>106</v>
      </c>
      <c r="O339" s="28" t="s">
        <v>156</v>
      </c>
      <c r="P339" s="29" t="s">
        <v>146</v>
      </c>
      <c r="Q339" s="29" t="s">
        <v>162</v>
      </c>
      <c r="R339" s="29" t="s">
        <v>597</v>
      </c>
      <c r="S339" s="27" t="s">
        <v>1373</v>
      </c>
      <c r="T339" s="27" t="s">
        <v>509</v>
      </c>
      <c r="U339" s="27" t="s">
        <v>329</v>
      </c>
      <c r="V339" s="27" t="s">
        <v>64</v>
      </c>
      <c r="W339" s="27" t="s">
        <v>65</v>
      </c>
      <c r="X339" s="27" t="s">
        <v>4596</v>
      </c>
      <c r="Y339" s="27" t="s">
        <v>4597</v>
      </c>
      <c r="Z339" s="27" t="s">
        <v>1372</v>
      </c>
      <c r="AA339" s="27" t="s">
        <v>1373</v>
      </c>
      <c r="AB339" s="27" t="s">
        <v>509</v>
      </c>
      <c r="AC339" s="27" t="s">
        <v>4598</v>
      </c>
      <c r="AD339" s="27" t="s">
        <v>4599</v>
      </c>
      <c r="AE339" s="27" t="s">
        <v>110</v>
      </c>
      <c r="AF339" s="27" t="s">
        <v>4599</v>
      </c>
      <c r="AG339" s="27" t="s">
        <v>4600</v>
      </c>
      <c r="AH339" s="27" t="s">
        <v>2107</v>
      </c>
      <c r="AI339" s="27" t="s">
        <v>106</v>
      </c>
      <c r="AJ339" s="27" t="s">
        <v>262</v>
      </c>
      <c r="AK339" s="27" t="s">
        <v>63</v>
      </c>
      <c r="AL339" s="27"/>
      <c r="AM339" s="34">
        <v>285000000</v>
      </c>
      <c r="AN339" s="34">
        <v>219888393</v>
      </c>
      <c r="AO339" s="34">
        <v>38725000</v>
      </c>
      <c r="AP339" s="34">
        <v>24779464</v>
      </c>
      <c r="AQ339" s="34">
        <v>0</v>
      </c>
      <c r="AR339" s="34">
        <v>0</v>
      </c>
      <c r="AS339" s="34">
        <v>13392857</v>
      </c>
      <c r="AT339" s="34">
        <v>270000000</v>
      </c>
      <c r="AU339" s="34">
        <v>5000000</v>
      </c>
      <c r="AV339" s="34">
        <v>-15000000</v>
      </c>
      <c r="AW339" s="27" t="s">
        <v>419</v>
      </c>
      <c r="AX339" s="27" t="s">
        <v>419</v>
      </c>
      <c r="AY339" s="27" t="s">
        <v>83</v>
      </c>
      <c r="AZ339" s="27">
        <v>1</v>
      </c>
      <c r="BA339" s="27"/>
      <c r="BB339" s="27" t="s">
        <v>409</v>
      </c>
      <c r="BC339" s="27" t="s">
        <v>4601</v>
      </c>
      <c r="BD339" s="27" t="s">
        <v>415</v>
      </c>
      <c r="BE339" s="27" t="s">
        <v>415</v>
      </c>
      <c r="BF339" s="27" t="s">
        <v>4602</v>
      </c>
      <c r="BG339" s="27" t="s">
        <v>4603</v>
      </c>
      <c r="BH339" s="27" t="s">
        <v>409</v>
      </c>
      <c r="BI339" s="27" t="s">
        <v>468</v>
      </c>
      <c r="BJ339" s="27" t="s">
        <v>4604</v>
      </c>
      <c r="BK339" s="27" t="s">
        <v>428</v>
      </c>
      <c r="BL339" s="27" t="s">
        <v>4605</v>
      </c>
      <c r="BM339" s="35">
        <v>0</v>
      </c>
    </row>
    <row r="340" spans="1:65" s="1" customFormat="1" x14ac:dyDescent="0.2">
      <c r="A340" s="33">
        <v>1914</v>
      </c>
      <c r="B340" s="27">
        <v>146</v>
      </c>
      <c r="C340" s="27" t="s">
        <v>503</v>
      </c>
      <c r="D340" s="27" t="s">
        <v>4606</v>
      </c>
      <c r="E340" s="27" t="s">
        <v>409</v>
      </c>
      <c r="F340" s="27" t="s">
        <v>425</v>
      </c>
      <c r="G340" s="28">
        <v>2026</v>
      </c>
      <c r="H340" s="20" t="str">
        <f>VLOOKUP(U340,'[1]KODE TYPE standar'!$D:$U,17,0)</f>
        <v>CALYA</v>
      </c>
      <c r="I340" s="20" t="str">
        <f>VLOOKUP(U340,'[1]KODE TYPE standar'!$D:$U,16,0)</f>
        <v>CALYA</v>
      </c>
      <c r="J340" s="20" t="str">
        <f>VLOOKUP(U340,'[1]KODE TYPE standar'!$D:$U,18,0)</f>
        <v>CALYA G M/T</v>
      </c>
      <c r="K340" s="27" t="s">
        <v>118</v>
      </c>
      <c r="L340" s="27" t="s">
        <v>110</v>
      </c>
      <c r="M340" s="27" t="s">
        <v>262</v>
      </c>
      <c r="N340" s="27" t="s">
        <v>141</v>
      </c>
      <c r="O340" s="28" t="s">
        <v>156</v>
      </c>
      <c r="P340" s="29" t="s">
        <v>151</v>
      </c>
      <c r="Q340" s="29" t="s">
        <v>161</v>
      </c>
      <c r="R340" s="29" t="s">
        <v>2197</v>
      </c>
      <c r="S340" s="27" t="s">
        <v>1476</v>
      </c>
      <c r="T340" s="27" t="s">
        <v>541</v>
      </c>
      <c r="U340" s="27" t="s">
        <v>268</v>
      </c>
      <c r="V340" s="27" t="s">
        <v>68</v>
      </c>
      <c r="W340" s="27" t="s">
        <v>69</v>
      </c>
      <c r="X340" s="27" t="s">
        <v>4607</v>
      </c>
      <c r="Y340" s="27" t="s">
        <v>4608</v>
      </c>
      <c r="Z340" s="27" t="s">
        <v>1475</v>
      </c>
      <c r="AA340" s="27" t="s">
        <v>1476</v>
      </c>
      <c r="AB340" s="27" t="s">
        <v>541</v>
      </c>
      <c r="AC340" s="27" t="s">
        <v>4609</v>
      </c>
      <c r="AD340" s="27" t="s">
        <v>4610</v>
      </c>
      <c r="AE340" s="27" t="s">
        <v>110</v>
      </c>
      <c r="AF340" s="27" t="s">
        <v>4610</v>
      </c>
      <c r="AG340" s="27" t="s">
        <v>4611</v>
      </c>
      <c r="AH340" s="27" t="s">
        <v>170</v>
      </c>
      <c r="AI340" s="27" t="s">
        <v>141</v>
      </c>
      <c r="AJ340" s="27" t="s">
        <v>262</v>
      </c>
      <c r="AK340" s="27" t="s">
        <v>63</v>
      </c>
      <c r="AL340" s="27"/>
      <c r="AM340" s="34">
        <v>182200000</v>
      </c>
      <c r="AN340" s="34">
        <v>139575893</v>
      </c>
      <c r="AO340" s="34">
        <v>25875000</v>
      </c>
      <c r="AP340" s="34">
        <v>15677678</v>
      </c>
      <c r="AQ340" s="34">
        <v>0</v>
      </c>
      <c r="AR340" s="34">
        <v>0</v>
      </c>
      <c r="AS340" s="34">
        <v>8928571</v>
      </c>
      <c r="AT340" s="34">
        <v>172200000</v>
      </c>
      <c r="AU340" s="34">
        <v>2500000</v>
      </c>
      <c r="AV340" s="34">
        <v>-10000000</v>
      </c>
      <c r="AW340" s="27" t="s">
        <v>419</v>
      </c>
      <c r="AX340" s="27" t="s">
        <v>419</v>
      </c>
      <c r="AY340" s="27" t="s">
        <v>83</v>
      </c>
      <c r="AZ340" s="27">
        <v>1</v>
      </c>
      <c r="BA340" s="27"/>
      <c r="BB340" s="27" t="s">
        <v>345</v>
      </c>
      <c r="BC340" s="27" t="s">
        <v>4612</v>
      </c>
      <c r="BD340" s="27" t="s">
        <v>400</v>
      </c>
      <c r="BE340" s="27" t="s">
        <v>400</v>
      </c>
      <c r="BF340" s="27" t="s">
        <v>4613</v>
      </c>
      <c r="BG340" s="27" t="s">
        <v>4614</v>
      </c>
      <c r="BH340" s="27" t="s">
        <v>409</v>
      </c>
      <c r="BI340" s="27" t="s">
        <v>412</v>
      </c>
      <c r="BJ340" s="27" t="s">
        <v>450</v>
      </c>
      <c r="BK340" s="27" t="s">
        <v>416</v>
      </c>
      <c r="BL340" s="27" t="s">
        <v>4615</v>
      </c>
      <c r="BM340" s="35">
        <v>0</v>
      </c>
    </row>
    <row r="341" spans="1:65" s="1" customFormat="1" x14ac:dyDescent="0.2">
      <c r="A341" s="33">
        <v>1966</v>
      </c>
      <c r="B341" s="27">
        <v>146</v>
      </c>
      <c r="C341" s="27" t="s">
        <v>503</v>
      </c>
      <c r="D341" s="27" t="s">
        <v>4616</v>
      </c>
      <c r="E341" s="27" t="s">
        <v>431</v>
      </c>
      <c r="F341" s="27" t="s">
        <v>425</v>
      </c>
      <c r="G341" s="28">
        <v>2026</v>
      </c>
      <c r="H341" s="20" t="str">
        <f>VLOOKUP(U341,'[1]KODE TYPE standar'!$D:$U,17,0)</f>
        <v>AVANZA</v>
      </c>
      <c r="I341" s="20" t="str">
        <f>VLOOKUP(U341,'[1]KODE TYPE standar'!$D:$U,16,0)</f>
        <v>AVANZA</v>
      </c>
      <c r="J341" s="20" t="str">
        <f>VLOOKUP(U341,'[1]KODE TYPE standar'!$D:$U,18,0)</f>
        <v>AVANZA G A/T</v>
      </c>
      <c r="K341" s="27" t="s">
        <v>121</v>
      </c>
      <c r="L341" s="27" t="s">
        <v>110</v>
      </c>
      <c r="M341" s="27" t="s">
        <v>262</v>
      </c>
      <c r="N341" s="27" t="s">
        <v>140</v>
      </c>
      <c r="O341" s="28" t="s">
        <v>156</v>
      </c>
      <c r="P341" s="29" t="s">
        <v>149</v>
      </c>
      <c r="Q341" s="29" t="s">
        <v>161</v>
      </c>
      <c r="R341" s="29" t="s">
        <v>148</v>
      </c>
      <c r="S341" s="27" t="s">
        <v>647</v>
      </c>
      <c r="T341" s="27" t="s">
        <v>509</v>
      </c>
      <c r="U341" s="27" t="s">
        <v>329</v>
      </c>
      <c r="V341" s="27" t="s">
        <v>60</v>
      </c>
      <c r="W341" s="27" t="s">
        <v>61</v>
      </c>
      <c r="X341" s="27" t="s">
        <v>4617</v>
      </c>
      <c r="Y341" s="27" t="s">
        <v>4618</v>
      </c>
      <c r="Z341" s="27" t="s">
        <v>646</v>
      </c>
      <c r="AA341" s="27" t="s">
        <v>647</v>
      </c>
      <c r="AB341" s="27" t="s">
        <v>509</v>
      </c>
      <c r="AC341" s="27" t="s">
        <v>4619</v>
      </c>
      <c r="AD341" s="27" t="s">
        <v>4620</v>
      </c>
      <c r="AE341" s="27" t="s">
        <v>110</v>
      </c>
      <c r="AF341" s="27" t="s">
        <v>4621</v>
      </c>
      <c r="AG341" s="27" t="s">
        <v>4622</v>
      </c>
      <c r="AH341" s="27" t="s">
        <v>1745</v>
      </c>
      <c r="AI341" s="27" t="s">
        <v>140</v>
      </c>
      <c r="AJ341" s="27" t="s">
        <v>262</v>
      </c>
      <c r="AK341" s="27" t="s">
        <v>104</v>
      </c>
      <c r="AL341" s="27"/>
      <c r="AM341" s="34">
        <v>285000000</v>
      </c>
      <c r="AN341" s="34">
        <v>219888393</v>
      </c>
      <c r="AO341" s="34">
        <v>38725000</v>
      </c>
      <c r="AP341" s="34">
        <v>24779464</v>
      </c>
      <c r="AQ341" s="34">
        <v>0</v>
      </c>
      <c r="AR341" s="34">
        <v>0</v>
      </c>
      <c r="AS341" s="34">
        <v>13392857</v>
      </c>
      <c r="AT341" s="34">
        <v>270000000</v>
      </c>
      <c r="AU341" s="34">
        <v>5000000</v>
      </c>
      <c r="AV341" s="34">
        <v>-15000000</v>
      </c>
      <c r="AW341" s="27"/>
      <c r="AX341" s="27"/>
      <c r="AY341" s="27" t="s">
        <v>83</v>
      </c>
      <c r="AZ341" s="27">
        <v>1</v>
      </c>
      <c r="BA341" s="27" t="s">
        <v>163</v>
      </c>
      <c r="BB341" s="27" t="s">
        <v>431</v>
      </c>
      <c r="BC341" s="27" t="s">
        <v>4623</v>
      </c>
      <c r="BD341" s="27" t="s">
        <v>430</v>
      </c>
      <c r="BE341" s="27" t="s">
        <v>430</v>
      </c>
      <c r="BF341" s="27" t="s">
        <v>445</v>
      </c>
      <c r="BG341" s="27" t="s">
        <v>4624</v>
      </c>
      <c r="BH341" s="27"/>
      <c r="BI341" s="27" t="s">
        <v>440</v>
      </c>
      <c r="BJ341" s="27" t="s">
        <v>4625</v>
      </c>
      <c r="BK341" s="27" t="s">
        <v>433</v>
      </c>
      <c r="BL341" s="27" t="s">
        <v>4626</v>
      </c>
      <c r="BM341" s="35">
        <v>0</v>
      </c>
    </row>
    <row r="342" spans="1:65" s="1" customFormat="1" x14ac:dyDescent="0.2">
      <c r="A342" s="33">
        <v>1972</v>
      </c>
      <c r="B342" s="27">
        <v>146</v>
      </c>
      <c r="C342" s="27" t="s">
        <v>503</v>
      </c>
      <c r="D342" s="27" t="s">
        <v>4627</v>
      </c>
      <c r="E342" s="27" t="s">
        <v>428</v>
      </c>
      <c r="F342" s="27" t="s">
        <v>425</v>
      </c>
      <c r="G342" s="28">
        <v>2026</v>
      </c>
      <c r="H342" s="20" t="str">
        <f>VLOOKUP(U342,'[1]KODE TYPE standar'!$D:$U,17,0)</f>
        <v>VELOZ</v>
      </c>
      <c r="I342" s="20" t="str">
        <f>VLOOKUP(U342,'[1]KODE TYPE standar'!$D:$U,16,0)</f>
        <v>VELOZ</v>
      </c>
      <c r="J342" s="20" t="str">
        <f>VLOOKUP(U342,'[1]KODE TYPE standar'!$D:$U,18,0)</f>
        <v>VELOZ V AT HYBRID</v>
      </c>
      <c r="K342" s="27" t="s">
        <v>50</v>
      </c>
      <c r="L342" s="27" t="s">
        <v>110</v>
      </c>
      <c r="M342" s="27" t="s">
        <v>50</v>
      </c>
      <c r="N342" s="27" t="s">
        <v>141</v>
      </c>
      <c r="O342" s="28" t="s">
        <v>156</v>
      </c>
      <c r="P342" s="29" t="s">
        <v>151</v>
      </c>
      <c r="Q342" s="29" t="s">
        <v>162</v>
      </c>
      <c r="R342" s="29" t="s">
        <v>145</v>
      </c>
      <c r="S342" s="27" t="s">
        <v>3907</v>
      </c>
      <c r="T342" s="27" t="s">
        <v>541</v>
      </c>
      <c r="U342" s="27" t="s">
        <v>335</v>
      </c>
      <c r="V342" s="27" t="s">
        <v>51</v>
      </c>
      <c r="W342" s="27" t="s">
        <v>286</v>
      </c>
      <c r="X342" s="27" t="s">
        <v>4628</v>
      </c>
      <c r="Y342" s="27" t="s">
        <v>4629</v>
      </c>
      <c r="Z342" s="27" t="s">
        <v>3906</v>
      </c>
      <c r="AA342" s="27" t="s">
        <v>3907</v>
      </c>
      <c r="AB342" s="27" t="s">
        <v>541</v>
      </c>
      <c r="AC342" s="27" t="s">
        <v>4630</v>
      </c>
      <c r="AD342" s="27" t="s">
        <v>4631</v>
      </c>
      <c r="AE342" s="27" t="s">
        <v>110</v>
      </c>
      <c r="AF342" s="27" t="s">
        <v>4631</v>
      </c>
      <c r="AG342" s="27" t="s">
        <v>4632</v>
      </c>
      <c r="AH342" s="27" t="s">
        <v>636</v>
      </c>
      <c r="AI342" s="27" t="s">
        <v>141</v>
      </c>
      <c r="AJ342" s="27" t="s">
        <v>50</v>
      </c>
      <c r="AK342" s="27" t="s">
        <v>50</v>
      </c>
      <c r="AL342" s="27"/>
      <c r="AM342" s="34">
        <v>304500000</v>
      </c>
      <c r="AN342" s="34">
        <v>235122768</v>
      </c>
      <c r="AO342" s="34">
        <v>41162500</v>
      </c>
      <c r="AP342" s="34">
        <v>28214732</v>
      </c>
      <c r="AQ342" s="34">
        <v>0</v>
      </c>
      <c r="AR342" s="34">
        <v>0</v>
      </c>
      <c r="AS342" s="34">
        <v>0</v>
      </c>
      <c r="AT342" s="34">
        <v>304500000</v>
      </c>
      <c r="AU342" s="34">
        <v>5000000</v>
      </c>
      <c r="AV342" s="34">
        <v>0</v>
      </c>
      <c r="AW342" s="27" t="s">
        <v>432</v>
      </c>
      <c r="AX342" s="27" t="s">
        <v>432</v>
      </c>
      <c r="AY342" s="27" t="s">
        <v>83</v>
      </c>
      <c r="AZ342" s="27">
        <v>1</v>
      </c>
      <c r="BA342" s="27"/>
      <c r="BB342" s="27" t="s">
        <v>435</v>
      </c>
      <c r="BC342" s="27" t="s">
        <v>4633</v>
      </c>
      <c r="BD342" s="27" t="s">
        <v>441</v>
      </c>
      <c r="BE342" s="27" t="s">
        <v>441</v>
      </c>
      <c r="BF342" s="27" t="s">
        <v>4634</v>
      </c>
      <c r="BG342" s="27" t="s">
        <v>4635</v>
      </c>
      <c r="BH342" s="27" t="s">
        <v>428</v>
      </c>
      <c r="BI342" s="27" t="s">
        <v>431</v>
      </c>
      <c r="BJ342" s="27" t="s">
        <v>4636</v>
      </c>
      <c r="BK342" s="27" t="s">
        <v>406</v>
      </c>
      <c r="BL342" s="27" t="s">
        <v>4637</v>
      </c>
      <c r="BM342" s="35">
        <v>0</v>
      </c>
    </row>
    <row r="343" spans="1:65" s="1" customFormat="1" x14ac:dyDescent="0.2">
      <c r="A343" s="37">
        <v>27</v>
      </c>
      <c r="B343" s="27">
        <v>146</v>
      </c>
      <c r="C343" s="27" t="s">
        <v>503</v>
      </c>
      <c r="D343" s="27" t="s">
        <v>4638</v>
      </c>
      <c r="E343" s="27" t="s">
        <v>473</v>
      </c>
      <c r="F343" s="27" t="s">
        <v>462</v>
      </c>
      <c r="G343" s="28">
        <v>2026</v>
      </c>
      <c r="H343" s="20" t="str">
        <f>VLOOKUP(U343,'[1]KODE TYPE standar'!$D:$U,17,0)</f>
        <v>CALYA</v>
      </c>
      <c r="I343" s="20" t="str">
        <f>VLOOKUP(U343,'[1]KODE TYPE standar'!$D:$U,16,0)</f>
        <v>CALYA</v>
      </c>
      <c r="J343" s="20" t="str">
        <f>VLOOKUP(U343,'[1]KODE TYPE standar'!$D:$U,18,0)</f>
        <v>CALYA G M/T</v>
      </c>
      <c r="K343" s="27" t="s">
        <v>120</v>
      </c>
      <c r="L343" s="27" t="s">
        <v>110</v>
      </c>
      <c r="M343" s="27" t="s">
        <v>262</v>
      </c>
      <c r="N343" s="27" t="s">
        <v>55</v>
      </c>
      <c r="O343" s="28" t="s">
        <v>6581</v>
      </c>
      <c r="P343" s="29" t="s">
        <v>149</v>
      </c>
      <c r="Q343" s="29" t="s">
        <v>161</v>
      </c>
      <c r="R343" s="29" t="s">
        <v>597</v>
      </c>
      <c r="S343" s="27" t="s">
        <v>631</v>
      </c>
      <c r="T343" s="27" t="s">
        <v>509</v>
      </c>
      <c r="U343" s="27" t="s">
        <v>268</v>
      </c>
      <c r="V343" s="27" t="s">
        <v>60</v>
      </c>
      <c r="W343" s="27" t="s">
        <v>61</v>
      </c>
      <c r="X343" s="27" t="s">
        <v>4639</v>
      </c>
      <c r="Y343" s="27" t="s">
        <v>4640</v>
      </c>
      <c r="Z343" s="27" t="s">
        <v>630</v>
      </c>
      <c r="AA343" s="27" t="s">
        <v>631</v>
      </c>
      <c r="AB343" s="27" t="s">
        <v>509</v>
      </c>
      <c r="AC343" s="27" t="s">
        <v>4641</v>
      </c>
      <c r="AD343" s="27" t="s">
        <v>4642</v>
      </c>
      <c r="AE343" s="27" t="s">
        <v>110</v>
      </c>
      <c r="AF343" s="27" t="s">
        <v>4642</v>
      </c>
      <c r="AG343" s="27" t="s">
        <v>4643</v>
      </c>
      <c r="AH343" s="27" t="s">
        <v>4644</v>
      </c>
      <c r="AI343" s="27" t="s">
        <v>55</v>
      </c>
      <c r="AJ343" s="27" t="s">
        <v>262</v>
      </c>
      <c r="AK343" s="27" t="s">
        <v>423</v>
      </c>
      <c r="AL343" s="27"/>
      <c r="AM343" s="34">
        <v>182200000</v>
      </c>
      <c r="AN343" s="34">
        <v>139272321</v>
      </c>
      <c r="AO343" s="34">
        <v>26215000</v>
      </c>
      <c r="AP343" s="34">
        <v>15641250</v>
      </c>
      <c r="AQ343" s="34">
        <v>0</v>
      </c>
      <c r="AR343" s="34">
        <v>0</v>
      </c>
      <c r="AS343" s="34">
        <v>8928571</v>
      </c>
      <c r="AT343" s="34">
        <v>172200000</v>
      </c>
      <c r="AU343" s="34">
        <v>3000000</v>
      </c>
      <c r="AV343" s="34">
        <v>-10000000</v>
      </c>
      <c r="AW343" s="27"/>
      <c r="AX343" s="27"/>
      <c r="AY343" s="27" t="s">
        <v>83</v>
      </c>
      <c r="AZ343" s="27">
        <v>1</v>
      </c>
      <c r="BA343" s="27"/>
      <c r="BB343" s="27" t="s">
        <v>474</v>
      </c>
      <c r="BC343" s="27" t="s">
        <v>4645</v>
      </c>
      <c r="BD343" s="27" t="s">
        <v>474</v>
      </c>
      <c r="BE343" s="27" t="s">
        <v>474</v>
      </c>
      <c r="BF343" s="27" t="s">
        <v>4646</v>
      </c>
      <c r="BG343" s="27" t="s">
        <v>4647</v>
      </c>
      <c r="BH343" s="27" t="s">
        <v>473</v>
      </c>
      <c r="BI343" s="27" t="s">
        <v>460</v>
      </c>
      <c r="BJ343" s="27" t="s">
        <v>4648</v>
      </c>
      <c r="BK343" s="27" t="s">
        <v>455</v>
      </c>
      <c r="BL343" s="27" t="s">
        <v>4649</v>
      </c>
      <c r="BM343" s="38">
        <v>0</v>
      </c>
    </row>
    <row r="344" spans="1:65" s="1" customFormat="1" x14ac:dyDescent="0.2">
      <c r="A344" s="37">
        <v>28</v>
      </c>
      <c r="B344" s="27">
        <v>146</v>
      </c>
      <c r="C344" s="27" t="s">
        <v>503</v>
      </c>
      <c r="D344" s="27" t="s">
        <v>4650</v>
      </c>
      <c r="E344" s="27" t="s">
        <v>473</v>
      </c>
      <c r="F344" s="27" t="s">
        <v>462</v>
      </c>
      <c r="G344" s="28">
        <v>2026</v>
      </c>
      <c r="H344" s="20" t="str">
        <f>VLOOKUP(U344,'[1]KODE TYPE standar'!$D:$U,17,0)</f>
        <v>LANDCRUISER</v>
      </c>
      <c r="I344" s="20" t="str">
        <f>VLOOKUP(U344,'[1]KODE TYPE standar'!$D:$U,16,0)</f>
        <v>LANDCRUISER</v>
      </c>
      <c r="J344" s="20" t="str">
        <f>VLOOKUP(U344,'[1]KODE TYPE standar'!$D:$U,18,0)</f>
        <v>LANDCRUISER</v>
      </c>
      <c r="K344" s="27" t="s">
        <v>119</v>
      </c>
      <c r="L344" s="27" t="s">
        <v>110</v>
      </c>
      <c r="M344" s="27" t="s">
        <v>262</v>
      </c>
      <c r="N344" s="27" t="s">
        <v>140</v>
      </c>
      <c r="O344" s="28" t="s">
        <v>156</v>
      </c>
      <c r="P344" s="29" t="s">
        <v>150</v>
      </c>
      <c r="Q344" s="29" t="s">
        <v>162</v>
      </c>
      <c r="R344" s="29" t="s">
        <v>145</v>
      </c>
      <c r="S344" s="27" t="s">
        <v>923</v>
      </c>
      <c r="T344" s="27" t="s">
        <v>541</v>
      </c>
      <c r="U344" s="27" t="s">
        <v>4651</v>
      </c>
      <c r="V344" s="27" t="s">
        <v>48</v>
      </c>
      <c r="W344" s="27" t="s">
        <v>49</v>
      </c>
      <c r="X344" s="27" t="s">
        <v>4652</v>
      </c>
      <c r="Y344" s="27" t="s">
        <v>4653</v>
      </c>
      <c r="Z344" s="27" t="s">
        <v>922</v>
      </c>
      <c r="AA344" s="27" t="s">
        <v>923</v>
      </c>
      <c r="AB344" s="27" t="s">
        <v>541</v>
      </c>
      <c r="AC344" s="27" t="s">
        <v>4654</v>
      </c>
      <c r="AD344" s="27" t="s">
        <v>4655</v>
      </c>
      <c r="AE344" s="27" t="s">
        <v>110</v>
      </c>
      <c r="AF344" s="27" t="s">
        <v>4655</v>
      </c>
      <c r="AG344" s="27" t="s">
        <v>4656</v>
      </c>
      <c r="AH344" s="27" t="s">
        <v>1970</v>
      </c>
      <c r="AI344" s="27" t="s">
        <v>140</v>
      </c>
      <c r="AJ344" s="27" t="s">
        <v>262</v>
      </c>
      <c r="AK344" s="27" t="s">
        <v>89</v>
      </c>
      <c r="AL344" s="27"/>
      <c r="AM344" s="34">
        <v>2716300000</v>
      </c>
      <c r="AN344" s="34">
        <v>2117243304</v>
      </c>
      <c r="AO344" s="34">
        <v>344987500</v>
      </c>
      <c r="AP344" s="34">
        <v>248712053</v>
      </c>
      <c r="AQ344" s="34">
        <v>0</v>
      </c>
      <c r="AR344" s="34">
        <v>0</v>
      </c>
      <c r="AS344" s="34">
        <v>44642857</v>
      </c>
      <c r="AT344" s="34">
        <v>2666300000</v>
      </c>
      <c r="AU344" s="34">
        <v>750000000</v>
      </c>
      <c r="AV344" s="34">
        <v>-50000000</v>
      </c>
      <c r="AW344" s="27"/>
      <c r="AX344" s="27"/>
      <c r="AY344" s="27" t="s">
        <v>83</v>
      </c>
      <c r="AZ344" s="27">
        <v>1</v>
      </c>
      <c r="BA344" s="27"/>
      <c r="BB344" s="27" t="s">
        <v>474</v>
      </c>
      <c r="BC344" s="27" t="s">
        <v>4657</v>
      </c>
      <c r="BD344" s="27" t="s">
        <v>474</v>
      </c>
      <c r="BE344" s="27" t="s">
        <v>474</v>
      </c>
      <c r="BF344" s="27" t="s">
        <v>4658</v>
      </c>
      <c r="BG344" s="27" t="s">
        <v>4659</v>
      </c>
      <c r="BH344" s="27"/>
      <c r="BI344" s="27" t="s">
        <v>460</v>
      </c>
      <c r="BJ344" s="27" t="s">
        <v>4660</v>
      </c>
      <c r="BK344" s="27" t="s">
        <v>432</v>
      </c>
      <c r="BL344" s="27" t="s">
        <v>4661</v>
      </c>
      <c r="BM344" s="38">
        <v>0</v>
      </c>
    </row>
    <row r="345" spans="1:65" s="1" customFormat="1" x14ac:dyDescent="0.2">
      <c r="A345" s="37">
        <v>43</v>
      </c>
      <c r="B345" s="27">
        <v>146</v>
      </c>
      <c r="C345" s="27" t="s">
        <v>503</v>
      </c>
      <c r="D345" s="27" t="s">
        <v>4662</v>
      </c>
      <c r="E345" s="27" t="s">
        <v>451</v>
      </c>
      <c r="F345" s="27" t="s">
        <v>462</v>
      </c>
      <c r="G345" s="28">
        <v>2026</v>
      </c>
      <c r="H345" s="20" t="str">
        <f>VLOOKUP(U345,'[1]KODE TYPE standar'!$D:$U,17,0)</f>
        <v>CALYA</v>
      </c>
      <c r="I345" s="20" t="str">
        <f>VLOOKUP(U345,'[1]KODE TYPE standar'!$D:$U,16,0)</f>
        <v>CALYA</v>
      </c>
      <c r="J345" s="20" t="str">
        <f>VLOOKUP(U345,'[1]KODE TYPE standar'!$D:$U,18,0)</f>
        <v>CALYA G M/T</v>
      </c>
      <c r="K345" s="27" t="s">
        <v>118</v>
      </c>
      <c r="L345" s="27" t="s">
        <v>110</v>
      </c>
      <c r="M345" s="27" t="s">
        <v>262</v>
      </c>
      <c r="N345" s="27" t="s">
        <v>141</v>
      </c>
      <c r="O345" s="28" t="s">
        <v>156</v>
      </c>
      <c r="P345" s="29" t="s">
        <v>151</v>
      </c>
      <c r="Q345" s="29" t="s">
        <v>147</v>
      </c>
      <c r="R345" s="29" t="s">
        <v>1016</v>
      </c>
      <c r="S345" s="27" t="s">
        <v>4352</v>
      </c>
      <c r="T345" s="27" t="s">
        <v>585</v>
      </c>
      <c r="U345" s="27" t="s">
        <v>268</v>
      </c>
      <c r="V345" s="27" t="s">
        <v>68</v>
      </c>
      <c r="W345" s="27" t="s">
        <v>69</v>
      </c>
      <c r="X345" s="27" t="s">
        <v>4663</v>
      </c>
      <c r="Y345" s="27" t="s">
        <v>4664</v>
      </c>
      <c r="Z345" s="27" t="s">
        <v>4351</v>
      </c>
      <c r="AA345" s="27" t="s">
        <v>4352</v>
      </c>
      <c r="AB345" s="27" t="s">
        <v>585</v>
      </c>
      <c r="AC345" s="27" t="s">
        <v>4665</v>
      </c>
      <c r="AD345" s="27" t="s">
        <v>4666</v>
      </c>
      <c r="AE345" s="27" t="s">
        <v>110</v>
      </c>
      <c r="AF345" s="27" t="s">
        <v>4667</v>
      </c>
      <c r="AG345" s="27" t="s">
        <v>4668</v>
      </c>
      <c r="AH345" s="27" t="s">
        <v>1694</v>
      </c>
      <c r="AI345" s="27" t="s">
        <v>141</v>
      </c>
      <c r="AJ345" s="27" t="s">
        <v>262</v>
      </c>
      <c r="AK345" s="27" t="s">
        <v>63</v>
      </c>
      <c r="AL345" s="27"/>
      <c r="AM345" s="34">
        <v>182200000</v>
      </c>
      <c r="AN345" s="34">
        <v>139575893</v>
      </c>
      <c r="AO345" s="34">
        <v>25875000</v>
      </c>
      <c r="AP345" s="34">
        <v>15677678</v>
      </c>
      <c r="AQ345" s="34">
        <v>0</v>
      </c>
      <c r="AR345" s="34">
        <v>0</v>
      </c>
      <c r="AS345" s="34">
        <v>8928571</v>
      </c>
      <c r="AT345" s="34">
        <v>172200000</v>
      </c>
      <c r="AU345" s="34">
        <v>0</v>
      </c>
      <c r="AV345" s="34">
        <v>-10000000</v>
      </c>
      <c r="AW345" s="27" t="s">
        <v>464</v>
      </c>
      <c r="AX345" s="27" t="s">
        <v>464</v>
      </c>
      <c r="AY345" s="27" t="s">
        <v>83</v>
      </c>
      <c r="AZ345" s="27">
        <v>1</v>
      </c>
      <c r="BA345" s="27" t="s">
        <v>163</v>
      </c>
      <c r="BB345" s="27" t="s">
        <v>436</v>
      </c>
      <c r="BC345" s="27" t="s">
        <v>4669</v>
      </c>
      <c r="BD345" s="27" t="s">
        <v>421</v>
      </c>
      <c r="BE345" s="27" t="s">
        <v>421</v>
      </c>
      <c r="BF345" s="27" t="s">
        <v>4670</v>
      </c>
      <c r="BG345" s="27" t="s">
        <v>4671</v>
      </c>
      <c r="BH345" s="27" t="s">
        <v>451</v>
      </c>
      <c r="BI345" s="27" t="s">
        <v>470</v>
      </c>
      <c r="BJ345" s="27" t="s">
        <v>4672</v>
      </c>
      <c r="BK345" s="27" t="s">
        <v>440</v>
      </c>
      <c r="BL345" s="27" t="s">
        <v>4673</v>
      </c>
      <c r="BM345" s="38">
        <v>0</v>
      </c>
    </row>
    <row r="346" spans="1:65" s="1" customFormat="1" x14ac:dyDescent="0.2">
      <c r="A346" s="37">
        <v>48</v>
      </c>
      <c r="B346" s="27">
        <v>146</v>
      </c>
      <c r="C346" s="27" t="s">
        <v>503</v>
      </c>
      <c r="D346" s="27" t="s">
        <v>4674</v>
      </c>
      <c r="E346" s="27" t="s">
        <v>474</v>
      </c>
      <c r="F346" s="27" t="s">
        <v>462</v>
      </c>
      <c r="G346" s="28">
        <v>2026</v>
      </c>
      <c r="H346" s="20" t="str">
        <f>VLOOKUP(U346,'[1]KODE TYPE standar'!$D:$U,17,0)</f>
        <v>CALYA</v>
      </c>
      <c r="I346" s="20" t="str">
        <f>VLOOKUP(U346,'[1]KODE TYPE standar'!$D:$U,16,0)</f>
        <v>CALYA</v>
      </c>
      <c r="J346" s="20" t="str">
        <f>VLOOKUP(U346,'[1]KODE TYPE standar'!$D:$U,18,0)</f>
        <v>CALYA G M/T</v>
      </c>
      <c r="K346" s="27" t="s">
        <v>118</v>
      </c>
      <c r="L346" s="27" t="s">
        <v>110</v>
      </c>
      <c r="M346" s="27" t="s">
        <v>262</v>
      </c>
      <c r="N346" s="27" t="s">
        <v>139</v>
      </c>
      <c r="O346" s="28" t="s">
        <v>156</v>
      </c>
      <c r="P346" s="29" t="s">
        <v>319</v>
      </c>
      <c r="Q346" s="29" t="s">
        <v>161</v>
      </c>
      <c r="R346" s="29" t="s">
        <v>145</v>
      </c>
      <c r="S346" s="27" t="s">
        <v>631</v>
      </c>
      <c r="T346" s="27" t="s">
        <v>509</v>
      </c>
      <c r="U346" s="27" t="s">
        <v>268</v>
      </c>
      <c r="V346" s="27" t="s">
        <v>269</v>
      </c>
      <c r="W346" s="27" t="s">
        <v>270</v>
      </c>
      <c r="X346" s="27" t="s">
        <v>4675</v>
      </c>
      <c r="Y346" s="27" t="s">
        <v>4676</v>
      </c>
      <c r="Z346" s="27" t="s">
        <v>630</v>
      </c>
      <c r="AA346" s="27" t="s">
        <v>631</v>
      </c>
      <c r="AB346" s="27" t="s">
        <v>509</v>
      </c>
      <c r="AC346" s="27" t="s">
        <v>4677</v>
      </c>
      <c r="AD346" s="27" t="s">
        <v>4678</v>
      </c>
      <c r="AE346" s="27" t="s">
        <v>110</v>
      </c>
      <c r="AF346" s="27" t="s">
        <v>4678</v>
      </c>
      <c r="AG346" s="27" t="s">
        <v>4679</v>
      </c>
      <c r="AH346" s="27" t="s">
        <v>913</v>
      </c>
      <c r="AI346" s="27" t="s">
        <v>139</v>
      </c>
      <c r="AJ346" s="27" t="s">
        <v>262</v>
      </c>
      <c r="AK346" s="27" t="s">
        <v>63</v>
      </c>
      <c r="AL346" s="27"/>
      <c r="AM346" s="34">
        <v>182200000</v>
      </c>
      <c r="AN346" s="34">
        <v>139575893</v>
      </c>
      <c r="AO346" s="34">
        <v>25875000</v>
      </c>
      <c r="AP346" s="34">
        <v>15677678</v>
      </c>
      <c r="AQ346" s="34">
        <v>0</v>
      </c>
      <c r="AR346" s="34">
        <v>0</v>
      </c>
      <c r="AS346" s="34">
        <v>8928571</v>
      </c>
      <c r="AT346" s="34">
        <v>172200000</v>
      </c>
      <c r="AU346" s="34">
        <v>2000000</v>
      </c>
      <c r="AV346" s="34">
        <v>-10000000</v>
      </c>
      <c r="AW346" s="27"/>
      <c r="AX346" s="27"/>
      <c r="AY346" s="27" t="s">
        <v>83</v>
      </c>
      <c r="AZ346" s="27">
        <v>1</v>
      </c>
      <c r="BA346" s="27"/>
      <c r="BB346" s="27" t="s">
        <v>452</v>
      </c>
      <c r="BC346" s="27" t="s">
        <v>4680</v>
      </c>
      <c r="BD346" s="27" t="s">
        <v>466</v>
      </c>
      <c r="BE346" s="27" t="s">
        <v>466</v>
      </c>
      <c r="BF346" s="27" t="s">
        <v>4681</v>
      </c>
      <c r="BG346" s="27" t="s">
        <v>4682</v>
      </c>
      <c r="BH346" s="27" t="s">
        <v>474</v>
      </c>
      <c r="BI346" s="27" t="s">
        <v>477</v>
      </c>
      <c r="BJ346" s="27" t="s">
        <v>4683</v>
      </c>
      <c r="BK346" s="27" t="s">
        <v>466</v>
      </c>
      <c r="BL346" s="27" t="s">
        <v>4684</v>
      </c>
      <c r="BM346" s="38">
        <v>0</v>
      </c>
    </row>
    <row r="347" spans="1:65" s="1" customFormat="1" x14ac:dyDescent="0.2">
      <c r="A347" s="37">
        <v>51</v>
      </c>
      <c r="B347" s="27">
        <v>146</v>
      </c>
      <c r="C347" s="27" t="s">
        <v>503</v>
      </c>
      <c r="D347" s="27" t="s">
        <v>4685</v>
      </c>
      <c r="E347" s="27" t="s">
        <v>452</v>
      </c>
      <c r="F347" s="27" t="s">
        <v>462</v>
      </c>
      <c r="G347" s="28">
        <v>2026</v>
      </c>
      <c r="H347" s="20" t="str">
        <f>VLOOKUP(U347,'[1]KODE TYPE standar'!$D:$U,17,0)</f>
        <v>HIACE</v>
      </c>
      <c r="I347" s="20" t="str">
        <f>VLOOKUP(U347,'[1]KODE TYPE standar'!$D:$U,16,0)</f>
        <v>HIACE</v>
      </c>
      <c r="J347" s="20" t="str">
        <f>VLOOKUP(U347,'[1]KODE TYPE standar'!$D:$U,18,0)</f>
        <v>HIACE COMM</v>
      </c>
      <c r="K347" s="27" t="s">
        <v>119</v>
      </c>
      <c r="L347" s="27" t="s">
        <v>110</v>
      </c>
      <c r="M347" s="27" t="s">
        <v>262</v>
      </c>
      <c r="N347" s="27" t="s">
        <v>140</v>
      </c>
      <c r="O347" s="28" t="s">
        <v>156</v>
      </c>
      <c r="P347" s="29" t="s">
        <v>149</v>
      </c>
      <c r="Q347" s="29" t="s">
        <v>162</v>
      </c>
      <c r="R347" s="29" t="s">
        <v>145</v>
      </c>
      <c r="S347" s="27" t="s">
        <v>877</v>
      </c>
      <c r="T347" s="27" t="s">
        <v>585</v>
      </c>
      <c r="U347" s="27" t="s">
        <v>4686</v>
      </c>
      <c r="V347" s="27" t="s">
        <v>331</v>
      </c>
      <c r="W347" s="27" t="s">
        <v>81</v>
      </c>
      <c r="X347" s="27" t="s">
        <v>4687</v>
      </c>
      <c r="Y347" s="27" t="s">
        <v>4688</v>
      </c>
      <c r="Z347" s="27" t="s">
        <v>876</v>
      </c>
      <c r="AA347" s="27" t="s">
        <v>877</v>
      </c>
      <c r="AB347" s="27" t="s">
        <v>585</v>
      </c>
      <c r="AC347" s="27" t="s">
        <v>4689</v>
      </c>
      <c r="AD347" s="27" t="s">
        <v>4690</v>
      </c>
      <c r="AE347" s="27" t="s">
        <v>110</v>
      </c>
      <c r="AF347" s="27" t="s">
        <v>4690</v>
      </c>
      <c r="AG347" s="27" t="s">
        <v>4691</v>
      </c>
      <c r="AH347" s="27" t="s">
        <v>844</v>
      </c>
      <c r="AI347" s="27" t="s">
        <v>140</v>
      </c>
      <c r="AJ347" s="27" t="s">
        <v>262</v>
      </c>
      <c r="AK347" s="27" t="s">
        <v>89</v>
      </c>
      <c r="AL347" s="27"/>
      <c r="AM347" s="34">
        <v>578900000</v>
      </c>
      <c r="AN347" s="34">
        <v>451430180</v>
      </c>
      <c r="AO347" s="34">
        <v>77812500</v>
      </c>
      <c r="AP347" s="34">
        <v>45693355</v>
      </c>
      <c r="AQ347" s="34">
        <v>0</v>
      </c>
      <c r="AR347" s="34">
        <v>0</v>
      </c>
      <c r="AS347" s="34">
        <v>36036036</v>
      </c>
      <c r="AT347" s="34">
        <v>538900000</v>
      </c>
      <c r="AU347" s="34">
        <v>0</v>
      </c>
      <c r="AV347" s="34">
        <v>-40000000</v>
      </c>
      <c r="AW347" s="27"/>
      <c r="AX347" s="27"/>
      <c r="AY347" s="27" t="s">
        <v>83</v>
      </c>
      <c r="AZ347" s="27">
        <v>1</v>
      </c>
      <c r="BA347" s="27"/>
      <c r="BB347" s="27" t="s">
        <v>463</v>
      </c>
      <c r="BC347" s="27" t="s">
        <v>4692</v>
      </c>
      <c r="BD347" s="27" t="s">
        <v>472</v>
      </c>
      <c r="BE347" s="27" t="s">
        <v>472</v>
      </c>
      <c r="BF347" s="27" t="s">
        <v>4693</v>
      </c>
      <c r="BG347" s="27" t="s">
        <v>4694</v>
      </c>
      <c r="BH347" s="27" t="s">
        <v>452</v>
      </c>
      <c r="BI347" s="27" t="s">
        <v>465</v>
      </c>
      <c r="BJ347" s="27" t="s">
        <v>4695</v>
      </c>
      <c r="BK347" s="27" t="s">
        <v>367</v>
      </c>
      <c r="BL347" s="27" t="s">
        <v>4696</v>
      </c>
      <c r="BM347" s="38">
        <v>0</v>
      </c>
    </row>
    <row r="348" spans="1:65" s="1" customFormat="1" x14ac:dyDescent="0.2">
      <c r="A348" s="37">
        <v>55</v>
      </c>
      <c r="B348" s="27">
        <v>146</v>
      </c>
      <c r="C348" s="27" t="s">
        <v>503</v>
      </c>
      <c r="D348" s="27" t="s">
        <v>4697</v>
      </c>
      <c r="E348" s="27" t="s">
        <v>473</v>
      </c>
      <c r="F348" s="27" t="s">
        <v>462</v>
      </c>
      <c r="G348" s="28">
        <v>2026</v>
      </c>
      <c r="H348" s="20" t="str">
        <f>VLOOKUP(U348,'[1]KODE TYPE standar'!$D:$U,17,0)</f>
        <v>CALYA</v>
      </c>
      <c r="I348" s="20" t="str">
        <f>VLOOKUP(U348,'[1]KODE TYPE standar'!$D:$U,16,0)</f>
        <v>CALYA</v>
      </c>
      <c r="J348" s="20" t="str">
        <f>VLOOKUP(U348,'[1]KODE TYPE standar'!$D:$U,18,0)</f>
        <v>CALYA G M/T</v>
      </c>
      <c r="K348" s="27" t="s">
        <v>121</v>
      </c>
      <c r="L348" s="27" t="s">
        <v>110</v>
      </c>
      <c r="M348" s="27" t="s">
        <v>262</v>
      </c>
      <c r="N348" s="27" t="s">
        <v>158</v>
      </c>
      <c r="O348" s="28" t="s">
        <v>6581</v>
      </c>
      <c r="P348" s="29" t="s">
        <v>151</v>
      </c>
      <c r="Q348" s="29" t="s">
        <v>161</v>
      </c>
      <c r="R348" s="29" t="s">
        <v>145</v>
      </c>
      <c r="S348" s="27" t="s">
        <v>724</v>
      </c>
      <c r="T348" s="27" t="s">
        <v>541</v>
      </c>
      <c r="U348" s="27" t="s">
        <v>268</v>
      </c>
      <c r="V348" s="27" t="s">
        <v>68</v>
      </c>
      <c r="W348" s="27" t="s">
        <v>69</v>
      </c>
      <c r="X348" s="27" t="s">
        <v>4698</v>
      </c>
      <c r="Y348" s="27" t="s">
        <v>4699</v>
      </c>
      <c r="Z348" s="27" t="s">
        <v>723</v>
      </c>
      <c r="AA348" s="27" t="s">
        <v>724</v>
      </c>
      <c r="AB348" s="27" t="s">
        <v>541</v>
      </c>
      <c r="AC348" s="27" t="s">
        <v>4700</v>
      </c>
      <c r="AD348" s="27" t="s">
        <v>4701</v>
      </c>
      <c r="AE348" s="27" t="s">
        <v>110</v>
      </c>
      <c r="AF348" s="27" t="s">
        <v>4702</v>
      </c>
      <c r="AG348" s="27" t="s">
        <v>4703</v>
      </c>
      <c r="AH348" s="27" t="s">
        <v>2167</v>
      </c>
      <c r="AI348" s="27" t="s">
        <v>158</v>
      </c>
      <c r="AJ348" s="27" t="s">
        <v>262</v>
      </c>
      <c r="AK348" s="27" t="s">
        <v>104</v>
      </c>
      <c r="AL348" s="27"/>
      <c r="AM348" s="34">
        <v>182200000</v>
      </c>
      <c r="AN348" s="34">
        <v>139263393</v>
      </c>
      <c r="AO348" s="34">
        <v>26225000</v>
      </c>
      <c r="AP348" s="34">
        <v>15640178</v>
      </c>
      <c r="AQ348" s="34">
        <v>0</v>
      </c>
      <c r="AR348" s="34">
        <v>0</v>
      </c>
      <c r="AS348" s="34">
        <v>8928571</v>
      </c>
      <c r="AT348" s="34">
        <v>172200000</v>
      </c>
      <c r="AU348" s="34">
        <v>3000000</v>
      </c>
      <c r="AV348" s="34">
        <v>-10000000</v>
      </c>
      <c r="AW348" s="27"/>
      <c r="AX348" s="27"/>
      <c r="AY348" s="27" t="s">
        <v>83</v>
      </c>
      <c r="AZ348" s="27">
        <v>1</v>
      </c>
      <c r="BA348" s="27"/>
      <c r="BB348" s="27" t="s">
        <v>451</v>
      </c>
      <c r="BC348" s="27" t="s">
        <v>4704</v>
      </c>
      <c r="BD348" s="27" t="s">
        <v>471</v>
      </c>
      <c r="BE348" s="27" t="s">
        <v>471</v>
      </c>
      <c r="BF348" s="27" t="s">
        <v>4705</v>
      </c>
      <c r="BG348" s="27" t="s">
        <v>4706</v>
      </c>
      <c r="BH348" s="27"/>
      <c r="BI348" s="27" t="s">
        <v>460</v>
      </c>
      <c r="BJ348" s="27" t="s">
        <v>4707</v>
      </c>
      <c r="BK348" s="27" t="s">
        <v>474</v>
      </c>
      <c r="BL348" s="27" t="s">
        <v>4708</v>
      </c>
      <c r="BM348" s="38">
        <v>0</v>
      </c>
    </row>
    <row r="349" spans="1:65" s="1" customFormat="1" x14ac:dyDescent="0.2">
      <c r="A349" s="37">
        <v>104</v>
      </c>
      <c r="B349" s="27">
        <v>146</v>
      </c>
      <c r="C349" s="27" t="s">
        <v>503</v>
      </c>
      <c r="D349" s="27" t="s">
        <v>4709</v>
      </c>
      <c r="E349" s="27" t="s">
        <v>451</v>
      </c>
      <c r="F349" s="27" t="s">
        <v>462</v>
      </c>
      <c r="G349" s="28">
        <v>2026</v>
      </c>
      <c r="H349" s="20" t="str">
        <f>VLOOKUP(U349,'[1]KODE TYPE standar'!$D:$U,17,0)</f>
        <v>CALYA</v>
      </c>
      <c r="I349" s="20" t="str">
        <f>VLOOKUP(U349,'[1]KODE TYPE standar'!$D:$U,16,0)</f>
        <v>CALYA</v>
      </c>
      <c r="J349" s="20" t="str">
        <f>VLOOKUP(U349,'[1]KODE TYPE standar'!$D:$U,18,0)</f>
        <v>CALYA G A/T</v>
      </c>
      <c r="K349" s="27" t="s">
        <v>118</v>
      </c>
      <c r="L349" s="27" t="s">
        <v>110</v>
      </c>
      <c r="M349" s="27" t="s">
        <v>262</v>
      </c>
      <c r="N349" s="27" t="s">
        <v>140</v>
      </c>
      <c r="O349" s="28" t="s">
        <v>156</v>
      </c>
      <c r="P349" s="29" t="s">
        <v>536</v>
      </c>
      <c r="Q349" s="29" t="s">
        <v>161</v>
      </c>
      <c r="R349" s="29" t="s">
        <v>1264</v>
      </c>
      <c r="S349" s="27" t="s">
        <v>923</v>
      </c>
      <c r="T349" s="27" t="s">
        <v>541</v>
      </c>
      <c r="U349" s="27" t="s">
        <v>88</v>
      </c>
      <c r="V349" s="27" t="s">
        <v>77</v>
      </c>
      <c r="W349" s="27" t="s">
        <v>78</v>
      </c>
      <c r="X349" s="27" t="s">
        <v>4710</v>
      </c>
      <c r="Y349" s="27" t="s">
        <v>4711</v>
      </c>
      <c r="Z349" s="27" t="s">
        <v>922</v>
      </c>
      <c r="AA349" s="27" t="s">
        <v>923</v>
      </c>
      <c r="AB349" s="27" t="s">
        <v>541</v>
      </c>
      <c r="AC349" s="27" t="s">
        <v>4712</v>
      </c>
      <c r="AD349" s="27" t="s">
        <v>4713</v>
      </c>
      <c r="AE349" s="27" t="s">
        <v>110</v>
      </c>
      <c r="AF349" s="27" t="s">
        <v>4714</v>
      </c>
      <c r="AG349" s="27" t="s">
        <v>4715</v>
      </c>
      <c r="AH349" s="27" t="s">
        <v>1637</v>
      </c>
      <c r="AI349" s="27" t="s">
        <v>140</v>
      </c>
      <c r="AJ349" s="27" t="s">
        <v>262</v>
      </c>
      <c r="AK349" s="27" t="s">
        <v>63</v>
      </c>
      <c r="AL349" s="27"/>
      <c r="AM349" s="34">
        <v>196800000</v>
      </c>
      <c r="AN349" s="34">
        <v>150982143</v>
      </c>
      <c r="AO349" s="34">
        <v>27700000</v>
      </c>
      <c r="AP349" s="34">
        <v>17046428</v>
      </c>
      <c r="AQ349" s="34">
        <v>0</v>
      </c>
      <c r="AR349" s="34">
        <v>0</v>
      </c>
      <c r="AS349" s="34">
        <v>8928571</v>
      </c>
      <c r="AT349" s="34">
        <v>186800000</v>
      </c>
      <c r="AU349" s="34">
        <v>2000000</v>
      </c>
      <c r="AV349" s="34">
        <v>-10000000</v>
      </c>
      <c r="AW349" s="27" t="s">
        <v>463</v>
      </c>
      <c r="AX349" s="27" t="s">
        <v>463</v>
      </c>
      <c r="AY349" s="27" t="s">
        <v>83</v>
      </c>
      <c r="AZ349" s="27">
        <v>1</v>
      </c>
      <c r="BA349" s="27"/>
      <c r="BB349" s="27" t="s">
        <v>427</v>
      </c>
      <c r="BC349" s="27" t="s">
        <v>4716</v>
      </c>
      <c r="BD349" s="27" t="s">
        <v>440</v>
      </c>
      <c r="BE349" s="27" t="s">
        <v>440</v>
      </c>
      <c r="BF349" s="27" t="s">
        <v>4717</v>
      </c>
      <c r="BG349" s="27" t="s">
        <v>4718</v>
      </c>
      <c r="BH349" s="27" t="s">
        <v>451</v>
      </c>
      <c r="BI349" s="27" t="s">
        <v>470</v>
      </c>
      <c r="BJ349" s="27" t="s">
        <v>4719</v>
      </c>
      <c r="BK349" s="27" t="s">
        <v>432</v>
      </c>
      <c r="BL349" s="27" t="s">
        <v>4720</v>
      </c>
      <c r="BM349" s="38">
        <v>0</v>
      </c>
    </row>
    <row r="350" spans="1:65" s="1" customFormat="1" x14ac:dyDescent="0.2">
      <c r="A350" s="37">
        <v>121</v>
      </c>
      <c r="B350" s="27">
        <v>146</v>
      </c>
      <c r="C350" s="27" t="s">
        <v>503</v>
      </c>
      <c r="D350" s="27" t="s">
        <v>4721</v>
      </c>
      <c r="E350" s="27" t="s">
        <v>466</v>
      </c>
      <c r="F350" s="27" t="s">
        <v>462</v>
      </c>
      <c r="G350" s="28">
        <v>2026</v>
      </c>
      <c r="H350" s="20" t="str">
        <f>VLOOKUP(U350,'[1]KODE TYPE standar'!$D:$U,17,0)</f>
        <v>INV REBORN</v>
      </c>
      <c r="I350" s="20" t="str">
        <f>VLOOKUP(U350,'[1]KODE TYPE standar'!$D:$U,16,0)</f>
        <v>INNOVA</v>
      </c>
      <c r="J350" s="20" t="str">
        <f>VLOOKUP(U350,'[1]KODE TYPE standar'!$D:$U,18,0)</f>
        <v>INNOVA G A/T DIESEL</v>
      </c>
      <c r="K350" s="27" t="s">
        <v>118</v>
      </c>
      <c r="L350" s="27" t="s">
        <v>110</v>
      </c>
      <c r="M350" s="27" t="s">
        <v>262</v>
      </c>
      <c r="N350" s="27" t="s">
        <v>140</v>
      </c>
      <c r="O350" s="28" t="s">
        <v>156</v>
      </c>
      <c r="P350" s="29" t="s">
        <v>150</v>
      </c>
      <c r="Q350" s="29" t="s">
        <v>162</v>
      </c>
      <c r="R350" s="29" t="s">
        <v>145</v>
      </c>
      <c r="S350" s="27" t="s">
        <v>1966</v>
      </c>
      <c r="T350" s="27" t="s">
        <v>509</v>
      </c>
      <c r="U350" s="27" t="s">
        <v>192</v>
      </c>
      <c r="V350" s="27" t="s">
        <v>48</v>
      </c>
      <c r="W350" s="27" t="s">
        <v>49</v>
      </c>
      <c r="X350" s="27" t="s">
        <v>4722</v>
      </c>
      <c r="Y350" s="27" t="s">
        <v>4723</v>
      </c>
      <c r="Z350" s="27" t="s">
        <v>4724</v>
      </c>
      <c r="AA350" s="27" t="s">
        <v>1966</v>
      </c>
      <c r="AB350" s="27" t="s">
        <v>509</v>
      </c>
      <c r="AC350" s="27" t="s">
        <v>4725</v>
      </c>
      <c r="AD350" s="27" t="s">
        <v>4726</v>
      </c>
      <c r="AE350" s="27" t="s">
        <v>110</v>
      </c>
      <c r="AF350" s="27" t="s">
        <v>4727</v>
      </c>
      <c r="AG350" s="27" t="s">
        <v>4728</v>
      </c>
      <c r="AH350" s="27" t="s">
        <v>1614</v>
      </c>
      <c r="AI350" s="27" t="s">
        <v>140</v>
      </c>
      <c r="AJ350" s="27" t="s">
        <v>262</v>
      </c>
      <c r="AK350" s="27" t="s">
        <v>63</v>
      </c>
      <c r="AL350" s="27"/>
      <c r="AM350" s="34">
        <v>442700000</v>
      </c>
      <c r="AN350" s="34">
        <v>343091518</v>
      </c>
      <c r="AO350" s="34">
        <v>58437500</v>
      </c>
      <c r="AP350" s="34">
        <v>39028125</v>
      </c>
      <c r="AQ350" s="34">
        <v>0</v>
      </c>
      <c r="AR350" s="34">
        <v>0</v>
      </c>
      <c r="AS350" s="34">
        <v>17857143</v>
      </c>
      <c r="AT350" s="34">
        <v>422700000</v>
      </c>
      <c r="AU350" s="34">
        <v>10000000</v>
      </c>
      <c r="AV350" s="34">
        <v>-20000000</v>
      </c>
      <c r="AW350" s="27" t="s">
        <v>458</v>
      </c>
      <c r="AX350" s="27" t="s">
        <v>458</v>
      </c>
      <c r="AY350" s="27" t="s">
        <v>83</v>
      </c>
      <c r="AZ350" s="27">
        <v>1</v>
      </c>
      <c r="BA350" s="27"/>
      <c r="BB350" s="27" t="s">
        <v>463</v>
      </c>
      <c r="BC350" s="27" t="s">
        <v>4729</v>
      </c>
      <c r="BD350" s="27" t="s">
        <v>464</v>
      </c>
      <c r="BE350" s="27" t="s">
        <v>464</v>
      </c>
      <c r="BF350" s="27" t="s">
        <v>4730</v>
      </c>
      <c r="BG350" s="27" t="s">
        <v>4731</v>
      </c>
      <c r="BH350" s="27" t="s">
        <v>466</v>
      </c>
      <c r="BI350" s="27" t="s">
        <v>468</v>
      </c>
      <c r="BJ350" s="27" t="s">
        <v>482</v>
      </c>
      <c r="BK350" s="27" t="s">
        <v>431</v>
      </c>
      <c r="BL350" s="27" t="s">
        <v>4732</v>
      </c>
      <c r="BM350" s="38">
        <v>0</v>
      </c>
    </row>
    <row r="351" spans="1:65" s="1" customFormat="1" x14ac:dyDescent="0.2">
      <c r="A351" s="37">
        <v>122</v>
      </c>
      <c r="B351" s="27">
        <v>146</v>
      </c>
      <c r="C351" s="27" t="s">
        <v>503</v>
      </c>
      <c r="D351" s="27" t="s">
        <v>4733</v>
      </c>
      <c r="E351" s="27" t="s">
        <v>473</v>
      </c>
      <c r="F351" s="27" t="s">
        <v>462</v>
      </c>
      <c r="G351" s="28">
        <v>2026</v>
      </c>
      <c r="H351" s="20" t="str">
        <f>VLOOKUP(U351,'[1]KODE TYPE standar'!$D:$U,17,0)</f>
        <v>AVANZA</v>
      </c>
      <c r="I351" s="20" t="str">
        <f>VLOOKUP(U351,'[1]KODE TYPE standar'!$D:$U,16,0)</f>
        <v>AVANZA</v>
      </c>
      <c r="J351" s="20" t="str">
        <f>VLOOKUP(U351,'[1]KODE TYPE standar'!$D:$U,18,0)</f>
        <v>AVANZA E M/T</v>
      </c>
      <c r="K351" s="27" t="s">
        <v>121</v>
      </c>
      <c r="L351" s="27" t="s">
        <v>110</v>
      </c>
      <c r="M351" s="27" t="s">
        <v>262</v>
      </c>
      <c r="N351" s="27" t="s">
        <v>140</v>
      </c>
      <c r="O351" s="28" t="s">
        <v>156</v>
      </c>
      <c r="P351" s="29" t="s">
        <v>149</v>
      </c>
      <c r="Q351" s="29" t="s">
        <v>161</v>
      </c>
      <c r="R351" s="29" t="s">
        <v>597</v>
      </c>
      <c r="S351" s="27" t="s">
        <v>781</v>
      </c>
      <c r="T351" s="27" t="s">
        <v>585</v>
      </c>
      <c r="U351" s="27" t="s">
        <v>386</v>
      </c>
      <c r="V351" s="27" t="s">
        <v>64</v>
      </c>
      <c r="W351" s="27" t="s">
        <v>65</v>
      </c>
      <c r="X351" s="27" t="s">
        <v>778</v>
      </c>
      <c r="Y351" s="27" t="s">
        <v>779</v>
      </c>
      <c r="Z351" s="27" t="s">
        <v>780</v>
      </c>
      <c r="AA351" s="27" t="s">
        <v>781</v>
      </c>
      <c r="AB351" s="27" t="s">
        <v>585</v>
      </c>
      <c r="AC351" s="27" t="s">
        <v>782</v>
      </c>
      <c r="AD351" s="27" t="s">
        <v>783</v>
      </c>
      <c r="AE351" s="27" t="s">
        <v>110</v>
      </c>
      <c r="AF351" s="27" t="s">
        <v>784</v>
      </c>
      <c r="AG351" s="27" t="s">
        <v>785</v>
      </c>
      <c r="AH351" s="27" t="s">
        <v>528</v>
      </c>
      <c r="AI351" s="27" t="s">
        <v>140</v>
      </c>
      <c r="AJ351" s="27" t="s">
        <v>262</v>
      </c>
      <c r="AK351" s="27" t="s">
        <v>104</v>
      </c>
      <c r="AL351" s="27"/>
      <c r="AM351" s="34">
        <v>247000000</v>
      </c>
      <c r="AN351" s="34">
        <v>190200893</v>
      </c>
      <c r="AO351" s="34">
        <v>33975000</v>
      </c>
      <c r="AP351" s="34">
        <v>21109821</v>
      </c>
      <c r="AQ351" s="34">
        <v>0</v>
      </c>
      <c r="AR351" s="34">
        <v>0</v>
      </c>
      <c r="AS351" s="34">
        <v>14285714</v>
      </c>
      <c r="AT351" s="34">
        <v>231000000</v>
      </c>
      <c r="AU351" s="34">
        <v>4500000</v>
      </c>
      <c r="AV351" s="34">
        <v>-16000000</v>
      </c>
      <c r="AW351" s="27"/>
      <c r="AX351" s="27"/>
      <c r="AY351" s="27" t="s">
        <v>83</v>
      </c>
      <c r="AZ351" s="27">
        <v>1</v>
      </c>
      <c r="BA351" s="27" t="s">
        <v>4734</v>
      </c>
      <c r="BB351" s="27" t="s">
        <v>274</v>
      </c>
      <c r="BC351" s="27" t="s">
        <v>786</v>
      </c>
      <c r="BD351" s="27" t="s">
        <v>259</v>
      </c>
      <c r="BE351" s="27" t="s">
        <v>259</v>
      </c>
      <c r="BF351" s="27" t="s">
        <v>787</v>
      </c>
      <c r="BG351" s="27" t="s">
        <v>788</v>
      </c>
      <c r="BH351" s="27" t="s">
        <v>473</v>
      </c>
      <c r="BI351" s="27" t="s">
        <v>460</v>
      </c>
      <c r="BJ351" s="27" t="s">
        <v>789</v>
      </c>
      <c r="BK351" s="27" t="s">
        <v>230</v>
      </c>
      <c r="BL351" s="27" t="s">
        <v>4735</v>
      </c>
      <c r="BM351" s="38">
        <v>0</v>
      </c>
    </row>
    <row r="352" spans="1:65" s="1" customFormat="1" x14ac:dyDescent="0.2">
      <c r="A352" s="37">
        <v>123</v>
      </c>
      <c r="B352" s="27">
        <v>146</v>
      </c>
      <c r="C352" s="27" t="s">
        <v>503</v>
      </c>
      <c r="D352" s="27" t="s">
        <v>4736</v>
      </c>
      <c r="E352" s="27" t="s">
        <v>473</v>
      </c>
      <c r="F352" s="27" t="s">
        <v>462</v>
      </c>
      <c r="G352" s="28">
        <v>2026</v>
      </c>
      <c r="H352" s="20" t="str">
        <f>VLOOKUP(U352,'[1]KODE TYPE standar'!$D:$U,17,0)</f>
        <v>AVANZA</v>
      </c>
      <c r="I352" s="20" t="str">
        <f>VLOOKUP(U352,'[1]KODE TYPE standar'!$D:$U,16,0)</f>
        <v>AVANZA</v>
      </c>
      <c r="J352" s="20" t="str">
        <f>VLOOKUP(U352,'[1]KODE TYPE standar'!$D:$U,18,0)</f>
        <v>AVANZA E M/T</v>
      </c>
      <c r="K352" s="27" t="s">
        <v>121</v>
      </c>
      <c r="L352" s="27" t="s">
        <v>110</v>
      </c>
      <c r="M352" s="27" t="s">
        <v>262</v>
      </c>
      <c r="N352" s="27" t="s">
        <v>140</v>
      </c>
      <c r="O352" s="28" t="s">
        <v>156</v>
      </c>
      <c r="P352" s="29" t="s">
        <v>149</v>
      </c>
      <c r="Q352" s="29" t="s">
        <v>161</v>
      </c>
      <c r="R352" s="29" t="s">
        <v>597</v>
      </c>
      <c r="S352" s="27" t="s">
        <v>781</v>
      </c>
      <c r="T352" s="27" t="s">
        <v>585</v>
      </c>
      <c r="U352" s="27" t="s">
        <v>386</v>
      </c>
      <c r="V352" s="27" t="s">
        <v>64</v>
      </c>
      <c r="W352" s="27" t="s">
        <v>65</v>
      </c>
      <c r="X352" s="27" t="s">
        <v>778</v>
      </c>
      <c r="Y352" s="27" t="s">
        <v>779</v>
      </c>
      <c r="Z352" s="27" t="s">
        <v>780</v>
      </c>
      <c r="AA352" s="27" t="s">
        <v>781</v>
      </c>
      <c r="AB352" s="27" t="s">
        <v>585</v>
      </c>
      <c r="AC352" s="27" t="s">
        <v>782</v>
      </c>
      <c r="AD352" s="27" t="s">
        <v>783</v>
      </c>
      <c r="AE352" s="27" t="s">
        <v>110</v>
      </c>
      <c r="AF352" s="27" t="s">
        <v>784</v>
      </c>
      <c r="AG352" s="27" t="s">
        <v>785</v>
      </c>
      <c r="AH352" s="27" t="s">
        <v>528</v>
      </c>
      <c r="AI352" s="27" t="s">
        <v>140</v>
      </c>
      <c r="AJ352" s="27" t="s">
        <v>262</v>
      </c>
      <c r="AK352" s="27" t="s">
        <v>104</v>
      </c>
      <c r="AL352" s="27"/>
      <c r="AM352" s="34">
        <v>246700000</v>
      </c>
      <c r="AN352" s="34">
        <v>-189966518</v>
      </c>
      <c r="AO352" s="34">
        <v>-33937500</v>
      </c>
      <c r="AP352" s="34">
        <v>-21081696</v>
      </c>
      <c r="AQ352" s="34">
        <v>0</v>
      </c>
      <c r="AR352" s="34">
        <v>0</v>
      </c>
      <c r="AS352" s="34">
        <v>-14285714</v>
      </c>
      <c r="AT352" s="34">
        <v>-230700000</v>
      </c>
      <c r="AU352" s="34">
        <v>0</v>
      </c>
      <c r="AV352" s="34">
        <v>-16000000</v>
      </c>
      <c r="AW352" s="27"/>
      <c r="AX352" s="27"/>
      <c r="AY352" s="27" t="s">
        <v>292</v>
      </c>
      <c r="AZ352" s="27">
        <v>-1</v>
      </c>
      <c r="BA352" s="27" t="s">
        <v>4734</v>
      </c>
      <c r="BB352" s="27" t="s">
        <v>274</v>
      </c>
      <c r="BC352" s="27" t="s">
        <v>786</v>
      </c>
      <c r="BD352" s="27" t="s">
        <v>259</v>
      </c>
      <c r="BE352" s="27" t="s">
        <v>259</v>
      </c>
      <c r="BF352" s="27" t="s">
        <v>787</v>
      </c>
      <c r="BG352" s="27" t="s">
        <v>788</v>
      </c>
      <c r="BH352" s="27" t="s">
        <v>473</v>
      </c>
      <c r="BI352" s="27" t="s">
        <v>460</v>
      </c>
      <c r="BJ352" s="27" t="s">
        <v>789</v>
      </c>
      <c r="BK352" s="27" t="s">
        <v>230</v>
      </c>
      <c r="BL352" s="27" t="s">
        <v>4735</v>
      </c>
      <c r="BM352" s="38">
        <v>0</v>
      </c>
    </row>
    <row r="353" spans="1:65" s="1" customFormat="1" x14ac:dyDescent="0.2">
      <c r="A353" s="37">
        <v>131</v>
      </c>
      <c r="B353" s="27">
        <v>146</v>
      </c>
      <c r="C353" s="27" t="s">
        <v>503</v>
      </c>
      <c r="D353" s="27" t="s">
        <v>4737</v>
      </c>
      <c r="E353" s="27" t="s">
        <v>466</v>
      </c>
      <c r="F353" s="27" t="s">
        <v>462</v>
      </c>
      <c r="G353" s="28">
        <v>2026</v>
      </c>
      <c r="H353" s="20" t="str">
        <f>VLOOKUP(U353,'[1]KODE TYPE standar'!$D:$U,17,0)</f>
        <v>VELOZ</v>
      </c>
      <c r="I353" s="20" t="str">
        <f>VLOOKUP(U353,'[1]KODE TYPE standar'!$D:$U,16,0)</f>
        <v>VELOZ</v>
      </c>
      <c r="J353" s="20" t="str">
        <f>VLOOKUP(U353,'[1]KODE TYPE standar'!$D:$U,18,0)</f>
        <v>VELOZ V AT HYBRID</v>
      </c>
      <c r="K353" s="27" t="s">
        <v>50</v>
      </c>
      <c r="L353" s="27" t="s">
        <v>110</v>
      </c>
      <c r="M353" s="27" t="s">
        <v>50</v>
      </c>
      <c r="N353" s="27" t="s">
        <v>106</v>
      </c>
      <c r="O353" s="28" t="s">
        <v>156</v>
      </c>
      <c r="P353" s="29" t="s">
        <v>149</v>
      </c>
      <c r="Q353" s="29" t="s">
        <v>162</v>
      </c>
      <c r="R353" s="29" t="s">
        <v>318</v>
      </c>
      <c r="S353" s="27" t="s">
        <v>540</v>
      </c>
      <c r="T353" s="27" t="s">
        <v>541</v>
      </c>
      <c r="U353" s="27" t="s">
        <v>335</v>
      </c>
      <c r="V353" s="27" t="s">
        <v>51</v>
      </c>
      <c r="W353" s="27" t="s">
        <v>286</v>
      </c>
      <c r="X353" s="27" t="s">
        <v>4738</v>
      </c>
      <c r="Y353" s="27" t="s">
        <v>4739</v>
      </c>
      <c r="Z353" s="27" t="s">
        <v>539</v>
      </c>
      <c r="AA353" s="27" t="s">
        <v>540</v>
      </c>
      <c r="AB353" s="27" t="s">
        <v>541</v>
      </c>
      <c r="AC353" s="27" t="s">
        <v>4740</v>
      </c>
      <c r="AD353" s="27" t="s">
        <v>4741</v>
      </c>
      <c r="AE353" s="27" t="s">
        <v>110</v>
      </c>
      <c r="AF353" s="27" t="s">
        <v>4741</v>
      </c>
      <c r="AG353" s="27" t="s">
        <v>4742</v>
      </c>
      <c r="AH353" s="27" t="s">
        <v>573</v>
      </c>
      <c r="AI353" s="27" t="s">
        <v>106</v>
      </c>
      <c r="AJ353" s="27" t="s">
        <v>50</v>
      </c>
      <c r="AK353" s="27" t="s">
        <v>50</v>
      </c>
      <c r="AL353" s="27"/>
      <c r="AM353" s="34">
        <v>304500000</v>
      </c>
      <c r="AN353" s="34">
        <v>235122768</v>
      </c>
      <c r="AO353" s="34">
        <v>41162500</v>
      </c>
      <c r="AP353" s="34">
        <v>28214732</v>
      </c>
      <c r="AQ353" s="34">
        <v>0</v>
      </c>
      <c r="AR353" s="34">
        <v>0</v>
      </c>
      <c r="AS353" s="34">
        <v>0</v>
      </c>
      <c r="AT353" s="34">
        <v>304500000</v>
      </c>
      <c r="AU353" s="34">
        <v>6000000</v>
      </c>
      <c r="AV353" s="34">
        <v>0</v>
      </c>
      <c r="AW353" s="27" t="s">
        <v>455</v>
      </c>
      <c r="AX353" s="27" t="s">
        <v>455</v>
      </c>
      <c r="AY353" s="27" t="s">
        <v>83</v>
      </c>
      <c r="AZ353" s="27">
        <v>1</v>
      </c>
      <c r="BA353" s="27"/>
      <c r="BB353" s="27" t="s">
        <v>438</v>
      </c>
      <c r="BC353" s="27" t="s">
        <v>4743</v>
      </c>
      <c r="BD353" s="27" t="s">
        <v>438</v>
      </c>
      <c r="BE353" s="27" t="s">
        <v>438</v>
      </c>
      <c r="BF353" s="27" t="s">
        <v>4744</v>
      </c>
      <c r="BG353" s="27" t="s">
        <v>4745</v>
      </c>
      <c r="BH353" s="27" t="s">
        <v>466</v>
      </c>
      <c r="BI353" s="27" t="s">
        <v>4746</v>
      </c>
      <c r="BJ353" s="27" t="s">
        <v>4747</v>
      </c>
      <c r="BK353" s="27" t="s">
        <v>421</v>
      </c>
      <c r="BL353" s="27" t="s">
        <v>4748</v>
      </c>
      <c r="BM353" s="38">
        <v>0</v>
      </c>
    </row>
    <row r="354" spans="1:65" s="1" customFormat="1" x14ac:dyDescent="0.2">
      <c r="A354" s="37">
        <v>135</v>
      </c>
      <c r="B354" s="27">
        <v>146</v>
      </c>
      <c r="C354" s="27" t="s">
        <v>503</v>
      </c>
      <c r="D354" s="27" t="s">
        <v>4749</v>
      </c>
      <c r="E354" s="27" t="s">
        <v>427</v>
      </c>
      <c r="F354" s="27" t="s">
        <v>462</v>
      </c>
      <c r="G354" s="28">
        <v>2026</v>
      </c>
      <c r="H354" s="20" t="str">
        <f>VLOOKUP(U354,'[1]KODE TYPE standar'!$D:$U,17,0)</f>
        <v>AVANZA</v>
      </c>
      <c r="I354" s="20" t="str">
        <f>VLOOKUP(U354,'[1]KODE TYPE standar'!$D:$U,16,0)</f>
        <v>AVANZA</v>
      </c>
      <c r="J354" s="20" t="str">
        <f>VLOOKUP(U354,'[1]KODE TYPE standar'!$D:$U,18,0)</f>
        <v>AVANZA G A/T</v>
      </c>
      <c r="K354" s="27" t="s">
        <v>118</v>
      </c>
      <c r="L354" s="27" t="s">
        <v>110</v>
      </c>
      <c r="M354" s="27" t="s">
        <v>262</v>
      </c>
      <c r="N354" s="27" t="s">
        <v>106</v>
      </c>
      <c r="O354" s="28" t="s">
        <v>156</v>
      </c>
      <c r="P354" s="29" t="s">
        <v>149</v>
      </c>
      <c r="Q354" s="29" t="s">
        <v>161</v>
      </c>
      <c r="R354" s="29" t="s">
        <v>597</v>
      </c>
      <c r="S354" s="27" t="s">
        <v>4753</v>
      </c>
      <c r="T354" s="27" t="s">
        <v>509</v>
      </c>
      <c r="U354" s="27" t="s">
        <v>329</v>
      </c>
      <c r="V354" s="27" t="s">
        <v>64</v>
      </c>
      <c r="W354" s="27" t="s">
        <v>65</v>
      </c>
      <c r="X354" s="27" t="s">
        <v>4750</v>
      </c>
      <c r="Y354" s="27" t="s">
        <v>4751</v>
      </c>
      <c r="Z354" s="27" t="s">
        <v>4752</v>
      </c>
      <c r="AA354" s="27" t="s">
        <v>4753</v>
      </c>
      <c r="AB354" s="27" t="s">
        <v>509</v>
      </c>
      <c r="AC354" s="27" t="s">
        <v>4754</v>
      </c>
      <c r="AD354" s="27" t="s">
        <v>4755</v>
      </c>
      <c r="AE354" s="27" t="s">
        <v>110</v>
      </c>
      <c r="AF354" s="27" t="s">
        <v>4756</v>
      </c>
      <c r="AG354" s="27" t="s">
        <v>4757</v>
      </c>
      <c r="AH354" s="27" t="s">
        <v>2107</v>
      </c>
      <c r="AI354" s="27" t="s">
        <v>106</v>
      </c>
      <c r="AJ354" s="27" t="s">
        <v>262</v>
      </c>
      <c r="AK354" s="27" t="s">
        <v>63</v>
      </c>
      <c r="AL354" s="27"/>
      <c r="AM354" s="34">
        <v>285000000</v>
      </c>
      <c r="AN354" s="34">
        <v>219888393</v>
      </c>
      <c r="AO354" s="34">
        <v>38725000</v>
      </c>
      <c r="AP354" s="34">
        <v>24779464</v>
      </c>
      <c r="AQ354" s="34">
        <v>0</v>
      </c>
      <c r="AR354" s="34">
        <v>0</v>
      </c>
      <c r="AS354" s="34">
        <v>13392857</v>
      </c>
      <c r="AT354" s="34">
        <v>270000000</v>
      </c>
      <c r="AU354" s="34">
        <v>6000000</v>
      </c>
      <c r="AV354" s="34">
        <v>-15000000</v>
      </c>
      <c r="AW354" s="27" t="s">
        <v>463</v>
      </c>
      <c r="AX354" s="27" t="s">
        <v>463</v>
      </c>
      <c r="AY354" s="27" t="s">
        <v>83</v>
      </c>
      <c r="AZ354" s="27">
        <v>1</v>
      </c>
      <c r="BA354" s="27"/>
      <c r="BB354" s="27" t="s">
        <v>440</v>
      </c>
      <c r="BC354" s="27" t="s">
        <v>4758</v>
      </c>
      <c r="BD354" s="27" t="s">
        <v>440</v>
      </c>
      <c r="BE354" s="27" t="s">
        <v>440</v>
      </c>
      <c r="BF354" s="27" t="s">
        <v>4759</v>
      </c>
      <c r="BG354" s="27" t="s">
        <v>4760</v>
      </c>
      <c r="BH354" s="27" t="s">
        <v>427</v>
      </c>
      <c r="BI354" s="27" t="s">
        <v>475</v>
      </c>
      <c r="BJ354" s="27" t="s">
        <v>4761</v>
      </c>
      <c r="BK354" s="27" t="s">
        <v>467</v>
      </c>
      <c r="BL354" s="27" t="s">
        <v>4762</v>
      </c>
      <c r="BM354" s="38">
        <v>0</v>
      </c>
    </row>
    <row r="355" spans="1:65" s="1" customFormat="1" x14ac:dyDescent="0.2">
      <c r="A355" s="37">
        <v>145</v>
      </c>
      <c r="B355" s="27">
        <v>146</v>
      </c>
      <c r="C355" s="27" t="s">
        <v>503</v>
      </c>
      <c r="D355" s="27" t="s">
        <v>4763</v>
      </c>
      <c r="E355" s="27" t="s">
        <v>471</v>
      </c>
      <c r="F355" s="27" t="s">
        <v>462</v>
      </c>
      <c r="G355" s="28">
        <v>2026</v>
      </c>
      <c r="H355" s="20" t="str">
        <f>VLOOKUP(U355,'[1]KODE TYPE standar'!$D:$U,17,0)</f>
        <v>VELOZ</v>
      </c>
      <c r="I355" s="20" t="str">
        <f>VLOOKUP(U355,'[1]KODE TYPE standar'!$D:$U,16,0)</f>
        <v>VELOZ</v>
      </c>
      <c r="J355" s="20" t="str">
        <f>VLOOKUP(U355,'[1]KODE TYPE standar'!$D:$U,18,0)</f>
        <v>VELOZ V AT HYBRID</v>
      </c>
      <c r="K355" s="27" t="s">
        <v>119</v>
      </c>
      <c r="L355" s="27" t="s">
        <v>110</v>
      </c>
      <c r="M355" s="27" t="s">
        <v>262</v>
      </c>
      <c r="N355" s="27" t="s">
        <v>141</v>
      </c>
      <c r="O355" s="28" t="s">
        <v>156</v>
      </c>
      <c r="P355" s="29" t="s">
        <v>151</v>
      </c>
      <c r="Q355" s="29" t="s">
        <v>161</v>
      </c>
      <c r="R355" s="29" t="s">
        <v>597</v>
      </c>
      <c r="S355" s="27" t="s">
        <v>1476</v>
      </c>
      <c r="T355" s="27" t="s">
        <v>541</v>
      </c>
      <c r="U355" s="27" t="s">
        <v>327</v>
      </c>
      <c r="V355" s="27" t="s">
        <v>64</v>
      </c>
      <c r="W355" s="27" t="s">
        <v>65</v>
      </c>
      <c r="X355" s="27" t="s">
        <v>4764</v>
      </c>
      <c r="Y355" s="27" t="s">
        <v>4765</v>
      </c>
      <c r="Z355" s="27" t="s">
        <v>1475</v>
      </c>
      <c r="AA355" s="27" t="s">
        <v>1476</v>
      </c>
      <c r="AB355" s="27" t="s">
        <v>541</v>
      </c>
      <c r="AC355" s="27" t="s">
        <v>4766</v>
      </c>
      <c r="AD355" s="27" t="s">
        <v>4767</v>
      </c>
      <c r="AE355" s="27" t="s">
        <v>110</v>
      </c>
      <c r="AF355" s="27" t="s">
        <v>4767</v>
      </c>
      <c r="AG355" s="27" t="s">
        <v>4768</v>
      </c>
      <c r="AH355" s="27" t="s">
        <v>1149</v>
      </c>
      <c r="AI355" s="27" t="s">
        <v>141</v>
      </c>
      <c r="AJ355" s="27" t="s">
        <v>262</v>
      </c>
      <c r="AK355" s="27" t="s">
        <v>89</v>
      </c>
      <c r="AL355" s="27"/>
      <c r="AM355" s="34">
        <v>303000000</v>
      </c>
      <c r="AN355" s="34">
        <v>233950893</v>
      </c>
      <c r="AO355" s="34">
        <v>40975000</v>
      </c>
      <c r="AP355" s="34">
        <v>28074107</v>
      </c>
      <c r="AQ355" s="34">
        <v>0</v>
      </c>
      <c r="AR355" s="34">
        <v>0</v>
      </c>
      <c r="AS355" s="34">
        <v>0</v>
      </c>
      <c r="AT355" s="34">
        <v>303000000</v>
      </c>
      <c r="AU355" s="34">
        <v>0</v>
      </c>
      <c r="AV355" s="34">
        <v>0</v>
      </c>
      <c r="AW355" s="27" t="s">
        <v>472</v>
      </c>
      <c r="AX355" s="27" t="s">
        <v>472</v>
      </c>
      <c r="AY355" s="27" t="s">
        <v>83</v>
      </c>
      <c r="AZ355" s="27">
        <v>1</v>
      </c>
      <c r="BA355" s="27"/>
      <c r="BB355" s="27" t="s">
        <v>417</v>
      </c>
      <c r="BC355" s="27" t="s">
        <v>4769</v>
      </c>
      <c r="BD355" s="27" t="s">
        <v>471</v>
      </c>
      <c r="BE355" s="27" t="s">
        <v>471</v>
      </c>
      <c r="BF355" s="27" t="s">
        <v>4770</v>
      </c>
      <c r="BG355" s="27" t="s">
        <v>4771</v>
      </c>
      <c r="BH355" s="27" t="s">
        <v>471</v>
      </c>
      <c r="BI355" s="27" t="s">
        <v>474</v>
      </c>
      <c r="BJ355" s="27" t="s">
        <v>4772</v>
      </c>
      <c r="BK355" s="27" t="s">
        <v>400</v>
      </c>
      <c r="BL355" s="27" t="s">
        <v>4773</v>
      </c>
      <c r="BM355" s="38">
        <v>0</v>
      </c>
    </row>
    <row r="356" spans="1:65" s="1" customFormat="1" x14ac:dyDescent="0.2">
      <c r="A356" s="37">
        <v>147</v>
      </c>
      <c r="B356" s="27">
        <v>146</v>
      </c>
      <c r="C356" s="27" t="s">
        <v>503</v>
      </c>
      <c r="D356" s="27" t="s">
        <v>4774</v>
      </c>
      <c r="E356" s="27" t="s">
        <v>443</v>
      </c>
      <c r="F356" s="27" t="s">
        <v>462</v>
      </c>
      <c r="G356" s="28">
        <v>2026</v>
      </c>
      <c r="H356" s="20" t="str">
        <f>VLOOKUP(U356,'[1]KODE TYPE standar'!$D:$U,17,0)</f>
        <v>INV ZENIX HYBRID</v>
      </c>
      <c r="I356" s="20" t="str">
        <f>VLOOKUP(U356,'[1]KODE TYPE standar'!$D:$U,16,0)</f>
        <v>INNOVA</v>
      </c>
      <c r="J356" s="20" t="str">
        <f>VLOOKUP(U356,'[1]KODE TYPE standar'!$D:$U,18,0)</f>
        <v>INNOVA ZENIX Q A/T HYBRID</v>
      </c>
      <c r="K356" s="27" t="s">
        <v>119</v>
      </c>
      <c r="L356" s="27" t="s">
        <v>110</v>
      </c>
      <c r="M356" s="27" t="s">
        <v>262</v>
      </c>
      <c r="N356" s="27" t="s">
        <v>141</v>
      </c>
      <c r="O356" s="28" t="s">
        <v>156</v>
      </c>
      <c r="P356" s="29" t="s">
        <v>149</v>
      </c>
      <c r="Q356" s="29" t="s">
        <v>161</v>
      </c>
      <c r="R356" s="29" t="s">
        <v>597</v>
      </c>
      <c r="S356" s="27" t="s">
        <v>524</v>
      </c>
      <c r="T356" s="27" t="s">
        <v>509</v>
      </c>
      <c r="U356" s="27" t="s">
        <v>208</v>
      </c>
      <c r="V356" s="27" t="s">
        <v>51</v>
      </c>
      <c r="W356" s="27" t="s">
        <v>86</v>
      </c>
      <c r="X356" s="27" t="s">
        <v>4775</v>
      </c>
      <c r="Y356" s="27" t="s">
        <v>4776</v>
      </c>
      <c r="Z356" s="27" t="s">
        <v>523</v>
      </c>
      <c r="AA356" s="27" t="s">
        <v>524</v>
      </c>
      <c r="AB356" s="27" t="s">
        <v>509</v>
      </c>
      <c r="AC356" s="27" t="s">
        <v>4777</v>
      </c>
      <c r="AD356" s="27" t="s">
        <v>4778</v>
      </c>
      <c r="AE356" s="27" t="s">
        <v>110</v>
      </c>
      <c r="AF356" s="27" t="s">
        <v>4778</v>
      </c>
      <c r="AG356" s="27" t="s">
        <v>4779</v>
      </c>
      <c r="AH356" s="27" t="s">
        <v>742</v>
      </c>
      <c r="AI356" s="27" t="s">
        <v>141</v>
      </c>
      <c r="AJ356" s="27" t="s">
        <v>262</v>
      </c>
      <c r="AK356" s="27" t="s">
        <v>89</v>
      </c>
      <c r="AL356" s="27"/>
      <c r="AM356" s="34">
        <v>631100000</v>
      </c>
      <c r="AN356" s="34">
        <v>490279018</v>
      </c>
      <c r="AO356" s="34">
        <v>81987500</v>
      </c>
      <c r="AP356" s="34">
        <v>56583482</v>
      </c>
      <c r="AQ356" s="34">
        <v>0</v>
      </c>
      <c r="AR356" s="34">
        <v>0</v>
      </c>
      <c r="AS356" s="34">
        <v>18750000</v>
      </c>
      <c r="AT356" s="34">
        <v>610100000</v>
      </c>
      <c r="AU356" s="34">
        <v>0</v>
      </c>
      <c r="AV356" s="34">
        <v>-21000000</v>
      </c>
      <c r="AW356" s="27" t="s">
        <v>440</v>
      </c>
      <c r="AX356" s="27" t="s">
        <v>440</v>
      </c>
      <c r="AY356" s="27" t="s">
        <v>83</v>
      </c>
      <c r="AZ356" s="27">
        <v>1</v>
      </c>
      <c r="BA356" s="27" t="s">
        <v>2720</v>
      </c>
      <c r="BB356" s="27" t="s">
        <v>438</v>
      </c>
      <c r="BC356" s="27" t="s">
        <v>4780</v>
      </c>
      <c r="BD356" s="27" t="s">
        <v>419</v>
      </c>
      <c r="BE356" s="27" t="s">
        <v>419</v>
      </c>
      <c r="BF356" s="27" t="s">
        <v>4781</v>
      </c>
      <c r="BG356" s="27" t="s">
        <v>4782</v>
      </c>
      <c r="BH356" s="27" t="s">
        <v>443</v>
      </c>
      <c r="BI356" s="27" t="s">
        <v>463</v>
      </c>
      <c r="BJ356" s="27" t="s">
        <v>4783</v>
      </c>
      <c r="BK356" s="27" t="s">
        <v>438</v>
      </c>
      <c r="BL356" s="27" t="s">
        <v>4784</v>
      </c>
      <c r="BM356" s="38">
        <v>0</v>
      </c>
    </row>
    <row r="357" spans="1:65" s="1" customFormat="1" x14ac:dyDescent="0.2">
      <c r="A357" s="37">
        <v>186</v>
      </c>
      <c r="B357" s="27">
        <v>146</v>
      </c>
      <c r="C357" s="27" t="s">
        <v>503</v>
      </c>
      <c r="D357" s="27" t="s">
        <v>4785</v>
      </c>
      <c r="E357" s="27" t="s">
        <v>469</v>
      </c>
      <c r="F357" s="27" t="s">
        <v>462</v>
      </c>
      <c r="G357" s="28">
        <v>2026</v>
      </c>
      <c r="H357" s="20" t="str">
        <f>VLOOKUP(U357,'[1]KODE TYPE standar'!$D:$U,17,0)</f>
        <v>CALYA</v>
      </c>
      <c r="I357" s="20" t="str">
        <f>VLOOKUP(U357,'[1]KODE TYPE standar'!$D:$U,16,0)</f>
        <v>CALYA</v>
      </c>
      <c r="J357" s="20" t="str">
        <f>VLOOKUP(U357,'[1]KODE TYPE standar'!$D:$U,18,0)</f>
        <v>CALYA G M/T</v>
      </c>
      <c r="K357" s="27" t="s">
        <v>119</v>
      </c>
      <c r="L357" s="27" t="s">
        <v>110</v>
      </c>
      <c r="M357" s="27" t="s">
        <v>262</v>
      </c>
      <c r="N357" s="27" t="s">
        <v>140</v>
      </c>
      <c r="O357" s="28" t="s">
        <v>156</v>
      </c>
      <c r="P357" s="29" t="s">
        <v>151</v>
      </c>
      <c r="Q357" s="29" t="s">
        <v>161</v>
      </c>
      <c r="R357" s="29" t="s">
        <v>145</v>
      </c>
      <c r="S357" s="27" t="s">
        <v>1555</v>
      </c>
      <c r="T357" s="27" t="s">
        <v>585</v>
      </c>
      <c r="U357" s="27" t="s">
        <v>268</v>
      </c>
      <c r="V357" s="27" t="s">
        <v>68</v>
      </c>
      <c r="W357" s="27" t="s">
        <v>69</v>
      </c>
      <c r="X357" s="27" t="s">
        <v>4786</v>
      </c>
      <c r="Y357" s="27" t="s">
        <v>4787</v>
      </c>
      <c r="Z357" s="27" t="s">
        <v>1554</v>
      </c>
      <c r="AA357" s="27" t="s">
        <v>1555</v>
      </c>
      <c r="AB357" s="27" t="s">
        <v>585</v>
      </c>
      <c r="AC357" s="27" t="s">
        <v>4788</v>
      </c>
      <c r="AD357" s="27" t="s">
        <v>4789</v>
      </c>
      <c r="AE357" s="27" t="s">
        <v>110</v>
      </c>
      <c r="AF357" s="27" t="s">
        <v>4789</v>
      </c>
      <c r="AG357" s="27" t="s">
        <v>4790</v>
      </c>
      <c r="AH357" s="27" t="s">
        <v>514</v>
      </c>
      <c r="AI357" s="27" t="s">
        <v>140</v>
      </c>
      <c r="AJ357" s="27" t="s">
        <v>262</v>
      </c>
      <c r="AK357" s="27" t="s">
        <v>89</v>
      </c>
      <c r="AL357" s="27"/>
      <c r="AM357" s="34">
        <v>182200000</v>
      </c>
      <c r="AN357" s="34">
        <v>139575893</v>
      </c>
      <c r="AO357" s="34">
        <v>25875000</v>
      </c>
      <c r="AP357" s="34">
        <v>15570535</v>
      </c>
      <c r="AQ357" s="34">
        <v>0</v>
      </c>
      <c r="AR357" s="34">
        <v>0</v>
      </c>
      <c r="AS357" s="34">
        <v>9821429</v>
      </c>
      <c r="AT357" s="34">
        <v>171200000</v>
      </c>
      <c r="AU357" s="34">
        <v>1500000</v>
      </c>
      <c r="AV357" s="34">
        <v>-11000000</v>
      </c>
      <c r="AW357" s="27" t="s">
        <v>458</v>
      </c>
      <c r="AX357" s="27" t="s">
        <v>458</v>
      </c>
      <c r="AY357" s="27" t="s">
        <v>83</v>
      </c>
      <c r="AZ357" s="27">
        <v>1</v>
      </c>
      <c r="BA357" s="27" t="s">
        <v>163</v>
      </c>
      <c r="BB357" s="27" t="s">
        <v>440</v>
      </c>
      <c r="BC357" s="27" t="s">
        <v>4791</v>
      </c>
      <c r="BD357" s="27" t="s">
        <v>440</v>
      </c>
      <c r="BE357" s="27" t="s">
        <v>440</v>
      </c>
      <c r="BF357" s="27" t="s">
        <v>4792</v>
      </c>
      <c r="BG357" s="27" t="s">
        <v>4793</v>
      </c>
      <c r="BH357" s="27" t="s">
        <v>469</v>
      </c>
      <c r="BI357" s="27" t="s">
        <v>454</v>
      </c>
      <c r="BJ357" s="27" t="s">
        <v>4794</v>
      </c>
      <c r="BK357" s="27" t="s">
        <v>4795</v>
      </c>
      <c r="BL357" s="27" t="s">
        <v>4796</v>
      </c>
      <c r="BM357" s="38">
        <v>0</v>
      </c>
    </row>
    <row r="358" spans="1:65" s="1" customFormat="1" x14ac:dyDescent="0.2">
      <c r="A358" s="37">
        <v>229</v>
      </c>
      <c r="B358" s="27">
        <v>146</v>
      </c>
      <c r="C358" s="27" t="s">
        <v>503</v>
      </c>
      <c r="D358" s="27" t="s">
        <v>4797</v>
      </c>
      <c r="E358" s="27" t="s">
        <v>451</v>
      </c>
      <c r="F358" s="27" t="s">
        <v>462</v>
      </c>
      <c r="G358" s="28">
        <v>2026</v>
      </c>
      <c r="H358" s="20" t="str">
        <f>VLOOKUP(U358,'[1]KODE TYPE standar'!$D:$U,17,0)</f>
        <v>CALYA</v>
      </c>
      <c r="I358" s="20" t="str">
        <f>VLOOKUP(U358,'[1]KODE TYPE standar'!$D:$U,16,0)</f>
        <v>CALYA</v>
      </c>
      <c r="J358" s="20" t="str">
        <f>VLOOKUP(U358,'[1]KODE TYPE standar'!$D:$U,18,0)</f>
        <v>CALYA G A/T</v>
      </c>
      <c r="K358" s="27" t="s">
        <v>118</v>
      </c>
      <c r="L358" s="27" t="s">
        <v>110</v>
      </c>
      <c r="M358" s="27" t="s">
        <v>262</v>
      </c>
      <c r="N358" s="27" t="s">
        <v>106</v>
      </c>
      <c r="O358" s="28" t="s">
        <v>156</v>
      </c>
      <c r="P358" s="29" t="s">
        <v>151</v>
      </c>
      <c r="Q358" s="29" t="s">
        <v>161</v>
      </c>
      <c r="R358" s="29" t="s">
        <v>597</v>
      </c>
      <c r="S358" s="27" t="s">
        <v>923</v>
      </c>
      <c r="T358" s="27" t="s">
        <v>541</v>
      </c>
      <c r="U358" s="27" t="s">
        <v>88</v>
      </c>
      <c r="V358" s="27" t="s">
        <v>60</v>
      </c>
      <c r="W358" s="27" t="s">
        <v>61</v>
      </c>
      <c r="X358" s="27" t="s">
        <v>4798</v>
      </c>
      <c r="Y358" s="27" t="s">
        <v>4799</v>
      </c>
      <c r="Z358" s="27" t="s">
        <v>922</v>
      </c>
      <c r="AA358" s="27" t="s">
        <v>923</v>
      </c>
      <c r="AB358" s="27" t="s">
        <v>541</v>
      </c>
      <c r="AC358" s="27" t="s">
        <v>4800</v>
      </c>
      <c r="AD358" s="27" t="s">
        <v>4801</v>
      </c>
      <c r="AE358" s="27" t="s">
        <v>110</v>
      </c>
      <c r="AF358" s="27" t="s">
        <v>4801</v>
      </c>
      <c r="AG358" s="27" t="s">
        <v>4802</v>
      </c>
      <c r="AH358" s="27" t="s">
        <v>2107</v>
      </c>
      <c r="AI358" s="27" t="s">
        <v>106</v>
      </c>
      <c r="AJ358" s="27" t="s">
        <v>262</v>
      </c>
      <c r="AK358" s="27" t="s">
        <v>63</v>
      </c>
      <c r="AL358" s="27"/>
      <c r="AM358" s="34">
        <v>196800000</v>
      </c>
      <c r="AN358" s="34">
        <v>150982143</v>
      </c>
      <c r="AO358" s="34">
        <v>27700000</v>
      </c>
      <c r="AP358" s="34">
        <v>17046428</v>
      </c>
      <c r="AQ358" s="34">
        <v>0</v>
      </c>
      <c r="AR358" s="34">
        <v>0</v>
      </c>
      <c r="AS358" s="34">
        <v>8928571</v>
      </c>
      <c r="AT358" s="34">
        <v>186800000</v>
      </c>
      <c r="AU358" s="34">
        <v>1710000</v>
      </c>
      <c r="AV358" s="34">
        <v>-10000000</v>
      </c>
      <c r="AW358" s="27" t="s">
        <v>464</v>
      </c>
      <c r="AX358" s="27" t="s">
        <v>464</v>
      </c>
      <c r="AY358" s="27" t="s">
        <v>83</v>
      </c>
      <c r="AZ358" s="27">
        <v>1</v>
      </c>
      <c r="BA358" s="27"/>
      <c r="BB358" s="27" t="s">
        <v>436</v>
      </c>
      <c r="BC358" s="27" t="s">
        <v>4803</v>
      </c>
      <c r="BD358" s="27" t="s">
        <v>421</v>
      </c>
      <c r="BE358" s="27" t="s">
        <v>421</v>
      </c>
      <c r="BF358" s="27" t="s">
        <v>4804</v>
      </c>
      <c r="BG358" s="27" t="s">
        <v>4805</v>
      </c>
      <c r="BH358" s="27" t="s">
        <v>451</v>
      </c>
      <c r="BI358" s="27" t="s">
        <v>470</v>
      </c>
      <c r="BJ358" s="27" t="s">
        <v>4806</v>
      </c>
      <c r="BK358" s="27" t="s">
        <v>427</v>
      </c>
      <c r="BL358" s="27" t="s">
        <v>4807</v>
      </c>
      <c r="BM358" s="38">
        <v>0</v>
      </c>
    </row>
    <row r="359" spans="1:65" s="1" customFormat="1" x14ac:dyDescent="0.2">
      <c r="A359" s="37">
        <v>233</v>
      </c>
      <c r="B359" s="27">
        <v>146</v>
      </c>
      <c r="C359" s="27" t="s">
        <v>503</v>
      </c>
      <c r="D359" s="27" t="s">
        <v>4808</v>
      </c>
      <c r="E359" s="27" t="s">
        <v>473</v>
      </c>
      <c r="F359" s="27" t="s">
        <v>462</v>
      </c>
      <c r="G359" s="28">
        <v>2026</v>
      </c>
      <c r="H359" s="20" t="str">
        <f>VLOOKUP(U359,'[1]KODE TYPE standar'!$D:$U,17,0)</f>
        <v>INV ZENIX HYBRID</v>
      </c>
      <c r="I359" s="20" t="str">
        <f>VLOOKUP(U359,'[1]KODE TYPE standar'!$D:$U,16,0)</f>
        <v>INNOVA</v>
      </c>
      <c r="J359" s="20" t="str">
        <f>VLOOKUP(U359,'[1]KODE TYPE standar'!$D:$U,18,0)</f>
        <v>INNOVA ZENIX Q A/T HYBRID</v>
      </c>
      <c r="K359" s="27" t="s">
        <v>119</v>
      </c>
      <c r="L359" s="27" t="s">
        <v>110</v>
      </c>
      <c r="M359" s="27" t="s">
        <v>262</v>
      </c>
      <c r="N359" s="27" t="s">
        <v>140</v>
      </c>
      <c r="O359" s="28" t="s">
        <v>156</v>
      </c>
      <c r="P359" s="29" t="s">
        <v>149</v>
      </c>
      <c r="Q359" s="29" t="s">
        <v>162</v>
      </c>
      <c r="R359" s="29" t="s">
        <v>145</v>
      </c>
      <c r="S359" s="27" t="s">
        <v>781</v>
      </c>
      <c r="T359" s="27" t="s">
        <v>585</v>
      </c>
      <c r="U359" s="27" t="s">
        <v>174</v>
      </c>
      <c r="V359" s="27" t="s">
        <v>93</v>
      </c>
      <c r="W359" s="27" t="s">
        <v>81</v>
      </c>
      <c r="X359" s="27" t="s">
        <v>4809</v>
      </c>
      <c r="Y359" s="27" t="s">
        <v>4810</v>
      </c>
      <c r="Z359" s="27" t="s">
        <v>780</v>
      </c>
      <c r="AA359" s="27" t="s">
        <v>781</v>
      </c>
      <c r="AB359" s="27" t="s">
        <v>585</v>
      </c>
      <c r="AC359" s="27" t="s">
        <v>4811</v>
      </c>
      <c r="AD359" s="27" t="s">
        <v>4812</v>
      </c>
      <c r="AE359" s="27" t="s">
        <v>110</v>
      </c>
      <c r="AF359" s="27" t="s">
        <v>4813</v>
      </c>
      <c r="AG359" s="27" t="s">
        <v>4814</v>
      </c>
      <c r="AH359" s="27" t="s">
        <v>3984</v>
      </c>
      <c r="AI359" s="27" t="s">
        <v>140</v>
      </c>
      <c r="AJ359" s="27" t="s">
        <v>262</v>
      </c>
      <c r="AK359" s="27" t="s">
        <v>89</v>
      </c>
      <c r="AL359" s="27"/>
      <c r="AM359" s="34">
        <v>628200000</v>
      </c>
      <c r="AN359" s="34">
        <v>488013393</v>
      </c>
      <c r="AO359" s="34">
        <v>81625000</v>
      </c>
      <c r="AP359" s="34">
        <v>56418750</v>
      </c>
      <c r="AQ359" s="34">
        <v>0</v>
      </c>
      <c r="AR359" s="34">
        <v>0</v>
      </c>
      <c r="AS359" s="34">
        <v>17857143</v>
      </c>
      <c r="AT359" s="34">
        <v>608200000</v>
      </c>
      <c r="AU359" s="34">
        <v>11000000</v>
      </c>
      <c r="AV359" s="34">
        <v>-20000000</v>
      </c>
      <c r="AW359" s="27"/>
      <c r="AX359" s="27"/>
      <c r="AY359" s="27" t="s">
        <v>83</v>
      </c>
      <c r="AZ359" s="27">
        <v>1</v>
      </c>
      <c r="BA359" s="27" t="s">
        <v>163</v>
      </c>
      <c r="BB359" s="27" t="s">
        <v>473</v>
      </c>
      <c r="BC359" s="27" t="s">
        <v>4815</v>
      </c>
      <c r="BD359" s="27" t="s">
        <v>473</v>
      </c>
      <c r="BE359" s="27" t="s">
        <v>473</v>
      </c>
      <c r="BF359" s="27" t="s">
        <v>4816</v>
      </c>
      <c r="BG359" s="27" t="s">
        <v>4817</v>
      </c>
      <c r="BH359" s="27"/>
      <c r="BI359" s="27" t="s">
        <v>460</v>
      </c>
      <c r="BJ359" s="27" t="s">
        <v>4818</v>
      </c>
      <c r="BK359" s="27" t="s">
        <v>430</v>
      </c>
      <c r="BL359" s="27" t="s">
        <v>4819</v>
      </c>
      <c r="BM359" s="38">
        <v>0</v>
      </c>
    </row>
    <row r="360" spans="1:65" s="1" customFormat="1" x14ac:dyDescent="0.2">
      <c r="A360" s="37">
        <v>293</v>
      </c>
      <c r="B360" s="27">
        <v>146</v>
      </c>
      <c r="C360" s="27" t="s">
        <v>503</v>
      </c>
      <c r="D360" s="27" t="s">
        <v>4820</v>
      </c>
      <c r="E360" s="27" t="s">
        <v>443</v>
      </c>
      <c r="F360" s="27" t="s">
        <v>462</v>
      </c>
      <c r="G360" s="28">
        <v>2026</v>
      </c>
      <c r="H360" s="20" t="str">
        <f>VLOOKUP(U360,'[1]KODE TYPE standar'!$D:$U,17,0)</f>
        <v>AVANZA</v>
      </c>
      <c r="I360" s="20" t="str">
        <f>VLOOKUP(U360,'[1]KODE TYPE standar'!$D:$U,16,0)</f>
        <v>AVANZA</v>
      </c>
      <c r="J360" s="20" t="str">
        <f>VLOOKUP(U360,'[1]KODE TYPE standar'!$D:$U,18,0)</f>
        <v>AVANZA G M/T</v>
      </c>
      <c r="K360" s="27" t="s">
        <v>50</v>
      </c>
      <c r="L360" s="27" t="s">
        <v>109</v>
      </c>
      <c r="M360" s="27" t="s">
        <v>50</v>
      </c>
      <c r="N360" s="27" t="s">
        <v>140</v>
      </c>
      <c r="O360" s="28" t="s">
        <v>156</v>
      </c>
      <c r="P360" s="29" t="s">
        <v>149</v>
      </c>
      <c r="Q360" s="29" t="s">
        <v>162</v>
      </c>
      <c r="R360" s="29" t="s">
        <v>109</v>
      </c>
      <c r="S360" s="27" t="s">
        <v>978</v>
      </c>
      <c r="T360" s="27" t="s">
        <v>541</v>
      </c>
      <c r="U360" s="27" t="s">
        <v>373</v>
      </c>
      <c r="V360" s="27" t="s">
        <v>64</v>
      </c>
      <c r="W360" s="27" t="s">
        <v>65</v>
      </c>
      <c r="X360" s="27" t="s">
        <v>4821</v>
      </c>
      <c r="Y360" s="27" t="s">
        <v>4822</v>
      </c>
      <c r="Z360" s="27" t="s">
        <v>977</v>
      </c>
      <c r="AA360" s="27" t="s">
        <v>978</v>
      </c>
      <c r="AB360" s="27" t="s">
        <v>541</v>
      </c>
      <c r="AC360" s="27" t="s">
        <v>4823</v>
      </c>
      <c r="AD360" s="27" t="s">
        <v>4824</v>
      </c>
      <c r="AE360" s="27" t="s">
        <v>109</v>
      </c>
      <c r="AF360" s="27" t="s">
        <v>4825</v>
      </c>
      <c r="AG360" s="27" t="s">
        <v>4826</v>
      </c>
      <c r="AH360" s="27" t="s">
        <v>514</v>
      </c>
      <c r="AI360" s="27" t="s">
        <v>140</v>
      </c>
      <c r="AJ360" s="27" t="s">
        <v>50</v>
      </c>
      <c r="AK360" s="27" t="s">
        <v>50</v>
      </c>
      <c r="AL360" s="27"/>
      <c r="AM360" s="34">
        <v>270200000</v>
      </c>
      <c r="AN360" s="34">
        <v>208325893</v>
      </c>
      <c r="AO360" s="34">
        <v>36875000</v>
      </c>
      <c r="AP360" s="34">
        <v>23177678</v>
      </c>
      <c r="AQ360" s="34">
        <v>0</v>
      </c>
      <c r="AR360" s="34">
        <v>0</v>
      </c>
      <c r="AS360" s="34">
        <v>15178571</v>
      </c>
      <c r="AT360" s="34">
        <v>253200000</v>
      </c>
      <c r="AU360" s="34">
        <v>0</v>
      </c>
      <c r="AV360" s="34">
        <v>-17000000</v>
      </c>
      <c r="AW360" s="27" t="s">
        <v>440</v>
      </c>
      <c r="AX360" s="27" t="s">
        <v>440</v>
      </c>
      <c r="AY360" s="27" t="s">
        <v>83</v>
      </c>
      <c r="AZ360" s="27">
        <v>1</v>
      </c>
      <c r="BA360" s="27"/>
      <c r="BB360" s="27" t="s">
        <v>412</v>
      </c>
      <c r="BC360" s="27" t="s">
        <v>4827</v>
      </c>
      <c r="BD360" s="27" t="s">
        <v>436</v>
      </c>
      <c r="BE360" s="27" t="s">
        <v>436</v>
      </c>
      <c r="BF360" s="27" t="s">
        <v>4828</v>
      </c>
      <c r="BG360" s="27" t="s">
        <v>4829</v>
      </c>
      <c r="BH360" s="27" t="s">
        <v>443</v>
      </c>
      <c r="BI360" s="27" t="s">
        <v>451</v>
      </c>
      <c r="BJ360" s="27" t="s">
        <v>4830</v>
      </c>
      <c r="BK360" s="27" t="s">
        <v>436</v>
      </c>
      <c r="BL360" s="27" t="s">
        <v>4831</v>
      </c>
      <c r="BM360" s="38">
        <v>0</v>
      </c>
    </row>
    <row r="361" spans="1:65" s="1" customFormat="1" x14ac:dyDescent="0.2">
      <c r="A361" s="37">
        <v>316</v>
      </c>
      <c r="B361" s="27">
        <v>146</v>
      </c>
      <c r="C361" s="27" t="s">
        <v>503</v>
      </c>
      <c r="D361" s="27" t="s">
        <v>4832</v>
      </c>
      <c r="E361" s="27" t="s">
        <v>436</v>
      </c>
      <c r="F361" s="27" t="s">
        <v>462</v>
      </c>
      <c r="G361" s="28">
        <v>2026</v>
      </c>
      <c r="H361" s="20" t="str">
        <f>VLOOKUP(U361,'[1]KODE TYPE standar'!$D:$U,17,0)</f>
        <v>AVANZA</v>
      </c>
      <c r="I361" s="20" t="str">
        <f>VLOOKUP(U361,'[1]KODE TYPE standar'!$D:$U,16,0)</f>
        <v>AVANZA</v>
      </c>
      <c r="J361" s="20" t="str">
        <f>VLOOKUP(U361,'[1]KODE TYPE standar'!$D:$U,18,0)</f>
        <v>AVANZA G M/T</v>
      </c>
      <c r="K361" s="27" t="s">
        <v>118</v>
      </c>
      <c r="L361" s="27" t="s">
        <v>110</v>
      </c>
      <c r="M361" s="27" t="s">
        <v>262</v>
      </c>
      <c r="N361" s="27" t="s">
        <v>144</v>
      </c>
      <c r="O361" s="28" t="s">
        <v>6581</v>
      </c>
      <c r="P361" s="29" t="s">
        <v>151</v>
      </c>
      <c r="Q361" s="29" t="s">
        <v>161</v>
      </c>
      <c r="R361" s="29" t="s">
        <v>145</v>
      </c>
      <c r="S361" s="27" t="s">
        <v>795</v>
      </c>
      <c r="T361" s="27" t="s">
        <v>509</v>
      </c>
      <c r="U361" s="27" t="s">
        <v>59</v>
      </c>
      <c r="V361" s="27" t="s">
        <v>64</v>
      </c>
      <c r="W361" s="27" t="s">
        <v>65</v>
      </c>
      <c r="X361" s="27" t="s">
        <v>1132</v>
      </c>
      <c r="Y361" s="27" t="s">
        <v>1133</v>
      </c>
      <c r="Z361" s="27" t="s">
        <v>794</v>
      </c>
      <c r="AA361" s="27" t="s">
        <v>795</v>
      </c>
      <c r="AB361" s="27" t="s">
        <v>509</v>
      </c>
      <c r="AC361" s="27" t="s">
        <v>1134</v>
      </c>
      <c r="AD361" s="27" t="s">
        <v>1135</v>
      </c>
      <c r="AE361" s="27" t="s">
        <v>110</v>
      </c>
      <c r="AF361" s="27" t="s">
        <v>1135</v>
      </c>
      <c r="AG361" s="27" t="s">
        <v>1136</v>
      </c>
      <c r="AH361" s="27" t="s">
        <v>1137</v>
      </c>
      <c r="AI361" s="27" t="s">
        <v>144</v>
      </c>
      <c r="AJ361" s="27" t="s">
        <v>262</v>
      </c>
      <c r="AK361" s="27" t="s">
        <v>63</v>
      </c>
      <c r="AL361" s="27"/>
      <c r="AM361" s="34">
        <v>269700000</v>
      </c>
      <c r="AN361" s="34">
        <v>-203013393</v>
      </c>
      <c r="AO361" s="34">
        <v>-42325000</v>
      </c>
      <c r="AP361" s="34">
        <v>-22647321</v>
      </c>
      <c r="AQ361" s="34">
        <v>0</v>
      </c>
      <c r="AR361" s="34">
        <v>0</v>
      </c>
      <c r="AS361" s="34">
        <v>-14285714</v>
      </c>
      <c r="AT361" s="34">
        <v>-253700000</v>
      </c>
      <c r="AU361" s="34">
        <v>0</v>
      </c>
      <c r="AV361" s="34">
        <v>-16000000</v>
      </c>
      <c r="AW361" s="27"/>
      <c r="AX361" s="27"/>
      <c r="AY361" s="27" t="s">
        <v>292</v>
      </c>
      <c r="AZ361" s="27">
        <v>-1</v>
      </c>
      <c r="BA361" s="27" t="s">
        <v>4833</v>
      </c>
      <c r="BB361" s="27" t="s">
        <v>238</v>
      </c>
      <c r="BC361" s="27" t="s">
        <v>1138</v>
      </c>
      <c r="BD361" s="27" t="s">
        <v>238</v>
      </c>
      <c r="BE361" s="27" t="s">
        <v>238</v>
      </c>
      <c r="BF361" s="27" t="s">
        <v>1139</v>
      </c>
      <c r="BG361" s="27"/>
      <c r="BH361" s="27"/>
      <c r="BI361" s="27" t="s">
        <v>469</v>
      </c>
      <c r="BJ361" s="27"/>
      <c r="BK361" s="27"/>
      <c r="BL361" s="27" t="s">
        <v>1142</v>
      </c>
      <c r="BM361" s="38">
        <v>0</v>
      </c>
    </row>
    <row r="362" spans="1:65" s="1" customFormat="1" x14ac:dyDescent="0.2">
      <c r="A362" s="37">
        <v>319</v>
      </c>
      <c r="B362" s="27">
        <v>146</v>
      </c>
      <c r="C362" s="27" t="s">
        <v>503</v>
      </c>
      <c r="D362" s="27" t="s">
        <v>4834</v>
      </c>
      <c r="E362" s="27" t="s">
        <v>473</v>
      </c>
      <c r="F362" s="27" t="s">
        <v>462</v>
      </c>
      <c r="G362" s="28">
        <v>2026</v>
      </c>
      <c r="H362" s="20" t="str">
        <f>VLOOKUP(U362,'[1]KODE TYPE standar'!$D:$U,17,0)</f>
        <v>CALYA</v>
      </c>
      <c r="I362" s="20" t="str">
        <f>VLOOKUP(U362,'[1]KODE TYPE standar'!$D:$U,16,0)</f>
        <v>CALYA</v>
      </c>
      <c r="J362" s="20" t="str">
        <f>VLOOKUP(U362,'[1]KODE TYPE standar'!$D:$U,18,0)</f>
        <v>CALYA G M/T</v>
      </c>
      <c r="K362" s="27" t="s">
        <v>371</v>
      </c>
      <c r="L362" s="27" t="s">
        <v>110</v>
      </c>
      <c r="M362" s="27" t="s">
        <v>262</v>
      </c>
      <c r="N362" s="27" t="s">
        <v>157</v>
      </c>
      <c r="O362" s="28" t="s">
        <v>6581</v>
      </c>
      <c r="P362" s="29" t="s">
        <v>151</v>
      </c>
      <c r="Q362" s="29" t="s">
        <v>161</v>
      </c>
      <c r="R362" s="29" t="s">
        <v>145</v>
      </c>
      <c r="S362" s="27" t="s">
        <v>3907</v>
      </c>
      <c r="T362" s="27" t="s">
        <v>541</v>
      </c>
      <c r="U362" s="27" t="s">
        <v>268</v>
      </c>
      <c r="V362" s="27" t="s">
        <v>77</v>
      </c>
      <c r="W362" s="27" t="s">
        <v>78</v>
      </c>
      <c r="X362" s="27" t="s">
        <v>4835</v>
      </c>
      <c r="Y362" s="27" t="s">
        <v>4836</v>
      </c>
      <c r="Z362" s="27" t="s">
        <v>3906</v>
      </c>
      <c r="AA362" s="27" t="s">
        <v>3907</v>
      </c>
      <c r="AB362" s="27" t="s">
        <v>541</v>
      </c>
      <c r="AC362" s="27" t="s">
        <v>4837</v>
      </c>
      <c r="AD362" s="27" t="s">
        <v>4838</v>
      </c>
      <c r="AE362" s="27" t="s">
        <v>110</v>
      </c>
      <c r="AF362" s="27" t="s">
        <v>4838</v>
      </c>
      <c r="AG362" s="27"/>
      <c r="AH362" s="27" t="s">
        <v>4839</v>
      </c>
      <c r="AI362" s="27" t="s">
        <v>157</v>
      </c>
      <c r="AJ362" s="27" t="s">
        <v>262</v>
      </c>
      <c r="AK362" s="27" t="s">
        <v>362</v>
      </c>
      <c r="AL362" s="27"/>
      <c r="AM362" s="34">
        <v>182200000</v>
      </c>
      <c r="AN362" s="34">
        <v>139575893</v>
      </c>
      <c r="AO362" s="34">
        <v>25875000</v>
      </c>
      <c r="AP362" s="34">
        <v>15677678</v>
      </c>
      <c r="AQ362" s="34">
        <v>0</v>
      </c>
      <c r="AR362" s="34">
        <v>0</v>
      </c>
      <c r="AS362" s="34">
        <v>8928571</v>
      </c>
      <c r="AT362" s="34">
        <v>172200000</v>
      </c>
      <c r="AU362" s="34">
        <v>2800000</v>
      </c>
      <c r="AV362" s="34">
        <v>-10000000</v>
      </c>
      <c r="AW362" s="27"/>
      <c r="AX362" s="27"/>
      <c r="AY362" s="27" t="s">
        <v>83</v>
      </c>
      <c r="AZ362" s="27">
        <v>1</v>
      </c>
      <c r="BA362" s="27"/>
      <c r="BB362" s="27" t="s">
        <v>463</v>
      </c>
      <c r="BC362" s="27" t="s">
        <v>4840</v>
      </c>
      <c r="BD362" s="27" t="s">
        <v>464</v>
      </c>
      <c r="BE362" s="27" t="s">
        <v>464</v>
      </c>
      <c r="BF362" s="27" t="s">
        <v>4841</v>
      </c>
      <c r="BG362" s="27" t="s">
        <v>4842</v>
      </c>
      <c r="BH362" s="27"/>
      <c r="BI362" s="27" t="s">
        <v>460</v>
      </c>
      <c r="BJ362" s="27" t="s">
        <v>4707</v>
      </c>
      <c r="BK362" s="27" t="s">
        <v>474</v>
      </c>
      <c r="BL362" s="27" t="s">
        <v>4843</v>
      </c>
      <c r="BM362" s="38">
        <v>0</v>
      </c>
    </row>
    <row r="363" spans="1:65" s="1" customFormat="1" x14ac:dyDescent="0.2">
      <c r="A363" s="37">
        <v>350</v>
      </c>
      <c r="B363" s="27">
        <v>146</v>
      </c>
      <c r="C363" s="27" t="s">
        <v>503</v>
      </c>
      <c r="D363" s="27" t="s">
        <v>4844</v>
      </c>
      <c r="E363" s="27" t="s">
        <v>472</v>
      </c>
      <c r="F363" s="27" t="s">
        <v>462</v>
      </c>
      <c r="G363" s="28">
        <v>2026</v>
      </c>
      <c r="H363" s="20" t="str">
        <f>VLOOKUP(U363,'[1]KODE TYPE standar'!$D:$U,17,0)</f>
        <v>CALYA</v>
      </c>
      <c r="I363" s="20" t="str">
        <f>VLOOKUP(U363,'[1]KODE TYPE standar'!$D:$U,16,0)</f>
        <v>CALYA</v>
      </c>
      <c r="J363" s="20" t="str">
        <f>VLOOKUP(U363,'[1]KODE TYPE standar'!$D:$U,18,0)</f>
        <v>CALYA G A/T</v>
      </c>
      <c r="K363" s="27" t="s">
        <v>118</v>
      </c>
      <c r="L363" s="27" t="s">
        <v>110</v>
      </c>
      <c r="M363" s="27" t="s">
        <v>262</v>
      </c>
      <c r="N363" s="27" t="s">
        <v>141</v>
      </c>
      <c r="O363" s="28" t="s">
        <v>156</v>
      </c>
      <c r="P363" s="29" t="s">
        <v>149</v>
      </c>
      <c r="Q363" s="29" t="s">
        <v>161</v>
      </c>
      <c r="R363" s="29" t="s">
        <v>145</v>
      </c>
      <c r="S363" s="27" t="s">
        <v>4848</v>
      </c>
      <c r="T363" s="27" t="s">
        <v>541</v>
      </c>
      <c r="U363" s="27" t="s">
        <v>88</v>
      </c>
      <c r="V363" s="27" t="s">
        <v>77</v>
      </c>
      <c r="W363" s="27" t="s">
        <v>78</v>
      </c>
      <c r="X363" s="27" t="s">
        <v>4845</v>
      </c>
      <c r="Y363" s="27" t="s">
        <v>4846</v>
      </c>
      <c r="Z363" s="27" t="s">
        <v>4847</v>
      </c>
      <c r="AA363" s="27" t="s">
        <v>4848</v>
      </c>
      <c r="AB363" s="27" t="s">
        <v>541</v>
      </c>
      <c r="AC363" s="27" t="s">
        <v>4849</v>
      </c>
      <c r="AD363" s="27" t="s">
        <v>4850</v>
      </c>
      <c r="AE363" s="27" t="s">
        <v>110</v>
      </c>
      <c r="AF363" s="27" t="s">
        <v>4851</v>
      </c>
      <c r="AG363" s="27" t="s">
        <v>4852</v>
      </c>
      <c r="AH363" s="27" t="s">
        <v>1808</v>
      </c>
      <c r="AI363" s="27" t="s">
        <v>141</v>
      </c>
      <c r="AJ363" s="27" t="s">
        <v>262</v>
      </c>
      <c r="AK363" s="27" t="s">
        <v>63</v>
      </c>
      <c r="AL363" s="27"/>
      <c r="AM363" s="34">
        <v>196800000</v>
      </c>
      <c r="AN363" s="34">
        <v>150982143</v>
      </c>
      <c r="AO363" s="34">
        <v>27700000</v>
      </c>
      <c r="AP363" s="34">
        <v>17046428</v>
      </c>
      <c r="AQ363" s="34">
        <v>0</v>
      </c>
      <c r="AR363" s="34">
        <v>0</v>
      </c>
      <c r="AS363" s="34">
        <v>8928571</v>
      </c>
      <c r="AT363" s="34">
        <v>186800000</v>
      </c>
      <c r="AU363" s="34">
        <v>2500000</v>
      </c>
      <c r="AV363" s="34">
        <v>-10000000</v>
      </c>
      <c r="AW363" s="27" t="s">
        <v>466</v>
      </c>
      <c r="AX363" s="27" t="s">
        <v>466</v>
      </c>
      <c r="AY363" s="27" t="s">
        <v>83</v>
      </c>
      <c r="AZ363" s="27">
        <v>1</v>
      </c>
      <c r="BA363" s="27"/>
      <c r="BB363" s="27" t="s">
        <v>451</v>
      </c>
      <c r="BC363" s="27" t="s">
        <v>4853</v>
      </c>
      <c r="BD363" s="27" t="s">
        <v>422</v>
      </c>
      <c r="BE363" s="27" t="s">
        <v>422</v>
      </c>
      <c r="BF363" s="27" t="s">
        <v>4854</v>
      </c>
      <c r="BG363" s="27" t="s">
        <v>4855</v>
      </c>
      <c r="BH363" s="27" t="s">
        <v>472</v>
      </c>
      <c r="BI363" s="27" t="s">
        <v>4746</v>
      </c>
      <c r="BJ363" s="27" t="s">
        <v>4856</v>
      </c>
      <c r="BK363" s="27" t="s">
        <v>471</v>
      </c>
      <c r="BL363" s="27" t="s">
        <v>4857</v>
      </c>
      <c r="BM363" s="38">
        <v>0</v>
      </c>
    </row>
    <row r="364" spans="1:65" s="1" customFormat="1" x14ac:dyDescent="0.2">
      <c r="A364" s="37">
        <v>375</v>
      </c>
      <c r="B364" s="27">
        <v>146</v>
      </c>
      <c r="C364" s="27" t="s">
        <v>503</v>
      </c>
      <c r="D364" s="27" t="s">
        <v>4858</v>
      </c>
      <c r="E364" s="27" t="s">
        <v>472</v>
      </c>
      <c r="F364" s="27" t="s">
        <v>462</v>
      </c>
      <c r="G364" s="28">
        <v>2026</v>
      </c>
      <c r="H364" s="20" t="str">
        <f>VLOOKUP(U364,'[1]KODE TYPE standar'!$D:$U,17,0)</f>
        <v>INV REBORN</v>
      </c>
      <c r="I364" s="20" t="str">
        <f>VLOOKUP(U364,'[1]KODE TYPE standar'!$D:$U,16,0)</f>
        <v>INNOVA</v>
      </c>
      <c r="J364" s="20" t="str">
        <f>VLOOKUP(U364,'[1]KODE TYPE standar'!$D:$U,18,0)</f>
        <v>INNOVA G A/T DIESEL</v>
      </c>
      <c r="K364" s="27" t="s">
        <v>118</v>
      </c>
      <c r="L364" s="27" t="s">
        <v>110</v>
      </c>
      <c r="M364" s="27" t="s">
        <v>262</v>
      </c>
      <c r="N364" s="27" t="s">
        <v>140</v>
      </c>
      <c r="O364" s="28" t="s">
        <v>156</v>
      </c>
      <c r="P364" s="29" t="s">
        <v>151</v>
      </c>
      <c r="Q364" s="29" t="s">
        <v>161</v>
      </c>
      <c r="R364" s="29" t="s">
        <v>318</v>
      </c>
      <c r="S364" s="27" t="s">
        <v>1171</v>
      </c>
      <c r="T364" s="27" t="s">
        <v>509</v>
      </c>
      <c r="U364" s="27" t="s">
        <v>192</v>
      </c>
      <c r="V364" s="27" t="s">
        <v>93</v>
      </c>
      <c r="W364" s="27" t="s">
        <v>81</v>
      </c>
      <c r="X364" s="27" t="s">
        <v>4859</v>
      </c>
      <c r="Y364" s="27" t="s">
        <v>4860</v>
      </c>
      <c r="Z364" s="27" t="s">
        <v>1170</v>
      </c>
      <c r="AA364" s="27" t="s">
        <v>1171</v>
      </c>
      <c r="AB364" s="27" t="s">
        <v>509</v>
      </c>
      <c r="AC364" s="27" t="s">
        <v>4861</v>
      </c>
      <c r="AD364" s="27" t="s">
        <v>4862</v>
      </c>
      <c r="AE364" s="27" t="s">
        <v>110</v>
      </c>
      <c r="AF364" s="27" t="s">
        <v>4862</v>
      </c>
      <c r="AG364" s="27" t="s">
        <v>4863</v>
      </c>
      <c r="AH364" s="27" t="s">
        <v>881</v>
      </c>
      <c r="AI364" s="27" t="s">
        <v>140</v>
      </c>
      <c r="AJ364" s="27" t="s">
        <v>262</v>
      </c>
      <c r="AK364" s="27" t="s">
        <v>63</v>
      </c>
      <c r="AL364" s="27"/>
      <c r="AM364" s="34">
        <v>442700000</v>
      </c>
      <c r="AN364" s="34">
        <v>343091518</v>
      </c>
      <c r="AO364" s="34">
        <v>58437500</v>
      </c>
      <c r="AP364" s="34">
        <v>38920982</v>
      </c>
      <c r="AQ364" s="34">
        <v>0</v>
      </c>
      <c r="AR364" s="34">
        <v>0</v>
      </c>
      <c r="AS364" s="34">
        <v>18750000</v>
      </c>
      <c r="AT364" s="34">
        <v>421700000</v>
      </c>
      <c r="AU364" s="34">
        <v>8000000</v>
      </c>
      <c r="AV364" s="34">
        <v>-21000000</v>
      </c>
      <c r="AW364" s="27" t="s">
        <v>464</v>
      </c>
      <c r="AX364" s="27" t="s">
        <v>464</v>
      </c>
      <c r="AY364" s="27" t="s">
        <v>83</v>
      </c>
      <c r="AZ364" s="27">
        <v>1</v>
      </c>
      <c r="BA364" s="27"/>
      <c r="BB364" s="27" t="s">
        <v>451</v>
      </c>
      <c r="BC364" s="27" t="s">
        <v>4864</v>
      </c>
      <c r="BD364" s="27" t="s">
        <v>4795</v>
      </c>
      <c r="BE364" s="27" t="s">
        <v>4795</v>
      </c>
      <c r="BF364" s="27" t="s">
        <v>4865</v>
      </c>
      <c r="BG364" s="27" t="s">
        <v>4866</v>
      </c>
      <c r="BH364" s="27" t="s">
        <v>472</v>
      </c>
      <c r="BI364" s="27" t="s">
        <v>4746</v>
      </c>
      <c r="BJ364" s="27" t="s">
        <v>1340</v>
      </c>
      <c r="BK364" s="27" t="s">
        <v>391</v>
      </c>
      <c r="BL364" s="27" t="s">
        <v>4867</v>
      </c>
      <c r="BM364" s="38">
        <v>0</v>
      </c>
    </row>
    <row r="365" spans="1:65" s="1" customFormat="1" x14ac:dyDescent="0.2">
      <c r="A365" s="37">
        <v>383</v>
      </c>
      <c r="B365" s="27">
        <v>146</v>
      </c>
      <c r="C365" s="27" t="s">
        <v>503</v>
      </c>
      <c r="D365" s="27" t="s">
        <v>4868</v>
      </c>
      <c r="E365" s="27" t="s">
        <v>473</v>
      </c>
      <c r="F365" s="27" t="s">
        <v>462</v>
      </c>
      <c r="G365" s="28">
        <v>2026</v>
      </c>
      <c r="H365" s="20" t="str">
        <f>VLOOKUP(U365,'[1]KODE TYPE standar'!$D:$U,17,0)</f>
        <v>CALYA</v>
      </c>
      <c r="I365" s="20" t="str">
        <f>VLOOKUP(U365,'[1]KODE TYPE standar'!$D:$U,16,0)</f>
        <v>CALYA</v>
      </c>
      <c r="J365" s="20" t="str">
        <f>VLOOKUP(U365,'[1]KODE TYPE standar'!$D:$U,18,0)</f>
        <v>CALYA G M/T</v>
      </c>
      <c r="K365" s="27" t="s">
        <v>118</v>
      </c>
      <c r="L365" s="27" t="s">
        <v>110</v>
      </c>
      <c r="M365" s="27" t="s">
        <v>262</v>
      </c>
      <c r="N365" s="27" t="s">
        <v>140</v>
      </c>
      <c r="O365" s="28" t="s">
        <v>156</v>
      </c>
      <c r="P365" s="29" t="s">
        <v>151</v>
      </c>
      <c r="Q365" s="29" t="s">
        <v>161</v>
      </c>
      <c r="R365" s="29" t="s">
        <v>597</v>
      </c>
      <c r="S365" s="27" t="s">
        <v>2486</v>
      </c>
      <c r="T365" s="27" t="s">
        <v>541</v>
      </c>
      <c r="U365" s="27" t="s">
        <v>268</v>
      </c>
      <c r="V365" s="27" t="s">
        <v>77</v>
      </c>
      <c r="W365" s="27" t="s">
        <v>78</v>
      </c>
      <c r="X365" s="27" t="s">
        <v>4869</v>
      </c>
      <c r="Y365" s="27" t="s">
        <v>4870</v>
      </c>
      <c r="Z365" s="27" t="s">
        <v>2485</v>
      </c>
      <c r="AA365" s="27" t="s">
        <v>2486</v>
      </c>
      <c r="AB365" s="27" t="s">
        <v>541</v>
      </c>
      <c r="AC365" s="27" t="s">
        <v>4871</v>
      </c>
      <c r="AD365" s="27" t="s">
        <v>4872</v>
      </c>
      <c r="AE365" s="27" t="s">
        <v>110</v>
      </c>
      <c r="AF365" s="27" t="s">
        <v>4873</v>
      </c>
      <c r="AG365" s="27" t="s">
        <v>4874</v>
      </c>
      <c r="AH365" s="27" t="s">
        <v>1614</v>
      </c>
      <c r="AI365" s="27" t="s">
        <v>140</v>
      </c>
      <c r="AJ365" s="27" t="s">
        <v>262</v>
      </c>
      <c r="AK365" s="27" t="s">
        <v>63</v>
      </c>
      <c r="AL365" s="27"/>
      <c r="AM365" s="34">
        <v>182200000</v>
      </c>
      <c r="AN365" s="34">
        <v>139575893</v>
      </c>
      <c r="AO365" s="34">
        <v>25875000</v>
      </c>
      <c r="AP365" s="34">
        <v>15677678</v>
      </c>
      <c r="AQ365" s="34">
        <v>0</v>
      </c>
      <c r="AR365" s="34">
        <v>0</v>
      </c>
      <c r="AS365" s="34">
        <v>8928571</v>
      </c>
      <c r="AT365" s="34">
        <v>172200000</v>
      </c>
      <c r="AU365" s="34">
        <v>3000000</v>
      </c>
      <c r="AV365" s="34">
        <v>-10000000</v>
      </c>
      <c r="AW365" s="27"/>
      <c r="AX365" s="27"/>
      <c r="AY365" s="27" t="s">
        <v>83</v>
      </c>
      <c r="AZ365" s="27">
        <v>1</v>
      </c>
      <c r="BA365" s="27"/>
      <c r="BB365" s="27" t="s">
        <v>474</v>
      </c>
      <c r="BC365" s="27" t="s">
        <v>4875</v>
      </c>
      <c r="BD365" s="27" t="s">
        <v>455</v>
      </c>
      <c r="BE365" s="27" t="s">
        <v>455</v>
      </c>
      <c r="BF365" s="27" t="s">
        <v>4876</v>
      </c>
      <c r="BG365" s="27" t="s">
        <v>4877</v>
      </c>
      <c r="BH365" s="27"/>
      <c r="BI365" s="27" t="s">
        <v>460</v>
      </c>
      <c r="BJ365" s="27" t="s">
        <v>4707</v>
      </c>
      <c r="BK365" s="27" t="s">
        <v>474</v>
      </c>
      <c r="BL365" s="27" t="s">
        <v>4878</v>
      </c>
      <c r="BM365" s="38">
        <v>0</v>
      </c>
    </row>
    <row r="366" spans="1:65" s="1" customFormat="1" x14ac:dyDescent="0.2">
      <c r="A366" s="37">
        <v>424</v>
      </c>
      <c r="B366" s="27">
        <v>146</v>
      </c>
      <c r="C366" s="27" t="s">
        <v>503</v>
      </c>
      <c r="D366" s="27" t="s">
        <v>4879</v>
      </c>
      <c r="E366" s="27" t="s">
        <v>440</v>
      </c>
      <c r="F366" s="27" t="s">
        <v>462</v>
      </c>
      <c r="G366" s="28">
        <v>2026</v>
      </c>
      <c r="H366" s="20" t="str">
        <f>VLOOKUP(U366,'[1]KODE TYPE standar'!$D:$U,17,0)</f>
        <v>AVANZA</v>
      </c>
      <c r="I366" s="20" t="str">
        <f>VLOOKUP(U366,'[1]KODE TYPE standar'!$D:$U,16,0)</f>
        <v>AVANZA</v>
      </c>
      <c r="J366" s="20" t="str">
        <f>VLOOKUP(U366,'[1]KODE TYPE standar'!$D:$U,18,0)</f>
        <v>AVANZA G A/T</v>
      </c>
      <c r="K366" s="27" t="s">
        <v>118</v>
      </c>
      <c r="L366" s="27" t="s">
        <v>110</v>
      </c>
      <c r="M366" s="27" t="s">
        <v>262</v>
      </c>
      <c r="N366" s="27" t="s">
        <v>140</v>
      </c>
      <c r="O366" s="28" t="s">
        <v>156</v>
      </c>
      <c r="P366" s="29" t="s">
        <v>149</v>
      </c>
      <c r="Q366" s="29" t="s">
        <v>161</v>
      </c>
      <c r="R366" s="29" t="s">
        <v>145</v>
      </c>
      <c r="S366" s="27" t="s">
        <v>631</v>
      </c>
      <c r="T366" s="27" t="s">
        <v>509</v>
      </c>
      <c r="U366" s="27" t="s">
        <v>329</v>
      </c>
      <c r="V366" s="27" t="s">
        <v>77</v>
      </c>
      <c r="W366" s="27" t="s">
        <v>78</v>
      </c>
      <c r="X366" s="27" t="s">
        <v>4880</v>
      </c>
      <c r="Y366" s="27" t="s">
        <v>4881</v>
      </c>
      <c r="Z366" s="27" t="s">
        <v>630</v>
      </c>
      <c r="AA366" s="27" t="s">
        <v>631</v>
      </c>
      <c r="AB366" s="27" t="s">
        <v>509</v>
      </c>
      <c r="AC366" s="27" t="s">
        <v>4882</v>
      </c>
      <c r="AD366" s="27" t="s">
        <v>4883</v>
      </c>
      <c r="AE366" s="27" t="s">
        <v>110</v>
      </c>
      <c r="AF366" s="27" t="s">
        <v>4884</v>
      </c>
      <c r="AG366" s="27" t="s">
        <v>4885</v>
      </c>
      <c r="AH366" s="27" t="s">
        <v>2575</v>
      </c>
      <c r="AI366" s="27" t="s">
        <v>140</v>
      </c>
      <c r="AJ366" s="27" t="s">
        <v>262</v>
      </c>
      <c r="AK366" s="27" t="s">
        <v>63</v>
      </c>
      <c r="AL366" s="27"/>
      <c r="AM366" s="34">
        <v>285000000</v>
      </c>
      <c r="AN366" s="34">
        <v>219888393</v>
      </c>
      <c r="AO366" s="34">
        <v>38725000</v>
      </c>
      <c r="AP366" s="34">
        <v>24779464</v>
      </c>
      <c r="AQ366" s="34">
        <v>0</v>
      </c>
      <c r="AR366" s="34">
        <v>0</v>
      </c>
      <c r="AS366" s="34">
        <v>13392857</v>
      </c>
      <c r="AT366" s="34">
        <v>270000000</v>
      </c>
      <c r="AU366" s="34">
        <v>5000000</v>
      </c>
      <c r="AV366" s="34">
        <v>-15000000</v>
      </c>
      <c r="AW366" s="27" t="s">
        <v>469</v>
      </c>
      <c r="AX366" s="27" t="s">
        <v>469</v>
      </c>
      <c r="AY366" s="27" t="s">
        <v>83</v>
      </c>
      <c r="AZ366" s="27">
        <v>1</v>
      </c>
      <c r="BA366" s="27" t="s">
        <v>163</v>
      </c>
      <c r="BB366" s="27" t="s">
        <v>440</v>
      </c>
      <c r="BC366" s="27" t="s">
        <v>4886</v>
      </c>
      <c r="BD366" s="27" t="s">
        <v>434</v>
      </c>
      <c r="BE366" s="27" t="s">
        <v>434</v>
      </c>
      <c r="BF366" s="27" t="s">
        <v>4887</v>
      </c>
      <c r="BG366" s="27" t="s">
        <v>4888</v>
      </c>
      <c r="BH366" s="27" t="s">
        <v>440</v>
      </c>
      <c r="BI366" s="27" t="s">
        <v>458</v>
      </c>
      <c r="BJ366" s="27" t="s">
        <v>4889</v>
      </c>
      <c r="BK366" s="27" t="s">
        <v>419</v>
      </c>
      <c r="BL366" s="27" t="s">
        <v>4890</v>
      </c>
      <c r="BM366" s="38">
        <v>0</v>
      </c>
    </row>
    <row r="367" spans="1:65" s="1" customFormat="1" x14ac:dyDescent="0.2">
      <c r="A367" s="37">
        <v>429</v>
      </c>
      <c r="B367" s="27">
        <v>146</v>
      </c>
      <c r="C367" s="27" t="s">
        <v>503</v>
      </c>
      <c r="D367" s="27" t="s">
        <v>4891</v>
      </c>
      <c r="E367" s="27" t="s">
        <v>475</v>
      </c>
      <c r="F367" s="27" t="s">
        <v>462</v>
      </c>
      <c r="G367" s="28">
        <v>2026</v>
      </c>
      <c r="H367" s="20" t="str">
        <f>VLOOKUP(U367,'[1]KODE TYPE standar'!$D:$U,17,0)</f>
        <v>INV REBORN</v>
      </c>
      <c r="I367" s="20" t="str">
        <f>VLOOKUP(U367,'[1]KODE TYPE standar'!$D:$U,16,0)</f>
        <v>INNOVA</v>
      </c>
      <c r="J367" s="20" t="str">
        <f>VLOOKUP(U367,'[1]KODE TYPE standar'!$D:$U,18,0)</f>
        <v>INNOVA G A/T DIESEL</v>
      </c>
      <c r="K367" s="27" t="s">
        <v>121</v>
      </c>
      <c r="L367" s="27" t="s">
        <v>110</v>
      </c>
      <c r="M367" s="27" t="s">
        <v>262</v>
      </c>
      <c r="N367" s="27" t="s">
        <v>92</v>
      </c>
      <c r="O367" s="28" t="s">
        <v>6581</v>
      </c>
      <c r="P367" s="29" t="s">
        <v>149</v>
      </c>
      <c r="Q367" s="29" t="s">
        <v>161</v>
      </c>
      <c r="R367" s="29" t="s">
        <v>597</v>
      </c>
      <c r="S367" s="27" t="s">
        <v>781</v>
      </c>
      <c r="T367" s="27" t="s">
        <v>585</v>
      </c>
      <c r="U367" s="27" t="s">
        <v>192</v>
      </c>
      <c r="V367" s="27" t="s">
        <v>48</v>
      </c>
      <c r="W367" s="27" t="s">
        <v>49</v>
      </c>
      <c r="X367" s="27" t="s">
        <v>4892</v>
      </c>
      <c r="Y367" s="27" t="s">
        <v>4893</v>
      </c>
      <c r="Z367" s="27" t="s">
        <v>780</v>
      </c>
      <c r="AA367" s="27" t="s">
        <v>781</v>
      </c>
      <c r="AB367" s="27" t="s">
        <v>585</v>
      </c>
      <c r="AC367" s="27" t="s">
        <v>4894</v>
      </c>
      <c r="AD367" s="27" t="s">
        <v>4895</v>
      </c>
      <c r="AE367" s="27" t="s">
        <v>110</v>
      </c>
      <c r="AF367" s="27" t="s">
        <v>4895</v>
      </c>
      <c r="AG367" s="27" t="s">
        <v>4896</v>
      </c>
      <c r="AH367" s="27" t="s">
        <v>4897</v>
      </c>
      <c r="AI367" s="27" t="s">
        <v>92</v>
      </c>
      <c r="AJ367" s="27" t="s">
        <v>262</v>
      </c>
      <c r="AK367" s="27" t="s">
        <v>104</v>
      </c>
      <c r="AL367" s="27"/>
      <c r="AM367" s="34">
        <v>438700000</v>
      </c>
      <c r="AN367" s="34">
        <v>340422768</v>
      </c>
      <c r="AO367" s="34">
        <v>57426500</v>
      </c>
      <c r="AP367" s="34">
        <v>38707875</v>
      </c>
      <c r="AQ367" s="34">
        <v>0</v>
      </c>
      <c r="AR367" s="34">
        <v>0</v>
      </c>
      <c r="AS367" s="34">
        <v>17857143</v>
      </c>
      <c r="AT367" s="34">
        <v>418700000</v>
      </c>
      <c r="AU367" s="34">
        <v>11000000</v>
      </c>
      <c r="AV367" s="34">
        <v>-20000000</v>
      </c>
      <c r="AW367" s="27"/>
      <c r="AX367" s="27"/>
      <c r="AY367" s="27" t="s">
        <v>83</v>
      </c>
      <c r="AZ367" s="27">
        <v>1</v>
      </c>
      <c r="BA367" s="27" t="s">
        <v>163</v>
      </c>
      <c r="BB367" s="27" t="s">
        <v>458</v>
      </c>
      <c r="BC367" s="27" t="s">
        <v>4898</v>
      </c>
      <c r="BD367" s="27" t="s">
        <v>458</v>
      </c>
      <c r="BE367" s="27" t="s">
        <v>458</v>
      </c>
      <c r="BF367" s="27" t="s">
        <v>4899</v>
      </c>
      <c r="BG367" s="27" t="s">
        <v>4900</v>
      </c>
      <c r="BH367" s="27"/>
      <c r="BI367" s="27" t="s">
        <v>456</v>
      </c>
      <c r="BJ367" s="27" t="s">
        <v>4901</v>
      </c>
      <c r="BK367" s="27" t="s">
        <v>396</v>
      </c>
      <c r="BL367" s="27" t="s">
        <v>4902</v>
      </c>
      <c r="BM367" s="38">
        <v>0</v>
      </c>
    </row>
    <row r="368" spans="1:65" s="1" customFormat="1" x14ac:dyDescent="0.2">
      <c r="A368" s="37">
        <v>437</v>
      </c>
      <c r="B368" s="27">
        <v>146</v>
      </c>
      <c r="C368" s="27" t="s">
        <v>503</v>
      </c>
      <c r="D368" s="27" t="s">
        <v>4903</v>
      </c>
      <c r="E368" s="27" t="s">
        <v>466</v>
      </c>
      <c r="F368" s="27" t="s">
        <v>462</v>
      </c>
      <c r="G368" s="28">
        <v>2026</v>
      </c>
      <c r="H368" s="20" t="str">
        <f>VLOOKUP(U368,'[1]KODE TYPE standar'!$D:$U,17,0)</f>
        <v>RUSH</v>
      </c>
      <c r="I368" s="20" t="str">
        <f>VLOOKUP(U368,'[1]KODE TYPE standar'!$D:$U,16,0)</f>
        <v>RUSH</v>
      </c>
      <c r="J368" s="20" t="str">
        <f>VLOOKUP(U368,'[1]KODE TYPE standar'!$D:$U,18,0)</f>
        <v>RUSH S A/T</v>
      </c>
      <c r="K368" s="27" t="s">
        <v>121</v>
      </c>
      <c r="L368" s="27" t="s">
        <v>110</v>
      </c>
      <c r="M368" s="27" t="s">
        <v>262</v>
      </c>
      <c r="N368" s="27" t="s">
        <v>140</v>
      </c>
      <c r="O368" s="28" t="s">
        <v>156</v>
      </c>
      <c r="P368" s="29" t="s">
        <v>151</v>
      </c>
      <c r="Q368" s="29" t="s">
        <v>161</v>
      </c>
      <c r="R368" s="29" t="s">
        <v>145</v>
      </c>
      <c r="S368" s="27" t="s">
        <v>724</v>
      </c>
      <c r="T368" s="27" t="s">
        <v>541</v>
      </c>
      <c r="U368" s="27" t="s">
        <v>116</v>
      </c>
      <c r="V368" s="27" t="s">
        <v>64</v>
      </c>
      <c r="W368" s="27" t="s">
        <v>65</v>
      </c>
      <c r="X368" s="27" t="s">
        <v>4904</v>
      </c>
      <c r="Y368" s="27" t="s">
        <v>4905</v>
      </c>
      <c r="Z368" s="27" t="s">
        <v>723</v>
      </c>
      <c r="AA368" s="27" t="s">
        <v>724</v>
      </c>
      <c r="AB368" s="27" t="s">
        <v>541</v>
      </c>
      <c r="AC368" s="27" t="s">
        <v>4906</v>
      </c>
      <c r="AD368" s="27" t="s">
        <v>4907</v>
      </c>
      <c r="AE368" s="27" t="s">
        <v>110</v>
      </c>
      <c r="AF368" s="27" t="s">
        <v>4907</v>
      </c>
      <c r="AG368" s="27" t="s">
        <v>4908</v>
      </c>
      <c r="AH368" s="27" t="s">
        <v>982</v>
      </c>
      <c r="AI368" s="27" t="s">
        <v>140</v>
      </c>
      <c r="AJ368" s="27" t="s">
        <v>262</v>
      </c>
      <c r="AK368" s="27" t="s">
        <v>104</v>
      </c>
      <c r="AL368" s="27"/>
      <c r="AM368" s="34">
        <v>322500000</v>
      </c>
      <c r="AN368" s="34">
        <v>249185268</v>
      </c>
      <c r="AO368" s="34">
        <v>43412500</v>
      </c>
      <c r="AP368" s="34">
        <v>28295089</v>
      </c>
      <c r="AQ368" s="34">
        <v>0</v>
      </c>
      <c r="AR368" s="34">
        <v>0</v>
      </c>
      <c r="AS368" s="34">
        <v>13392857</v>
      </c>
      <c r="AT368" s="34">
        <v>307500000</v>
      </c>
      <c r="AU368" s="34">
        <v>9000000</v>
      </c>
      <c r="AV368" s="34">
        <v>-15000000</v>
      </c>
      <c r="AW368" s="27" t="s">
        <v>458</v>
      </c>
      <c r="AX368" s="27" t="s">
        <v>458</v>
      </c>
      <c r="AY368" s="27" t="s">
        <v>83</v>
      </c>
      <c r="AZ368" s="27">
        <v>1</v>
      </c>
      <c r="BA368" s="27"/>
      <c r="BB368" s="27" t="s">
        <v>472</v>
      </c>
      <c r="BC368" s="27" t="s">
        <v>4909</v>
      </c>
      <c r="BD368" s="27" t="s">
        <v>451</v>
      </c>
      <c r="BE368" s="27" t="s">
        <v>451</v>
      </c>
      <c r="BF368" s="27" t="s">
        <v>4910</v>
      </c>
      <c r="BG368" s="27" t="s">
        <v>4911</v>
      </c>
      <c r="BH368" s="27" t="s">
        <v>466</v>
      </c>
      <c r="BI368" s="27" t="s">
        <v>468</v>
      </c>
      <c r="BJ368" s="27" t="s">
        <v>4912</v>
      </c>
      <c r="BK368" s="27" t="s">
        <v>394</v>
      </c>
      <c r="BL368" s="27" t="s">
        <v>4913</v>
      </c>
      <c r="BM368" s="38">
        <v>0</v>
      </c>
    </row>
    <row r="369" spans="1:65" s="1" customFormat="1" x14ac:dyDescent="0.2">
      <c r="A369" s="37">
        <v>438</v>
      </c>
      <c r="B369" s="27">
        <v>146</v>
      </c>
      <c r="C369" s="27" t="s">
        <v>503</v>
      </c>
      <c r="D369" s="27" t="s">
        <v>4914</v>
      </c>
      <c r="E369" s="27" t="s">
        <v>422</v>
      </c>
      <c r="F369" s="27" t="s">
        <v>462</v>
      </c>
      <c r="G369" s="28">
        <v>2026</v>
      </c>
      <c r="H369" s="20" t="str">
        <f>VLOOKUP(U369,'[1]KODE TYPE standar'!$D:$U,17,0)</f>
        <v>VELOZ</v>
      </c>
      <c r="I369" s="20" t="str">
        <f>VLOOKUP(U369,'[1]KODE TYPE standar'!$D:$U,16,0)</f>
        <v>VELOZ</v>
      </c>
      <c r="J369" s="20" t="str">
        <f>VLOOKUP(U369,'[1]KODE TYPE standar'!$D:$U,18,0)</f>
        <v>VELOZ V AT HYBRID</v>
      </c>
      <c r="K369" s="27" t="s">
        <v>118</v>
      </c>
      <c r="L369" s="27" t="s">
        <v>110</v>
      </c>
      <c r="M369" s="27" t="s">
        <v>262</v>
      </c>
      <c r="N369" s="27" t="s">
        <v>141</v>
      </c>
      <c r="O369" s="28" t="s">
        <v>156</v>
      </c>
      <c r="P369" s="29" t="s">
        <v>149</v>
      </c>
      <c r="Q369" s="29" t="s">
        <v>161</v>
      </c>
      <c r="R369" s="29" t="s">
        <v>318</v>
      </c>
      <c r="S369" s="27" t="s">
        <v>631</v>
      </c>
      <c r="T369" s="27" t="s">
        <v>509</v>
      </c>
      <c r="U369" s="27" t="s">
        <v>335</v>
      </c>
      <c r="V369" s="27" t="s">
        <v>51</v>
      </c>
      <c r="W369" s="27" t="s">
        <v>286</v>
      </c>
      <c r="X369" s="27" t="s">
        <v>4915</v>
      </c>
      <c r="Y369" s="27" t="s">
        <v>4916</v>
      </c>
      <c r="Z369" s="27" t="s">
        <v>630</v>
      </c>
      <c r="AA369" s="27" t="s">
        <v>631</v>
      </c>
      <c r="AB369" s="27" t="s">
        <v>509</v>
      </c>
      <c r="AC369" s="27" t="s">
        <v>4917</v>
      </c>
      <c r="AD369" s="27" t="s">
        <v>4918</v>
      </c>
      <c r="AE369" s="27" t="s">
        <v>110</v>
      </c>
      <c r="AF369" s="27" t="s">
        <v>4919</v>
      </c>
      <c r="AG369" s="27" t="s">
        <v>4920</v>
      </c>
      <c r="AH369" s="27" t="s">
        <v>757</v>
      </c>
      <c r="AI369" s="27" t="s">
        <v>141</v>
      </c>
      <c r="AJ369" s="27" t="s">
        <v>262</v>
      </c>
      <c r="AK369" s="27" t="s">
        <v>63</v>
      </c>
      <c r="AL369" s="27"/>
      <c r="AM369" s="34">
        <v>304500000</v>
      </c>
      <c r="AN369" s="34">
        <v>235122768</v>
      </c>
      <c r="AO369" s="34">
        <v>41162500</v>
      </c>
      <c r="AP369" s="34">
        <v>28214732</v>
      </c>
      <c r="AQ369" s="34">
        <v>0</v>
      </c>
      <c r="AR369" s="34">
        <v>0</v>
      </c>
      <c r="AS369" s="34">
        <v>0</v>
      </c>
      <c r="AT369" s="34">
        <v>304500000</v>
      </c>
      <c r="AU369" s="34">
        <v>0</v>
      </c>
      <c r="AV369" s="34">
        <v>0</v>
      </c>
      <c r="AW369" s="27" t="s">
        <v>469</v>
      </c>
      <c r="AX369" s="27" t="s">
        <v>469</v>
      </c>
      <c r="AY369" s="27" t="s">
        <v>83</v>
      </c>
      <c r="AZ369" s="27">
        <v>1</v>
      </c>
      <c r="BA369" s="27" t="s">
        <v>163</v>
      </c>
      <c r="BB369" s="27" t="s">
        <v>440</v>
      </c>
      <c r="BC369" s="27" t="s">
        <v>4921</v>
      </c>
      <c r="BD369" s="27" t="s">
        <v>467</v>
      </c>
      <c r="BE369" s="27" t="s">
        <v>467</v>
      </c>
      <c r="BF369" s="27" t="s">
        <v>4922</v>
      </c>
      <c r="BG369" s="27" t="s">
        <v>4923</v>
      </c>
      <c r="BH369" s="27" t="s">
        <v>422</v>
      </c>
      <c r="BI369" s="27" t="s">
        <v>455</v>
      </c>
      <c r="BJ369" s="27" t="s">
        <v>4924</v>
      </c>
      <c r="BK369" s="27" t="s">
        <v>402</v>
      </c>
      <c r="BL369" s="27" t="s">
        <v>4925</v>
      </c>
      <c r="BM369" s="38">
        <v>0</v>
      </c>
    </row>
    <row r="370" spans="1:65" s="1" customFormat="1" x14ac:dyDescent="0.2">
      <c r="A370" s="37">
        <v>441</v>
      </c>
      <c r="B370" s="27">
        <v>146</v>
      </c>
      <c r="C370" s="27" t="s">
        <v>503</v>
      </c>
      <c r="D370" s="27" t="s">
        <v>4926</v>
      </c>
      <c r="E370" s="27" t="s">
        <v>463</v>
      </c>
      <c r="F370" s="27" t="s">
        <v>462</v>
      </c>
      <c r="G370" s="28">
        <v>2026</v>
      </c>
      <c r="H370" s="20" t="str">
        <f>VLOOKUP(U370,'[1]KODE TYPE standar'!$D:$U,17,0)</f>
        <v>YARIS</v>
      </c>
      <c r="I370" s="20" t="str">
        <f>VLOOKUP(U370,'[1]KODE TYPE standar'!$D:$U,16,0)</f>
        <v>YARIS</v>
      </c>
      <c r="J370" s="20" t="str">
        <f>VLOOKUP(U370,'[1]KODE TYPE standar'!$D:$U,18,0)</f>
        <v>YARIS CROSS S A/T</v>
      </c>
      <c r="K370" s="27" t="s">
        <v>118</v>
      </c>
      <c r="L370" s="27" t="s">
        <v>110</v>
      </c>
      <c r="M370" s="27" t="s">
        <v>262</v>
      </c>
      <c r="N370" s="27" t="s">
        <v>56</v>
      </c>
      <c r="O370" s="28" t="s">
        <v>6581</v>
      </c>
      <c r="P370" s="29" t="s">
        <v>149</v>
      </c>
      <c r="Q370" s="29" t="s">
        <v>161</v>
      </c>
      <c r="R370" s="29" t="s">
        <v>597</v>
      </c>
      <c r="S370" s="27" t="s">
        <v>892</v>
      </c>
      <c r="T370" s="27" t="s">
        <v>541</v>
      </c>
      <c r="U370" s="27" t="s">
        <v>108</v>
      </c>
      <c r="V370" s="27" t="s">
        <v>48</v>
      </c>
      <c r="W370" s="27" t="s">
        <v>49</v>
      </c>
      <c r="X370" s="27" t="s">
        <v>4927</v>
      </c>
      <c r="Y370" s="27" t="s">
        <v>4928</v>
      </c>
      <c r="Z370" s="27" t="s">
        <v>891</v>
      </c>
      <c r="AA370" s="27" t="s">
        <v>892</v>
      </c>
      <c r="AB370" s="27" t="s">
        <v>541</v>
      </c>
      <c r="AC370" s="27" t="s">
        <v>4929</v>
      </c>
      <c r="AD370" s="27" t="s">
        <v>4930</v>
      </c>
      <c r="AE370" s="27" t="s">
        <v>110</v>
      </c>
      <c r="AF370" s="27" t="s">
        <v>4930</v>
      </c>
      <c r="AG370" s="27" t="s">
        <v>4931</v>
      </c>
      <c r="AH370" s="27" t="s">
        <v>105</v>
      </c>
      <c r="AI370" s="27" t="s">
        <v>56</v>
      </c>
      <c r="AJ370" s="27" t="s">
        <v>262</v>
      </c>
      <c r="AK370" s="27" t="s">
        <v>63</v>
      </c>
      <c r="AL370" s="27"/>
      <c r="AM370" s="34">
        <v>458200000</v>
      </c>
      <c r="AN370" s="34">
        <v>355657143</v>
      </c>
      <c r="AO370" s="34">
        <v>59864000</v>
      </c>
      <c r="AP370" s="34">
        <v>40428857</v>
      </c>
      <c r="AQ370" s="34">
        <v>0</v>
      </c>
      <c r="AR370" s="34">
        <v>0</v>
      </c>
      <c r="AS370" s="34">
        <v>18750000</v>
      </c>
      <c r="AT370" s="34">
        <v>437200000</v>
      </c>
      <c r="AU370" s="34">
        <v>4000000</v>
      </c>
      <c r="AV370" s="34">
        <v>-21000000</v>
      </c>
      <c r="AW370" s="27"/>
      <c r="AX370" s="27"/>
      <c r="AY370" s="27" t="s">
        <v>83</v>
      </c>
      <c r="AZ370" s="27">
        <v>1</v>
      </c>
      <c r="BA370" s="27"/>
      <c r="BB370" s="27" t="s">
        <v>438</v>
      </c>
      <c r="BC370" s="27" t="s">
        <v>4932</v>
      </c>
      <c r="BD370" s="27" t="s">
        <v>419</v>
      </c>
      <c r="BE370" s="27" t="s">
        <v>419</v>
      </c>
      <c r="BF370" s="27" t="s">
        <v>4933</v>
      </c>
      <c r="BG370" s="27" t="s">
        <v>4934</v>
      </c>
      <c r="BH370" s="27" t="s">
        <v>463</v>
      </c>
      <c r="BI370" s="27" t="s">
        <v>480</v>
      </c>
      <c r="BJ370" s="27" t="s">
        <v>4935</v>
      </c>
      <c r="BK370" s="27" t="s">
        <v>408</v>
      </c>
      <c r="BL370" s="27" t="s">
        <v>4936</v>
      </c>
      <c r="BM370" s="38">
        <v>0</v>
      </c>
    </row>
    <row r="371" spans="1:65" s="1" customFormat="1" x14ac:dyDescent="0.2">
      <c r="A371" s="37">
        <v>475</v>
      </c>
      <c r="B371" s="27">
        <v>146</v>
      </c>
      <c r="C371" s="27" t="s">
        <v>503</v>
      </c>
      <c r="D371" s="27" t="s">
        <v>4937</v>
      </c>
      <c r="E371" s="27" t="s">
        <v>434</v>
      </c>
      <c r="F371" s="27" t="s">
        <v>462</v>
      </c>
      <c r="G371" s="28">
        <v>2026</v>
      </c>
      <c r="H371" s="20" t="str">
        <f>VLOOKUP(U371,'[1]KODE TYPE standar'!$D:$U,17,0)</f>
        <v>AGYA</v>
      </c>
      <c r="I371" s="20" t="str">
        <f>VLOOKUP(U371,'[1]KODE TYPE standar'!$D:$U,16,0)</f>
        <v>AGYA</v>
      </c>
      <c r="J371" s="20" t="str">
        <f>VLOOKUP(U371,'[1]KODE TYPE standar'!$D:$U,18,0)</f>
        <v>AGYA G A/T</v>
      </c>
      <c r="K371" s="27" t="s">
        <v>119</v>
      </c>
      <c r="L371" s="27" t="s">
        <v>110</v>
      </c>
      <c r="M371" s="27" t="s">
        <v>262</v>
      </c>
      <c r="N371" s="27" t="s">
        <v>140</v>
      </c>
      <c r="O371" s="28" t="s">
        <v>156</v>
      </c>
      <c r="P371" s="29" t="s">
        <v>150</v>
      </c>
      <c r="Q371" s="29" t="s">
        <v>162</v>
      </c>
      <c r="R371" s="29" t="s">
        <v>145</v>
      </c>
      <c r="S371" s="27" t="s">
        <v>554</v>
      </c>
      <c r="T371" s="27" t="s">
        <v>509</v>
      </c>
      <c r="U371" s="27" t="s">
        <v>74</v>
      </c>
      <c r="V371" s="27" t="s">
        <v>60</v>
      </c>
      <c r="W371" s="27" t="s">
        <v>61</v>
      </c>
      <c r="X371" s="27" t="s">
        <v>4938</v>
      </c>
      <c r="Y371" s="27" t="s">
        <v>4939</v>
      </c>
      <c r="Z371" s="27" t="s">
        <v>553</v>
      </c>
      <c r="AA371" s="27" t="s">
        <v>554</v>
      </c>
      <c r="AB371" s="27" t="s">
        <v>509</v>
      </c>
      <c r="AC371" s="27" t="s">
        <v>4940</v>
      </c>
      <c r="AD371" s="27" t="s">
        <v>4941</v>
      </c>
      <c r="AE371" s="27" t="s">
        <v>110</v>
      </c>
      <c r="AF371" s="27" t="s">
        <v>4941</v>
      </c>
      <c r="AG371" s="27" t="s">
        <v>4942</v>
      </c>
      <c r="AH371" s="27" t="s">
        <v>1970</v>
      </c>
      <c r="AI371" s="27" t="s">
        <v>140</v>
      </c>
      <c r="AJ371" s="27" t="s">
        <v>262</v>
      </c>
      <c r="AK371" s="27" t="s">
        <v>89</v>
      </c>
      <c r="AL371" s="27"/>
      <c r="AM371" s="34">
        <v>200800000</v>
      </c>
      <c r="AN371" s="34">
        <v>154107143</v>
      </c>
      <c r="AO371" s="34">
        <v>28200000</v>
      </c>
      <c r="AP371" s="34">
        <v>17421428</v>
      </c>
      <c r="AQ371" s="34">
        <v>0</v>
      </c>
      <c r="AR371" s="34">
        <v>0</v>
      </c>
      <c r="AS371" s="34">
        <v>8928571</v>
      </c>
      <c r="AT371" s="34">
        <v>190800000</v>
      </c>
      <c r="AU371" s="34">
        <v>0</v>
      </c>
      <c r="AV371" s="34">
        <v>-10000000</v>
      </c>
      <c r="AW371" s="27" t="s">
        <v>422</v>
      </c>
      <c r="AX371" s="27" t="s">
        <v>422</v>
      </c>
      <c r="AY371" s="27" t="s">
        <v>83</v>
      </c>
      <c r="AZ371" s="27">
        <v>1</v>
      </c>
      <c r="BA371" s="27" t="s">
        <v>4943</v>
      </c>
      <c r="BB371" s="27" t="s">
        <v>421</v>
      </c>
      <c r="BC371" s="27" t="s">
        <v>4944</v>
      </c>
      <c r="BD371" s="27" t="s">
        <v>438</v>
      </c>
      <c r="BE371" s="27" t="s">
        <v>438</v>
      </c>
      <c r="BF371" s="27" t="s">
        <v>4945</v>
      </c>
      <c r="BG371" s="27" t="s">
        <v>4946</v>
      </c>
      <c r="BH371" s="27" t="s">
        <v>434</v>
      </c>
      <c r="BI371" s="27" t="s">
        <v>466</v>
      </c>
      <c r="BJ371" s="27" t="s">
        <v>4947</v>
      </c>
      <c r="BK371" s="27" t="s">
        <v>434</v>
      </c>
      <c r="BL371" s="27" t="s">
        <v>4948</v>
      </c>
      <c r="BM371" s="38">
        <v>0</v>
      </c>
    </row>
    <row r="372" spans="1:65" s="1" customFormat="1" x14ac:dyDescent="0.2">
      <c r="A372" s="37">
        <v>491</v>
      </c>
      <c r="B372" s="27">
        <v>146</v>
      </c>
      <c r="C372" s="27" t="s">
        <v>503</v>
      </c>
      <c r="D372" s="27" t="s">
        <v>4949</v>
      </c>
      <c r="E372" s="27" t="s">
        <v>427</v>
      </c>
      <c r="F372" s="27" t="s">
        <v>462</v>
      </c>
      <c r="G372" s="28">
        <v>2026</v>
      </c>
      <c r="H372" s="20" t="str">
        <f>VLOOKUP(U372,'[1]KODE TYPE standar'!$D:$U,17,0)</f>
        <v>HILUX</v>
      </c>
      <c r="I372" s="20" t="str">
        <f>VLOOKUP(U372,'[1]KODE TYPE standar'!$D:$U,16,0)</f>
        <v>HILUX</v>
      </c>
      <c r="J372" s="20" t="str">
        <f>VLOOKUP(U372,'[1]KODE TYPE standar'!$D:$U,18,0)</f>
        <v>RANGGA-HILUX PU M/T</v>
      </c>
      <c r="K372" s="27" t="s">
        <v>50</v>
      </c>
      <c r="L372" s="27" t="s">
        <v>110</v>
      </c>
      <c r="M372" s="27" t="s">
        <v>50</v>
      </c>
      <c r="N372" s="27" t="s">
        <v>141</v>
      </c>
      <c r="O372" s="28" t="s">
        <v>156</v>
      </c>
      <c r="P372" s="29" t="s">
        <v>149</v>
      </c>
      <c r="Q372" s="29" t="s">
        <v>161</v>
      </c>
      <c r="R372" s="29" t="s">
        <v>1264</v>
      </c>
      <c r="S372" s="27" t="s">
        <v>601</v>
      </c>
      <c r="T372" s="27" t="s">
        <v>509</v>
      </c>
      <c r="U372" s="27" t="s">
        <v>281</v>
      </c>
      <c r="V372" s="27" t="s">
        <v>99</v>
      </c>
      <c r="W372" s="27" t="s">
        <v>61</v>
      </c>
      <c r="X372" s="27" t="s">
        <v>4950</v>
      </c>
      <c r="Y372" s="27" t="s">
        <v>4951</v>
      </c>
      <c r="Z372" s="27" t="s">
        <v>600</v>
      </c>
      <c r="AA372" s="27" t="s">
        <v>601</v>
      </c>
      <c r="AB372" s="27" t="s">
        <v>509</v>
      </c>
      <c r="AC372" s="27" t="s">
        <v>4952</v>
      </c>
      <c r="AD372" s="27" t="s">
        <v>4953</v>
      </c>
      <c r="AE372" s="27" t="s">
        <v>110</v>
      </c>
      <c r="AF372" s="27" t="s">
        <v>4953</v>
      </c>
      <c r="AG372" s="27" t="s">
        <v>4954</v>
      </c>
      <c r="AH372" s="27" t="s">
        <v>941</v>
      </c>
      <c r="AI372" s="27" t="s">
        <v>141</v>
      </c>
      <c r="AJ372" s="27" t="s">
        <v>50</v>
      </c>
      <c r="AK372" s="27" t="s">
        <v>50</v>
      </c>
      <c r="AL372" s="27"/>
      <c r="AM372" s="34">
        <v>226500000</v>
      </c>
      <c r="AN372" s="34">
        <v>173637387</v>
      </c>
      <c r="AO372" s="34">
        <v>33762500</v>
      </c>
      <c r="AP372" s="34">
        <v>18010022</v>
      </c>
      <c r="AQ372" s="34">
        <v>0</v>
      </c>
      <c r="AR372" s="34">
        <v>0</v>
      </c>
      <c r="AS372" s="34">
        <v>9909910</v>
      </c>
      <c r="AT372" s="34">
        <v>215500000</v>
      </c>
      <c r="AU372" s="34">
        <v>0</v>
      </c>
      <c r="AV372" s="34">
        <v>-11000000</v>
      </c>
      <c r="AW372" s="27" t="s">
        <v>471</v>
      </c>
      <c r="AX372" s="27" t="s">
        <v>471</v>
      </c>
      <c r="AY372" s="27" t="s">
        <v>83</v>
      </c>
      <c r="AZ372" s="27">
        <v>1</v>
      </c>
      <c r="BA372" s="27" t="s">
        <v>163</v>
      </c>
      <c r="BB372" s="27" t="s">
        <v>427</v>
      </c>
      <c r="BC372" s="27" t="s">
        <v>4955</v>
      </c>
      <c r="BD372" s="27" t="s">
        <v>427</v>
      </c>
      <c r="BE372" s="27" t="s">
        <v>427</v>
      </c>
      <c r="BF372" s="27" t="s">
        <v>4956</v>
      </c>
      <c r="BG372" s="27" t="s">
        <v>4957</v>
      </c>
      <c r="BH372" s="27" t="s">
        <v>427</v>
      </c>
      <c r="BI372" s="27" t="s">
        <v>478</v>
      </c>
      <c r="BJ372" s="27" t="s">
        <v>4958</v>
      </c>
      <c r="BK372" s="27" t="s">
        <v>345</v>
      </c>
      <c r="BL372" s="27" t="s">
        <v>4959</v>
      </c>
      <c r="BM372" s="38">
        <v>0</v>
      </c>
    </row>
    <row r="373" spans="1:65" s="1" customFormat="1" x14ac:dyDescent="0.2">
      <c r="A373" s="37">
        <v>495</v>
      </c>
      <c r="B373" s="27">
        <v>146</v>
      </c>
      <c r="C373" s="27" t="s">
        <v>503</v>
      </c>
      <c r="D373" s="27" t="s">
        <v>4960</v>
      </c>
      <c r="E373" s="27" t="s">
        <v>452</v>
      </c>
      <c r="F373" s="27" t="s">
        <v>462</v>
      </c>
      <c r="G373" s="28">
        <v>2026</v>
      </c>
      <c r="H373" s="20" t="str">
        <f>VLOOKUP(U373,'[1]KODE TYPE standar'!$D:$U,17,0)</f>
        <v>RUSH</v>
      </c>
      <c r="I373" s="20" t="str">
        <f>VLOOKUP(U373,'[1]KODE TYPE standar'!$D:$U,16,0)</f>
        <v>RUSH</v>
      </c>
      <c r="J373" s="20" t="str">
        <f>VLOOKUP(U373,'[1]KODE TYPE standar'!$D:$U,18,0)</f>
        <v>RUSH G A/T</v>
      </c>
      <c r="K373" s="27" t="s">
        <v>50</v>
      </c>
      <c r="L373" s="27" t="s">
        <v>110</v>
      </c>
      <c r="M373" s="27" t="s">
        <v>50</v>
      </c>
      <c r="N373" s="27" t="s">
        <v>106</v>
      </c>
      <c r="O373" s="28" t="s">
        <v>156</v>
      </c>
      <c r="P373" s="29" t="s">
        <v>149</v>
      </c>
      <c r="Q373" s="29" t="s">
        <v>161</v>
      </c>
      <c r="R373" s="29" t="s">
        <v>145</v>
      </c>
      <c r="S373" s="27" t="s">
        <v>508</v>
      </c>
      <c r="T373" s="27" t="s">
        <v>509</v>
      </c>
      <c r="U373" s="27" t="s">
        <v>264</v>
      </c>
      <c r="V373" s="27" t="s">
        <v>64</v>
      </c>
      <c r="W373" s="27" t="s">
        <v>65</v>
      </c>
      <c r="X373" s="27" t="s">
        <v>4961</v>
      </c>
      <c r="Y373" s="27" t="s">
        <v>4962</v>
      </c>
      <c r="Z373" s="27" t="s">
        <v>507</v>
      </c>
      <c r="AA373" s="27" t="s">
        <v>508</v>
      </c>
      <c r="AB373" s="27" t="s">
        <v>509</v>
      </c>
      <c r="AC373" s="27" t="s">
        <v>4963</v>
      </c>
      <c r="AD373" s="27" t="s">
        <v>4964</v>
      </c>
      <c r="AE373" s="27" t="s">
        <v>110</v>
      </c>
      <c r="AF373" s="27" t="s">
        <v>4964</v>
      </c>
      <c r="AG373" s="27" t="s">
        <v>4965</v>
      </c>
      <c r="AH373" s="27" t="s">
        <v>1087</v>
      </c>
      <c r="AI373" s="27" t="s">
        <v>106</v>
      </c>
      <c r="AJ373" s="27" t="s">
        <v>50</v>
      </c>
      <c r="AK373" s="27" t="s">
        <v>50</v>
      </c>
      <c r="AL373" s="27"/>
      <c r="AM373" s="34">
        <v>307300000</v>
      </c>
      <c r="AN373" s="34">
        <v>237310268</v>
      </c>
      <c r="AO373" s="34">
        <v>41512500</v>
      </c>
      <c r="AP373" s="34">
        <v>26870089</v>
      </c>
      <c r="AQ373" s="34">
        <v>0</v>
      </c>
      <c r="AR373" s="34">
        <v>0</v>
      </c>
      <c r="AS373" s="34">
        <v>13392857</v>
      </c>
      <c r="AT373" s="34">
        <v>292300000</v>
      </c>
      <c r="AU373" s="34">
        <v>9000000</v>
      </c>
      <c r="AV373" s="34">
        <v>-15000000</v>
      </c>
      <c r="AW373" s="27" t="s">
        <v>455</v>
      </c>
      <c r="AX373" s="27" t="s">
        <v>455</v>
      </c>
      <c r="AY373" s="27" t="s">
        <v>83</v>
      </c>
      <c r="AZ373" s="27">
        <v>1</v>
      </c>
      <c r="BA373" s="27" t="s">
        <v>163</v>
      </c>
      <c r="BB373" s="27" t="s">
        <v>452</v>
      </c>
      <c r="BC373" s="27" t="s">
        <v>4966</v>
      </c>
      <c r="BD373" s="27" t="s">
        <v>452</v>
      </c>
      <c r="BE373" s="27" t="s">
        <v>452</v>
      </c>
      <c r="BF373" s="27" t="s">
        <v>4967</v>
      </c>
      <c r="BG373" s="27" t="s">
        <v>4968</v>
      </c>
      <c r="BH373" s="27" t="s">
        <v>452</v>
      </c>
      <c r="BI373" s="27" t="s">
        <v>465</v>
      </c>
      <c r="BJ373" s="27" t="s">
        <v>4969</v>
      </c>
      <c r="BK373" s="27" t="s">
        <v>443</v>
      </c>
      <c r="BL373" s="27" t="s">
        <v>4970</v>
      </c>
      <c r="BM373" s="38">
        <v>0</v>
      </c>
    </row>
    <row r="374" spans="1:65" s="1" customFormat="1" x14ac:dyDescent="0.2">
      <c r="A374" s="37">
        <v>502</v>
      </c>
      <c r="B374" s="27">
        <v>146</v>
      </c>
      <c r="C374" s="27" t="s">
        <v>503</v>
      </c>
      <c r="D374" s="27" t="s">
        <v>4971</v>
      </c>
      <c r="E374" s="27" t="s">
        <v>473</v>
      </c>
      <c r="F374" s="27" t="s">
        <v>462</v>
      </c>
      <c r="G374" s="28">
        <v>2026</v>
      </c>
      <c r="H374" s="20" t="str">
        <f>VLOOKUP(U374,'[1]KODE TYPE standar'!$D:$U,17,0)</f>
        <v>VELOZ</v>
      </c>
      <c r="I374" s="20" t="str">
        <f>VLOOKUP(U374,'[1]KODE TYPE standar'!$D:$U,16,0)</f>
        <v>VELOZ</v>
      </c>
      <c r="J374" s="20" t="str">
        <f>VLOOKUP(U374,'[1]KODE TYPE standar'!$D:$U,18,0)</f>
        <v>VELOZ V AT HYBRID</v>
      </c>
      <c r="K374" s="27" t="s">
        <v>50</v>
      </c>
      <c r="L374" s="27" t="s">
        <v>110</v>
      </c>
      <c r="M374" s="27" t="s">
        <v>50</v>
      </c>
      <c r="N374" s="27" t="s">
        <v>141</v>
      </c>
      <c r="O374" s="28" t="s">
        <v>156</v>
      </c>
      <c r="P374" s="29" t="s">
        <v>149</v>
      </c>
      <c r="Q374" s="29" t="s">
        <v>161</v>
      </c>
      <c r="R374" s="29" t="s">
        <v>597</v>
      </c>
      <c r="S374" s="27" t="s">
        <v>937</v>
      </c>
      <c r="T374" s="27" t="s">
        <v>541</v>
      </c>
      <c r="U374" s="27" t="s">
        <v>335</v>
      </c>
      <c r="V374" s="27" t="s">
        <v>51</v>
      </c>
      <c r="W374" s="27" t="s">
        <v>286</v>
      </c>
      <c r="X374" s="27" t="s">
        <v>4972</v>
      </c>
      <c r="Y374" s="27" t="s">
        <v>4973</v>
      </c>
      <c r="Z374" s="27" t="s">
        <v>936</v>
      </c>
      <c r="AA374" s="27" t="s">
        <v>937</v>
      </c>
      <c r="AB374" s="27" t="s">
        <v>541</v>
      </c>
      <c r="AC374" s="27" t="s">
        <v>4974</v>
      </c>
      <c r="AD374" s="27" t="s">
        <v>4975</v>
      </c>
      <c r="AE374" s="27" t="s">
        <v>110</v>
      </c>
      <c r="AF374" s="27" t="s">
        <v>4976</v>
      </c>
      <c r="AG374" s="27" t="s">
        <v>4977</v>
      </c>
      <c r="AH374" s="27" t="s">
        <v>3438</v>
      </c>
      <c r="AI374" s="27" t="s">
        <v>141</v>
      </c>
      <c r="AJ374" s="27" t="s">
        <v>50</v>
      </c>
      <c r="AK374" s="27" t="s">
        <v>50</v>
      </c>
      <c r="AL374" s="27"/>
      <c r="AM374" s="34">
        <v>304500000</v>
      </c>
      <c r="AN374" s="34">
        <v>235122768</v>
      </c>
      <c r="AO374" s="34">
        <v>41162500</v>
      </c>
      <c r="AP374" s="34">
        <v>28214732</v>
      </c>
      <c r="AQ374" s="34">
        <v>0</v>
      </c>
      <c r="AR374" s="34">
        <v>0</v>
      </c>
      <c r="AS374" s="34">
        <v>0</v>
      </c>
      <c r="AT374" s="34">
        <v>304500000</v>
      </c>
      <c r="AU374" s="34">
        <v>204500000</v>
      </c>
      <c r="AV374" s="34">
        <v>0</v>
      </c>
      <c r="AW374" s="27"/>
      <c r="AX374" s="27"/>
      <c r="AY374" s="27" t="s">
        <v>83</v>
      </c>
      <c r="AZ374" s="27">
        <v>1</v>
      </c>
      <c r="BA374" s="27"/>
      <c r="BB374" s="27" t="s">
        <v>474</v>
      </c>
      <c r="BC374" s="27" t="s">
        <v>4978</v>
      </c>
      <c r="BD374" s="27" t="s">
        <v>474</v>
      </c>
      <c r="BE374" s="27" t="s">
        <v>474</v>
      </c>
      <c r="BF374" s="27" t="s">
        <v>4979</v>
      </c>
      <c r="BG374" s="27" t="s">
        <v>4980</v>
      </c>
      <c r="BH374" s="27"/>
      <c r="BI374" s="27" t="s">
        <v>479</v>
      </c>
      <c r="BJ374" s="27" t="s">
        <v>4981</v>
      </c>
      <c r="BK374" s="27" t="s">
        <v>452</v>
      </c>
      <c r="BL374" s="27" t="s">
        <v>4982</v>
      </c>
      <c r="BM374" s="38">
        <v>0</v>
      </c>
    </row>
    <row r="375" spans="1:65" s="1" customFormat="1" x14ac:dyDescent="0.2">
      <c r="A375" s="37">
        <v>516</v>
      </c>
      <c r="B375" s="27">
        <v>146</v>
      </c>
      <c r="C375" s="27" t="s">
        <v>503</v>
      </c>
      <c r="D375" s="27" t="s">
        <v>4983</v>
      </c>
      <c r="E375" s="27" t="s">
        <v>421</v>
      </c>
      <c r="F375" s="27" t="s">
        <v>462</v>
      </c>
      <c r="G375" s="28">
        <v>2026</v>
      </c>
      <c r="H375" s="20" t="str">
        <f>VLOOKUP(U375,'[1]KODE TYPE standar'!$D:$U,17,0)</f>
        <v>AVANZA</v>
      </c>
      <c r="I375" s="20" t="str">
        <f>VLOOKUP(U375,'[1]KODE TYPE standar'!$D:$U,16,0)</f>
        <v>AVANZA</v>
      </c>
      <c r="J375" s="20" t="str">
        <f>VLOOKUP(U375,'[1]KODE TYPE standar'!$D:$U,18,0)</f>
        <v>AVANZA E A/T</v>
      </c>
      <c r="K375" s="27" t="s">
        <v>119</v>
      </c>
      <c r="L375" s="27" t="s">
        <v>110</v>
      </c>
      <c r="M375" s="27" t="s">
        <v>262</v>
      </c>
      <c r="N375" s="27" t="s">
        <v>141</v>
      </c>
      <c r="O375" s="28" t="s">
        <v>156</v>
      </c>
      <c r="P375" s="29" t="s">
        <v>149</v>
      </c>
      <c r="Q375" s="29" t="s">
        <v>162</v>
      </c>
      <c r="R375" s="29" t="s">
        <v>597</v>
      </c>
      <c r="S375" s="27" t="s">
        <v>877</v>
      </c>
      <c r="T375" s="27" t="s">
        <v>585</v>
      </c>
      <c r="U375" s="27" t="s">
        <v>328</v>
      </c>
      <c r="V375" s="27" t="s">
        <v>60</v>
      </c>
      <c r="W375" s="27" t="s">
        <v>61</v>
      </c>
      <c r="X375" s="27" t="s">
        <v>4984</v>
      </c>
      <c r="Y375" s="27" t="s">
        <v>4985</v>
      </c>
      <c r="Z375" s="27" t="s">
        <v>876</v>
      </c>
      <c r="AA375" s="27" t="s">
        <v>877</v>
      </c>
      <c r="AB375" s="27" t="s">
        <v>585</v>
      </c>
      <c r="AC375" s="27" t="s">
        <v>4986</v>
      </c>
      <c r="AD375" s="27" t="s">
        <v>4987</v>
      </c>
      <c r="AE375" s="27" t="s">
        <v>110</v>
      </c>
      <c r="AF375" s="27" t="s">
        <v>4988</v>
      </c>
      <c r="AG375" s="27" t="s">
        <v>4989</v>
      </c>
      <c r="AH375" s="27" t="s">
        <v>170</v>
      </c>
      <c r="AI375" s="27" t="s">
        <v>141</v>
      </c>
      <c r="AJ375" s="27" t="s">
        <v>262</v>
      </c>
      <c r="AK375" s="27" t="s">
        <v>89</v>
      </c>
      <c r="AL375" s="27" t="s">
        <v>4990</v>
      </c>
      <c r="AM375" s="34">
        <v>262200000</v>
      </c>
      <c r="AN375" s="34">
        <v>202075893</v>
      </c>
      <c r="AO375" s="34">
        <v>35875000</v>
      </c>
      <c r="AP375" s="34">
        <v>22641964</v>
      </c>
      <c r="AQ375" s="34">
        <v>0</v>
      </c>
      <c r="AR375" s="34">
        <v>0</v>
      </c>
      <c r="AS375" s="34">
        <v>13392857</v>
      </c>
      <c r="AT375" s="34">
        <v>247200000</v>
      </c>
      <c r="AU375" s="34">
        <v>0</v>
      </c>
      <c r="AV375" s="34">
        <v>-15000000</v>
      </c>
      <c r="AW375" s="27" t="s">
        <v>440</v>
      </c>
      <c r="AX375" s="27" t="s">
        <v>440</v>
      </c>
      <c r="AY375" s="27" t="s">
        <v>83</v>
      </c>
      <c r="AZ375" s="27">
        <v>1</v>
      </c>
      <c r="BA375" s="27" t="s">
        <v>4991</v>
      </c>
      <c r="BB375" s="27" t="s">
        <v>421</v>
      </c>
      <c r="BC375" s="27" t="s">
        <v>4992</v>
      </c>
      <c r="BD375" s="27" t="s">
        <v>444</v>
      </c>
      <c r="BE375" s="27" t="s">
        <v>444</v>
      </c>
      <c r="BF375" s="27" t="s">
        <v>4993</v>
      </c>
      <c r="BG375" s="27" t="s">
        <v>4994</v>
      </c>
      <c r="BH375" s="27" t="s">
        <v>421</v>
      </c>
      <c r="BI375" s="27" t="s">
        <v>472</v>
      </c>
      <c r="BJ375" s="27" t="s">
        <v>4995</v>
      </c>
      <c r="BK375" s="27" t="s">
        <v>438</v>
      </c>
      <c r="BL375" s="27" t="s">
        <v>4996</v>
      </c>
      <c r="BM375" s="38">
        <v>0</v>
      </c>
    </row>
    <row r="376" spans="1:65" s="1" customFormat="1" x14ac:dyDescent="0.2">
      <c r="A376" s="37">
        <v>523</v>
      </c>
      <c r="B376" s="27">
        <v>146</v>
      </c>
      <c r="C376" s="27" t="s">
        <v>503</v>
      </c>
      <c r="D376" s="27" t="s">
        <v>4997</v>
      </c>
      <c r="E376" s="27" t="s">
        <v>463</v>
      </c>
      <c r="F376" s="27" t="s">
        <v>462</v>
      </c>
      <c r="G376" s="28">
        <v>2026</v>
      </c>
      <c r="H376" s="20" t="str">
        <f>VLOOKUP(U376,'[1]KODE TYPE standar'!$D:$U,17,0)</f>
        <v>VELOZ</v>
      </c>
      <c r="I376" s="20" t="str">
        <f>VLOOKUP(U376,'[1]KODE TYPE standar'!$D:$U,16,0)</f>
        <v>VELOZ</v>
      </c>
      <c r="J376" s="20" t="str">
        <f>VLOOKUP(U376,'[1]KODE TYPE standar'!$D:$U,18,0)</f>
        <v>VELOZ Q AT HYBRID</v>
      </c>
      <c r="K376" s="27" t="s">
        <v>50</v>
      </c>
      <c r="L376" s="27" t="s">
        <v>110</v>
      </c>
      <c r="M376" s="27" t="s">
        <v>50</v>
      </c>
      <c r="N376" s="27" t="s">
        <v>141</v>
      </c>
      <c r="O376" s="28" t="s">
        <v>156</v>
      </c>
      <c r="P376" s="29" t="s">
        <v>150</v>
      </c>
      <c r="Q376" s="29" t="s">
        <v>162</v>
      </c>
      <c r="R376" s="29" t="s">
        <v>318</v>
      </c>
      <c r="S376" s="27" t="s">
        <v>1373</v>
      </c>
      <c r="T376" s="27" t="s">
        <v>509</v>
      </c>
      <c r="U376" s="27" t="s">
        <v>338</v>
      </c>
      <c r="V376" s="27" t="s">
        <v>64</v>
      </c>
      <c r="W376" s="27" t="s">
        <v>65</v>
      </c>
      <c r="X376" s="27" t="s">
        <v>4998</v>
      </c>
      <c r="Y376" s="27" t="s">
        <v>4999</v>
      </c>
      <c r="Z376" s="27" t="s">
        <v>1372</v>
      </c>
      <c r="AA376" s="27" t="s">
        <v>1373</v>
      </c>
      <c r="AB376" s="27" t="s">
        <v>509</v>
      </c>
      <c r="AC376" s="27" t="s">
        <v>5000</v>
      </c>
      <c r="AD376" s="27" t="s">
        <v>5001</v>
      </c>
      <c r="AE376" s="27" t="s">
        <v>110</v>
      </c>
      <c r="AF376" s="27" t="s">
        <v>5001</v>
      </c>
      <c r="AG376" s="27" t="s">
        <v>1376</v>
      </c>
      <c r="AH376" s="27" t="s">
        <v>1377</v>
      </c>
      <c r="AI376" s="27" t="s">
        <v>141</v>
      </c>
      <c r="AJ376" s="27" t="s">
        <v>50</v>
      </c>
      <c r="AK376" s="27" t="s">
        <v>50</v>
      </c>
      <c r="AL376" s="27"/>
      <c r="AM376" s="34">
        <v>350000000</v>
      </c>
      <c r="AN376" s="34">
        <v>270669643</v>
      </c>
      <c r="AO376" s="34">
        <v>46850000</v>
      </c>
      <c r="AP376" s="34">
        <v>32480357</v>
      </c>
      <c r="AQ376" s="34">
        <v>0</v>
      </c>
      <c r="AR376" s="34">
        <v>0</v>
      </c>
      <c r="AS376" s="34">
        <v>0</v>
      </c>
      <c r="AT376" s="34">
        <v>350000000</v>
      </c>
      <c r="AU376" s="34">
        <v>240000000</v>
      </c>
      <c r="AV376" s="34">
        <v>0</v>
      </c>
      <c r="AW376" s="27"/>
      <c r="AX376" s="27"/>
      <c r="AY376" s="27" t="s">
        <v>83</v>
      </c>
      <c r="AZ376" s="27">
        <v>1</v>
      </c>
      <c r="BA376" s="27"/>
      <c r="BB376" s="27" t="s">
        <v>463</v>
      </c>
      <c r="BC376" s="27" t="s">
        <v>5002</v>
      </c>
      <c r="BD376" s="27" t="s">
        <v>464</v>
      </c>
      <c r="BE376" s="27" t="s">
        <v>464</v>
      </c>
      <c r="BF376" s="27" t="s">
        <v>5003</v>
      </c>
      <c r="BG376" s="27" t="s">
        <v>5004</v>
      </c>
      <c r="BH376" s="27" t="s">
        <v>463</v>
      </c>
      <c r="BI376" s="27" t="s">
        <v>480</v>
      </c>
      <c r="BJ376" s="27" t="s">
        <v>5005</v>
      </c>
      <c r="BK376" s="27" t="s">
        <v>427</v>
      </c>
      <c r="BL376" s="27" t="s">
        <v>5006</v>
      </c>
      <c r="BM376" s="38">
        <v>0</v>
      </c>
    </row>
    <row r="377" spans="1:65" s="1" customFormat="1" x14ac:dyDescent="0.2">
      <c r="A377" s="37">
        <v>539</v>
      </c>
      <c r="B377" s="27">
        <v>146</v>
      </c>
      <c r="C377" s="27" t="s">
        <v>503</v>
      </c>
      <c r="D377" s="27" t="s">
        <v>5007</v>
      </c>
      <c r="E377" s="27" t="s">
        <v>471</v>
      </c>
      <c r="F377" s="27" t="s">
        <v>462</v>
      </c>
      <c r="G377" s="28">
        <v>2026</v>
      </c>
      <c r="H377" s="20" t="str">
        <f>VLOOKUP(U377,'[1]KODE TYPE standar'!$D:$U,17,0)</f>
        <v>CALYA</v>
      </c>
      <c r="I377" s="20" t="str">
        <f>VLOOKUP(U377,'[1]KODE TYPE standar'!$D:$U,16,0)</f>
        <v>CALYA</v>
      </c>
      <c r="J377" s="20" t="str">
        <f>VLOOKUP(U377,'[1]KODE TYPE standar'!$D:$U,18,0)</f>
        <v>CALYA G M/T</v>
      </c>
      <c r="K377" s="27" t="s">
        <v>119</v>
      </c>
      <c r="L377" s="27" t="s">
        <v>110</v>
      </c>
      <c r="M377" s="27" t="s">
        <v>262</v>
      </c>
      <c r="N377" s="27" t="s">
        <v>55</v>
      </c>
      <c r="O377" s="28" t="s">
        <v>6581</v>
      </c>
      <c r="P377" s="29" t="s">
        <v>149</v>
      </c>
      <c r="Q377" s="29" t="s">
        <v>162</v>
      </c>
      <c r="R377" s="29" t="s">
        <v>145</v>
      </c>
      <c r="S377" s="27" t="s">
        <v>781</v>
      </c>
      <c r="T377" s="27" t="s">
        <v>585</v>
      </c>
      <c r="U377" s="27" t="s">
        <v>268</v>
      </c>
      <c r="V377" s="27" t="s">
        <v>60</v>
      </c>
      <c r="W377" s="27" t="s">
        <v>61</v>
      </c>
      <c r="X377" s="27" t="s">
        <v>5008</v>
      </c>
      <c r="Y377" s="27" t="s">
        <v>5009</v>
      </c>
      <c r="Z377" s="27" t="s">
        <v>780</v>
      </c>
      <c r="AA377" s="27" t="s">
        <v>781</v>
      </c>
      <c r="AB377" s="27" t="s">
        <v>585</v>
      </c>
      <c r="AC377" s="27" t="s">
        <v>5010</v>
      </c>
      <c r="AD377" s="27" t="s">
        <v>5011</v>
      </c>
      <c r="AE377" s="27" t="s">
        <v>110</v>
      </c>
      <c r="AF377" s="27" t="s">
        <v>5011</v>
      </c>
      <c r="AG377" s="27" t="s">
        <v>5012</v>
      </c>
      <c r="AH377" s="27" t="s">
        <v>5013</v>
      </c>
      <c r="AI377" s="27" t="s">
        <v>55</v>
      </c>
      <c r="AJ377" s="27" t="s">
        <v>262</v>
      </c>
      <c r="AK377" s="27" t="s">
        <v>89</v>
      </c>
      <c r="AL377" s="27"/>
      <c r="AM377" s="34">
        <v>182200000</v>
      </c>
      <c r="AN377" s="34">
        <v>139272321</v>
      </c>
      <c r="AO377" s="34">
        <v>26215000</v>
      </c>
      <c r="AP377" s="34">
        <v>15641250</v>
      </c>
      <c r="AQ377" s="34">
        <v>0</v>
      </c>
      <c r="AR377" s="34">
        <v>0</v>
      </c>
      <c r="AS377" s="34">
        <v>8928571</v>
      </c>
      <c r="AT377" s="34">
        <v>172200000</v>
      </c>
      <c r="AU377" s="34">
        <v>0</v>
      </c>
      <c r="AV377" s="34">
        <v>-10000000</v>
      </c>
      <c r="AW377" s="27" t="s">
        <v>455</v>
      </c>
      <c r="AX377" s="27" t="s">
        <v>455</v>
      </c>
      <c r="AY377" s="27" t="s">
        <v>83</v>
      </c>
      <c r="AZ377" s="27">
        <v>1</v>
      </c>
      <c r="BA377" s="27" t="s">
        <v>163</v>
      </c>
      <c r="BB377" s="27" t="s">
        <v>427</v>
      </c>
      <c r="BC377" s="27" t="s">
        <v>5014</v>
      </c>
      <c r="BD377" s="27" t="s">
        <v>427</v>
      </c>
      <c r="BE377" s="27" t="s">
        <v>427</v>
      </c>
      <c r="BF377" s="27" t="s">
        <v>5015</v>
      </c>
      <c r="BG377" s="27" t="s">
        <v>5016</v>
      </c>
      <c r="BH377" s="27" t="s">
        <v>471</v>
      </c>
      <c r="BI377" s="27" t="s">
        <v>474</v>
      </c>
      <c r="BJ377" s="27" t="s">
        <v>4672</v>
      </c>
      <c r="BK377" s="27" t="s">
        <v>440</v>
      </c>
      <c r="BL377" s="27" t="s">
        <v>5017</v>
      </c>
      <c r="BM377" s="38">
        <v>0</v>
      </c>
    </row>
    <row r="378" spans="1:65" s="1" customFormat="1" x14ac:dyDescent="0.2">
      <c r="A378" s="37">
        <v>543</v>
      </c>
      <c r="B378" s="27">
        <v>146</v>
      </c>
      <c r="C378" s="27" t="s">
        <v>503</v>
      </c>
      <c r="D378" s="27" t="s">
        <v>5018</v>
      </c>
      <c r="E378" s="27" t="s">
        <v>474</v>
      </c>
      <c r="F378" s="27" t="s">
        <v>462</v>
      </c>
      <c r="G378" s="28">
        <v>2026</v>
      </c>
      <c r="H378" s="20" t="str">
        <f>VLOOKUP(U378,'[1]KODE TYPE standar'!$D:$U,17,0)</f>
        <v>RUSH</v>
      </c>
      <c r="I378" s="20" t="str">
        <f>VLOOKUP(U378,'[1]KODE TYPE standar'!$D:$U,16,0)</f>
        <v>RUSH</v>
      </c>
      <c r="J378" s="20" t="str">
        <f>VLOOKUP(U378,'[1]KODE TYPE standar'!$D:$U,18,0)</f>
        <v>RUSH S A/T</v>
      </c>
      <c r="K378" s="27" t="s">
        <v>121</v>
      </c>
      <c r="L378" s="27" t="s">
        <v>110</v>
      </c>
      <c r="M378" s="27" t="s">
        <v>262</v>
      </c>
      <c r="N378" s="27" t="s">
        <v>140</v>
      </c>
      <c r="O378" s="28" t="s">
        <v>156</v>
      </c>
      <c r="P378" s="29" t="s">
        <v>149</v>
      </c>
      <c r="Q378" s="29" t="s">
        <v>147</v>
      </c>
      <c r="R378" s="29" t="s">
        <v>148</v>
      </c>
      <c r="S378" s="27" t="s">
        <v>4352</v>
      </c>
      <c r="T378" s="27" t="s">
        <v>585</v>
      </c>
      <c r="U378" s="27" t="s">
        <v>116</v>
      </c>
      <c r="V378" s="27" t="s">
        <v>64</v>
      </c>
      <c r="W378" s="27" t="s">
        <v>65</v>
      </c>
      <c r="X378" s="27" t="s">
        <v>5019</v>
      </c>
      <c r="Y378" s="27" t="s">
        <v>5020</v>
      </c>
      <c r="Z378" s="27" t="s">
        <v>4351</v>
      </c>
      <c r="AA378" s="27" t="s">
        <v>4352</v>
      </c>
      <c r="AB378" s="27" t="s">
        <v>585</v>
      </c>
      <c r="AC378" s="27" t="s">
        <v>5021</v>
      </c>
      <c r="AD378" s="27" t="s">
        <v>5022</v>
      </c>
      <c r="AE378" s="27" t="s">
        <v>110</v>
      </c>
      <c r="AF378" s="27" t="s">
        <v>5022</v>
      </c>
      <c r="AG378" s="27" t="s">
        <v>5023</v>
      </c>
      <c r="AH378" s="27" t="s">
        <v>5024</v>
      </c>
      <c r="AI378" s="27" t="s">
        <v>140</v>
      </c>
      <c r="AJ378" s="27" t="s">
        <v>262</v>
      </c>
      <c r="AK378" s="27" t="s">
        <v>104</v>
      </c>
      <c r="AL378" s="27"/>
      <c r="AM378" s="34">
        <v>322500000</v>
      </c>
      <c r="AN378" s="34">
        <v>249185268</v>
      </c>
      <c r="AO378" s="34">
        <v>43412500</v>
      </c>
      <c r="AP378" s="34">
        <v>28295089</v>
      </c>
      <c r="AQ378" s="34">
        <v>0</v>
      </c>
      <c r="AR378" s="34">
        <v>0</v>
      </c>
      <c r="AS378" s="34">
        <v>13392857</v>
      </c>
      <c r="AT378" s="34">
        <v>307500000</v>
      </c>
      <c r="AU378" s="34">
        <v>7000000</v>
      </c>
      <c r="AV378" s="34">
        <v>-15000000</v>
      </c>
      <c r="AW378" s="27"/>
      <c r="AX378" s="27"/>
      <c r="AY378" s="27" t="s">
        <v>83</v>
      </c>
      <c r="AZ378" s="27">
        <v>1</v>
      </c>
      <c r="BA378" s="27" t="s">
        <v>163</v>
      </c>
      <c r="BB378" s="27" t="s">
        <v>451</v>
      </c>
      <c r="BC378" s="27" t="s">
        <v>5025</v>
      </c>
      <c r="BD378" s="27" t="s">
        <v>422</v>
      </c>
      <c r="BE378" s="27" t="s">
        <v>422</v>
      </c>
      <c r="BF378" s="27" t="s">
        <v>5026</v>
      </c>
      <c r="BG378" s="27" t="s">
        <v>5027</v>
      </c>
      <c r="BH378" s="27" t="s">
        <v>474</v>
      </c>
      <c r="BI378" s="27" t="s">
        <v>477</v>
      </c>
      <c r="BJ378" s="27" t="s">
        <v>5028</v>
      </c>
      <c r="BK378" s="27" t="s">
        <v>430</v>
      </c>
      <c r="BL378" s="27" t="s">
        <v>5029</v>
      </c>
      <c r="BM378" s="38">
        <v>0</v>
      </c>
    </row>
    <row r="379" spans="1:65" s="1" customFormat="1" x14ac:dyDescent="0.2">
      <c r="A379" s="37">
        <v>546</v>
      </c>
      <c r="B379" s="27">
        <v>146</v>
      </c>
      <c r="C379" s="27" t="s">
        <v>503</v>
      </c>
      <c r="D379" s="27" t="s">
        <v>5030</v>
      </c>
      <c r="E379" s="27" t="s">
        <v>464</v>
      </c>
      <c r="F379" s="27" t="s">
        <v>462</v>
      </c>
      <c r="G379" s="28">
        <v>2026</v>
      </c>
      <c r="H379" s="20" t="str">
        <f>VLOOKUP(U379,'[1]KODE TYPE standar'!$D:$U,17,0)</f>
        <v>INV ZENIX HYBRID</v>
      </c>
      <c r="I379" s="20" t="str">
        <f>VLOOKUP(U379,'[1]KODE TYPE standar'!$D:$U,16,0)</f>
        <v>INNOVA</v>
      </c>
      <c r="J379" s="20" t="str">
        <f>VLOOKUP(U379,'[1]KODE TYPE standar'!$D:$U,18,0)</f>
        <v>INNOVA ZENIX G A/T HIYBRID</v>
      </c>
      <c r="K379" s="27" t="s">
        <v>50</v>
      </c>
      <c r="L379" s="27" t="s">
        <v>110</v>
      </c>
      <c r="M379" s="27" t="s">
        <v>50</v>
      </c>
      <c r="N379" s="27" t="s">
        <v>140</v>
      </c>
      <c r="O379" s="28" t="s">
        <v>156</v>
      </c>
      <c r="P379" s="29" t="s">
        <v>151</v>
      </c>
      <c r="Q379" s="29" t="s">
        <v>161</v>
      </c>
      <c r="R379" s="29" t="s">
        <v>1016</v>
      </c>
      <c r="S379" s="27" t="s">
        <v>724</v>
      </c>
      <c r="T379" s="27" t="s">
        <v>541</v>
      </c>
      <c r="U379" s="27" t="s">
        <v>388</v>
      </c>
      <c r="V379" s="27" t="s">
        <v>77</v>
      </c>
      <c r="W379" s="27" t="s">
        <v>78</v>
      </c>
      <c r="X379" s="27" t="s">
        <v>5031</v>
      </c>
      <c r="Y379" s="27" t="s">
        <v>5032</v>
      </c>
      <c r="Z379" s="27" t="s">
        <v>723</v>
      </c>
      <c r="AA379" s="27" t="s">
        <v>724</v>
      </c>
      <c r="AB379" s="27" t="s">
        <v>541</v>
      </c>
      <c r="AC379" s="27" t="s">
        <v>5033</v>
      </c>
      <c r="AD379" s="27" t="s">
        <v>5034</v>
      </c>
      <c r="AE379" s="27" t="s">
        <v>110</v>
      </c>
      <c r="AF379" s="27" t="s">
        <v>5034</v>
      </c>
      <c r="AG379" s="27" t="s">
        <v>5035</v>
      </c>
      <c r="AH379" s="27" t="s">
        <v>2068</v>
      </c>
      <c r="AI379" s="27" t="s">
        <v>140</v>
      </c>
      <c r="AJ379" s="27" t="s">
        <v>50</v>
      </c>
      <c r="AK379" s="27" t="s">
        <v>50</v>
      </c>
      <c r="AL379" s="27"/>
      <c r="AM379" s="34">
        <v>477500000</v>
      </c>
      <c r="AN379" s="34">
        <v>370279018</v>
      </c>
      <c r="AO379" s="34">
        <v>62787500</v>
      </c>
      <c r="AP379" s="34">
        <v>42183482</v>
      </c>
      <c r="AQ379" s="34">
        <v>0</v>
      </c>
      <c r="AR379" s="34">
        <v>0</v>
      </c>
      <c r="AS379" s="34">
        <v>18750000</v>
      </c>
      <c r="AT379" s="34">
        <v>456500000</v>
      </c>
      <c r="AU379" s="34">
        <v>6500000</v>
      </c>
      <c r="AV379" s="34">
        <v>-21000000</v>
      </c>
      <c r="AW379" s="27" t="s">
        <v>464</v>
      </c>
      <c r="AX379" s="27" t="s">
        <v>464</v>
      </c>
      <c r="AY379" s="27" t="s">
        <v>83</v>
      </c>
      <c r="AZ379" s="27">
        <v>1</v>
      </c>
      <c r="BA379" s="27"/>
      <c r="BB379" s="27" t="s">
        <v>469</v>
      </c>
      <c r="BC379" s="27" t="s">
        <v>5036</v>
      </c>
      <c r="BD379" s="27" t="s">
        <v>469</v>
      </c>
      <c r="BE379" s="27" t="s">
        <v>469</v>
      </c>
      <c r="BF379" s="27" t="s">
        <v>5037</v>
      </c>
      <c r="BG379" s="27" t="s">
        <v>5038</v>
      </c>
      <c r="BH379" s="27" t="s">
        <v>464</v>
      </c>
      <c r="BI379" s="27" t="s">
        <v>481</v>
      </c>
      <c r="BJ379" s="27" t="s">
        <v>5039</v>
      </c>
      <c r="BK379" s="27" t="s">
        <v>419</v>
      </c>
      <c r="BL379" s="27" t="s">
        <v>5040</v>
      </c>
      <c r="BM379" s="38">
        <v>0</v>
      </c>
    </row>
    <row r="380" spans="1:65" s="1" customFormat="1" x14ac:dyDescent="0.2">
      <c r="A380" s="37">
        <v>548</v>
      </c>
      <c r="B380" s="27">
        <v>146</v>
      </c>
      <c r="C380" s="27" t="s">
        <v>503</v>
      </c>
      <c r="D380" s="27" t="s">
        <v>5041</v>
      </c>
      <c r="E380" s="27" t="s">
        <v>473</v>
      </c>
      <c r="F380" s="27" t="s">
        <v>462</v>
      </c>
      <c r="G380" s="28">
        <v>2026</v>
      </c>
      <c r="H380" s="20" t="str">
        <f>VLOOKUP(U380,'[1]KODE TYPE standar'!$D:$U,17,0)</f>
        <v>AVANZA</v>
      </c>
      <c r="I380" s="20" t="str">
        <f>VLOOKUP(U380,'[1]KODE TYPE standar'!$D:$U,16,0)</f>
        <v>AVANZA</v>
      </c>
      <c r="J380" s="20" t="str">
        <f>VLOOKUP(U380,'[1]KODE TYPE standar'!$D:$U,18,0)</f>
        <v>AVANZA E M/T</v>
      </c>
      <c r="K380" s="27" t="s">
        <v>121</v>
      </c>
      <c r="L380" s="27" t="s">
        <v>110</v>
      </c>
      <c r="M380" s="27" t="s">
        <v>262</v>
      </c>
      <c r="N380" s="27" t="s">
        <v>140</v>
      </c>
      <c r="O380" s="28" t="s">
        <v>156</v>
      </c>
      <c r="P380" s="29" t="s">
        <v>151</v>
      </c>
      <c r="Q380" s="29" t="s">
        <v>161</v>
      </c>
      <c r="R380" s="29" t="s">
        <v>318</v>
      </c>
      <c r="S380" s="27" t="s">
        <v>908</v>
      </c>
      <c r="T380" s="27" t="s">
        <v>509</v>
      </c>
      <c r="U380" s="27" t="s">
        <v>447</v>
      </c>
      <c r="V380" s="27" t="s">
        <v>60</v>
      </c>
      <c r="W380" s="27" t="s">
        <v>61</v>
      </c>
      <c r="X380" s="27" t="s">
        <v>5042</v>
      </c>
      <c r="Y380" s="27" t="s">
        <v>5043</v>
      </c>
      <c r="Z380" s="27" t="s">
        <v>907</v>
      </c>
      <c r="AA380" s="27" t="s">
        <v>908</v>
      </c>
      <c r="AB380" s="27" t="s">
        <v>509</v>
      </c>
      <c r="AC380" s="27" t="s">
        <v>5044</v>
      </c>
      <c r="AD380" s="27" t="s">
        <v>5045</v>
      </c>
      <c r="AE380" s="27" t="s">
        <v>110</v>
      </c>
      <c r="AF380" s="27" t="s">
        <v>5045</v>
      </c>
      <c r="AG380" s="27" t="s">
        <v>5046</v>
      </c>
      <c r="AH380" s="27" t="s">
        <v>844</v>
      </c>
      <c r="AI380" s="27" t="s">
        <v>140</v>
      </c>
      <c r="AJ380" s="27" t="s">
        <v>262</v>
      </c>
      <c r="AK380" s="27" t="s">
        <v>104</v>
      </c>
      <c r="AL380" s="27"/>
      <c r="AM380" s="34">
        <v>247000000</v>
      </c>
      <c r="AN380" s="34">
        <v>190200893</v>
      </c>
      <c r="AO380" s="34">
        <v>33975000</v>
      </c>
      <c r="AP380" s="34">
        <v>21216964</v>
      </c>
      <c r="AQ380" s="34">
        <v>0</v>
      </c>
      <c r="AR380" s="34">
        <v>0</v>
      </c>
      <c r="AS380" s="34">
        <v>13392857</v>
      </c>
      <c r="AT380" s="34">
        <v>232000000</v>
      </c>
      <c r="AU380" s="34">
        <v>7000000</v>
      </c>
      <c r="AV380" s="34">
        <v>-15000000</v>
      </c>
      <c r="AW380" s="27"/>
      <c r="AX380" s="27"/>
      <c r="AY380" s="27" t="s">
        <v>83</v>
      </c>
      <c r="AZ380" s="27">
        <v>1</v>
      </c>
      <c r="BA380" s="27"/>
      <c r="BB380" s="27" t="s">
        <v>474</v>
      </c>
      <c r="BC380" s="27" t="s">
        <v>5047</v>
      </c>
      <c r="BD380" s="27" t="s">
        <v>455</v>
      </c>
      <c r="BE380" s="27" t="s">
        <v>455</v>
      </c>
      <c r="BF380" s="27" t="s">
        <v>5048</v>
      </c>
      <c r="BG380" s="27" t="s">
        <v>5049</v>
      </c>
      <c r="BH380" s="27" t="s">
        <v>473</v>
      </c>
      <c r="BI380" s="27" t="s">
        <v>460</v>
      </c>
      <c r="BJ380" s="27" t="s">
        <v>5050</v>
      </c>
      <c r="BK380" s="27" t="s">
        <v>458</v>
      </c>
      <c r="BL380" s="27" t="s">
        <v>5051</v>
      </c>
      <c r="BM380" s="38">
        <v>0</v>
      </c>
    </row>
    <row r="381" spans="1:65" s="1" customFormat="1" x14ac:dyDescent="0.2">
      <c r="A381" s="37">
        <v>585</v>
      </c>
      <c r="B381" s="27">
        <v>146</v>
      </c>
      <c r="C381" s="27" t="s">
        <v>503</v>
      </c>
      <c r="D381" s="27" t="s">
        <v>5052</v>
      </c>
      <c r="E381" s="27" t="s">
        <v>440</v>
      </c>
      <c r="F381" s="27" t="s">
        <v>462</v>
      </c>
      <c r="G381" s="28">
        <v>2026</v>
      </c>
      <c r="H381" s="20" t="str">
        <f>VLOOKUP(U381,'[1]KODE TYPE standar'!$D:$U,17,0)</f>
        <v>AVANZA</v>
      </c>
      <c r="I381" s="20" t="str">
        <f>VLOOKUP(U381,'[1]KODE TYPE standar'!$D:$U,16,0)</f>
        <v>AVANZA</v>
      </c>
      <c r="J381" s="20" t="str">
        <f>VLOOKUP(U381,'[1]KODE TYPE standar'!$D:$U,18,0)</f>
        <v>AVANZA E M/T</v>
      </c>
      <c r="K381" s="27" t="s">
        <v>118</v>
      </c>
      <c r="L381" s="27" t="s">
        <v>110</v>
      </c>
      <c r="M381" s="27" t="s">
        <v>262</v>
      </c>
      <c r="N381" s="27" t="s">
        <v>140</v>
      </c>
      <c r="O381" s="28" t="s">
        <v>156</v>
      </c>
      <c r="P381" s="29" t="s">
        <v>149</v>
      </c>
      <c r="Q381" s="29" t="s">
        <v>162</v>
      </c>
      <c r="R381" s="29" t="s">
        <v>597</v>
      </c>
      <c r="S381" s="27" t="s">
        <v>877</v>
      </c>
      <c r="T381" s="27" t="s">
        <v>585</v>
      </c>
      <c r="U381" s="27" t="s">
        <v>386</v>
      </c>
      <c r="V381" s="27" t="s">
        <v>64</v>
      </c>
      <c r="W381" s="27" t="s">
        <v>65</v>
      </c>
      <c r="X381" s="27" t="s">
        <v>5053</v>
      </c>
      <c r="Y381" s="27" t="s">
        <v>5054</v>
      </c>
      <c r="Z381" s="27" t="s">
        <v>876</v>
      </c>
      <c r="AA381" s="27" t="s">
        <v>877</v>
      </c>
      <c r="AB381" s="27" t="s">
        <v>585</v>
      </c>
      <c r="AC381" s="27" t="s">
        <v>5055</v>
      </c>
      <c r="AD381" s="27" t="s">
        <v>1851</v>
      </c>
      <c r="AE381" s="27" t="s">
        <v>110</v>
      </c>
      <c r="AF381" s="27" t="s">
        <v>5056</v>
      </c>
      <c r="AG381" s="27" t="s">
        <v>5057</v>
      </c>
      <c r="AH381" s="27" t="s">
        <v>1215</v>
      </c>
      <c r="AI381" s="27" t="s">
        <v>140</v>
      </c>
      <c r="AJ381" s="27" t="s">
        <v>262</v>
      </c>
      <c r="AK381" s="27" t="s">
        <v>63</v>
      </c>
      <c r="AL381" s="27"/>
      <c r="AM381" s="34">
        <v>247000000</v>
      </c>
      <c r="AN381" s="34">
        <v>190200893</v>
      </c>
      <c r="AO381" s="34">
        <v>33975000</v>
      </c>
      <c r="AP381" s="34">
        <v>21216964</v>
      </c>
      <c r="AQ381" s="34">
        <v>0</v>
      </c>
      <c r="AR381" s="34">
        <v>0</v>
      </c>
      <c r="AS381" s="34">
        <v>13392857</v>
      </c>
      <c r="AT381" s="34">
        <v>232000000</v>
      </c>
      <c r="AU381" s="34">
        <v>6400000</v>
      </c>
      <c r="AV381" s="34">
        <v>-15000000</v>
      </c>
      <c r="AW381" s="27" t="s">
        <v>422</v>
      </c>
      <c r="AX381" s="27" t="s">
        <v>422</v>
      </c>
      <c r="AY381" s="27" t="s">
        <v>83</v>
      </c>
      <c r="AZ381" s="27">
        <v>1</v>
      </c>
      <c r="BA381" s="27"/>
      <c r="BB381" s="27" t="s">
        <v>434</v>
      </c>
      <c r="BC381" s="27" t="s">
        <v>5058</v>
      </c>
      <c r="BD381" s="27" t="s">
        <v>467</v>
      </c>
      <c r="BE381" s="27" t="s">
        <v>467</v>
      </c>
      <c r="BF381" s="27" t="s">
        <v>5059</v>
      </c>
      <c r="BG381" s="27" t="s">
        <v>5060</v>
      </c>
      <c r="BH381" s="27" t="s">
        <v>440</v>
      </c>
      <c r="BI381" s="27" t="s">
        <v>458</v>
      </c>
      <c r="BJ381" s="27" t="s">
        <v>5061</v>
      </c>
      <c r="BK381" s="27" t="s">
        <v>260</v>
      </c>
      <c r="BL381" s="27" t="s">
        <v>5062</v>
      </c>
      <c r="BM381" s="38">
        <v>0</v>
      </c>
    </row>
    <row r="382" spans="1:65" s="1" customFormat="1" x14ac:dyDescent="0.2">
      <c r="A382" s="37">
        <v>586</v>
      </c>
      <c r="B382" s="27">
        <v>146</v>
      </c>
      <c r="C382" s="27" t="s">
        <v>503</v>
      </c>
      <c r="D382" s="27" t="s">
        <v>5063</v>
      </c>
      <c r="E382" s="27" t="s">
        <v>473</v>
      </c>
      <c r="F382" s="27" t="s">
        <v>462</v>
      </c>
      <c r="G382" s="28">
        <v>2026</v>
      </c>
      <c r="H382" s="20" t="str">
        <f>VLOOKUP(U382,'[1]KODE TYPE standar'!$D:$U,17,0)</f>
        <v>INV ZENIX HYBRID</v>
      </c>
      <c r="I382" s="20" t="str">
        <f>VLOOKUP(U382,'[1]KODE TYPE standar'!$D:$U,16,0)</f>
        <v>INNOVA</v>
      </c>
      <c r="J382" s="20" t="str">
        <f>VLOOKUP(U382,'[1]KODE TYPE standar'!$D:$U,18,0)</f>
        <v>INNOVA ZENIX Q A/T HYBRID</v>
      </c>
      <c r="K382" s="27" t="s">
        <v>119</v>
      </c>
      <c r="L382" s="27" t="s">
        <v>110</v>
      </c>
      <c r="M382" s="27" t="s">
        <v>262</v>
      </c>
      <c r="N382" s="27" t="s">
        <v>85</v>
      </c>
      <c r="O382" s="28" t="s">
        <v>6581</v>
      </c>
      <c r="P382" s="29" t="s">
        <v>149</v>
      </c>
      <c r="Q382" s="29" t="s">
        <v>161</v>
      </c>
      <c r="R382" s="29" t="s">
        <v>318</v>
      </c>
      <c r="S382" s="27" t="s">
        <v>795</v>
      </c>
      <c r="T382" s="27" t="s">
        <v>509</v>
      </c>
      <c r="U382" s="27" t="s">
        <v>208</v>
      </c>
      <c r="V382" s="27" t="s">
        <v>51</v>
      </c>
      <c r="W382" s="27" t="s">
        <v>86</v>
      </c>
      <c r="X382" s="27" t="s">
        <v>5064</v>
      </c>
      <c r="Y382" s="27" t="s">
        <v>5065</v>
      </c>
      <c r="Z382" s="27" t="s">
        <v>794</v>
      </c>
      <c r="AA382" s="27" t="s">
        <v>795</v>
      </c>
      <c r="AB382" s="27" t="s">
        <v>509</v>
      </c>
      <c r="AC382" s="27" t="s">
        <v>5066</v>
      </c>
      <c r="AD382" s="27" t="s">
        <v>5067</v>
      </c>
      <c r="AE382" s="27" t="s">
        <v>110</v>
      </c>
      <c r="AF382" s="27" t="s">
        <v>5067</v>
      </c>
      <c r="AG382" s="27" t="s">
        <v>5068</v>
      </c>
      <c r="AH382" s="27" t="s">
        <v>5069</v>
      </c>
      <c r="AI382" s="27" t="s">
        <v>85</v>
      </c>
      <c r="AJ382" s="27" t="s">
        <v>262</v>
      </c>
      <c r="AK382" s="27" t="s">
        <v>89</v>
      </c>
      <c r="AL382" s="27"/>
      <c r="AM382" s="34">
        <v>629800000</v>
      </c>
      <c r="AN382" s="34">
        <v>490187500</v>
      </c>
      <c r="AO382" s="34">
        <v>80790000</v>
      </c>
      <c r="AP382" s="34">
        <v>56679642</v>
      </c>
      <c r="AQ382" s="34">
        <v>0</v>
      </c>
      <c r="AR382" s="34">
        <v>0</v>
      </c>
      <c r="AS382" s="34">
        <v>17857143</v>
      </c>
      <c r="AT382" s="34">
        <v>609800000</v>
      </c>
      <c r="AU382" s="34">
        <v>269087600</v>
      </c>
      <c r="AV382" s="34">
        <v>-20000000</v>
      </c>
      <c r="AW382" s="27"/>
      <c r="AX382" s="27"/>
      <c r="AY382" s="27" t="s">
        <v>83</v>
      </c>
      <c r="AZ382" s="27">
        <v>1</v>
      </c>
      <c r="BA382" s="27"/>
      <c r="BB382" s="27" t="s">
        <v>473</v>
      </c>
      <c r="BC382" s="27" t="s">
        <v>5070</v>
      </c>
      <c r="BD382" s="27" t="s">
        <v>474</v>
      </c>
      <c r="BE382" s="27" t="s">
        <v>474</v>
      </c>
      <c r="BF382" s="27" t="s">
        <v>5071</v>
      </c>
      <c r="BG382" s="27" t="s">
        <v>5072</v>
      </c>
      <c r="BH382" s="27"/>
      <c r="BI382" s="27" t="s">
        <v>460</v>
      </c>
      <c r="BJ382" s="27" t="s">
        <v>5073</v>
      </c>
      <c r="BK382" s="27" t="s">
        <v>419</v>
      </c>
      <c r="BL382" s="27" t="s">
        <v>5074</v>
      </c>
      <c r="BM382" s="38">
        <v>0</v>
      </c>
    </row>
    <row r="383" spans="1:65" s="1" customFormat="1" x14ac:dyDescent="0.2">
      <c r="A383" s="37">
        <v>605</v>
      </c>
      <c r="B383" s="27">
        <v>146</v>
      </c>
      <c r="C383" s="27" t="s">
        <v>503</v>
      </c>
      <c r="D383" s="27" t="s">
        <v>5075</v>
      </c>
      <c r="E383" s="27" t="s">
        <v>458</v>
      </c>
      <c r="F383" s="27" t="s">
        <v>462</v>
      </c>
      <c r="G383" s="28">
        <v>2026</v>
      </c>
      <c r="H383" s="20" t="str">
        <f>VLOOKUP(U383,'[1]KODE TYPE standar'!$D:$U,17,0)</f>
        <v>ALPHARD HYBRID</v>
      </c>
      <c r="I383" s="20" t="str">
        <f>VLOOKUP(U383,'[1]KODE TYPE standar'!$D:$U,16,0)</f>
        <v>ALPHARD</v>
      </c>
      <c r="J383" s="20" t="str">
        <f>VLOOKUP(U383,'[1]KODE TYPE standar'!$D:$U,18,0)</f>
        <v>ALPHARD A/T HYBRID</v>
      </c>
      <c r="K383" s="27" t="s">
        <v>118</v>
      </c>
      <c r="L383" s="27" t="s">
        <v>110</v>
      </c>
      <c r="M383" s="27" t="s">
        <v>262</v>
      </c>
      <c r="N383" s="27" t="s">
        <v>140</v>
      </c>
      <c r="O383" s="28" t="s">
        <v>156</v>
      </c>
      <c r="P383" s="29" t="s">
        <v>149</v>
      </c>
      <c r="Q383" s="29" t="s">
        <v>162</v>
      </c>
      <c r="R383" s="29" t="s">
        <v>145</v>
      </c>
      <c r="S383" s="27" t="s">
        <v>524</v>
      </c>
      <c r="T383" s="27" t="s">
        <v>509</v>
      </c>
      <c r="U383" s="27" t="s">
        <v>285</v>
      </c>
      <c r="V383" s="27" t="s">
        <v>82</v>
      </c>
      <c r="W383" s="27" t="s">
        <v>69</v>
      </c>
      <c r="X383" s="27" t="s">
        <v>5076</v>
      </c>
      <c r="Y383" s="27" t="s">
        <v>5077</v>
      </c>
      <c r="Z383" s="27" t="s">
        <v>523</v>
      </c>
      <c r="AA383" s="27" t="s">
        <v>524</v>
      </c>
      <c r="AB383" s="27" t="s">
        <v>509</v>
      </c>
      <c r="AC383" s="27" t="s">
        <v>5078</v>
      </c>
      <c r="AD383" s="27" t="s">
        <v>5079</v>
      </c>
      <c r="AE383" s="27" t="s">
        <v>110</v>
      </c>
      <c r="AF383" s="27" t="s">
        <v>5080</v>
      </c>
      <c r="AG383" s="27" t="s">
        <v>5081</v>
      </c>
      <c r="AH383" s="27" t="s">
        <v>1614</v>
      </c>
      <c r="AI383" s="27" t="s">
        <v>140</v>
      </c>
      <c r="AJ383" s="27" t="s">
        <v>262</v>
      </c>
      <c r="AK383" s="27" t="s">
        <v>63</v>
      </c>
      <c r="AL383" s="27"/>
      <c r="AM383" s="34">
        <v>1388000000</v>
      </c>
      <c r="AN383" s="34">
        <v>1079508929</v>
      </c>
      <c r="AO383" s="34">
        <v>178950000</v>
      </c>
      <c r="AP383" s="34">
        <v>124719642</v>
      </c>
      <c r="AQ383" s="34">
        <v>0</v>
      </c>
      <c r="AR383" s="34">
        <v>0</v>
      </c>
      <c r="AS383" s="34">
        <v>40178571</v>
      </c>
      <c r="AT383" s="34">
        <v>1343000000</v>
      </c>
      <c r="AU383" s="34">
        <v>0</v>
      </c>
      <c r="AV383" s="34">
        <v>-45000000</v>
      </c>
      <c r="AW383" s="27" t="s">
        <v>475</v>
      </c>
      <c r="AX383" s="27" t="s">
        <v>475</v>
      </c>
      <c r="AY383" s="27" t="s">
        <v>83</v>
      </c>
      <c r="AZ383" s="27">
        <v>1</v>
      </c>
      <c r="BA383" s="27"/>
      <c r="BB383" s="27" t="s">
        <v>466</v>
      </c>
      <c r="BC383" s="27" t="s">
        <v>5082</v>
      </c>
      <c r="BD383" s="27" t="s">
        <v>466</v>
      </c>
      <c r="BE383" s="27" t="s">
        <v>466</v>
      </c>
      <c r="BF383" s="27" t="s">
        <v>5083</v>
      </c>
      <c r="BG383" s="27" t="s">
        <v>5084</v>
      </c>
      <c r="BH383" s="27" t="s">
        <v>458</v>
      </c>
      <c r="BI383" s="27" t="s">
        <v>479</v>
      </c>
      <c r="BJ383" s="27" t="s">
        <v>5085</v>
      </c>
      <c r="BK383" s="27" t="s">
        <v>408</v>
      </c>
      <c r="BL383" s="27" t="s">
        <v>5086</v>
      </c>
      <c r="BM383" s="38">
        <v>0</v>
      </c>
    </row>
    <row r="384" spans="1:65" s="1" customFormat="1" x14ac:dyDescent="0.2">
      <c r="A384" s="37">
        <v>652</v>
      </c>
      <c r="B384" s="27">
        <v>146</v>
      </c>
      <c r="C384" s="27" t="s">
        <v>503</v>
      </c>
      <c r="D384" s="27" t="s">
        <v>5087</v>
      </c>
      <c r="E384" s="27" t="s">
        <v>473</v>
      </c>
      <c r="F384" s="27" t="s">
        <v>462</v>
      </c>
      <c r="G384" s="28">
        <v>2026</v>
      </c>
      <c r="H384" s="20" t="str">
        <f>VLOOKUP(U384,'[1]KODE TYPE standar'!$D:$U,17,0)</f>
        <v>AGYA</v>
      </c>
      <c r="I384" s="20" t="str">
        <f>VLOOKUP(U384,'[1]KODE TYPE standar'!$D:$U,16,0)</f>
        <v>AGYA</v>
      </c>
      <c r="J384" s="20" t="str">
        <f>VLOOKUP(U384,'[1]KODE TYPE standar'!$D:$U,18,0)</f>
        <v>AGYA G M/T</v>
      </c>
      <c r="K384" s="27" t="s">
        <v>119</v>
      </c>
      <c r="L384" s="27" t="s">
        <v>110</v>
      </c>
      <c r="M384" s="27" t="s">
        <v>262</v>
      </c>
      <c r="N384" s="27" t="s">
        <v>141</v>
      </c>
      <c r="O384" s="28" t="s">
        <v>156</v>
      </c>
      <c r="P384" s="29" t="s">
        <v>151</v>
      </c>
      <c r="Q384" s="29" t="s">
        <v>161</v>
      </c>
      <c r="R384" s="29" t="s">
        <v>1016</v>
      </c>
      <c r="S384" s="27" t="s">
        <v>3907</v>
      </c>
      <c r="T384" s="27" t="s">
        <v>541</v>
      </c>
      <c r="U384" s="27" t="s">
        <v>5088</v>
      </c>
      <c r="V384" s="27" t="s">
        <v>269</v>
      </c>
      <c r="W384" s="27" t="s">
        <v>81</v>
      </c>
      <c r="X384" s="27" t="s">
        <v>5089</v>
      </c>
      <c r="Y384" s="27" t="s">
        <v>5090</v>
      </c>
      <c r="Z384" s="27" t="s">
        <v>3906</v>
      </c>
      <c r="AA384" s="27" t="s">
        <v>3907</v>
      </c>
      <c r="AB384" s="27" t="s">
        <v>541</v>
      </c>
      <c r="AC384" s="27" t="s">
        <v>5091</v>
      </c>
      <c r="AD384" s="27" t="s">
        <v>5092</v>
      </c>
      <c r="AE384" s="27" t="s">
        <v>110</v>
      </c>
      <c r="AF384" s="27" t="s">
        <v>5092</v>
      </c>
      <c r="AG384" s="27" t="s">
        <v>5093</v>
      </c>
      <c r="AH384" s="27" t="s">
        <v>1149</v>
      </c>
      <c r="AI384" s="27" t="s">
        <v>141</v>
      </c>
      <c r="AJ384" s="27" t="s">
        <v>262</v>
      </c>
      <c r="AK384" s="27" t="s">
        <v>89</v>
      </c>
      <c r="AL384" s="27"/>
      <c r="AM384" s="34">
        <v>184600000</v>
      </c>
      <c r="AN384" s="34">
        <v>141450893</v>
      </c>
      <c r="AO384" s="34">
        <v>26175000</v>
      </c>
      <c r="AP384" s="34">
        <v>15581250</v>
      </c>
      <c r="AQ384" s="34">
        <v>0</v>
      </c>
      <c r="AR384" s="34">
        <v>0</v>
      </c>
      <c r="AS384" s="34">
        <v>11607143</v>
      </c>
      <c r="AT384" s="34">
        <v>171600000</v>
      </c>
      <c r="AU384" s="34">
        <v>17230000</v>
      </c>
      <c r="AV384" s="34">
        <v>-13000000</v>
      </c>
      <c r="AW384" s="27"/>
      <c r="AX384" s="27"/>
      <c r="AY384" s="27" t="s">
        <v>83</v>
      </c>
      <c r="AZ384" s="27">
        <v>1</v>
      </c>
      <c r="BA384" s="27"/>
      <c r="BB384" s="27" t="s">
        <v>455</v>
      </c>
      <c r="BC384" s="27" t="s">
        <v>5094</v>
      </c>
      <c r="BD384" s="27" t="s">
        <v>455</v>
      </c>
      <c r="BE384" s="27" t="s">
        <v>455</v>
      </c>
      <c r="BF384" s="27" t="s">
        <v>5095</v>
      </c>
      <c r="BG384" s="27" t="s">
        <v>5096</v>
      </c>
      <c r="BH384" s="27"/>
      <c r="BI384" s="27" t="s">
        <v>460</v>
      </c>
      <c r="BJ384" s="27" t="s">
        <v>5097</v>
      </c>
      <c r="BK384" s="27" t="s">
        <v>474</v>
      </c>
      <c r="BL384" s="27" t="s">
        <v>5098</v>
      </c>
      <c r="BM384" s="38">
        <v>0</v>
      </c>
    </row>
    <row r="385" spans="1:65" s="1" customFormat="1" x14ac:dyDescent="0.2">
      <c r="A385" s="37">
        <v>656</v>
      </c>
      <c r="B385" s="27">
        <v>146</v>
      </c>
      <c r="C385" s="27" t="s">
        <v>503</v>
      </c>
      <c r="D385" s="27" t="s">
        <v>5099</v>
      </c>
      <c r="E385" s="27" t="s">
        <v>434</v>
      </c>
      <c r="F385" s="27" t="s">
        <v>462</v>
      </c>
      <c r="G385" s="28">
        <v>2026</v>
      </c>
      <c r="H385" s="20" t="str">
        <f>VLOOKUP(U385,'[1]KODE TYPE standar'!$D:$U,17,0)</f>
        <v>INV ZENIX HYBRID</v>
      </c>
      <c r="I385" s="20" t="str">
        <f>VLOOKUP(U385,'[1]KODE TYPE standar'!$D:$U,16,0)</f>
        <v>INNOVA</v>
      </c>
      <c r="J385" s="20" t="str">
        <f>VLOOKUP(U385,'[1]KODE TYPE standar'!$D:$U,18,0)</f>
        <v>INNOVA ZENIX Q A/T HYBRID</v>
      </c>
      <c r="K385" s="27" t="s">
        <v>118</v>
      </c>
      <c r="L385" s="27" t="s">
        <v>110</v>
      </c>
      <c r="M385" s="27" t="s">
        <v>262</v>
      </c>
      <c r="N385" s="27" t="s">
        <v>141</v>
      </c>
      <c r="O385" s="28" t="s">
        <v>156</v>
      </c>
      <c r="P385" s="29" t="s">
        <v>149</v>
      </c>
      <c r="Q385" s="29" t="s">
        <v>161</v>
      </c>
      <c r="R385" s="29" t="s">
        <v>597</v>
      </c>
      <c r="S385" s="27" t="s">
        <v>1171</v>
      </c>
      <c r="T385" s="27" t="s">
        <v>509</v>
      </c>
      <c r="U385" s="27" t="s">
        <v>208</v>
      </c>
      <c r="V385" s="27" t="s">
        <v>51</v>
      </c>
      <c r="W385" s="27" t="s">
        <v>86</v>
      </c>
      <c r="X385" s="27" t="s">
        <v>5100</v>
      </c>
      <c r="Y385" s="27" t="s">
        <v>5101</v>
      </c>
      <c r="Z385" s="27" t="s">
        <v>1170</v>
      </c>
      <c r="AA385" s="27" t="s">
        <v>1171</v>
      </c>
      <c r="AB385" s="27" t="s">
        <v>509</v>
      </c>
      <c r="AC385" s="27" t="s">
        <v>5102</v>
      </c>
      <c r="AD385" s="27" t="s">
        <v>5103</v>
      </c>
      <c r="AE385" s="27" t="s">
        <v>110</v>
      </c>
      <c r="AF385" s="27" t="s">
        <v>5103</v>
      </c>
      <c r="AG385" s="27" t="s">
        <v>5104</v>
      </c>
      <c r="AH385" s="27" t="s">
        <v>1442</v>
      </c>
      <c r="AI385" s="27" t="s">
        <v>141</v>
      </c>
      <c r="AJ385" s="27" t="s">
        <v>262</v>
      </c>
      <c r="AK385" s="27" t="s">
        <v>63</v>
      </c>
      <c r="AL385" s="27"/>
      <c r="AM385" s="34">
        <v>631100000</v>
      </c>
      <c r="AN385" s="34">
        <v>490279018</v>
      </c>
      <c r="AO385" s="34">
        <v>81987500</v>
      </c>
      <c r="AP385" s="34">
        <v>56583482</v>
      </c>
      <c r="AQ385" s="34">
        <v>0</v>
      </c>
      <c r="AR385" s="34">
        <v>0</v>
      </c>
      <c r="AS385" s="34">
        <v>18750000</v>
      </c>
      <c r="AT385" s="34">
        <v>610100000</v>
      </c>
      <c r="AU385" s="34">
        <v>0</v>
      </c>
      <c r="AV385" s="34">
        <v>-21000000</v>
      </c>
      <c r="AW385" s="27" t="s">
        <v>427</v>
      </c>
      <c r="AX385" s="27" t="s">
        <v>427</v>
      </c>
      <c r="AY385" s="27" t="s">
        <v>83</v>
      </c>
      <c r="AZ385" s="27">
        <v>1</v>
      </c>
      <c r="BA385" s="27"/>
      <c r="BB385" s="27" t="s">
        <v>412</v>
      </c>
      <c r="BC385" s="27" t="s">
        <v>5105</v>
      </c>
      <c r="BD385" s="27" t="s">
        <v>421</v>
      </c>
      <c r="BE385" s="27" t="s">
        <v>421</v>
      </c>
      <c r="BF385" s="27" t="s">
        <v>5106</v>
      </c>
      <c r="BG385" s="27" t="s">
        <v>5107</v>
      </c>
      <c r="BH385" s="27" t="s">
        <v>434</v>
      </c>
      <c r="BI385" s="27" t="s">
        <v>466</v>
      </c>
      <c r="BJ385" s="27" t="s">
        <v>5108</v>
      </c>
      <c r="BK385" s="27" t="s">
        <v>414</v>
      </c>
      <c r="BL385" s="27" t="s">
        <v>5109</v>
      </c>
      <c r="BM385" s="38">
        <v>0</v>
      </c>
    </row>
    <row r="386" spans="1:65" s="1" customFormat="1" x14ac:dyDescent="0.2">
      <c r="A386" s="37">
        <v>675</v>
      </c>
      <c r="B386" s="27">
        <v>146</v>
      </c>
      <c r="C386" s="27" t="s">
        <v>503</v>
      </c>
      <c r="D386" s="27" t="s">
        <v>5110</v>
      </c>
      <c r="E386" s="27" t="s">
        <v>466</v>
      </c>
      <c r="F386" s="27" t="s">
        <v>462</v>
      </c>
      <c r="G386" s="28">
        <v>2026</v>
      </c>
      <c r="H386" s="20" t="str">
        <f>VLOOKUP(U386,'[1]KODE TYPE standar'!$D:$U,17,0)</f>
        <v>CALYA</v>
      </c>
      <c r="I386" s="20" t="str">
        <f>VLOOKUP(U386,'[1]KODE TYPE standar'!$D:$U,16,0)</f>
        <v>CALYA</v>
      </c>
      <c r="J386" s="20" t="str">
        <f>VLOOKUP(U386,'[1]KODE TYPE standar'!$D:$U,18,0)</f>
        <v>CALYA G M/T</v>
      </c>
      <c r="K386" s="27" t="s">
        <v>121</v>
      </c>
      <c r="L386" s="27" t="s">
        <v>110</v>
      </c>
      <c r="M386" s="27" t="s">
        <v>262</v>
      </c>
      <c r="N386" s="27" t="s">
        <v>140</v>
      </c>
      <c r="O386" s="28" t="s">
        <v>156</v>
      </c>
      <c r="P386" s="29" t="s">
        <v>536</v>
      </c>
      <c r="Q386" s="29" t="s">
        <v>161</v>
      </c>
      <c r="R386" s="29" t="s">
        <v>597</v>
      </c>
      <c r="S386" s="27" t="s">
        <v>631</v>
      </c>
      <c r="T386" s="27" t="s">
        <v>509</v>
      </c>
      <c r="U386" s="27" t="s">
        <v>268</v>
      </c>
      <c r="V386" s="27" t="s">
        <v>77</v>
      </c>
      <c r="W386" s="27" t="s">
        <v>78</v>
      </c>
      <c r="X386" s="27" t="s">
        <v>5111</v>
      </c>
      <c r="Y386" s="27" t="s">
        <v>5112</v>
      </c>
      <c r="Z386" s="27" t="s">
        <v>630</v>
      </c>
      <c r="AA386" s="27" t="s">
        <v>631</v>
      </c>
      <c r="AB386" s="27" t="s">
        <v>509</v>
      </c>
      <c r="AC386" s="27" t="s">
        <v>5113</v>
      </c>
      <c r="AD386" s="27" t="s">
        <v>5114</v>
      </c>
      <c r="AE386" s="27" t="s">
        <v>110</v>
      </c>
      <c r="AF386" s="27" t="s">
        <v>5114</v>
      </c>
      <c r="AG386" s="27" t="s">
        <v>5115</v>
      </c>
      <c r="AH386" s="27" t="s">
        <v>1745</v>
      </c>
      <c r="AI386" s="27" t="s">
        <v>140</v>
      </c>
      <c r="AJ386" s="27" t="s">
        <v>262</v>
      </c>
      <c r="AK386" s="27" t="s">
        <v>104</v>
      </c>
      <c r="AL386" s="27"/>
      <c r="AM386" s="34">
        <v>182200000</v>
      </c>
      <c r="AN386" s="34">
        <v>139575893</v>
      </c>
      <c r="AO386" s="34">
        <v>25875000</v>
      </c>
      <c r="AP386" s="34">
        <v>15677678</v>
      </c>
      <c r="AQ386" s="34">
        <v>0</v>
      </c>
      <c r="AR386" s="34">
        <v>0</v>
      </c>
      <c r="AS386" s="34">
        <v>8928571</v>
      </c>
      <c r="AT386" s="34">
        <v>172200000</v>
      </c>
      <c r="AU386" s="34">
        <v>3000000</v>
      </c>
      <c r="AV386" s="34">
        <v>-10000000</v>
      </c>
      <c r="AW386" s="27" t="s">
        <v>455</v>
      </c>
      <c r="AX386" s="27" t="s">
        <v>455</v>
      </c>
      <c r="AY386" s="27" t="s">
        <v>83</v>
      </c>
      <c r="AZ386" s="27">
        <v>1</v>
      </c>
      <c r="BA386" s="27"/>
      <c r="BB386" s="27" t="s">
        <v>434</v>
      </c>
      <c r="BC386" s="27" t="s">
        <v>5116</v>
      </c>
      <c r="BD386" s="27" t="s">
        <v>412</v>
      </c>
      <c r="BE386" s="27" t="s">
        <v>412</v>
      </c>
      <c r="BF386" s="27" t="s">
        <v>5117</v>
      </c>
      <c r="BG386" s="27" t="s">
        <v>5118</v>
      </c>
      <c r="BH386" s="27" t="s">
        <v>466</v>
      </c>
      <c r="BI386" s="27" t="s">
        <v>468</v>
      </c>
      <c r="BJ386" s="27" t="s">
        <v>5119</v>
      </c>
      <c r="BK386" s="27" t="s">
        <v>464</v>
      </c>
      <c r="BL386" s="27" t="s">
        <v>5120</v>
      </c>
      <c r="BM386" s="38">
        <v>0</v>
      </c>
    </row>
    <row r="387" spans="1:65" s="1" customFormat="1" x14ac:dyDescent="0.2">
      <c r="A387" s="37">
        <v>680</v>
      </c>
      <c r="B387" s="27">
        <v>146</v>
      </c>
      <c r="C387" s="27" t="s">
        <v>503</v>
      </c>
      <c r="D387" s="27" t="s">
        <v>5121</v>
      </c>
      <c r="E387" s="27" t="s">
        <v>473</v>
      </c>
      <c r="F387" s="27" t="s">
        <v>462</v>
      </c>
      <c r="G387" s="28">
        <v>2026</v>
      </c>
      <c r="H387" s="20" t="str">
        <f>VLOOKUP(U387,'[1]KODE TYPE standar'!$D:$U,17,0)</f>
        <v>HIACE</v>
      </c>
      <c r="I387" s="20" t="str">
        <f>VLOOKUP(U387,'[1]KODE TYPE standar'!$D:$U,16,0)</f>
        <v>HIACE</v>
      </c>
      <c r="J387" s="20" t="str">
        <f>VLOOKUP(U387,'[1]KODE TYPE standar'!$D:$U,18,0)</f>
        <v>HIACE COMM</v>
      </c>
      <c r="K387" s="27" t="s">
        <v>119</v>
      </c>
      <c r="L387" s="27" t="s">
        <v>110</v>
      </c>
      <c r="M387" s="27" t="s">
        <v>262</v>
      </c>
      <c r="N387" s="27" t="s">
        <v>139</v>
      </c>
      <c r="O387" s="28" t="s">
        <v>156</v>
      </c>
      <c r="P387" s="29" t="s">
        <v>149</v>
      </c>
      <c r="Q387" s="29" t="s">
        <v>161</v>
      </c>
      <c r="R387" s="29" t="s">
        <v>145</v>
      </c>
      <c r="S387" s="27" t="s">
        <v>978</v>
      </c>
      <c r="T387" s="27" t="s">
        <v>541</v>
      </c>
      <c r="U387" s="27" t="s">
        <v>4686</v>
      </c>
      <c r="V387" s="27" t="s">
        <v>331</v>
      </c>
      <c r="W387" s="27" t="s">
        <v>81</v>
      </c>
      <c r="X387" s="27" t="s">
        <v>5122</v>
      </c>
      <c r="Y387" s="27" t="s">
        <v>5123</v>
      </c>
      <c r="Z387" s="27" t="s">
        <v>977</v>
      </c>
      <c r="AA387" s="27" t="s">
        <v>978</v>
      </c>
      <c r="AB387" s="27" t="s">
        <v>541</v>
      </c>
      <c r="AC387" s="27" t="s">
        <v>5124</v>
      </c>
      <c r="AD387" s="27" t="s">
        <v>5125</v>
      </c>
      <c r="AE387" s="27" t="s">
        <v>110</v>
      </c>
      <c r="AF387" s="27" t="s">
        <v>5125</v>
      </c>
      <c r="AG387" s="27" t="s">
        <v>5126</v>
      </c>
      <c r="AH387" s="27" t="s">
        <v>913</v>
      </c>
      <c r="AI387" s="27" t="s">
        <v>139</v>
      </c>
      <c r="AJ387" s="27" t="s">
        <v>262</v>
      </c>
      <c r="AK387" s="27" t="s">
        <v>89</v>
      </c>
      <c r="AL387" s="27"/>
      <c r="AM387" s="34">
        <v>578900000</v>
      </c>
      <c r="AN387" s="34">
        <v>451430180</v>
      </c>
      <c r="AO387" s="34">
        <v>77812500</v>
      </c>
      <c r="AP387" s="34">
        <v>46188851</v>
      </c>
      <c r="AQ387" s="34">
        <v>0</v>
      </c>
      <c r="AR387" s="34">
        <v>0</v>
      </c>
      <c r="AS387" s="34">
        <v>31531532</v>
      </c>
      <c r="AT387" s="34">
        <v>543900000</v>
      </c>
      <c r="AU387" s="34">
        <v>0</v>
      </c>
      <c r="AV387" s="34">
        <v>-35000000</v>
      </c>
      <c r="AW387" s="27"/>
      <c r="AX387" s="27"/>
      <c r="AY387" s="27" t="s">
        <v>83</v>
      </c>
      <c r="AZ387" s="27">
        <v>1</v>
      </c>
      <c r="BA387" s="27"/>
      <c r="BB387" s="27" t="s">
        <v>455</v>
      </c>
      <c r="BC387" s="27" t="s">
        <v>5127</v>
      </c>
      <c r="BD387" s="27" t="s">
        <v>455</v>
      </c>
      <c r="BE387" s="27" t="s">
        <v>455</v>
      </c>
      <c r="BF387" s="27" t="s">
        <v>5128</v>
      </c>
      <c r="BG387" s="27" t="s">
        <v>5129</v>
      </c>
      <c r="BH387" s="27"/>
      <c r="BI387" s="27" t="s">
        <v>460</v>
      </c>
      <c r="BJ387" s="27" t="s">
        <v>5130</v>
      </c>
      <c r="BK387" s="27" t="s">
        <v>366</v>
      </c>
      <c r="BL387" s="27" t="s">
        <v>5131</v>
      </c>
      <c r="BM387" s="38">
        <v>0</v>
      </c>
    </row>
    <row r="388" spans="1:65" s="1" customFormat="1" x14ac:dyDescent="0.2">
      <c r="A388" s="37">
        <v>691</v>
      </c>
      <c r="B388" s="27">
        <v>146</v>
      </c>
      <c r="C388" s="27" t="s">
        <v>503</v>
      </c>
      <c r="D388" s="27" t="s">
        <v>5132</v>
      </c>
      <c r="E388" s="27" t="s">
        <v>458</v>
      </c>
      <c r="F388" s="27" t="s">
        <v>462</v>
      </c>
      <c r="G388" s="28">
        <v>2026</v>
      </c>
      <c r="H388" s="20" t="str">
        <f>VLOOKUP(U388,'[1]KODE TYPE standar'!$D:$U,17,0)</f>
        <v>CALYA</v>
      </c>
      <c r="I388" s="20" t="str">
        <f>VLOOKUP(U388,'[1]KODE TYPE standar'!$D:$U,16,0)</f>
        <v>CALYA</v>
      </c>
      <c r="J388" s="20" t="str">
        <f>VLOOKUP(U388,'[1]KODE TYPE standar'!$D:$U,18,0)</f>
        <v>CALYA G M/T</v>
      </c>
      <c r="K388" s="27" t="s">
        <v>118</v>
      </c>
      <c r="L388" s="27" t="s">
        <v>110</v>
      </c>
      <c r="M388" s="27" t="s">
        <v>262</v>
      </c>
      <c r="N388" s="27" t="s">
        <v>106</v>
      </c>
      <c r="O388" s="28" t="s">
        <v>156</v>
      </c>
      <c r="P388" s="29" t="s">
        <v>151</v>
      </c>
      <c r="Q388" s="29" t="s">
        <v>161</v>
      </c>
      <c r="R388" s="29" t="s">
        <v>145</v>
      </c>
      <c r="S388" s="27" t="s">
        <v>3933</v>
      </c>
      <c r="T388" s="27" t="s">
        <v>541</v>
      </c>
      <c r="U388" s="27" t="s">
        <v>268</v>
      </c>
      <c r="V388" s="27" t="s">
        <v>68</v>
      </c>
      <c r="W388" s="27" t="s">
        <v>69</v>
      </c>
      <c r="X388" s="27" t="s">
        <v>5133</v>
      </c>
      <c r="Y388" s="27" t="s">
        <v>5134</v>
      </c>
      <c r="Z388" s="27" t="s">
        <v>3932</v>
      </c>
      <c r="AA388" s="27" t="s">
        <v>3933</v>
      </c>
      <c r="AB388" s="27" t="s">
        <v>541</v>
      </c>
      <c r="AC388" s="27" t="s">
        <v>5135</v>
      </c>
      <c r="AD388" s="27" t="s">
        <v>5136</v>
      </c>
      <c r="AE388" s="27" t="s">
        <v>110</v>
      </c>
      <c r="AF388" s="27" t="s">
        <v>5137</v>
      </c>
      <c r="AG388" s="27" t="s">
        <v>5138</v>
      </c>
      <c r="AH388" s="27" t="s">
        <v>5139</v>
      </c>
      <c r="AI388" s="27" t="s">
        <v>106</v>
      </c>
      <c r="AJ388" s="27" t="s">
        <v>262</v>
      </c>
      <c r="AK388" s="27" t="s">
        <v>63</v>
      </c>
      <c r="AL388" s="27"/>
      <c r="AM388" s="34">
        <v>182200000</v>
      </c>
      <c r="AN388" s="34">
        <v>139575893</v>
      </c>
      <c r="AO388" s="34">
        <v>25875000</v>
      </c>
      <c r="AP388" s="34">
        <v>15677678</v>
      </c>
      <c r="AQ388" s="34">
        <v>0</v>
      </c>
      <c r="AR388" s="34">
        <v>0</v>
      </c>
      <c r="AS388" s="34">
        <v>8928571</v>
      </c>
      <c r="AT388" s="34">
        <v>172200000</v>
      </c>
      <c r="AU388" s="34">
        <v>2000000</v>
      </c>
      <c r="AV388" s="34">
        <v>-10000000</v>
      </c>
      <c r="AW388" s="27"/>
      <c r="AX388" s="27"/>
      <c r="AY388" s="27" t="s">
        <v>83</v>
      </c>
      <c r="AZ388" s="27">
        <v>1</v>
      </c>
      <c r="BA388" s="27"/>
      <c r="BB388" s="27" t="s">
        <v>451</v>
      </c>
      <c r="BC388" s="27" t="s">
        <v>5140</v>
      </c>
      <c r="BD388" s="27" t="s">
        <v>451</v>
      </c>
      <c r="BE388" s="27" t="s">
        <v>451</v>
      </c>
      <c r="BF388" s="27" t="s">
        <v>5141</v>
      </c>
      <c r="BG388" s="27" t="s">
        <v>5142</v>
      </c>
      <c r="BH388" s="27"/>
      <c r="BI388" s="27" t="s">
        <v>479</v>
      </c>
      <c r="BJ388" s="27" t="s">
        <v>5143</v>
      </c>
      <c r="BK388" s="27" t="s">
        <v>427</v>
      </c>
      <c r="BL388" s="27" t="s">
        <v>5144</v>
      </c>
      <c r="BM388" s="38">
        <v>0</v>
      </c>
    </row>
    <row r="389" spans="1:65" s="1" customFormat="1" x14ac:dyDescent="0.2">
      <c r="A389" s="37">
        <v>693</v>
      </c>
      <c r="B389" s="27">
        <v>146</v>
      </c>
      <c r="C389" s="27" t="s">
        <v>503</v>
      </c>
      <c r="D389" s="27" t="s">
        <v>5145</v>
      </c>
      <c r="E389" s="27" t="s">
        <v>458</v>
      </c>
      <c r="F389" s="27" t="s">
        <v>462</v>
      </c>
      <c r="G389" s="28">
        <v>2026</v>
      </c>
      <c r="H389" s="20" t="str">
        <f>VLOOKUP(U389,'[1]KODE TYPE standar'!$D:$U,17,0)</f>
        <v>AVANZA</v>
      </c>
      <c r="I389" s="20" t="str">
        <f>VLOOKUP(U389,'[1]KODE TYPE standar'!$D:$U,16,0)</f>
        <v>AVANZA</v>
      </c>
      <c r="J389" s="20" t="str">
        <f>VLOOKUP(U389,'[1]KODE TYPE standar'!$D:$U,18,0)</f>
        <v>AVANZA E M/T</v>
      </c>
      <c r="K389" s="27" t="s">
        <v>119</v>
      </c>
      <c r="L389" s="27" t="s">
        <v>110</v>
      </c>
      <c r="M389" s="27" t="s">
        <v>262</v>
      </c>
      <c r="N389" s="27" t="s">
        <v>141</v>
      </c>
      <c r="O389" s="28" t="s">
        <v>156</v>
      </c>
      <c r="P389" s="29" t="s">
        <v>151</v>
      </c>
      <c r="Q389" s="29" t="s">
        <v>162</v>
      </c>
      <c r="R389" s="29" t="s">
        <v>145</v>
      </c>
      <c r="S389" s="27" t="s">
        <v>540</v>
      </c>
      <c r="T389" s="27" t="s">
        <v>541</v>
      </c>
      <c r="U389" s="27" t="s">
        <v>447</v>
      </c>
      <c r="V389" s="27" t="s">
        <v>64</v>
      </c>
      <c r="W389" s="27" t="s">
        <v>65</v>
      </c>
      <c r="X389" s="27" t="s">
        <v>5146</v>
      </c>
      <c r="Y389" s="27" t="s">
        <v>5147</v>
      </c>
      <c r="Z389" s="27" t="s">
        <v>539</v>
      </c>
      <c r="AA389" s="27" t="s">
        <v>540</v>
      </c>
      <c r="AB389" s="27" t="s">
        <v>541</v>
      </c>
      <c r="AC389" s="27" t="s">
        <v>5148</v>
      </c>
      <c r="AD389" s="27" t="s">
        <v>5149</v>
      </c>
      <c r="AE389" s="27" t="s">
        <v>110</v>
      </c>
      <c r="AF389" s="27" t="s">
        <v>5149</v>
      </c>
      <c r="AG389" s="27" t="s">
        <v>5150</v>
      </c>
      <c r="AH389" s="27" t="s">
        <v>1602</v>
      </c>
      <c r="AI389" s="27" t="s">
        <v>141</v>
      </c>
      <c r="AJ389" s="27" t="s">
        <v>262</v>
      </c>
      <c r="AK389" s="27" t="s">
        <v>89</v>
      </c>
      <c r="AL389" s="27"/>
      <c r="AM389" s="34">
        <v>247000000</v>
      </c>
      <c r="AN389" s="34">
        <v>190200893</v>
      </c>
      <c r="AO389" s="34">
        <v>33975000</v>
      </c>
      <c r="AP389" s="34">
        <v>21216964</v>
      </c>
      <c r="AQ389" s="34">
        <v>0</v>
      </c>
      <c r="AR389" s="34">
        <v>0</v>
      </c>
      <c r="AS389" s="34">
        <v>13392857</v>
      </c>
      <c r="AT389" s="34">
        <v>232000000</v>
      </c>
      <c r="AU389" s="34">
        <v>7000000</v>
      </c>
      <c r="AV389" s="34">
        <v>-15000000</v>
      </c>
      <c r="AW389" s="27"/>
      <c r="AX389" s="27"/>
      <c r="AY389" s="27" t="s">
        <v>83</v>
      </c>
      <c r="AZ389" s="27">
        <v>1</v>
      </c>
      <c r="BA389" s="27"/>
      <c r="BB389" s="27" t="s">
        <v>464</v>
      </c>
      <c r="BC389" s="27" t="s">
        <v>5151</v>
      </c>
      <c r="BD389" s="27" t="s">
        <v>464</v>
      </c>
      <c r="BE389" s="27" t="s">
        <v>464</v>
      </c>
      <c r="BF389" s="27" t="s">
        <v>5152</v>
      </c>
      <c r="BG389" s="27" t="s">
        <v>5153</v>
      </c>
      <c r="BH389" s="27" t="s">
        <v>458</v>
      </c>
      <c r="BI389" s="27" t="s">
        <v>479</v>
      </c>
      <c r="BJ389" s="27" t="s">
        <v>5154</v>
      </c>
      <c r="BK389" s="27" t="s">
        <v>466</v>
      </c>
      <c r="BL389" s="27" t="s">
        <v>5155</v>
      </c>
      <c r="BM389" s="38">
        <v>0</v>
      </c>
    </row>
    <row r="390" spans="1:65" s="1" customFormat="1" x14ac:dyDescent="0.2">
      <c r="A390" s="37">
        <v>758</v>
      </c>
      <c r="B390" s="27">
        <v>146</v>
      </c>
      <c r="C390" s="27" t="s">
        <v>503</v>
      </c>
      <c r="D390" s="27" t="s">
        <v>5156</v>
      </c>
      <c r="E390" s="27" t="s">
        <v>463</v>
      </c>
      <c r="F390" s="27" t="s">
        <v>462</v>
      </c>
      <c r="G390" s="28">
        <v>2026</v>
      </c>
      <c r="H390" s="20" t="str">
        <f>VLOOKUP(U390,'[1]KODE TYPE standar'!$D:$U,17,0)</f>
        <v>FORTUNER</v>
      </c>
      <c r="I390" s="20" t="str">
        <f>VLOOKUP(U390,'[1]KODE TYPE standar'!$D:$U,16,0)</f>
        <v>FORTUNER</v>
      </c>
      <c r="J390" s="20" t="str">
        <f>VLOOKUP(U390,'[1]KODE TYPE standar'!$D:$U,18,0)</f>
        <v>FORTUNER 4X2 VRZ A/T DIESEL</v>
      </c>
      <c r="K390" s="27" t="s">
        <v>119</v>
      </c>
      <c r="L390" s="27" t="s">
        <v>110</v>
      </c>
      <c r="M390" s="27" t="s">
        <v>262</v>
      </c>
      <c r="N390" s="27" t="s">
        <v>140</v>
      </c>
      <c r="O390" s="28" t="s">
        <v>156</v>
      </c>
      <c r="P390" s="29" t="s">
        <v>151</v>
      </c>
      <c r="Q390" s="29" t="s">
        <v>161</v>
      </c>
      <c r="R390" s="29" t="s">
        <v>145</v>
      </c>
      <c r="S390" s="27" t="s">
        <v>631</v>
      </c>
      <c r="T390" s="27" t="s">
        <v>509</v>
      </c>
      <c r="U390" s="27" t="s">
        <v>122</v>
      </c>
      <c r="V390" s="27" t="s">
        <v>48</v>
      </c>
      <c r="W390" s="27" t="s">
        <v>49</v>
      </c>
      <c r="X390" s="27" t="s">
        <v>5157</v>
      </c>
      <c r="Y390" s="27" t="s">
        <v>5158</v>
      </c>
      <c r="Z390" s="27" t="s">
        <v>630</v>
      </c>
      <c r="AA390" s="27" t="s">
        <v>631</v>
      </c>
      <c r="AB390" s="27" t="s">
        <v>509</v>
      </c>
      <c r="AC390" s="27" t="s">
        <v>5159</v>
      </c>
      <c r="AD390" s="27" t="s">
        <v>5160</v>
      </c>
      <c r="AE390" s="27" t="s">
        <v>110</v>
      </c>
      <c r="AF390" s="27" t="s">
        <v>5160</v>
      </c>
      <c r="AG390" s="27" t="s">
        <v>5161</v>
      </c>
      <c r="AH390" s="27" t="s">
        <v>528</v>
      </c>
      <c r="AI390" s="27" t="s">
        <v>140</v>
      </c>
      <c r="AJ390" s="27" t="s">
        <v>262</v>
      </c>
      <c r="AK390" s="27" t="s">
        <v>89</v>
      </c>
      <c r="AL390" s="27"/>
      <c r="AM390" s="34">
        <v>680700000</v>
      </c>
      <c r="AN390" s="34">
        <v>529029018</v>
      </c>
      <c r="AO390" s="34">
        <v>88187500</v>
      </c>
      <c r="AP390" s="34">
        <v>59733482</v>
      </c>
      <c r="AQ390" s="34">
        <v>0</v>
      </c>
      <c r="AR390" s="34">
        <v>0</v>
      </c>
      <c r="AS390" s="34">
        <v>31250000</v>
      </c>
      <c r="AT390" s="34">
        <v>645700000</v>
      </c>
      <c r="AU390" s="34">
        <v>5000000</v>
      </c>
      <c r="AV390" s="34">
        <v>-35000000</v>
      </c>
      <c r="AW390" s="27" t="s">
        <v>458</v>
      </c>
      <c r="AX390" s="27" t="s">
        <v>458</v>
      </c>
      <c r="AY390" s="27" t="s">
        <v>83</v>
      </c>
      <c r="AZ390" s="27">
        <v>1</v>
      </c>
      <c r="BA390" s="27"/>
      <c r="BB390" s="27" t="s">
        <v>469</v>
      </c>
      <c r="BC390" s="27" t="s">
        <v>5162</v>
      </c>
      <c r="BD390" s="27" t="s">
        <v>451</v>
      </c>
      <c r="BE390" s="27" t="s">
        <v>451</v>
      </c>
      <c r="BF390" s="27" t="s">
        <v>5163</v>
      </c>
      <c r="BG390" s="27" t="s">
        <v>5164</v>
      </c>
      <c r="BH390" s="27" t="s">
        <v>463</v>
      </c>
      <c r="BI390" s="27" t="s">
        <v>480</v>
      </c>
      <c r="BJ390" s="27" t="s">
        <v>5165</v>
      </c>
      <c r="BK390" s="27" t="s">
        <v>408</v>
      </c>
      <c r="BL390" s="27" t="s">
        <v>5166</v>
      </c>
      <c r="BM390" s="38">
        <v>0</v>
      </c>
    </row>
    <row r="391" spans="1:65" s="1" customFormat="1" x14ac:dyDescent="0.2">
      <c r="A391" s="37">
        <v>774</v>
      </c>
      <c r="B391" s="27">
        <v>146</v>
      </c>
      <c r="C391" s="27" t="s">
        <v>503</v>
      </c>
      <c r="D391" s="27" t="s">
        <v>5167</v>
      </c>
      <c r="E391" s="27" t="s">
        <v>474</v>
      </c>
      <c r="F391" s="27" t="s">
        <v>462</v>
      </c>
      <c r="G391" s="28">
        <v>2026</v>
      </c>
      <c r="H391" s="20" t="str">
        <f>VLOOKUP(U391,'[1]KODE TYPE standar'!$D:$U,17,0)</f>
        <v>FORTUNER</v>
      </c>
      <c r="I391" s="20" t="str">
        <f>VLOOKUP(U391,'[1]KODE TYPE standar'!$D:$U,16,0)</f>
        <v>FORTUNER</v>
      </c>
      <c r="J391" s="20" t="str">
        <f>VLOOKUP(U391,'[1]KODE TYPE standar'!$D:$U,18,0)</f>
        <v>FORTUNER 4X2 VRZ A/T DIESEL</v>
      </c>
      <c r="K391" s="27" t="s">
        <v>119</v>
      </c>
      <c r="L391" s="27" t="s">
        <v>110</v>
      </c>
      <c r="M391" s="27" t="s">
        <v>262</v>
      </c>
      <c r="N391" s="27" t="s">
        <v>140</v>
      </c>
      <c r="O391" s="28" t="s">
        <v>156</v>
      </c>
      <c r="P391" s="29" t="s">
        <v>151</v>
      </c>
      <c r="Q391" s="29" t="s">
        <v>161</v>
      </c>
      <c r="R391" s="29" t="s">
        <v>145</v>
      </c>
      <c r="S391" s="27" t="s">
        <v>2486</v>
      </c>
      <c r="T391" s="27" t="s">
        <v>541</v>
      </c>
      <c r="U391" s="27" t="s">
        <v>122</v>
      </c>
      <c r="V391" s="27" t="s">
        <v>48</v>
      </c>
      <c r="W391" s="27" t="s">
        <v>49</v>
      </c>
      <c r="X391" s="27" t="s">
        <v>5168</v>
      </c>
      <c r="Y391" s="27" t="s">
        <v>5169</v>
      </c>
      <c r="Z391" s="27" t="s">
        <v>2485</v>
      </c>
      <c r="AA391" s="27" t="s">
        <v>2486</v>
      </c>
      <c r="AB391" s="27" t="s">
        <v>541</v>
      </c>
      <c r="AC391" s="27" t="s">
        <v>5170</v>
      </c>
      <c r="AD391" s="27" t="s">
        <v>5171</v>
      </c>
      <c r="AE391" s="27" t="s">
        <v>110</v>
      </c>
      <c r="AF391" s="27" t="s">
        <v>5171</v>
      </c>
      <c r="AG391" s="27" t="s">
        <v>5172</v>
      </c>
      <c r="AH391" s="27" t="s">
        <v>881</v>
      </c>
      <c r="AI391" s="27" t="s">
        <v>140</v>
      </c>
      <c r="AJ391" s="27" t="s">
        <v>262</v>
      </c>
      <c r="AK391" s="27" t="s">
        <v>89</v>
      </c>
      <c r="AL391" s="27"/>
      <c r="AM391" s="34">
        <v>680700000</v>
      </c>
      <c r="AN391" s="34">
        <v>529029018</v>
      </c>
      <c r="AO391" s="34">
        <v>88187500</v>
      </c>
      <c r="AP391" s="34">
        <v>58662053</v>
      </c>
      <c r="AQ391" s="34">
        <v>0</v>
      </c>
      <c r="AR391" s="34">
        <v>0</v>
      </c>
      <c r="AS391" s="34">
        <v>40178571</v>
      </c>
      <c r="AT391" s="34">
        <v>635700000</v>
      </c>
      <c r="AU391" s="34">
        <v>0</v>
      </c>
      <c r="AV391" s="34">
        <v>-45000000</v>
      </c>
      <c r="AW391" s="27"/>
      <c r="AX391" s="27"/>
      <c r="AY391" s="27" t="s">
        <v>83</v>
      </c>
      <c r="AZ391" s="27">
        <v>1</v>
      </c>
      <c r="BA391" s="27"/>
      <c r="BB391" s="27" t="s">
        <v>474</v>
      </c>
      <c r="BC391" s="27" t="s">
        <v>5173</v>
      </c>
      <c r="BD391" s="27" t="s">
        <v>429</v>
      </c>
      <c r="BE391" s="27" t="s">
        <v>429</v>
      </c>
      <c r="BF391" s="27" t="s">
        <v>5174</v>
      </c>
      <c r="BG391" s="27" t="s">
        <v>5175</v>
      </c>
      <c r="BH391" s="27"/>
      <c r="BI391" s="27" t="s">
        <v>477</v>
      </c>
      <c r="BJ391" s="27" t="s">
        <v>5176</v>
      </c>
      <c r="BK391" s="27" t="s">
        <v>418</v>
      </c>
      <c r="BL391" s="27" t="s">
        <v>5177</v>
      </c>
      <c r="BM391" s="38">
        <v>0</v>
      </c>
    </row>
    <row r="392" spans="1:65" s="1" customFormat="1" x14ac:dyDescent="0.2">
      <c r="A392" s="37">
        <v>800</v>
      </c>
      <c r="B392" s="27">
        <v>146</v>
      </c>
      <c r="C392" s="27" t="s">
        <v>503</v>
      </c>
      <c r="D392" s="27" t="s">
        <v>5178</v>
      </c>
      <c r="E392" s="27" t="s">
        <v>440</v>
      </c>
      <c r="F392" s="27" t="s">
        <v>462</v>
      </c>
      <c r="G392" s="28">
        <v>2026</v>
      </c>
      <c r="H392" s="20" t="str">
        <f>VLOOKUP(U392,'[1]KODE TYPE standar'!$D:$U,17,0)</f>
        <v>CALYA</v>
      </c>
      <c r="I392" s="20" t="str">
        <f>VLOOKUP(U392,'[1]KODE TYPE standar'!$D:$U,16,0)</f>
        <v>CALYA</v>
      </c>
      <c r="J392" s="20" t="str">
        <f>VLOOKUP(U392,'[1]KODE TYPE standar'!$D:$U,18,0)</f>
        <v>CALYA G M/T</v>
      </c>
      <c r="K392" s="27" t="s">
        <v>370</v>
      </c>
      <c r="L392" s="27" t="s">
        <v>110</v>
      </c>
      <c r="M392" s="27" t="s">
        <v>262</v>
      </c>
      <c r="N392" s="27" t="s">
        <v>106</v>
      </c>
      <c r="O392" s="28" t="s">
        <v>156</v>
      </c>
      <c r="P392" s="29" t="s">
        <v>151</v>
      </c>
      <c r="Q392" s="29" t="s">
        <v>162</v>
      </c>
      <c r="R392" s="29" t="s">
        <v>1016</v>
      </c>
      <c r="S392" s="27" t="s">
        <v>795</v>
      </c>
      <c r="T392" s="27" t="s">
        <v>509</v>
      </c>
      <c r="U392" s="27" t="s">
        <v>268</v>
      </c>
      <c r="V392" s="27" t="s">
        <v>269</v>
      </c>
      <c r="W392" s="27" t="s">
        <v>270</v>
      </c>
      <c r="X392" s="27" t="s">
        <v>5179</v>
      </c>
      <c r="Y392" s="27" t="s">
        <v>5180</v>
      </c>
      <c r="Z392" s="27" t="s">
        <v>794</v>
      </c>
      <c r="AA392" s="27" t="s">
        <v>795</v>
      </c>
      <c r="AB392" s="27" t="s">
        <v>509</v>
      </c>
      <c r="AC392" s="27" t="s">
        <v>5181</v>
      </c>
      <c r="AD392" s="27" t="s">
        <v>5182</v>
      </c>
      <c r="AE392" s="27" t="s">
        <v>110</v>
      </c>
      <c r="AF392" s="27" t="s">
        <v>5182</v>
      </c>
      <c r="AG392" s="27" t="s">
        <v>5183</v>
      </c>
      <c r="AH392" s="27" t="s">
        <v>573</v>
      </c>
      <c r="AI392" s="27" t="s">
        <v>106</v>
      </c>
      <c r="AJ392" s="27" t="s">
        <v>262</v>
      </c>
      <c r="AK392" s="27" t="s">
        <v>357</v>
      </c>
      <c r="AL392" s="27"/>
      <c r="AM392" s="34">
        <v>182200000</v>
      </c>
      <c r="AN392" s="34">
        <v>139575893</v>
      </c>
      <c r="AO392" s="34">
        <v>25875000</v>
      </c>
      <c r="AP392" s="34">
        <v>15677678</v>
      </c>
      <c r="AQ392" s="34">
        <v>0</v>
      </c>
      <c r="AR392" s="34">
        <v>0</v>
      </c>
      <c r="AS392" s="34">
        <v>8928571</v>
      </c>
      <c r="AT392" s="34">
        <v>172200000</v>
      </c>
      <c r="AU392" s="34">
        <v>0</v>
      </c>
      <c r="AV392" s="34">
        <v>-10000000</v>
      </c>
      <c r="AW392" s="27" t="s">
        <v>422</v>
      </c>
      <c r="AX392" s="27" t="s">
        <v>422</v>
      </c>
      <c r="AY392" s="27" t="s">
        <v>83</v>
      </c>
      <c r="AZ392" s="27">
        <v>1</v>
      </c>
      <c r="BA392" s="27"/>
      <c r="BB392" s="27" t="s">
        <v>434</v>
      </c>
      <c r="BC392" s="27" t="s">
        <v>5184</v>
      </c>
      <c r="BD392" s="27" t="s">
        <v>443</v>
      </c>
      <c r="BE392" s="27" t="s">
        <v>443</v>
      </c>
      <c r="BF392" s="27" t="s">
        <v>5185</v>
      </c>
      <c r="BG392" s="27" t="s">
        <v>5186</v>
      </c>
      <c r="BH392" s="27" t="s">
        <v>440</v>
      </c>
      <c r="BI392" s="27" t="s">
        <v>458</v>
      </c>
      <c r="BJ392" s="27" t="s">
        <v>5187</v>
      </c>
      <c r="BK392" s="27" t="s">
        <v>443</v>
      </c>
      <c r="BL392" s="27" t="s">
        <v>5188</v>
      </c>
      <c r="BM392" s="38">
        <v>0</v>
      </c>
    </row>
    <row r="393" spans="1:65" s="1" customFormat="1" x14ac:dyDescent="0.2">
      <c r="A393" s="37">
        <v>822</v>
      </c>
      <c r="B393" s="27">
        <v>146</v>
      </c>
      <c r="C393" s="27" t="s">
        <v>503</v>
      </c>
      <c r="D393" s="27" t="s">
        <v>5189</v>
      </c>
      <c r="E393" s="27" t="s">
        <v>421</v>
      </c>
      <c r="F393" s="27" t="s">
        <v>462</v>
      </c>
      <c r="G393" s="28">
        <v>2026</v>
      </c>
      <c r="H393" s="20" t="str">
        <f>VLOOKUP(U393,'[1]KODE TYPE standar'!$D:$U,17,0)</f>
        <v>HILUX</v>
      </c>
      <c r="I393" s="20" t="str">
        <f>VLOOKUP(U393,'[1]KODE TYPE standar'!$D:$U,16,0)</f>
        <v>HILUX</v>
      </c>
      <c r="J393" s="20" t="str">
        <f>VLOOKUP(U393,'[1]KODE TYPE standar'!$D:$U,18,0)</f>
        <v>HILUX DC V A/T DIESEL</v>
      </c>
      <c r="K393" s="27" t="s">
        <v>118</v>
      </c>
      <c r="L393" s="27" t="s">
        <v>110</v>
      </c>
      <c r="M393" s="27" t="s">
        <v>262</v>
      </c>
      <c r="N393" s="27" t="s">
        <v>140</v>
      </c>
      <c r="O393" s="28" t="s">
        <v>156</v>
      </c>
      <c r="P393" s="29" t="s">
        <v>536</v>
      </c>
      <c r="Q393" s="29" t="s">
        <v>161</v>
      </c>
      <c r="R393" s="29" t="s">
        <v>145</v>
      </c>
      <c r="S393" s="27" t="s">
        <v>631</v>
      </c>
      <c r="T393" s="27" t="s">
        <v>509</v>
      </c>
      <c r="U393" s="27" t="s">
        <v>113</v>
      </c>
      <c r="V393" s="27" t="s">
        <v>283</v>
      </c>
      <c r="W393" s="27" t="s">
        <v>284</v>
      </c>
      <c r="X393" s="27" t="s">
        <v>5190</v>
      </c>
      <c r="Y393" s="27" t="s">
        <v>5191</v>
      </c>
      <c r="Z393" s="27" t="s">
        <v>630</v>
      </c>
      <c r="AA393" s="27" t="s">
        <v>631</v>
      </c>
      <c r="AB393" s="27" t="s">
        <v>509</v>
      </c>
      <c r="AC393" s="27" t="s">
        <v>5192</v>
      </c>
      <c r="AD393" s="27" t="s">
        <v>5193</v>
      </c>
      <c r="AE393" s="27" t="s">
        <v>110</v>
      </c>
      <c r="AF393" s="27" t="s">
        <v>5194</v>
      </c>
      <c r="AG393" s="27" t="s">
        <v>5195</v>
      </c>
      <c r="AH393" s="27" t="s">
        <v>528</v>
      </c>
      <c r="AI393" s="27" t="s">
        <v>140</v>
      </c>
      <c r="AJ393" s="27" t="s">
        <v>262</v>
      </c>
      <c r="AK393" s="27" t="s">
        <v>63</v>
      </c>
      <c r="AL393" s="27" t="s">
        <v>5196</v>
      </c>
      <c r="AM393" s="34">
        <v>546800000</v>
      </c>
      <c r="AN393" s="34">
        <v>422321429</v>
      </c>
      <c r="AO393" s="34">
        <v>73800000</v>
      </c>
      <c r="AP393" s="34">
        <v>48000000</v>
      </c>
      <c r="AQ393" s="34">
        <v>0</v>
      </c>
      <c r="AR393" s="34">
        <v>0</v>
      </c>
      <c r="AS393" s="34">
        <v>22321429</v>
      </c>
      <c r="AT393" s="34">
        <v>521800000</v>
      </c>
      <c r="AU393" s="34">
        <v>0</v>
      </c>
      <c r="AV393" s="34">
        <v>-25000000</v>
      </c>
      <c r="AW393" s="27" t="s">
        <v>436</v>
      </c>
      <c r="AX393" s="27" t="s">
        <v>436</v>
      </c>
      <c r="AY393" s="27" t="s">
        <v>83</v>
      </c>
      <c r="AZ393" s="27">
        <v>1</v>
      </c>
      <c r="BA393" s="27"/>
      <c r="BB393" s="27" t="s">
        <v>411</v>
      </c>
      <c r="BC393" s="27" t="s">
        <v>5197</v>
      </c>
      <c r="BD393" s="27" t="s">
        <v>403</v>
      </c>
      <c r="BE393" s="27" t="s">
        <v>403</v>
      </c>
      <c r="BF393" s="27" t="s">
        <v>5198</v>
      </c>
      <c r="BG393" s="27" t="s">
        <v>5199</v>
      </c>
      <c r="BH393" s="27" t="s">
        <v>421</v>
      </c>
      <c r="BI393" s="27" t="s">
        <v>472</v>
      </c>
      <c r="BJ393" s="27" t="s">
        <v>5200</v>
      </c>
      <c r="BK393" s="27" t="s">
        <v>438</v>
      </c>
      <c r="BL393" s="27" t="s">
        <v>5201</v>
      </c>
      <c r="BM393" s="38">
        <v>0</v>
      </c>
    </row>
    <row r="394" spans="1:65" s="1" customFormat="1" x14ac:dyDescent="0.2">
      <c r="A394" s="37">
        <v>942</v>
      </c>
      <c r="B394" s="27">
        <v>146</v>
      </c>
      <c r="C394" s="27" t="s">
        <v>503</v>
      </c>
      <c r="D394" s="27" t="s">
        <v>5202</v>
      </c>
      <c r="E394" s="27" t="s">
        <v>472</v>
      </c>
      <c r="F394" s="27" t="s">
        <v>462</v>
      </c>
      <c r="G394" s="28">
        <v>2026</v>
      </c>
      <c r="H394" s="20" t="str">
        <f>VLOOKUP(U394,'[1]KODE TYPE standar'!$D:$U,17,0)</f>
        <v>AVANZA</v>
      </c>
      <c r="I394" s="20" t="str">
        <f>VLOOKUP(U394,'[1]KODE TYPE standar'!$D:$U,16,0)</f>
        <v>AVANZA</v>
      </c>
      <c r="J394" s="20" t="str">
        <f>VLOOKUP(U394,'[1]KODE TYPE standar'!$D:$U,18,0)</f>
        <v>AVANZA E M/T</v>
      </c>
      <c r="K394" s="27" t="s">
        <v>118</v>
      </c>
      <c r="L394" s="27" t="s">
        <v>110</v>
      </c>
      <c r="M394" s="27" t="s">
        <v>262</v>
      </c>
      <c r="N394" s="27" t="s">
        <v>106</v>
      </c>
      <c r="O394" s="28" t="s">
        <v>156</v>
      </c>
      <c r="P394" s="29" t="s">
        <v>151</v>
      </c>
      <c r="Q394" s="29" t="s">
        <v>161</v>
      </c>
      <c r="R394" s="29" t="s">
        <v>145</v>
      </c>
      <c r="S394" s="27" t="s">
        <v>2486</v>
      </c>
      <c r="T394" s="27" t="s">
        <v>541</v>
      </c>
      <c r="U394" s="27" t="s">
        <v>386</v>
      </c>
      <c r="V394" s="27" t="s">
        <v>64</v>
      </c>
      <c r="W394" s="27" t="s">
        <v>65</v>
      </c>
      <c r="X394" s="27" t="s">
        <v>5203</v>
      </c>
      <c r="Y394" s="27" t="s">
        <v>5204</v>
      </c>
      <c r="Z394" s="27" t="s">
        <v>2485</v>
      </c>
      <c r="AA394" s="27" t="s">
        <v>2486</v>
      </c>
      <c r="AB394" s="27" t="s">
        <v>541</v>
      </c>
      <c r="AC394" s="27" t="s">
        <v>5205</v>
      </c>
      <c r="AD394" s="27" t="s">
        <v>5206</v>
      </c>
      <c r="AE394" s="27" t="s">
        <v>110</v>
      </c>
      <c r="AF394" s="27" t="s">
        <v>5206</v>
      </c>
      <c r="AG394" s="27" t="s">
        <v>5207</v>
      </c>
      <c r="AH394" s="27" t="s">
        <v>3331</v>
      </c>
      <c r="AI394" s="27" t="s">
        <v>106</v>
      </c>
      <c r="AJ394" s="27" t="s">
        <v>262</v>
      </c>
      <c r="AK394" s="27" t="s">
        <v>63</v>
      </c>
      <c r="AL394" s="27"/>
      <c r="AM394" s="34">
        <v>247000000</v>
      </c>
      <c r="AN394" s="34">
        <v>190200893</v>
      </c>
      <c r="AO394" s="34">
        <v>33975000</v>
      </c>
      <c r="AP394" s="34">
        <v>21109821</v>
      </c>
      <c r="AQ394" s="34">
        <v>0</v>
      </c>
      <c r="AR394" s="34">
        <v>0</v>
      </c>
      <c r="AS394" s="34">
        <v>14285714</v>
      </c>
      <c r="AT394" s="34">
        <v>231000000</v>
      </c>
      <c r="AU394" s="34">
        <v>5000000</v>
      </c>
      <c r="AV394" s="34">
        <v>-16000000</v>
      </c>
      <c r="AW394" s="27" t="s">
        <v>463</v>
      </c>
      <c r="AX394" s="27" t="s">
        <v>463</v>
      </c>
      <c r="AY394" s="27" t="s">
        <v>83</v>
      </c>
      <c r="AZ394" s="27">
        <v>1</v>
      </c>
      <c r="BA394" s="27"/>
      <c r="BB394" s="27" t="s">
        <v>412</v>
      </c>
      <c r="BC394" s="27" t="s">
        <v>5208</v>
      </c>
      <c r="BD394" s="27" t="s">
        <v>412</v>
      </c>
      <c r="BE394" s="27" t="s">
        <v>412</v>
      </c>
      <c r="BF394" s="27" t="s">
        <v>5209</v>
      </c>
      <c r="BG394" s="27" t="s">
        <v>5210</v>
      </c>
      <c r="BH394" s="27" t="s">
        <v>472</v>
      </c>
      <c r="BI394" s="27" t="s">
        <v>4746</v>
      </c>
      <c r="BJ394" s="27" t="s">
        <v>5211</v>
      </c>
      <c r="BK394" s="27" t="s">
        <v>341</v>
      </c>
      <c r="BL394" s="27" t="s">
        <v>5212</v>
      </c>
      <c r="BM394" s="38">
        <v>0</v>
      </c>
    </row>
    <row r="395" spans="1:65" s="1" customFormat="1" x14ac:dyDescent="0.2">
      <c r="A395" s="37">
        <v>953</v>
      </c>
      <c r="B395" s="27">
        <v>146</v>
      </c>
      <c r="C395" s="27" t="s">
        <v>503</v>
      </c>
      <c r="D395" s="27" t="s">
        <v>5213</v>
      </c>
      <c r="E395" s="27" t="s">
        <v>474</v>
      </c>
      <c r="F395" s="27" t="s">
        <v>462</v>
      </c>
      <c r="G395" s="28">
        <v>2026</v>
      </c>
      <c r="H395" s="20" t="str">
        <f>VLOOKUP(U395,'[1]KODE TYPE standar'!$D:$U,17,0)</f>
        <v>INV REBORN</v>
      </c>
      <c r="I395" s="20" t="str">
        <f>VLOOKUP(U395,'[1]KODE TYPE standar'!$D:$U,16,0)</f>
        <v>INNOVA</v>
      </c>
      <c r="J395" s="20" t="str">
        <f>VLOOKUP(U395,'[1]KODE TYPE standar'!$D:$U,18,0)</f>
        <v>INNOVA G A/T DIESEL</v>
      </c>
      <c r="K395" s="27" t="s">
        <v>121</v>
      </c>
      <c r="L395" s="27" t="s">
        <v>110</v>
      </c>
      <c r="M395" s="27" t="s">
        <v>262</v>
      </c>
      <c r="N395" s="27" t="s">
        <v>141</v>
      </c>
      <c r="O395" s="28" t="s">
        <v>156</v>
      </c>
      <c r="P395" s="29" t="s">
        <v>151</v>
      </c>
      <c r="Q395" s="29" t="s">
        <v>161</v>
      </c>
      <c r="R395" s="29" t="s">
        <v>145</v>
      </c>
      <c r="S395" s="27" t="s">
        <v>892</v>
      </c>
      <c r="T395" s="27" t="s">
        <v>541</v>
      </c>
      <c r="U395" s="27" t="s">
        <v>192</v>
      </c>
      <c r="V395" s="27" t="s">
        <v>48</v>
      </c>
      <c r="W395" s="27" t="s">
        <v>49</v>
      </c>
      <c r="X395" s="27" t="s">
        <v>5214</v>
      </c>
      <c r="Y395" s="27" t="s">
        <v>5215</v>
      </c>
      <c r="Z395" s="27" t="s">
        <v>891</v>
      </c>
      <c r="AA395" s="27" t="s">
        <v>892</v>
      </c>
      <c r="AB395" s="27" t="s">
        <v>541</v>
      </c>
      <c r="AC395" s="27" t="s">
        <v>5216</v>
      </c>
      <c r="AD395" s="27" t="s">
        <v>5217</v>
      </c>
      <c r="AE395" s="27" t="s">
        <v>110</v>
      </c>
      <c r="AF395" s="27" t="s">
        <v>5217</v>
      </c>
      <c r="AG395" s="27" t="s">
        <v>5218</v>
      </c>
      <c r="AH395" s="27" t="s">
        <v>3438</v>
      </c>
      <c r="AI395" s="27" t="s">
        <v>141</v>
      </c>
      <c r="AJ395" s="27" t="s">
        <v>262</v>
      </c>
      <c r="AK395" s="27" t="s">
        <v>104</v>
      </c>
      <c r="AL395" s="27"/>
      <c r="AM395" s="34">
        <v>442700000</v>
      </c>
      <c r="AN395" s="34">
        <v>343091518</v>
      </c>
      <c r="AO395" s="34">
        <v>58437500</v>
      </c>
      <c r="AP395" s="34">
        <v>39028125</v>
      </c>
      <c r="AQ395" s="34">
        <v>0</v>
      </c>
      <c r="AR395" s="34">
        <v>0</v>
      </c>
      <c r="AS395" s="34">
        <v>17857143</v>
      </c>
      <c r="AT395" s="34">
        <v>422700000</v>
      </c>
      <c r="AU395" s="34">
        <v>10000000</v>
      </c>
      <c r="AV395" s="34">
        <v>-20000000</v>
      </c>
      <c r="AW395" s="27" t="s">
        <v>473</v>
      </c>
      <c r="AX395" s="27" t="s">
        <v>473</v>
      </c>
      <c r="AY395" s="27" t="s">
        <v>83</v>
      </c>
      <c r="AZ395" s="27">
        <v>1</v>
      </c>
      <c r="BA395" s="27"/>
      <c r="BB395" s="27" t="s">
        <v>466</v>
      </c>
      <c r="BC395" s="27" t="s">
        <v>5219</v>
      </c>
      <c r="BD395" s="27" t="s">
        <v>463</v>
      </c>
      <c r="BE395" s="27" t="s">
        <v>463</v>
      </c>
      <c r="BF395" s="27" t="s">
        <v>5220</v>
      </c>
      <c r="BG395" s="27" t="s">
        <v>5221</v>
      </c>
      <c r="BH395" s="27" t="s">
        <v>474</v>
      </c>
      <c r="BI395" s="27" t="s">
        <v>477</v>
      </c>
      <c r="BJ395" s="27" t="s">
        <v>5222</v>
      </c>
      <c r="BK395" s="27" t="s">
        <v>345</v>
      </c>
      <c r="BL395" s="27" t="s">
        <v>5223</v>
      </c>
      <c r="BM395" s="38">
        <v>0</v>
      </c>
    </row>
    <row r="396" spans="1:65" s="1" customFormat="1" x14ac:dyDescent="0.2">
      <c r="A396" s="37">
        <v>959</v>
      </c>
      <c r="B396" s="27">
        <v>146</v>
      </c>
      <c r="C396" s="27" t="s">
        <v>503</v>
      </c>
      <c r="D396" s="27" t="s">
        <v>5224</v>
      </c>
      <c r="E396" s="27" t="s">
        <v>471</v>
      </c>
      <c r="F396" s="27" t="s">
        <v>462</v>
      </c>
      <c r="G396" s="28">
        <v>2026</v>
      </c>
      <c r="H396" s="20" t="str">
        <f>VLOOKUP(U396,'[1]KODE TYPE standar'!$D:$U,17,0)</f>
        <v>AVANZA</v>
      </c>
      <c r="I396" s="20" t="str">
        <f>VLOOKUP(U396,'[1]KODE TYPE standar'!$D:$U,16,0)</f>
        <v>AVANZA</v>
      </c>
      <c r="J396" s="20" t="str">
        <f>VLOOKUP(U396,'[1]KODE TYPE standar'!$D:$U,18,0)</f>
        <v>AVANZA G A/T</v>
      </c>
      <c r="K396" s="27" t="s">
        <v>119</v>
      </c>
      <c r="L396" s="27" t="s">
        <v>110</v>
      </c>
      <c r="M396" s="27" t="s">
        <v>262</v>
      </c>
      <c r="N396" s="27" t="s">
        <v>141</v>
      </c>
      <c r="O396" s="28" t="s">
        <v>156</v>
      </c>
      <c r="P396" s="29" t="s">
        <v>151</v>
      </c>
      <c r="Q396" s="29" t="s">
        <v>161</v>
      </c>
      <c r="R396" s="29" t="s">
        <v>145</v>
      </c>
      <c r="S396" s="27" t="s">
        <v>1476</v>
      </c>
      <c r="T396" s="27" t="s">
        <v>541</v>
      </c>
      <c r="U396" s="27" t="s">
        <v>329</v>
      </c>
      <c r="V396" s="27" t="s">
        <v>60</v>
      </c>
      <c r="W396" s="27" t="s">
        <v>61</v>
      </c>
      <c r="X396" s="27" t="s">
        <v>5225</v>
      </c>
      <c r="Y396" s="27" t="s">
        <v>5226</v>
      </c>
      <c r="Z396" s="27" t="s">
        <v>1475</v>
      </c>
      <c r="AA396" s="27" t="s">
        <v>1476</v>
      </c>
      <c r="AB396" s="27" t="s">
        <v>541</v>
      </c>
      <c r="AC396" s="27" t="s">
        <v>5227</v>
      </c>
      <c r="AD396" s="27" t="s">
        <v>5228</v>
      </c>
      <c r="AE396" s="27" t="s">
        <v>110</v>
      </c>
      <c r="AF396" s="27" t="s">
        <v>5228</v>
      </c>
      <c r="AG396" s="27" t="s">
        <v>5229</v>
      </c>
      <c r="AH396" s="27" t="s">
        <v>1149</v>
      </c>
      <c r="AI396" s="27" t="s">
        <v>141</v>
      </c>
      <c r="AJ396" s="27" t="s">
        <v>262</v>
      </c>
      <c r="AK396" s="27" t="s">
        <v>89</v>
      </c>
      <c r="AL396" s="27"/>
      <c r="AM396" s="34">
        <v>285000000</v>
      </c>
      <c r="AN396" s="34">
        <v>219888393</v>
      </c>
      <c r="AO396" s="34">
        <v>38725000</v>
      </c>
      <c r="AP396" s="34">
        <v>24672321</v>
      </c>
      <c r="AQ396" s="34">
        <v>0</v>
      </c>
      <c r="AR396" s="34">
        <v>0</v>
      </c>
      <c r="AS396" s="34">
        <v>14285714</v>
      </c>
      <c r="AT396" s="34">
        <v>269000000</v>
      </c>
      <c r="AU396" s="34">
        <v>0</v>
      </c>
      <c r="AV396" s="34">
        <v>-16000000</v>
      </c>
      <c r="AW396" s="27" t="s">
        <v>472</v>
      </c>
      <c r="AX396" s="27" t="s">
        <v>472</v>
      </c>
      <c r="AY396" s="27" t="s">
        <v>83</v>
      </c>
      <c r="AZ396" s="27">
        <v>1</v>
      </c>
      <c r="BA396" s="27"/>
      <c r="BB396" s="27" t="s">
        <v>417</v>
      </c>
      <c r="BC396" s="27" t="s">
        <v>5230</v>
      </c>
      <c r="BD396" s="27" t="s">
        <v>471</v>
      </c>
      <c r="BE396" s="27" t="s">
        <v>471</v>
      </c>
      <c r="BF396" s="27" t="s">
        <v>5231</v>
      </c>
      <c r="BG396" s="27" t="s">
        <v>5232</v>
      </c>
      <c r="BH396" s="27" t="s">
        <v>471</v>
      </c>
      <c r="BI396" s="27" t="s">
        <v>474</v>
      </c>
      <c r="BJ396" s="27" t="s">
        <v>5233</v>
      </c>
      <c r="BK396" s="27" t="s">
        <v>427</v>
      </c>
      <c r="BL396" s="27" t="s">
        <v>5234</v>
      </c>
      <c r="BM396" s="38">
        <v>0</v>
      </c>
    </row>
    <row r="397" spans="1:65" s="1" customFormat="1" x14ac:dyDescent="0.2">
      <c r="A397" s="37">
        <v>960</v>
      </c>
      <c r="B397" s="27">
        <v>146</v>
      </c>
      <c r="C397" s="27" t="s">
        <v>503</v>
      </c>
      <c r="D397" s="27" t="s">
        <v>5235</v>
      </c>
      <c r="E397" s="27" t="s">
        <v>472</v>
      </c>
      <c r="F397" s="27" t="s">
        <v>462</v>
      </c>
      <c r="G397" s="28">
        <v>2026</v>
      </c>
      <c r="H397" s="20" t="str">
        <f>VLOOKUP(U397,'[1]KODE TYPE standar'!$D:$U,17,0)</f>
        <v>HIACE</v>
      </c>
      <c r="I397" s="20" t="str">
        <f>VLOOKUP(U397,'[1]KODE TYPE standar'!$D:$U,16,0)</f>
        <v>HIACE</v>
      </c>
      <c r="J397" s="20" t="str">
        <f>VLOOKUP(U397,'[1]KODE TYPE standar'!$D:$U,18,0)</f>
        <v>HIACE PREMIO</v>
      </c>
      <c r="K397" s="27" t="s">
        <v>50</v>
      </c>
      <c r="L397" s="27" t="s">
        <v>110</v>
      </c>
      <c r="M397" s="27" t="s">
        <v>50</v>
      </c>
      <c r="N397" s="27" t="s">
        <v>141</v>
      </c>
      <c r="O397" s="28" t="s">
        <v>156</v>
      </c>
      <c r="P397" s="29" t="s">
        <v>151</v>
      </c>
      <c r="Q397" s="29" t="s">
        <v>161</v>
      </c>
      <c r="R397" s="29" t="s">
        <v>145</v>
      </c>
      <c r="S397" s="27" t="s">
        <v>1476</v>
      </c>
      <c r="T397" s="27" t="s">
        <v>541</v>
      </c>
      <c r="U397" s="27" t="s">
        <v>173</v>
      </c>
      <c r="V397" s="27" t="s">
        <v>99</v>
      </c>
      <c r="W397" s="27" t="s">
        <v>61</v>
      </c>
      <c r="X397" s="27" t="s">
        <v>5236</v>
      </c>
      <c r="Y397" s="27" t="s">
        <v>5237</v>
      </c>
      <c r="Z397" s="27" t="s">
        <v>1475</v>
      </c>
      <c r="AA397" s="27" t="s">
        <v>1476</v>
      </c>
      <c r="AB397" s="27" t="s">
        <v>541</v>
      </c>
      <c r="AC397" s="27" t="s">
        <v>5238</v>
      </c>
      <c r="AD397" s="27" t="s">
        <v>5228</v>
      </c>
      <c r="AE397" s="27" t="s">
        <v>110</v>
      </c>
      <c r="AF397" s="27" t="s">
        <v>5239</v>
      </c>
      <c r="AG397" s="27" t="s">
        <v>5229</v>
      </c>
      <c r="AH397" s="27" t="s">
        <v>1149</v>
      </c>
      <c r="AI397" s="27" t="s">
        <v>141</v>
      </c>
      <c r="AJ397" s="27" t="s">
        <v>50</v>
      </c>
      <c r="AK397" s="27" t="s">
        <v>50</v>
      </c>
      <c r="AL397" s="27"/>
      <c r="AM397" s="34">
        <v>679100000</v>
      </c>
      <c r="AN397" s="34">
        <v>525680804</v>
      </c>
      <c r="AO397" s="34">
        <v>90337500</v>
      </c>
      <c r="AP397" s="34">
        <v>60295982</v>
      </c>
      <c r="AQ397" s="34">
        <v>0</v>
      </c>
      <c r="AR397" s="34">
        <v>0</v>
      </c>
      <c r="AS397" s="34">
        <v>23214286</v>
      </c>
      <c r="AT397" s="34">
        <v>653100000</v>
      </c>
      <c r="AU397" s="34">
        <v>8000000</v>
      </c>
      <c r="AV397" s="34">
        <v>-26000000</v>
      </c>
      <c r="AW397" s="27"/>
      <c r="AX397" s="27"/>
      <c r="AY397" s="27" t="s">
        <v>83</v>
      </c>
      <c r="AZ397" s="27">
        <v>1</v>
      </c>
      <c r="BA397" s="27"/>
      <c r="BB397" s="27" t="s">
        <v>472</v>
      </c>
      <c r="BC397" s="27" t="s">
        <v>5240</v>
      </c>
      <c r="BD397" s="27" t="s">
        <v>472</v>
      </c>
      <c r="BE397" s="27" t="s">
        <v>472</v>
      </c>
      <c r="BF397" s="27" t="s">
        <v>5241</v>
      </c>
      <c r="BG397" s="27" t="s">
        <v>5242</v>
      </c>
      <c r="BH397" s="27" t="s">
        <v>472</v>
      </c>
      <c r="BI397" s="27" t="s">
        <v>455</v>
      </c>
      <c r="BJ397" s="27" t="s">
        <v>476</v>
      </c>
      <c r="BK397" s="27" t="s">
        <v>451</v>
      </c>
      <c r="BL397" s="27" t="s">
        <v>5243</v>
      </c>
      <c r="BM397" s="38">
        <v>0</v>
      </c>
    </row>
    <row r="398" spans="1:65" s="1" customFormat="1" x14ac:dyDescent="0.2">
      <c r="A398" s="37">
        <v>967</v>
      </c>
      <c r="B398" s="27">
        <v>146</v>
      </c>
      <c r="C398" s="27" t="s">
        <v>503</v>
      </c>
      <c r="D398" s="27" t="s">
        <v>5244</v>
      </c>
      <c r="E398" s="27" t="s">
        <v>472</v>
      </c>
      <c r="F398" s="27" t="s">
        <v>462</v>
      </c>
      <c r="G398" s="28">
        <v>2026</v>
      </c>
      <c r="H398" s="20" t="str">
        <f>VLOOKUP(U398,'[1]KODE TYPE standar'!$D:$U,17,0)</f>
        <v>AVANZA</v>
      </c>
      <c r="I398" s="20" t="str">
        <f>VLOOKUP(U398,'[1]KODE TYPE standar'!$D:$U,16,0)</f>
        <v>AVANZA</v>
      </c>
      <c r="J398" s="20" t="str">
        <f>VLOOKUP(U398,'[1]KODE TYPE standar'!$D:$U,18,0)</f>
        <v>AVANZA G A/T</v>
      </c>
      <c r="K398" s="27" t="s">
        <v>121</v>
      </c>
      <c r="L398" s="27" t="s">
        <v>110</v>
      </c>
      <c r="M398" s="27" t="s">
        <v>262</v>
      </c>
      <c r="N398" s="27" t="s">
        <v>139</v>
      </c>
      <c r="O398" s="28" t="s">
        <v>156</v>
      </c>
      <c r="P398" s="29" t="s">
        <v>151</v>
      </c>
      <c r="Q398" s="29" t="s">
        <v>161</v>
      </c>
      <c r="R398" s="29" t="s">
        <v>597</v>
      </c>
      <c r="S398" s="27" t="s">
        <v>1476</v>
      </c>
      <c r="T398" s="27" t="s">
        <v>541</v>
      </c>
      <c r="U398" s="27" t="s">
        <v>329</v>
      </c>
      <c r="V398" s="27" t="s">
        <v>60</v>
      </c>
      <c r="W398" s="27" t="s">
        <v>61</v>
      </c>
      <c r="X398" s="27" t="s">
        <v>5245</v>
      </c>
      <c r="Y398" s="27" t="s">
        <v>5246</v>
      </c>
      <c r="Z398" s="27" t="s">
        <v>1475</v>
      </c>
      <c r="AA398" s="27" t="s">
        <v>1476</v>
      </c>
      <c r="AB398" s="27" t="s">
        <v>541</v>
      </c>
      <c r="AC398" s="27" t="s">
        <v>5247</v>
      </c>
      <c r="AD398" s="27" t="s">
        <v>5248</v>
      </c>
      <c r="AE398" s="27" t="s">
        <v>110</v>
      </c>
      <c r="AF398" s="27" t="s">
        <v>5249</v>
      </c>
      <c r="AG398" s="27" t="s">
        <v>5250</v>
      </c>
      <c r="AH398" s="27" t="s">
        <v>651</v>
      </c>
      <c r="AI398" s="27" t="s">
        <v>139</v>
      </c>
      <c r="AJ398" s="27" t="s">
        <v>262</v>
      </c>
      <c r="AK398" s="27" t="s">
        <v>104</v>
      </c>
      <c r="AL398" s="27"/>
      <c r="AM398" s="34">
        <v>285000000</v>
      </c>
      <c r="AN398" s="34">
        <v>219888393</v>
      </c>
      <c r="AO398" s="34">
        <v>38725000</v>
      </c>
      <c r="AP398" s="34">
        <v>24672321</v>
      </c>
      <c r="AQ398" s="34">
        <v>0</v>
      </c>
      <c r="AR398" s="34">
        <v>0</v>
      </c>
      <c r="AS398" s="34">
        <v>14285714</v>
      </c>
      <c r="AT398" s="34">
        <v>269000000</v>
      </c>
      <c r="AU398" s="34">
        <v>4000000</v>
      </c>
      <c r="AV398" s="34">
        <v>-16000000</v>
      </c>
      <c r="AW398" s="27" t="s">
        <v>463</v>
      </c>
      <c r="AX398" s="27" t="s">
        <v>463</v>
      </c>
      <c r="AY398" s="27" t="s">
        <v>83</v>
      </c>
      <c r="AZ398" s="27">
        <v>1</v>
      </c>
      <c r="BA398" s="27"/>
      <c r="BB398" s="27" t="s">
        <v>443</v>
      </c>
      <c r="BC398" s="27" t="s">
        <v>5251</v>
      </c>
      <c r="BD398" s="27" t="s">
        <v>443</v>
      </c>
      <c r="BE398" s="27" t="s">
        <v>443</v>
      </c>
      <c r="BF398" s="27" t="s">
        <v>5252</v>
      </c>
      <c r="BG398" s="27" t="s">
        <v>5253</v>
      </c>
      <c r="BH398" s="27" t="s">
        <v>472</v>
      </c>
      <c r="BI398" s="27" t="s">
        <v>4746</v>
      </c>
      <c r="BJ398" s="27" t="s">
        <v>5254</v>
      </c>
      <c r="BK398" s="27" t="s">
        <v>451</v>
      </c>
      <c r="BL398" s="27" t="s">
        <v>5255</v>
      </c>
      <c r="BM398" s="38">
        <v>0</v>
      </c>
    </row>
    <row r="399" spans="1:65" x14ac:dyDescent="0.2">
      <c r="A399" s="37">
        <v>968</v>
      </c>
      <c r="B399" s="27">
        <v>146</v>
      </c>
      <c r="C399" s="27" t="s">
        <v>503</v>
      </c>
      <c r="D399" s="27" t="s">
        <v>5256</v>
      </c>
      <c r="E399" s="27" t="s">
        <v>458</v>
      </c>
      <c r="F399" s="27" t="s">
        <v>462</v>
      </c>
      <c r="G399" s="28">
        <v>2026</v>
      </c>
      <c r="H399" s="20" t="str">
        <f>VLOOKUP(U399,'[1]KODE TYPE standar'!$D:$U,17,0)</f>
        <v>CALYA</v>
      </c>
      <c r="I399" s="20" t="str">
        <f>VLOOKUP(U399,'[1]KODE TYPE standar'!$D:$U,16,0)</f>
        <v>CALYA</v>
      </c>
      <c r="J399" s="20" t="str">
        <f>VLOOKUP(U399,'[1]KODE TYPE standar'!$D:$U,18,0)</f>
        <v>CALYA G A/T</v>
      </c>
      <c r="K399" s="27" t="s">
        <v>119</v>
      </c>
      <c r="L399" s="27" t="s">
        <v>110</v>
      </c>
      <c r="M399" s="27" t="s">
        <v>262</v>
      </c>
      <c r="N399" s="27" t="s">
        <v>141</v>
      </c>
      <c r="O399" s="28" t="s">
        <v>156</v>
      </c>
      <c r="P399" s="29" t="s">
        <v>149</v>
      </c>
      <c r="Q399" s="29" t="s">
        <v>161</v>
      </c>
      <c r="R399" s="29" t="s">
        <v>148</v>
      </c>
      <c r="S399" s="27" t="s">
        <v>540</v>
      </c>
      <c r="T399" s="27" t="s">
        <v>541</v>
      </c>
      <c r="U399" s="27" t="s">
        <v>88</v>
      </c>
      <c r="V399" s="27" t="s">
        <v>77</v>
      </c>
      <c r="W399" s="27" t="s">
        <v>78</v>
      </c>
      <c r="X399" s="27" t="s">
        <v>5257</v>
      </c>
      <c r="Y399" s="27" t="s">
        <v>5258</v>
      </c>
      <c r="Z399" s="27" t="s">
        <v>539</v>
      </c>
      <c r="AA399" s="27" t="s">
        <v>540</v>
      </c>
      <c r="AB399" s="27" t="s">
        <v>541</v>
      </c>
      <c r="AC399" s="27" t="s">
        <v>5259</v>
      </c>
      <c r="AD399" s="27" t="s">
        <v>5260</v>
      </c>
      <c r="AE399" s="27" t="s">
        <v>110</v>
      </c>
      <c r="AF399" s="27" t="s">
        <v>5260</v>
      </c>
      <c r="AG399" s="27" t="s">
        <v>5261</v>
      </c>
      <c r="AH399" s="27" t="s">
        <v>1427</v>
      </c>
      <c r="AI399" s="27" t="s">
        <v>141</v>
      </c>
      <c r="AJ399" s="27" t="s">
        <v>262</v>
      </c>
      <c r="AK399" s="27" t="s">
        <v>89</v>
      </c>
      <c r="AL399" s="27"/>
      <c r="AM399" s="34">
        <v>196800000</v>
      </c>
      <c r="AN399" s="34">
        <v>150982143</v>
      </c>
      <c r="AO399" s="34">
        <v>27700000</v>
      </c>
      <c r="AP399" s="34">
        <v>17046428</v>
      </c>
      <c r="AQ399" s="34">
        <v>0</v>
      </c>
      <c r="AR399" s="34">
        <v>0</v>
      </c>
      <c r="AS399" s="34">
        <v>8928571</v>
      </c>
      <c r="AT399" s="34">
        <v>186800000</v>
      </c>
      <c r="AU399" s="34">
        <v>2500000</v>
      </c>
      <c r="AV399" s="34">
        <v>-10000000</v>
      </c>
      <c r="AW399" s="27"/>
      <c r="AX399" s="27"/>
      <c r="AY399" s="27" t="s">
        <v>83</v>
      </c>
      <c r="AZ399" s="27">
        <v>1</v>
      </c>
      <c r="BA399" s="27"/>
      <c r="BB399" s="27" t="s">
        <v>436</v>
      </c>
      <c r="BC399" s="27" t="s">
        <v>5262</v>
      </c>
      <c r="BD399" s="27" t="s">
        <v>436</v>
      </c>
      <c r="BE399" s="27" t="s">
        <v>436</v>
      </c>
      <c r="BF399" s="27" t="s">
        <v>5263</v>
      </c>
      <c r="BG399" s="27" t="s">
        <v>5264</v>
      </c>
      <c r="BH399" s="27" t="s">
        <v>458</v>
      </c>
      <c r="BI399" s="27" t="s">
        <v>479</v>
      </c>
      <c r="BJ399" s="27" t="s">
        <v>5265</v>
      </c>
      <c r="BK399" s="27" t="s">
        <v>466</v>
      </c>
      <c r="BL399" s="27" t="s">
        <v>5266</v>
      </c>
      <c r="BM399" s="38">
        <v>0</v>
      </c>
    </row>
    <row r="400" spans="1:65" x14ac:dyDescent="0.2">
      <c r="A400" s="37">
        <v>976</v>
      </c>
      <c r="B400" s="27">
        <v>146</v>
      </c>
      <c r="C400" s="27" t="s">
        <v>503</v>
      </c>
      <c r="D400" s="27" t="s">
        <v>5267</v>
      </c>
      <c r="E400" s="27" t="s">
        <v>471</v>
      </c>
      <c r="F400" s="27" t="s">
        <v>462</v>
      </c>
      <c r="G400" s="28">
        <v>2026</v>
      </c>
      <c r="H400" s="20" t="str">
        <f>VLOOKUP(U400,'[1]KODE TYPE standar'!$D:$U,17,0)</f>
        <v>AVANZA</v>
      </c>
      <c r="I400" s="20" t="str">
        <f>VLOOKUP(U400,'[1]KODE TYPE standar'!$D:$U,16,0)</f>
        <v>AVANZA</v>
      </c>
      <c r="J400" s="20" t="str">
        <f>VLOOKUP(U400,'[1]KODE TYPE standar'!$D:$U,18,0)</f>
        <v>AVANZA E A/T</v>
      </c>
      <c r="K400" s="27" t="s">
        <v>120</v>
      </c>
      <c r="L400" s="27" t="s">
        <v>110</v>
      </c>
      <c r="M400" s="27" t="s">
        <v>262</v>
      </c>
      <c r="N400" s="27" t="s">
        <v>141</v>
      </c>
      <c r="O400" s="28" t="s">
        <v>156</v>
      </c>
      <c r="P400" s="29" t="s">
        <v>149</v>
      </c>
      <c r="Q400" s="29" t="s">
        <v>162</v>
      </c>
      <c r="R400" s="29" t="s">
        <v>1016</v>
      </c>
      <c r="S400" s="27" t="s">
        <v>554</v>
      </c>
      <c r="T400" s="27" t="s">
        <v>509</v>
      </c>
      <c r="U400" s="27" t="s">
        <v>328</v>
      </c>
      <c r="V400" s="27" t="s">
        <v>64</v>
      </c>
      <c r="W400" s="27" t="s">
        <v>65</v>
      </c>
      <c r="X400" s="27" t="s">
        <v>5268</v>
      </c>
      <c r="Y400" s="27" t="s">
        <v>5269</v>
      </c>
      <c r="Z400" s="27" t="s">
        <v>553</v>
      </c>
      <c r="AA400" s="27" t="s">
        <v>554</v>
      </c>
      <c r="AB400" s="27" t="s">
        <v>509</v>
      </c>
      <c r="AC400" s="27" t="s">
        <v>5270</v>
      </c>
      <c r="AD400" s="27" t="s">
        <v>5271</v>
      </c>
      <c r="AE400" s="27" t="s">
        <v>110</v>
      </c>
      <c r="AF400" s="27" t="s">
        <v>5272</v>
      </c>
      <c r="AG400" s="27" t="s">
        <v>5273</v>
      </c>
      <c r="AH400" s="27" t="s">
        <v>757</v>
      </c>
      <c r="AI400" s="27" t="s">
        <v>141</v>
      </c>
      <c r="AJ400" s="27" t="s">
        <v>262</v>
      </c>
      <c r="AK400" s="27" t="s">
        <v>423</v>
      </c>
      <c r="AL400" s="27"/>
      <c r="AM400" s="34">
        <v>262200000</v>
      </c>
      <c r="AN400" s="34">
        <v>202075893</v>
      </c>
      <c r="AO400" s="34">
        <v>35875000</v>
      </c>
      <c r="AP400" s="34">
        <v>22534821</v>
      </c>
      <c r="AQ400" s="34">
        <v>0</v>
      </c>
      <c r="AR400" s="34">
        <v>0</v>
      </c>
      <c r="AS400" s="34">
        <v>14285714</v>
      </c>
      <c r="AT400" s="34">
        <v>246200000</v>
      </c>
      <c r="AU400" s="34">
        <v>5000000</v>
      </c>
      <c r="AV400" s="34">
        <v>-16000000</v>
      </c>
      <c r="AW400" s="27" t="s">
        <v>451</v>
      </c>
      <c r="AX400" s="27" t="s">
        <v>451</v>
      </c>
      <c r="AY400" s="27" t="s">
        <v>83</v>
      </c>
      <c r="AZ400" s="27">
        <v>1</v>
      </c>
      <c r="BA400" s="27" t="s">
        <v>5274</v>
      </c>
      <c r="BB400" s="27" t="s">
        <v>427</v>
      </c>
      <c r="BC400" s="27" t="s">
        <v>5275</v>
      </c>
      <c r="BD400" s="27" t="s">
        <v>440</v>
      </c>
      <c r="BE400" s="27" t="s">
        <v>440</v>
      </c>
      <c r="BF400" s="27" t="s">
        <v>5276</v>
      </c>
      <c r="BG400" s="27" t="s">
        <v>5277</v>
      </c>
      <c r="BH400" s="27" t="s">
        <v>471</v>
      </c>
      <c r="BI400" s="27" t="s">
        <v>474</v>
      </c>
      <c r="BJ400" s="27" t="s">
        <v>5278</v>
      </c>
      <c r="BK400" s="27" t="s">
        <v>440</v>
      </c>
      <c r="BL400" s="27" t="s">
        <v>5279</v>
      </c>
      <c r="BM400" s="38">
        <v>0</v>
      </c>
    </row>
    <row r="401" spans="1:65" x14ac:dyDescent="0.2">
      <c r="A401" s="37">
        <v>981</v>
      </c>
      <c r="B401" s="27">
        <v>146</v>
      </c>
      <c r="C401" s="27" t="s">
        <v>503</v>
      </c>
      <c r="D401" s="27" t="s">
        <v>5280</v>
      </c>
      <c r="E401" s="27" t="s">
        <v>440</v>
      </c>
      <c r="F401" s="27" t="s">
        <v>462</v>
      </c>
      <c r="G401" s="28">
        <v>2026</v>
      </c>
      <c r="H401" s="20" t="str">
        <f>VLOOKUP(U401,'[1]KODE TYPE standar'!$D:$U,17,0)</f>
        <v>AGYA</v>
      </c>
      <c r="I401" s="20" t="str">
        <f>VLOOKUP(U401,'[1]KODE TYPE standar'!$D:$U,16,0)</f>
        <v>AGYA</v>
      </c>
      <c r="J401" s="20" t="str">
        <f>VLOOKUP(U401,'[1]KODE TYPE standar'!$D:$U,18,0)</f>
        <v>AGYA G A/T</v>
      </c>
      <c r="K401" s="27" t="s">
        <v>118</v>
      </c>
      <c r="L401" s="27" t="s">
        <v>110</v>
      </c>
      <c r="M401" s="27" t="s">
        <v>262</v>
      </c>
      <c r="N401" s="27" t="s">
        <v>140</v>
      </c>
      <c r="O401" s="28" t="s">
        <v>156</v>
      </c>
      <c r="P401" s="29" t="s">
        <v>149</v>
      </c>
      <c r="Q401" s="29" t="s">
        <v>161</v>
      </c>
      <c r="R401" s="29" t="s">
        <v>1016</v>
      </c>
      <c r="S401" s="27" t="s">
        <v>601</v>
      </c>
      <c r="T401" s="27" t="s">
        <v>509</v>
      </c>
      <c r="U401" s="27" t="s">
        <v>74</v>
      </c>
      <c r="V401" s="27" t="s">
        <v>60</v>
      </c>
      <c r="W401" s="27" t="s">
        <v>61</v>
      </c>
      <c r="X401" s="27" t="s">
        <v>5281</v>
      </c>
      <c r="Y401" s="27" t="s">
        <v>5282</v>
      </c>
      <c r="Z401" s="27" t="s">
        <v>600</v>
      </c>
      <c r="AA401" s="27" t="s">
        <v>601</v>
      </c>
      <c r="AB401" s="27" t="s">
        <v>509</v>
      </c>
      <c r="AC401" s="27" t="s">
        <v>5283</v>
      </c>
      <c r="AD401" s="27" t="s">
        <v>5284</v>
      </c>
      <c r="AE401" s="27" t="s">
        <v>110</v>
      </c>
      <c r="AF401" s="27" t="s">
        <v>5284</v>
      </c>
      <c r="AG401" s="27" t="s">
        <v>5285</v>
      </c>
      <c r="AH401" s="27" t="s">
        <v>844</v>
      </c>
      <c r="AI401" s="27" t="s">
        <v>140</v>
      </c>
      <c r="AJ401" s="27" t="s">
        <v>262</v>
      </c>
      <c r="AK401" s="27" t="s">
        <v>63</v>
      </c>
      <c r="AL401" s="27"/>
      <c r="AM401" s="34">
        <v>200800000</v>
      </c>
      <c r="AN401" s="34">
        <v>154107143</v>
      </c>
      <c r="AO401" s="34">
        <v>28200000</v>
      </c>
      <c r="AP401" s="34">
        <v>17421428</v>
      </c>
      <c r="AQ401" s="34">
        <v>0</v>
      </c>
      <c r="AR401" s="34">
        <v>0</v>
      </c>
      <c r="AS401" s="34">
        <v>8928571</v>
      </c>
      <c r="AT401" s="34">
        <v>190800000</v>
      </c>
      <c r="AU401" s="34">
        <v>3000000</v>
      </c>
      <c r="AV401" s="34">
        <v>-10000000</v>
      </c>
      <c r="AW401" s="27" t="s">
        <v>464</v>
      </c>
      <c r="AX401" s="27" t="s">
        <v>464</v>
      </c>
      <c r="AY401" s="27" t="s">
        <v>83</v>
      </c>
      <c r="AZ401" s="27">
        <v>1</v>
      </c>
      <c r="BA401" s="27" t="s">
        <v>163</v>
      </c>
      <c r="BB401" s="27" t="s">
        <v>412</v>
      </c>
      <c r="BC401" s="27" t="s">
        <v>5286</v>
      </c>
      <c r="BD401" s="27" t="s">
        <v>412</v>
      </c>
      <c r="BE401" s="27" t="s">
        <v>412</v>
      </c>
      <c r="BF401" s="27" t="s">
        <v>5287</v>
      </c>
      <c r="BG401" s="27" t="s">
        <v>5288</v>
      </c>
      <c r="BH401" s="27" t="s">
        <v>440</v>
      </c>
      <c r="BI401" s="27" t="s">
        <v>458</v>
      </c>
      <c r="BJ401" s="27" t="s">
        <v>5289</v>
      </c>
      <c r="BK401" s="27" t="s">
        <v>467</v>
      </c>
      <c r="BL401" s="27" t="s">
        <v>5290</v>
      </c>
      <c r="BM401" s="38">
        <v>0</v>
      </c>
    </row>
    <row r="402" spans="1:65" x14ac:dyDescent="0.2">
      <c r="A402" s="37">
        <v>1076</v>
      </c>
      <c r="B402" s="27">
        <v>146</v>
      </c>
      <c r="C402" s="27" t="s">
        <v>503</v>
      </c>
      <c r="D402" s="27" t="s">
        <v>5291</v>
      </c>
      <c r="E402" s="27" t="s">
        <v>421</v>
      </c>
      <c r="F402" s="27" t="s">
        <v>462</v>
      </c>
      <c r="G402" s="28">
        <v>2026</v>
      </c>
      <c r="H402" s="20" t="str">
        <f>VLOOKUP(U402,'[1]KODE TYPE standar'!$D:$U,17,0)</f>
        <v>AGYA</v>
      </c>
      <c r="I402" s="20" t="str">
        <f>VLOOKUP(U402,'[1]KODE TYPE standar'!$D:$U,16,0)</f>
        <v>AGYA</v>
      </c>
      <c r="J402" s="20" t="str">
        <f>VLOOKUP(U402,'[1]KODE TYPE standar'!$D:$U,18,0)</f>
        <v>AGYA G A/T</v>
      </c>
      <c r="K402" s="27" t="s">
        <v>118</v>
      </c>
      <c r="L402" s="27" t="s">
        <v>109</v>
      </c>
      <c r="M402" s="27" t="s">
        <v>262</v>
      </c>
      <c r="N402" s="27" t="s">
        <v>140</v>
      </c>
      <c r="O402" s="28" t="s">
        <v>156</v>
      </c>
      <c r="P402" s="29" t="s">
        <v>151</v>
      </c>
      <c r="Q402" s="29" t="s">
        <v>161</v>
      </c>
      <c r="R402" s="29" t="s">
        <v>109</v>
      </c>
      <c r="S402" s="27" t="s">
        <v>3907</v>
      </c>
      <c r="T402" s="27" t="s">
        <v>541</v>
      </c>
      <c r="U402" s="27" t="s">
        <v>164</v>
      </c>
      <c r="V402" s="27" t="s">
        <v>60</v>
      </c>
      <c r="W402" s="27" t="s">
        <v>61</v>
      </c>
      <c r="X402" s="27" t="s">
        <v>5292</v>
      </c>
      <c r="Y402" s="27" t="s">
        <v>5293</v>
      </c>
      <c r="Z402" s="27" t="s">
        <v>3906</v>
      </c>
      <c r="AA402" s="27" t="s">
        <v>3907</v>
      </c>
      <c r="AB402" s="27" t="s">
        <v>541</v>
      </c>
      <c r="AC402" s="27" t="s">
        <v>5294</v>
      </c>
      <c r="AD402" s="27" t="s">
        <v>5295</v>
      </c>
      <c r="AE402" s="27" t="s">
        <v>109</v>
      </c>
      <c r="AF402" s="27" t="s">
        <v>5296</v>
      </c>
      <c r="AG402" s="27" t="s">
        <v>5297</v>
      </c>
      <c r="AH402" s="27" t="s">
        <v>3292</v>
      </c>
      <c r="AI402" s="27" t="s">
        <v>140</v>
      </c>
      <c r="AJ402" s="27" t="s">
        <v>262</v>
      </c>
      <c r="AK402" s="27" t="s">
        <v>63</v>
      </c>
      <c r="AL402" s="27" t="s">
        <v>5298</v>
      </c>
      <c r="AM402" s="34">
        <v>204300000</v>
      </c>
      <c r="AN402" s="34">
        <v>156841518</v>
      </c>
      <c r="AO402" s="34">
        <v>28637500</v>
      </c>
      <c r="AP402" s="34">
        <v>17749553</v>
      </c>
      <c r="AQ402" s="34">
        <v>0</v>
      </c>
      <c r="AR402" s="34">
        <v>0</v>
      </c>
      <c r="AS402" s="34">
        <v>8928571</v>
      </c>
      <c r="AT402" s="34">
        <v>194300000</v>
      </c>
      <c r="AU402" s="34">
        <v>0</v>
      </c>
      <c r="AV402" s="34">
        <v>-10000000</v>
      </c>
      <c r="AW402" s="27" t="s">
        <v>412</v>
      </c>
      <c r="AX402" s="27" t="s">
        <v>412</v>
      </c>
      <c r="AY402" s="27" t="s">
        <v>83</v>
      </c>
      <c r="AZ402" s="27">
        <v>1</v>
      </c>
      <c r="BA402" s="27" t="s">
        <v>5299</v>
      </c>
      <c r="BB402" s="27" t="s">
        <v>414</v>
      </c>
      <c r="BC402" s="27" t="s">
        <v>5300</v>
      </c>
      <c r="BD402" s="27" t="s">
        <v>431</v>
      </c>
      <c r="BE402" s="27" t="s">
        <v>431</v>
      </c>
      <c r="BF402" s="27" t="s">
        <v>5301</v>
      </c>
      <c r="BG402" s="27" t="s">
        <v>5302</v>
      </c>
      <c r="BH402" s="27" t="s">
        <v>421</v>
      </c>
      <c r="BI402" s="27" t="s">
        <v>472</v>
      </c>
      <c r="BJ402" s="27" t="s">
        <v>5303</v>
      </c>
      <c r="BK402" s="27" t="s">
        <v>438</v>
      </c>
      <c r="BL402" s="27" t="s">
        <v>5304</v>
      </c>
      <c r="BM402" s="38">
        <v>0</v>
      </c>
    </row>
    <row r="403" spans="1:65" x14ac:dyDescent="0.2">
      <c r="A403" s="37">
        <v>1107</v>
      </c>
      <c r="B403" s="27">
        <v>146</v>
      </c>
      <c r="C403" s="27" t="s">
        <v>503</v>
      </c>
      <c r="D403" s="27" t="s">
        <v>5305</v>
      </c>
      <c r="E403" s="27" t="s">
        <v>463</v>
      </c>
      <c r="F403" s="27" t="s">
        <v>462</v>
      </c>
      <c r="G403" s="28">
        <v>2026</v>
      </c>
      <c r="H403" s="20" t="str">
        <f>VLOOKUP(U403,'[1]KODE TYPE standar'!$D:$U,17,0)</f>
        <v>HIACE</v>
      </c>
      <c r="I403" s="20" t="str">
        <f>VLOOKUP(U403,'[1]KODE TYPE standar'!$D:$U,16,0)</f>
        <v>HIACE</v>
      </c>
      <c r="J403" s="20" t="str">
        <f>VLOOKUP(U403,'[1]KODE TYPE standar'!$D:$U,18,0)</f>
        <v>HIACE COMM</v>
      </c>
      <c r="K403" s="27" t="s">
        <v>50</v>
      </c>
      <c r="L403" s="27" t="s">
        <v>109</v>
      </c>
      <c r="M403" s="27" t="s">
        <v>50</v>
      </c>
      <c r="N403" s="27" t="s">
        <v>141</v>
      </c>
      <c r="O403" s="28" t="s">
        <v>156</v>
      </c>
      <c r="P403" s="29" t="s">
        <v>149</v>
      </c>
      <c r="Q403" s="29" t="s">
        <v>161</v>
      </c>
      <c r="R403" s="29" t="s">
        <v>109</v>
      </c>
      <c r="S403" s="27" t="s">
        <v>709</v>
      </c>
      <c r="T403" s="27" t="s">
        <v>585</v>
      </c>
      <c r="U403" s="27" t="s">
        <v>4424</v>
      </c>
      <c r="V403" s="27" t="s">
        <v>99</v>
      </c>
      <c r="W403" s="27" t="s">
        <v>61</v>
      </c>
      <c r="X403" s="27" t="s">
        <v>5306</v>
      </c>
      <c r="Y403" s="27" t="s">
        <v>5307</v>
      </c>
      <c r="Z403" s="27" t="s">
        <v>708</v>
      </c>
      <c r="AA403" s="27" t="s">
        <v>709</v>
      </c>
      <c r="AB403" s="27" t="s">
        <v>585</v>
      </c>
      <c r="AC403" s="27" t="s">
        <v>5308</v>
      </c>
      <c r="AD403" s="27" t="s">
        <v>4450</v>
      </c>
      <c r="AE403" s="27" t="s">
        <v>109</v>
      </c>
      <c r="AF403" s="27" t="s">
        <v>5309</v>
      </c>
      <c r="AG403" s="27" t="s">
        <v>5310</v>
      </c>
      <c r="AH403" s="27" t="s">
        <v>1602</v>
      </c>
      <c r="AI403" s="27" t="s">
        <v>141</v>
      </c>
      <c r="AJ403" s="27" t="s">
        <v>50</v>
      </c>
      <c r="AK403" s="27" t="s">
        <v>50</v>
      </c>
      <c r="AL403" s="27"/>
      <c r="AM403" s="34">
        <v>578900000</v>
      </c>
      <c r="AN403" s="34">
        <v>451430180</v>
      </c>
      <c r="AO403" s="34">
        <v>77812500</v>
      </c>
      <c r="AP403" s="34">
        <v>46981644</v>
      </c>
      <c r="AQ403" s="34">
        <v>0</v>
      </c>
      <c r="AR403" s="34">
        <v>0</v>
      </c>
      <c r="AS403" s="34">
        <v>24324324</v>
      </c>
      <c r="AT403" s="34">
        <v>551900000</v>
      </c>
      <c r="AU403" s="34">
        <v>13000000</v>
      </c>
      <c r="AV403" s="34">
        <v>-27000000</v>
      </c>
      <c r="AW403" s="27" t="s">
        <v>458</v>
      </c>
      <c r="AX403" s="27" t="s">
        <v>458</v>
      </c>
      <c r="AY403" s="27" t="s">
        <v>83</v>
      </c>
      <c r="AZ403" s="27">
        <v>1</v>
      </c>
      <c r="BA403" s="27" t="s">
        <v>5311</v>
      </c>
      <c r="BB403" s="27" t="s">
        <v>469</v>
      </c>
      <c r="BC403" s="27" t="s">
        <v>5312</v>
      </c>
      <c r="BD403" s="27" t="s">
        <v>469</v>
      </c>
      <c r="BE403" s="27" t="s">
        <v>469</v>
      </c>
      <c r="BF403" s="27" t="s">
        <v>5212</v>
      </c>
      <c r="BG403" s="27" t="s">
        <v>5313</v>
      </c>
      <c r="BH403" s="27" t="s">
        <v>463</v>
      </c>
      <c r="BI403" s="27" t="s">
        <v>480</v>
      </c>
      <c r="BJ403" s="27" t="s">
        <v>5314</v>
      </c>
      <c r="BK403" s="27" t="s">
        <v>467</v>
      </c>
      <c r="BL403" s="27" t="s">
        <v>5315</v>
      </c>
      <c r="BM403" s="38">
        <v>0</v>
      </c>
    </row>
    <row r="404" spans="1:65" x14ac:dyDescent="0.2">
      <c r="A404" s="37">
        <v>1108</v>
      </c>
      <c r="B404" s="27">
        <v>146</v>
      </c>
      <c r="C404" s="27" t="s">
        <v>503</v>
      </c>
      <c r="D404" s="27" t="s">
        <v>5316</v>
      </c>
      <c r="E404" s="27" t="s">
        <v>469</v>
      </c>
      <c r="F404" s="27" t="s">
        <v>462</v>
      </c>
      <c r="G404" s="28">
        <v>2026</v>
      </c>
      <c r="H404" s="20" t="str">
        <f>VLOOKUP(U404,'[1]KODE TYPE standar'!$D:$U,17,0)</f>
        <v>HIACE</v>
      </c>
      <c r="I404" s="20" t="str">
        <f>VLOOKUP(U404,'[1]KODE TYPE standar'!$D:$U,16,0)</f>
        <v>HIACE</v>
      </c>
      <c r="J404" s="20" t="str">
        <f>VLOOKUP(U404,'[1]KODE TYPE standar'!$D:$U,18,0)</f>
        <v>HIACE COMM</v>
      </c>
      <c r="K404" s="27" t="s">
        <v>50</v>
      </c>
      <c r="L404" s="27" t="s">
        <v>109</v>
      </c>
      <c r="M404" s="27" t="s">
        <v>50</v>
      </c>
      <c r="N404" s="27" t="s">
        <v>141</v>
      </c>
      <c r="O404" s="28" t="s">
        <v>156</v>
      </c>
      <c r="P404" s="29" t="s">
        <v>149</v>
      </c>
      <c r="Q404" s="29" t="s">
        <v>162</v>
      </c>
      <c r="R404" s="29" t="s">
        <v>109</v>
      </c>
      <c r="S404" s="27" t="s">
        <v>877</v>
      </c>
      <c r="T404" s="27" t="s">
        <v>585</v>
      </c>
      <c r="U404" s="27" t="s">
        <v>4424</v>
      </c>
      <c r="V404" s="27" t="s">
        <v>99</v>
      </c>
      <c r="W404" s="27" t="s">
        <v>61</v>
      </c>
      <c r="X404" s="27" t="s">
        <v>4447</v>
      </c>
      <c r="Y404" s="27" t="s">
        <v>4448</v>
      </c>
      <c r="Z404" s="27" t="s">
        <v>876</v>
      </c>
      <c r="AA404" s="27" t="s">
        <v>877</v>
      </c>
      <c r="AB404" s="27" t="s">
        <v>585</v>
      </c>
      <c r="AC404" s="27" t="s">
        <v>4449</v>
      </c>
      <c r="AD404" s="27" t="s">
        <v>4450</v>
      </c>
      <c r="AE404" s="27" t="s">
        <v>109</v>
      </c>
      <c r="AF404" s="27" t="s">
        <v>4450</v>
      </c>
      <c r="AG404" s="27" t="s">
        <v>4451</v>
      </c>
      <c r="AH404" s="27" t="s">
        <v>1602</v>
      </c>
      <c r="AI404" s="27" t="s">
        <v>141</v>
      </c>
      <c r="AJ404" s="27" t="s">
        <v>50</v>
      </c>
      <c r="AK404" s="27" t="s">
        <v>50</v>
      </c>
      <c r="AL404" s="27"/>
      <c r="AM404" s="34">
        <v>578900000</v>
      </c>
      <c r="AN404" s="34">
        <v>-447399554</v>
      </c>
      <c r="AO404" s="34">
        <v>-77812500</v>
      </c>
      <c r="AP404" s="34">
        <v>-50795089</v>
      </c>
      <c r="AQ404" s="34">
        <v>0</v>
      </c>
      <c r="AR404" s="34">
        <v>0</v>
      </c>
      <c r="AS404" s="34">
        <v>-24107143</v>
      </c>
      <c r="AT404" s="34">
        <v>-551900000</v>
      </c>
      <c r="AU404" s="34">
        <v>0</v>
      </c>
      <c r="AV404" s="34">
        <v>-27000000</v>
      </c>
      <c r="AW404" s="27" t="s">
        <v>469</v>
      </c>
      <c r="AX404" s="27" t="s">
        <v>469</v>
      </c>
      <c r="AY404" s="27" t="s">
        <v>292</v>
      </c>
      <c r="AZ404" s="27">
        <v>-1</v>
      </c>
      <c r="BA404" s="27" t="s">
        <v>5311</v>
      </c>
      <c r="BB404" s="27" t="s">
        <v>419</v>
      </c>
      <c r="BC404" s="27" t="s">
        <v>4452</v>
      </c>
      <c r="BD404" s="27" t="s">
        <v>431</v>
      </c>
      <c r="BE404" s="27" t="s">
        <v>431</v>
      </c>
      <c r="BF404" s="27" t="s">
        <v>4453</v>
      </c>
      <c r="BG404" s="27" t="s">
        <v>4454</v>
      </c>
      <c r="BH404" s="27" t="s">
        <v>469</v>
      </c>
      <c r="BI404" s="27" t="s">
        <v>454</v>
      </c>
      <c r="BJ404" s="27" t="s">
        <v>4455</v>
      </c>
      <c r="BK404" s="27" t="s">
        <v>403</v>
      </c>
      <c r="BL404" s="27" t="s">
        <v>5317</v>
      </c>
      <c r="BM404" s="38">
        <v>0</v>
      </c>
    </row>
    <row r="405" spans="1:65" x14ac:dyDescent="0.2">
      <c r="A405" s="37">
        <v>1109</v>
      </c>
      <c r="B405" s="27">
        <v>146</v>
      </c>
      <c r="C405" s="27" t="s">
        <v>503</v>
      </c>
      <c r="D405" s="27" t="s">
        <v>5318</v>
      </c>
      <c r="E405" s="27" t="s">
        <v>469</v>
      </c>
      <c r="F405" s="27" t="s">
        <v>462</v>
      </c>
      <c r="G405" s="28">
        <v>2026</v>
      </c>
      <c r="H405" s="20" t="str">
        <f>VLOOKUP(U405,'[1]KODE TYPE standar'!$D:$U,17,0)</f>
        <v>HIACE</v>
      </c>
      <c r="I405" s="20" t="str">
        <f>VLOOKUP(U405,'[1]KODE TYPE standar'!$D:$U,16,0)</f>
        <v>HIACE</v>
      </c>
      <c r="J405" s="20" t="str">
        <f>VLOOKUP(U405,'[1]KODE TYPE standar'!$D:$U,18,0)</f>
        <v>HIACE COMM</v>
      </c>
      <c r="K405" s="27" t="s">
        <v>50</v>
      </c>
      <c r="L405" s="27" t="s">
        <v>109</v>
      </c>
      <c r="M405" s="27" t="s">
        <v>50</v>
      </c>
      <c r="N405" s="27" t="s">
        <v>141</v>
      </c>
      <c r="O405" s="28" t="s">
        <v>156</v>
      </c>
      <c r="P405" s="29" t="s">
        <v>149</v>
      </c>
      <c r="Q405" s="29" t="s">
        <v>162</v>
      </c>
      <c r="R405" s="29" t="s">
        <v>109</v>
      </c>
      <c r="S405" s="27" t="s">
        <v>877</v>
      </c>
      <c r="T405" s="27" t="s">
        <v>585</v>
      </c>
      <c r="U405" s="27" t="s">
        <v>4424</v>
      </c>
      <c r="V405" s="27" t="s">
        <v>99</v>
      </c>
      <c r="W405" s="27" t="s">
        <v>61</v>
      </c>
      <c r="X405" s="27" t="s">
        <v>4447</v>
      </c>
      <c r="Y405" s="27" t="s">
        <v>4448</v>
      </c>
      <c r="Z405" s="27" t="s">
        <v>876</v>
      </c>
      <c r="AA405" s="27" t="s">
        <v>877</v>
      </c>
      <c r="AB405" s="27" t="s">
        <v>585</v>
      </c>
      <c r="AC405" s="27" t="s">
        <v>4449</v>
      </c>
      <c r="AD405" s="27" t="s">
        <v>4450</v>
      </c>
      <c r="AE405" s="27" t="s">
        <v>109</v>
      </c>
      <c r="AF405" s="27" t="s">
        <v>4450</v>
      </c>
      <c r="AG405" s="27" t="s">
        <v>4451</v>
      </c>
      <c r="AH405" s="27" t="s">
        <v>1602</v>
      </c>
      <c r="AI405" s="27" t="s">
        <v>141</v>
      </c>
      <c r="AJ405" s="27" t="s">
        <v>50</v>
      </c>
      <c r="AK405" s="27" t="s">
        <v>50</v>
      </c>
      <c r="AL405" s="27"/>
      <c r="AM405" s="34">
        <v>578900000</v>
      </c>
      <c r="AN405" s="34">
        <v>451430180</v>
      </c>
      <c r="AO405" s="34">
        <v>77812500</v>
      </c>
      <c r="AP405" s="34">
        <v>46981644</v>
      </c>
      <c r="AQ405" s="34">
        <v>0</v>
      </c>
      <c r="AR405" s="34">
        <v>0</v>
      </c>
      <c r="AS405" s="34">
        <v>24324324</v>
      </c>
      <c r="AT405" s="34">
        <v>551900000</v>
      </c>
      <c r="AU405" s="34">
        <v>13000000</v>
      </c>
      <c r="AV405" s="34">
        <v>-27000000</v>
      </c>
      <c r="AW405" s="27" t="s">
        <v>469</v>
      </c>
      <c r="AX405" s="27" t="s">
        <v>469</v>
      </c>
      <c r="AY405" s="27" t="s">
        <v>83</v>
      </c>
      <c r="AZ405" s="27">
        <v>1</v>
      </c>
      <c r="BA405" s="27" t="s">
        <v>5311</v>
      </c>
      <c r="BB405" s="27" t="s">
        <v>419</v>
      </c>
      <c r="BC405" s="27" t="s">
        <v>4452</v>
      </c>
      <c r="BD405" s="27" t="s">
        <v>431</v>
      </c>
      <c r="BE405" s="27" t="s">
        <v>431</v>
      </c>
      <c r="BF405" s="27" t="s">
        <v>4453</v>
      </c>
      <c r="BG405" s="27" t="s">
        <v>4454</v>
      </c>
      <c r="BH405" s="27" t="s">
        <v>469</v>
      </c>
      <c r="BI405" s="27" t="s">
        <v>454</v>
      </c>
      <c r="BJ405" s="27" t="s">
        <v>4455</v>
      </c>
      <c r="BK405" s="27" t="s">
        <v>403</v>
      </c>
      <c r="BL405" s="27" t="s">
        <v>5317</v>
      </c>
      <c r="BM405" s="38">
        <v>0</v>
      </c>
    </row>
    <row r="406" spans="1:65" x14ac:dyDescent="0.2">
      <c r="A406" s="37">
        <v>1113</v>
      </c>
      <c r="B406" s="27">
        <v>146</v>
      </c>
      <c r="C406" s="27" t="s">
        <v>503</v>
      </c>
      <c r="D406" s="27" t="s">
        <v>5319</v>
      </c>
      <c r="E406" s="27" t="s">
        <v>475</v>
      </c>
      <c r="F406" s="27" t="s">
        <v>462</v>
      </c>
      <c r="G406" s="28">
        <v>2026</v>
      </c>
      <c r="H406" s="20" t="str">
        <f>VLOOKUP(U406,'[1]KODE TYPE standar'!$D:$U,17,0)</f>
        <v>INV ZENIX HYBRID</v>
      </c>
      <c r="I406" s="20" t="str">
        <f>VLOOKUP(U406,'[1]KODE TYPE standar'!$D:$U,16,0)</f>
        <v>INNOVA</v>
      </c>
      <c r="J406" s="20" t="str">
        <f>VLOOKUP(U406,'[1]KODE TYPE standar'!$D:$U,18,0)</f>
        <v>INNOVA ZENIX Q A/T HYBRID</v>
      </c>
      <c r="K406" s="27" t="s">
        <v>119</v>
      </c>
      <c r="L406" s="27" t="s">
        <v>109</v>
      </c>
      <c r="M406" s="27" t="s">
        <v>262</v>
      </c>
      <c r="N406" s="27" t="s">
        <v>141</v>
      </c>
      <c r="O406" s="28" t="s">
        <v>156</v>
      </c>
      <c r="P406" s="29" t="s">
        <v>150</v>
      </c>
      <c r="Q406" s="29" t="s">
        <v>147</v>
      </c>
      <c r="R406" s="29" t="s">
        <v>109</v>
      </c>
      <c r="S406" s="27" t="s">
        <v>978</v>
      </c>
      <c r="T406" s="27" t="s">
        <v>541</v>
      </c>
      <c r="U406" s="27" t="s">
        <v>174</v>
      </c>
      <c r="V406" s="27" t="s">
        <v>48</v>
      </c>
      <c r="W406" s="27" t="s">
        <v>49</v>
      </c>
      <c r="X406" s="27" t="s">
        <v>5320</v>
      </c>
      <c r="Y406" s="27" t="s">
        <v>5321</v>
      </c>
      <c r="Z406" s="27" t="s">
        <v>977</v>
      </c>
      <c r="AA406" s="27" t="s">
        <v>978</v>
      </c>
      <c r="AB406" s="27" t="s">
        <v>541</v>
      </c>
      <c r="AC406" s="27" t="s">
        <v>5322</v>
      </c>
      <c r="AD406" s="27" t="s">
        <v>5323</v>
      </c>
      <c r="AE406" s="27" t="s">
        <v>109</v>
      </c>
      <c r="AF406" s="27" t="s">
        <v>5324</v>
      </c>
      <c r="AG406" s="27" t="s">
        <v>5325</v>
      </c>
      <c r="AH406" s="27" t="s">
        <v>1149</v>
      </c>
      <c r="AI406" s="27" t="s">
        <v>141</v>
      </c>
      <c r="AJ406" s="27" t="s">
        <v>262</v>
      </c>
      <c r="AK406" s="27" t="s">
        <v>89</v>
      </c>
      <c r="AL406" s="27"/>
      <c r="AM406" s="34">
        <v>628200000</v>
      </c>
      <c r="AN406" s="34">
        <v>488013393</v>
      </c>
      <c r="AO406" s="34">
        <v>81625000</v>
      </c>
      <c r="AP406" s="34">
        <v>56204464</v>
      </c>
      <c r="AQ406" s="34">
        <v>0</v>
      </c>
      <c r="AR406" s="34">
        <v>0</v>
      </c>
      <c r="AS406" s="34">
        <v>19642857</v>
      </c>
      <c r="AT406" s="34">
        <v>606200000</v>
      </c>
      <c r="AU406" s="34">
        <v>198000000</v>
      </c>
      <c r="AV406" s="34">
        <v>-32000000</v>
      </c>
      <c r="AW406" s="27"/>
      <c r="AX406" s="27"/>
      <c r="AY406" s="27" t="s">
        <v>83</v>
      </c>
      <c r="AZ406" s="27">
        <v>1</v>
      </c>
      <c r="BA406" s="27"/>
      <c r="BB406" s="27" t="s">
        <v>475</v>
      </c>
      <c r="BC406" s="27" t="s">
        <v>5326</v>
      </c>
      <c r="BD406" s="27" t="s">
        <v>452</v>
      </c>
      <c r="BE406" s="27" t="s">
        <v>452</v>
      </c>
      <c r="BF406" s="27" t="s">
        <v>499</v>
      </c>
      <c r="BG406" s="27" t="s">
        <v>5327</v>
      </c>
      <c r="BH406" s="27"/>
      <c r="BI406" s="27" t="s">
        <v>456</v>
      </c>
      <c r="BJ406" s="27" t="s">
        <v>5328</v>
      </c>
      <c r="BK406" s="27" t="s">
        <v>463</v>
      </c>
      <c r="BL406" s="27" t="s">
        <v>5329</v>
      </c>
      <c r="BM406" s="38">
        <v>10000000</v>
      </c>
    </row>
    <row r="407" spans="1:65" x14ac:dyDescent="0.2">
      <c r="A407" s="37">
        <v>1184</v>
      </c>
      <c r="B407" s="27">
        <v>146</v>
      </c>
      <c r="C407" s="27" t="s">
        <v>503</v>
      </c>
      <c r="D407" s="27" t="s">
        <v>5330</v>
      </c>
      <c r="E407" s="27" t="s">
        <v>471</v>
      </c>
      <c r="F407" s="27" t="s">
        <v>462</v>
      </c>
      <c r="G407" s="28">
        <v>2026</v>
      </c>
      <c r="H407" s="20" t="str">
        <f>VLOOKUP(U407,'[1]KODE TYPE standar'!$D:$U,17,0)</f>
        <v>HIACE</v>
      </c>
      <c r="I407" s="20" t="str">
        <f>VLOOKUP(U407,'[1]KODE TYPE standar'!$D:$U,16,0)</f>
        <v>HIACE</v>
      </c>
      <c r="J407" s="20" t="str">
        <f>VLOOKUP(U407,'[1]KODE TYPE standar'!$D:$U,18,0)</f>
        <v>HIACE PREMIO</v>
      </c>
      <c r="K407" s="27" t="s">
        <v>118</v>
      </c>
      <c r="L407" s="27" t="s">
        <v>109</v>
      </c>
      <c r="M407" s="27" t="s">
        <v>262</v>
      </c>
      <c r="N407" s="27" t="s">
        <v>140</v>
      </c>
      <c r="O407" s="28" t="s">
        <v>156</v>
      </c>
      <c r="P407" s="29" t="s">
        <v>149</v>
      </c>
      <c r="Q407" s="29" t="s">
        <v>162</v>
      </c>
      <c r="R407" s="29" t="s">
        <v>109</v>
      </c>
      <c r="S407" s="27" t="s">
        <v>5334</v>
      </c>
      <c r="T407" s="27" t="s">
        <v>585</v>
      </c>
      <c r="U407" s="27" t="s">
        <v>2752</v>
      </c>
      <c r="V407" s="27" t="s">
        <v>331</v>
      </c>
      <c r="W407" s="27" t="s">
        <v>81</v>
      </c>
      <c r="X407" s="27" t="s">
        <v>5331</v>
      </c>
      <c r="Y407" s="27" t="s">
        <v>5332</v>
      </c>
      <c r="Z407" s="27" t="s">
        <v>5333</v>
      </c>
      <c r="AA407" s="27" t="s">
        <v>5334</v>
      </c>
      <c r="AB407" s="27" t="s">
        <v>585</v>
      </c>
      <c r="AC407" s="27" t="s">
        <v>5335</v>
      </c>
      <c r="AD407" s="27" t="s">
        <v>5336</v>
      </c>
      <c r="AE407" s="27" t="s">
        <v>109</v>
      </c>
      <c r="AF407" s="27" t="s">
        <v>5337</v>
      </c>
      <c r="AG407" s="27" t="s">
        <v>5338</v>
      </c>
      <c r="AH407" s="27" t="s">
        <v>1614</v>
      </c>
      <c r="AI407" s="27" t="s">
        <v>140</v>
      </c>
      <c r="AJ407" s="27" t="s">
        <v>262</v>
      </c>
      <c r="AK407" s="27" t="s">
        <v>63</v>
      </c>
      <c r="AL407" s="27"/>
      <c r="AM407" s="34">
        <v>679100000</v>
      </c>
      <c r="AN407" s="34">
        <v>525680804</v>
      </c>
      <c r="AO407" s="34">
        <v>90337500</v>
      </c>
      <c r="AP407" s="34">
        <v>60188839</v>
      </c>
      <c r="AQ407" s="34">
        <v>0</v>
      </c>
      <c r="AR407" s="34">
        <v>0</v>
      </c>
      <c r="AS407" s="34">
        <v>24107143</v>
      </c>
      <c r="AT407" s="34">
        <v>652100000</v>
      </c>
      <c r="AU407" s="34">
        <v>0</v>
      </c>
      <c r="AV407" s="34">
        <v>-27000000</v>
      </c>
      <c r="AW407" s="27" t="s">
        <v>469</v>
      </c>
      <c r="AX407" s="27" t="s">
        <v>469</v>
      </c>
      <c r="AY407" s="27" t="s">
        <v>83</v>
      </c>
      <c r="AZ407" s="27">
        <v>1</v>
      </c>
      <c r="BA407" s="27"/>
      <c r="BB407" s="27" t="s">
        <v>422</v>
      </c>
      <c r="BC407" s="27" t="s">
        <v>5339</v>
      </c>
      <c r="BD407" s="27" t="s">
        <v>440</v>
      </c>
      <c r="BE407" s="27" t="s">
        <v>440</v>
      </c>
      <c r="BF407" s="27" t="s">
        <v>5340</v>
      </c>
      <c r="BG407" s="27" t="s">
        <v>5341</v>
      </c>
      <c r="BH407" s="27" t="s">
        <v>471</v>
      </c>
      <c r="BI407" s="27" t="s">
        <v>474</v>
      </c>
      <c r="BJ407" s="27" t="s">
        <v>5342</v>
      </c>
      <c r="BK407" s="27" t="s">
        <v>397</v>
      </c>
      <c r="BL407" s="27" t="s">
        <v>5343</v>
      </c>
      <c r="BM407" s="38">
        <v>0</v>
      </c>
    </row>
    <row r="408" spans="1:65" x14ac:dyDescent="0.2">
      <c r="A408" s="37">
        <v>1192</v>
      </c>
      <c r="B408" s="27">
        <v>146</v>
      </c>
      <c r="C408" s="27" t="s">
        <v>503</v>
      </c>
      <c r="D408" s="27" t="s">
        <v>5344</v>
      </c>
      <c r="E408" s="27" t="s">
        <v>474</v>
      </c>
      <c r="F408" s="27" t="s">
        <v>462</v>
      </c>
      <c r="G408" s="28">
        <v>2026</v>
      </c>
      <c r="H408" s="20" t="str">
        <f>VLOOKUP(U408,'[1]KODE TYPE standar'!$D:$U,17,0)</f>
        <v>AVANZA</v>
      </c>
      <c r="I408" s="20" t="str">
        <f>VLOOKUP(U408,'[1]KODE TYPE standar'!$D:$U,16,0)</f>
        <v>AVANZA</v>
      </c>
      <c r="J408" s="20" t="str">
        <f>VLOOKUP(U408,'[1]KODE TYPE standar'!$D:$U,18,0)</f>
        <v>AVANZA G A/T</v>
      </c>
      <c r="K408" s="27" t="s">
        <v>50</v>
      </c>
      <c r="L408" s="27" t="s">
        <v>109</v>
      </c>
      <c r="M408" s="27" t="s">
        <v>50</v>
      </c>
      <c r="N408" s="27" t="s">
        <v>141</v>
      </c>
      <c r="O408" s="28" t="s">
        <v>156</v>
      </c>
      <c r="P408" s="29" t="s">
        <v>150</v>
      </c>
      <c r="Q408" s="29" t="s">
        <v>161</v>
      </c>
      <c r="R408" s="29" t="s">
        <v>109</v>
      </c>
      <c r="S408" s="27" t="s">
        <v>1373</v>
      </c>
      <c r="T408" s="27" t="s">
        <v>509</v>
      </c>
      <c r="U408" s="27" t="s">
        <v>329</v>
      </c>
      <c r="V408" s="27" t="s">
        <v>60</v>
      </c>
      <c r="W408" s="27" t="s">
        <v>61</v>
      </c>
      <c r="X408" s="27" t="s">
        <v>5345</v>
      </c>
      <c r="Y408" s="27" t="s">
        <v>5346</v>
      </c>
      <c r="Z408" s="27" t="s">
        <v>1372</v>
      </c>
      <c r="AA408" s="27" t="s">
        <v>1373</v>
      </c>
      <c r="AB408" s="27" t="s">
        <v>509</v>
      </c>
      <c r="AC408" s="27" t="s">
        <v>5347</v>
      </c>
      <c r="AD408" s="27" t="s">
        <v>314</v>
      </c>
      <c r="AE408" s="27" t="s">
        <v>109</v>
      </c>
      <c r="AF408" s="27" t="s">
        <v>315</v>
      </c>
      <c r="AG408" s="27" t="s">
        <v>2783</v>
      </c>
      <c r="AH408" s="27" t="s">
        <v>1494</v>
      </c>
      <c r="AI408" s="27" t="s">
        <v>141</v>
      </c>
      <c r="AJ408" s="27" t="s">
        <v>50</v>
      </c>
      <c r="AK408" s="27" t="s">
        <v>50</v>
      </c>
      <c r="AL408" s="27"/>
      <c r="AM408" s="34">
        <v>285000000</v>
      </c>
      <c r="AN408" s="34">
        <v>219888393</v>
      </c>
      <c r="AO408" s="34">
        <v>38725000</v>
      </c>
      <c r="AP408" s="34">
        <v>24243750</v>
      </c>
      <c r="AQ408" s="34">
        <v>0</v>
      </c>
      <c r="AR408" s="34">
        <v>0</v>
      </c>
      <c r="AS408" s="34">
        <v>17857143</v>
      </c>
      <c r="AT408" s="34">
        <v>265000000</v>
      </c>
      <c r="AU408" s="34">
        <v>265000000</v>
      </c>
      <c r="AV408" s="34">
        <v>-20264886</v>
      </c>
      <c r="AW408" s="27"/>
      <c r="AX408" s="27"/>
      <c r="AY408" s="27" t="s">
        <v>83</v>
      </c>
      <c r="AZ408" s="27">
        <v>1</v>
      </c>
      <c r="BA408" s="27" t="s">
        <v>316</v>
      </c>
      <c r="BB408" s="27" t="s">
        <v>474</v>
      </c>
      <c r="BC408" s="27" t="s">
        <v>5348</v>
      </c>
      <c r="BD408" s="27" t="s">
        <v>474</v>
      </c>
      <c r="BE408" s="27" t="s">
        <v>474</v>
      </c>
      <c r="BF408" s="27" t="s">
        <v>5349</v>
      </c>
      <c r="BG408" s="27" t="s">
        <v>5350</v>
      </c>
      <c r="BH408" s="27"/>
      <c r="BI408" s="27" t="s">
        <v>5351</v>
      </c>
      <c r="BJ408" s="27" t="s">
        <v>5352</v>
      </c>
      <c r="BK408" s="27" t="s">
        <v>472</v>
      </c>
      <c r="BL408" s="27" t="s">
        <v>5353</v>
      </c>
      <c r="BM408" s="38">
        <v>0</v>
      </c>
    </row>
    <row r="409" spans="1:65" x14ac:dyDescent="0.2">
      <c r="A409" s="37">
        <v>1202</v>
      </c>
      <c r="B409" s="27">
        <v>146</v>
      </c>
      <c r="C409" s="27" t="s">
        <v>503</v>
      </c>
      <c r="D409" s="27" t="s">
        <v>5354</v>
      </c>
      <c r="E409" s="27" t="s">
        <v>436</v>
      </c>
      <c r="F409" s="27" t="s">
        <v>462</v>
      </c>
      <c r="G409" s="28">
        <v>2026</v>
      </c>
      <c r="H409" s="20" t="str">
        <f>VLOOKUP(U409,'[1]KODE TYPE standar'!$D:$U,17,0)</f>
        <v>VELOZ</v>
      </c>
      <c r="I409" s="20" t="str">
        <f>VLOOKUP(U409,'[1]KODE TYPE standar'!$D:$U,16,0)</f>
        <v>VELOZ</v>
      </c>
      <c r="J409" s="20" t="str">
        <f>VLOOKUP(U409,'[1]KODE TYPE standar'!$D:$U,18,0)</f>
        <v>VELOZ V AT HYBRID</v>
      </c>
      <c r="K409" s="27" t="s">
        <v>50</v>
      </c>
      <c r="L409" s="27" t="s">
        <v>109</v>
      </c>
      <c r="M409" s="27" t="s">
        <v>50</v>
      </c>
      <c r="N409" s="27" t="s">
        <v>141</v>
      </c>
      <c r="O409" s="28" t="s">
        <v>156</v>
      </c>
      <c r="P409" s="29" t="s">
        <v>3541</v>
      </c>
      <c r="Q409" s="29" t="s">
        <v>147</v>
      </c>
      <c r="R409" s="29" t="s">
        <v>109</v>
      </c>
      <c r="S409" s="27" t="s">
        <v>937</v>
      </c>
      <c r="T409" s="27" t="s">
        <v>541</v>
      </c>
      <c r="U409" s="27" t="s">
        <v>335</v>
      </c>
      <c r="V409" s="27" t="s">
        <v>51</v>
      </c>
      <c r="W409" s="27" t="s">
        <v>286</v>
      </c>
      <c r="X409" s="27" t="s">
        <v>5355</v>
      </c>
      <c r="Y409" s="27" t="s">
        <v>5356</v>
      </c>
      <c r="Z409" s="27" t="s">
        <v>936</v>
      </c>
      <c r="AA409" s="27" t="s">
        <v>937</v>
      </c>
      <c r="AB409" s="27" t="s">
        <v>541</v>
      </c>
      <c r="AC409" s="27" t="s">
        <v>5357</v>
      </c>
      <c r="AD409" s="27" t="s">
        <v>5358</v>
      </c>
      <c r="AE409" s="27" t="s">
        <v>109</v>
      </c>
      <c r="AF409" s="27" t="s">
        <v>5359</v>
      </c>
      <c r="AG409" s="27" t="s">
        <v>5360</v>
      </c>
      <c r="AH409" s="27" t="s">
        <v>1149</v>
      </c>
      <c r="AI409" s="27" t="s">
        <v>141</v>
      </c>
      <c r="AJ409" s="27" t="s">
        <v>50</v>
      </c>
      <c r="AK409" s="27" t="s">
        <v>50</v>
      </c>
      <c r="AL409" s="27" t="s">
        <v>5361</v>
      </c>
      <c r="AM409" s="34">
        <v>304500000</v>
      </c>
      <c r="AN409" s="34">
        <v>235122768</v>
      </c>
      <c r="AO409" s="34">
        <v>41162500</v>
      </c>
      <c r="AP409" s="34">
        <v>28000446</v>
      </c>
      <c r="AQ409" s="34">
        <v>0</v>
      </c>
      <c r="AR409" s="34">
        <v>0</v>
      </c>
      <c r="AS409" s="34">
        <v>1785714</v>
      </c>
      <c r="AT409" s="34">
        <v>302500000</v>
      </c>
      <c r="AU409" s="34">
        <v>0</v>
      </c>
      <c r="AV409" s="34">
        <v>-2000000</v>
      </c>
      <c r="AW409" s="27" t="s">
        <v>443</v>
      </c>
      <c r="AX409" s="27" t="s">
        <v>443</v>
      </c>
      <c r="AY409" s="27" t="s">
        <v>83</v>
      </c>
      <c r="AZ409" s="27">
        <v>1</v>
      </c>
      <c r="BA409" s="27" t="s">
        <v>5362</v>
      </c>
      <c r="BB409" s="27" t="s">
        <v>421</v>
      </c>
      <c r="BC409" s="27" t="s">
        <v>5363</v>
      </c>
      <c r="BD409" s="27" t="s">
        <v>421</v>
      </c>
      <c r="BE409" s="27" t="s">
        <v>421</v>
      </c>
      <c r="BF409" s="27" t="s">
        <v>5364</v>
      </c>
      <c r="BG409" s="27" t="s">
        <v>5365</v>
      </c>
      <c r="BH409" s="27" t="s">
        <v>436</v>
      </c>
      <c r="BI409" s="27" t="s">
        <v>5366</v>
      </c>
      <c r="BJ409" s="27" t="s">
        <v>5367</v>
      </c>
      <c r="BK409" s="27" t="s">
        <v>344</v>
      </c>
      <c r="BL409" s="27" t="s">
        <v>5368</v>
      </c>
      <c r="BM409" s="38">
        <v>0</v>
      </c>
    </row>
    <row r="410" spans="1:65" x14ac:dyDescent="0.2">
      <c r="A410" s="37">
        <v>1452</v>
      </c>
      <c r="B410" s="27">
        <v>146</v>
      </c>
      <c r="C410" s="27" t="s">
        <v>503</v>
      </c>
      <c r="D410" s="27" t="s">
        <v>5369</v>
      </c>
      <c r="E410" s="27" t="s">
        <v>474</v>
      </c>
      <c r="F410" s="27" t="s">
        <v>462</v>
      </c>
      <c r="G410" s="28">
        <v>2026</v>
      </c>
      <c r="H410" s="20" t="str">
        <f>VLOOKUP(U410,'[1]KODE TYPE standar'!$D:$U,17,0)</f>
        <v>RUSH</v>
      </c>
      <c r="I410" s="20" t="str">
        <f>VLOOKUP(U410,'[1]KODE TYPE standar'!$D:$U,16,0)</f>
        <v>RUSH</v>
      </c>
      <c r="J410" s="20" t="str">
        <f>VLOOKUP(U410,'[1]KODE TYPE standar'!$D:$U,18,0)</f>
        <v>RUSH G M/T</v>
      </c>
      <c r="K410" s="27" t="s">
        <v>101</v>
      </c>
      <c r="L410" s="27" t="s">
        <v>109</v>
      </c>
      <c r="M410" s="27" t="s">
        <v>262</v>
      </c>
      <c r="N410" s="27" t="s">
        <v>141</v>
      </c>
      <c r="O410" s="28" t="s">
        <v>156</v>
      </c>
      <c r="P410" s="29" t="s">
        <v>149</v>
      </c>
      <c r="Q410" s="29" t="s">
        <v>162</v>
      </c>
      <c r="R410" s="29" t="s">
        <v>109</v>
      </c>
      <c r="S410" s="27" t="s">
        <v>524</v>
      </c>
      <c r="T410" s="27" t="s">
        <v>509</v>
      </c>
      <c r="U410" s="27" t="s">
        <v>453</v>
      </c>
      <c r="V410" s="27" t="s">
        <v>64</v>
      </c>
      <c r="W410" s="27" t="s">
        <v>65</v>
      </c>
      <c r="X410" s="27" t="s">
        <v>5370</v>
      </c>
      <c r="Y410" s="27" t="s">
        <v>5371</v>
      </c>
      <c r="Z410" s="27" t="s">
        <v>523</v>
      </c>
      <c r="AA410" s="27" t="s">
        <v>524</v>
      </c>
      <c r="AB410" s="27" t="s">
        <v>509</v>
      </c>
      <c r="AC410" s="27" t="s">
        <v>5372</v>
      </c>
      <c r="AD410" s="27" t="s">
        <v>5373</v>
      </c>
      <c r="AE410" s="27" t="s">
        <v>109</v>
      </c>
      <c r="AF410" s="27" t="s">
        <v>5373</v>
      </c>
      <c r="AG410" s="27" t="s">
        <v>5374</v>
      </c>
      <c r="AH410" s="27" t="s">
        <v>996</v>
      </c>
      <c r="AI410" s="27" t="s">
        <v>141</v>
      </c>
      <c r="AJ410" s="27" t="s">
        <v>262</v>
      </c>
      <c r="AK410" s="27" t="s">
        <v>103</v>
      </c>
      <c r="AL410" s="27"/>
      <c r="AM410" s="34">
        <v>296400000</v>
      </c>
      <c r="AN410" s="34">
        <v>228794643</v>
      </c>
      <c r="AO410" s="34">
        <v>40150000</v>
      </c>
      <c r="AP410" s="34">
        <v>25848214</v>
      </c>
      <c r="AQ410" s="34">
        <v>0</v>
      </c>
      <c r="AR410" s="34">
        <v>0</v>
      </c>
      <c r="AS410" s="34">
        <v>13392857</v>
      </c>
      <c r="AT410" s="34">
        <v>281400000</v>
      </c>
      <c r="AU410" s="34">
        <v>6150000</v>
      </c>
      <c r="AV410" s="34">
        <v>-17850000</v>
      </c>
      <c r="AW410" s="27"/>
      <c r="AX410" s="27"/>
      <c r="AY410" s="27" t="s">
        <v>83</v>
      </c>
      <c r="AZ410" s="27">
        <v>1</v>
      </c>
      <c r="BA410" s="27" t="s">
        <v>5375</v>
      </c>
      <c r="BB410" s="27" t="s">
        <v>467</v>
      </c>
      <c r="BC410" s="27" t="s">
        <v>5376</v>
      </c>
      <c r="BD410" s="27" t="s">
        <v>443</v>
      </c>
      <c r="BE410" s="27" t="s">
        <v>443</v>
      </c>
      <c r="BF410" s="27" t="s">
        <v>5377</v>
      </c>
      <c r="BG410" s="27" t="s">
        <v>5378</v>
      </c>
      <c r="BH410" s="27"/>
      <c r="BI410" s="27" t="s">
        <v>477</v>
      </c>
      <c r="BJ410" s="27" t="s">
        <v>5379</v>
      </c>
      <c r="BK410" s="27" t="s">
        <v>432</v>
      </c>
      <c r="BL410" s="27" t="s">
        <v>5380</v>
      </c>
      <c r="BM410" s="38">
        <v>2850000</v>
      </c>
    </row>
    <row r="411" spans="1:65" x14ac:dyDescent="0.2">
      <c r="A411" s="37">
        <v>1453</v>
      </c>
      <c r="B411" s="27">
        <v>146</v>
      </c>
      <c r="C411" s="27" t="s">
        <v>503</v>
      </c>
      <c r="D411" s="27" t="s">
        <v>5381</v>
      </c>
      <c r="E411" s="27" t="s">
        <v>474</v>
      </c>
      <c r="F411" s="27" t="s">
        <v>462</v>
      </c>
      <c r="G411" s="28">
        <v>2026</v>
      </c>
      <c r="H411" s="20" t="str">
        <f>VLOOKUP(U411,'[1]KODE TYPE standar'!$D:$U,17,0)</f>
        <v>RUSH</v>
      </c>
      <c r="I411" s="20" t="str">
        <f>VLOOKUP(U411,'[1]KODE TYPE standar'!$D:$U,16,0)</f>
        <v>RUSH</v>
      </c>
      <c r="J411" s="20" t="str">
        <f>VLOOKUP(U411,'[1]KODE TYPE standar'!$D:$U,18,0)</f>
        <v>RUSH G M/T</v>
      </c>
      <c r="K411" s="27" t="s">
        <v>101</v>
      </c>
      <c r="L411" s="27" t="s">
        <v>109</v>
      </c>
      <c r="M411" s="27" t="s">
        <v>262</v>
      </c>
      <c r="N411" s="27" t="s">
        <v>141</v>
      </c>
      <c r="O411" s="28" t="s">
        <v>156</v>
      </c>
      <c r="P411" s="29" t="s">
        <v>149</v>
      </c>
      <c r="Q411" s="29" t="s">
        <v>162</v>
      </c>
      <c r="R411" s="29" t="s">
        <v>109</v>
      </c>
      <c r="S411" s="27" t="s">
        <v>524</v>
      </c>
      <c r="T411" s="27" t="s">
        <v>509</v>
      </c>
      <c r="U411" s="27" t="s">
        <v>453</v>
      </c>
      <c r="V411" s="27" t="s">
        <v>64</v>
      </c>
      <c r="W411" s="27" t="s">
        <v>65</v>
      </c>
      <c r="X411" s="27" t="s">
        <v>5382</v>
      </c>
      <c r="Y411" s="27" t="s">
        <v>5383</v>
      </c>
      <c r="Z411" s="27" t="s">
        <v>523</v>
      </c>
      <c r="AA411" s="27" t="s">
        <v>524</v>
      </c>
      <c r="AB411" s="27" t="s">
        <v>509</v>
      </c>
      <c r="AC411" s="27" t="s">
        <v>5384</v>
      </c>
      <c r="AD411" s="27" t="s">
        <v>5373</v>
      </c>
      <c r="AE411" s="27" t="s">
        <v>109</v>
      </c>
      <c r="AF411" s="27" t="s">
        <v>5385</v>
      </c>
      <c r="AG411" s="27" t="s">
        <v>5386</v>
      </c>
      <c r="AH411" s="27" t="s">
        <v>996</v>
      </c>
      <c r="AI411" s="27" t="s">
        <v>141</v>
      </c>
      <c r="AJ411" s="27" t="s">
        <v>262</v>
      </c>
      <c r="AK411" s="27" t="s">
        <v>103</v>
      </c>
      <c r="AL411" s="27"/>
      <c r="AM411" s="34">
        <v>296400000</v>
      </c>
      <c r="AN411" s="34">
        <v>228794643</v>
      </c>
      <c r="AO411" s="34">
        <v>40150000</v>
      </c>
      <c r="AP411" s="34">
        <v>25848214</v>
      </c>
      <c r="AQ411" s="34">
        <v>0</v>
      </c>
      <c r="AR411" s="34">
        <v>0</v>
      </c>
      <c r="AS411" s="34">
        <v>13392857</v>
      </c>
      <c r="AT411" s="34">
        <v>281400000</v>
      </c>
      <c r="AU411" s="34">
        <v>6150000</v>
      </c>
      <c r="AV411" s="34">
        <v>-17850000</v>
      </c>
      <c r="AW411" s="27"/>
      <c r="AX411" s="27"/>
      <c r="AY411" s="27" t="s">
        <v>83</v>
      </c>
      <c r="AZ411" s="27">
        <v>1</v>
      </c>
      <c r="BA411" s="27" t="s">
        <v>5375</v>
      </c>
      <c r="BB411" s="27" t="s">
        <v>467</v>
      </c>
      <c r="BC411" s="27" t="s">
        <v>5387</v>
      </c>
      <c r="BD411" s="27" t="s">
        <v>443</v>
      </c>
      <c r="BE411" s="27" t="s">
        <v>443</v>
      </c>
      <c r="BF411" s="27" t="s">
        <v>5388</v>
      </c>
      <c r="BG411" s="27" t="s">
        <v>5389</v>
      </c>
      <c r="BH411" s="27"/>
      <c r="BI411" s="27" t="s">
        <v>477</v>
      </c>
      <c r="BJ411" s="27" t="s">
        <v>5390</v>
      </c>
      <c r="BK411" s="27" t="s">
        <v>419</v>
      </c>
      <c r="BL411" s="27" t="s">
        <v>5391</v>
      </c>
      <c r="BM411" s="38">
        <v>2850000</v>
      </c>
    </row>
    <row r="412" spans="1:65" x14ac:dyDescent="0.2">
      <c r="A412" s="37">
        <v>1454</v>
      </c>
      <c r="B412" s="27">
        <v>146</v>
      </c>
      <c r="C412" s="27" t="s">
        <v>503</v>
      </c>
      <c r="D412" s="27" t="s">
        <v>5392</v>
      </c>
      <c r="E412" s="27" t="s">
        <v>474</v>
      </c>
      <c r="F412" s="27" t="s">
        <v>462</v>
      </c>
      <c r="G412" s="28">
        <v>2026</v>
      </c>
      <c r="H412" s="20" t="str">
        <f>VLOOKUP(U412,'[1]KODE TYPE standar'!$D:$U,17,0)</f>
        <v>RUSH</v>
      </c>
      <c r="I412" s="20" t="str">
        <f>VLOOKUP(U412,'[1]KODE TYPE standar'!$D:$U,16,0)</f>
        <v>RUSH</v>
      </c>
      <c r="J412" s="20" t="str">
        <f>VLOOKUP(U412,'[1]KODE TYPE standar'!$D:$U,18,0)</f>
        <v>RUSH G M/T</v>
      </c>
      <c r="K412" s="27" t="s">
        <v>101</v>
      </c>
      <c r="L412" s="27" t="s">
        <v>109</v>
      </c>
      <c r="M412" s="27" t="s">
        <v>262</v>
      </c>
      <c r="N412" s="27" t="s">
        <v>141</v>
      </c>
      <c r="O412" s="28" t="s">
        <v>156</v>
      </c>
      <c r="P412" s="29" t="s">
        <v>149</v>
      </c>
      <c r="Q412" s="29" t="s">
        <v>162</v>
      </c>
      <c r="R412" s="29" t="s">
        <v>109</v>
      </c>
      <c r="S412" s="27" t="s">
        <v>524</v>
      </c>
      <c r="T412" s="27" t="s">
        <v>509</v>
      </c>
      <c r="U412" s="27" t="s">
        <v>453</v>
      </c>
      <c r="V412" s="27" t="s">
        <v>64</v>
      </c>
      <c r="W412" s="27" t="s">
        <v>65</v>
      </c>
      <c r="X412" s="27" t="s">
        <v>5393</v>
      </c>
      <c r="Y412" s="27" t="s">
        <v>5394</v>
      </c>
      <c r="Z412" s="27" t="s">
        <v>523</v>
      </c>
      <c r="AA412" s="27" t="s">
        <v>524</v>
      </c>
      <c r="AB412" s="27" t="s">
        <v>509</v>
      </c>
      <c r="AC412" s="27" t="s">
        <v>5372</v>
      </c>
      <c r="AD412" s="27" t="s">
        <v>5373</v>
      </c>
      <c r="AE412" s="27" t="s">
        <v>109</v>
      </c>
      <c r="AF412" s="27" t="s">
        <v>5373</v>
      </c>
      <c r="AG412" s="27" t="s">
        <v>5374</v>
      </c>
      <c r="AH412" s="27" t="s">
        <v>996</v>
      </c>
      <c r="AI412" s="27" t="s">
        <v>141</v>
      </c>
      <c r="AJ412" s="27" t="s">
        <v>262</v>
      </c>
      <c r="AK412" s="27" t="s">
        <v>103</v>
      </c>
      <c r="AL412" s="27"/>
      <c r="AM412" s="34">
        <v>296400000</v>
      </c>
      <c r="AN412" s="34">
        <v>228794643</v>
      </c>
      <c r="AO412" s="34">
        <v>40150000</v>
      </c>
      <c r="AP412" s="34">
        <v>25848214</v>
      </c>
      <c r="AQ412" s="34">
        <v>0</v>
      </c>
      <c r="AR412" s="34">
        <v>0</v>
      </c>
      <c r="AS412" s="34">
        <v>13392857</v>
      </c>
      <c r="AT412" s="34">
        <v>281400000</v>
      </c>
      <c r="AU412" s="34">
        <v>6150000</v>
      </c>
      <c r="AV412" s="34">
        <v>-17850000</v>
      </c>
      <c r="AW412" s="27"/>
      <c r="AX412" s="27"/>
      <c r="AY412" s="27" t="s">
        <v>83</v>
      </c>
      <c r="AZ412" s="27">
        <v>1</v>
      </c>
      <c r="BA412" s="27" t="s">
        <v>5375</v>
      </c>
      <c r="BB412" s="27" t="s">
        <v>467</v>
      </c>
      <c r="BC412" s="27" t="s">
        <v>5395</v>
      </c>
      <c r="BD412" s="27" t="s">
        <v>443</v>
      </c>
      <c r="BE412" s="27" t="s">
        <v>443</v>
      </c>
      <c r="BF412" s="27" t="s">
        <v>5396</v>
      </c>
      <c r="BG412" s="27" t="s">
        <v>5397</v>
      </c>
      <c r="BH412" s="27"/>
      <c r="BI412" s="27" t="s">
        <v>477</v>
      </c>
      <c r="BJ412" s="27" t="s">
        <v>5398</v>
      </c>
      <c r="BK412" s="27" t="s">
        <v>436</v>
      </c>
      <c r="BL412" s="27" t="s">
        <v>5399</v>
      </c>
      <c r="BM412" s="38">
        <v>2850000</v>
      </c>
    </row>
    <row r="413" spans="1:65" x14ac:dyDescent="0.2">
      <c r="A413" s="37">
        <v>1542</v>
      </c>
      <c r="B413" s="27">
        <v>146</v>
      </c>
      <c r="C413" s="27" t="s">
        <v>503</v>
      </c>
      <c r="D413" s="27" t="s">
        <v>5400</v>
      </c>
      <c r="E413" s="27" t="s">
        <v>440</v>
      </c>
      <c r="F413" s="27" t="s">
        <v>462</v>
      </c>
      <c r="G413" s="28">
        <v>2026</v>
      </c>
      <c r="H413" s="20" t="str">
        <f>VLOOKUP(U413,'[1]KODE TYPE standar'!$D:$U,17,0)</f>
        <v>CALYA</v>
      </c>
      <c r="I413" s="20" t="str">
        <f>VLOOKUP(U413,'[1]KODE TYPE standar'!$D:$U,16,0)</f>
        <v>CALYA</v>
      </c>
      <c r="J413" s="20" t="str">
        <f>VLOOKUP(U413,'[1]KODE TYPE standar'!$D:$U,18,0)</f>
        <v>CALYA G M/T</v>
      </c>
      <c r="K413" s="27" t="s">
        <v>121</v>
      </c>
      <c r="L413" s="27" t="s">
        <v>110</v>
      </c>
      <c r="M413" s="27" t="s">
        <v>262</v>
      </c>
      <c r="N413" s="27" t="s">
        <v>141</v>
      </c>
      <c r="O413" s="28" t="s">
        <v>156</v>
      </c>
      <c r="P413" s="29" t="s">
        <v>151</v>
      </c>
      <c r="Q413" s="29" t="s">
        <v>161</v>
      </c>
      <c r="R413" s="29" t="s">
        <v>145</v>
      </c>
      <c r="S413" s="27" t="s">
        <v>1476</v>
      </c>
      <c r="T413" s="27" t="s">
        <v>541</v>
      </c>
      <c r="U413" s="27" t="s">
        <v>268</v>
      </c>
      <c r="V413" s="27" t="s">
        <v>68</v>
      </c>
      <c r="W413" s="27" t="s">
        <v>69</v>
      </c>
      <c r="X413" s="27" t="s">
        <v>5401</v>
      </c>
      <c r="Y413" s="27" t="s">
        <v>5402</v>
      </c>
      <c r="Z413" s="27" t="s">
        <v>1475</v>
      </c>
      <c r="AA413" s="27" t="s">
        <v>1476</v>
      </c>
      <c r="AB413" s="27" t="s">
        <v>541</v>
      </c>
      <c r="AC413" s="27" t="s">
        <v>5403</v>
      </c>
      <c r="AD413" s="27" t="s">
        <v>5404</v>
      </c>
      <c r="AE413" s="27" t="s">
        <v>110</v>
      </c>
      <c r="AF413" s="27" t="s">
        <v>5404</v>
      </c>
      <c r="AG413" s="27" t="s">
        <v>5405</v>
      </c>
      <c r="AH413" s="27" t="s">
        <v>1149</v>
      </c>
      <c r="AI413" s="27" t="s">
        <v>141</v>
      </c>
      <c r="AJ413" s="27" t="s">
        <v>262</v>
      </c>
      <c r="AK413" s="27" t="s">
        <v>104</v>
      </c>
      <c r="AL413" s="27"/>
      <c r="AM413" s="34">
        <v>182200000</v>
      </c>
      <c r="AN413" s="34">
        <v>139575893</v>
      </c>
      <c r="AO413" s="34">
        <v>25875000</v>
      </c>
      <c r="AP413" s="34">
        <v>15677678</v>
      </c>
      <c r="AQ413" s="34">
        <v>0</v>
      </c>
      <c r="AR413" s="34">
        <v>0</v>
      </c>
      <c r="AS413" s="34">
        <v>8928571</v>
      </c>
      <c r="AT413" s="34">
        <v>172200000</v>
      </c>
      <c r="AU413" s="34">
        <v>2000000</v>
      </c>
      <c r="AV413" s="34">
        <v>-10000000</v>
      </c>
      <c r="AW413" s="27" t="s">
        <v>464</v>
      </c>
      <c r="AX413" s="27" t="s">
        <v>464</v>
      </c>
      <c r="AY413" s="27" t="s">
        <v>83</v>
      </c>
      <c r="AZ413" s="27">
        <v>1</v>
      </c>
      <c r="BA413" s="27"/>
      <c r="BB413" s="27" t="s">
        <v>435</v>
      </c>
      <c r="BC413" s="27" t="s">
        <v>5406</v>
      </c>
      <c r="BD413" s="27" t="s">
        <v>415</v>
      </c>
      <c r="BE413" s="27" t="s">
        <v>415</v>
      </c>
      <c r="BF413" s="27" t="s">
        <v>5407</v>
      </c>
      <c r="BG413" s="27" t="s">
        <v>5408</v>
      </c>
      <c r="BH413" s="27" t="s">
        <v>440</v>
      </c>
      <c r="BI413" s="27" t="s">
        <v>458</v>
      </c>
      <c r="BJ413" s="27" t="s">
        <v>5409</v>
      </c>
      <c r="BK413" s="27" t="s">
        <v>434</v>
      </c>
      <c r="BL413" s="27" t="s">
        <v>5410</v>
      </c>
      <c r="BM413" s="38">
        <v>0</v>
      </c>
    </row>
    <row r="414" spans="1:65" x14ac:dyDescent="0.2">
      <c r="A414" s="37">
        <v>1576</v>
      </c>
      <c r="B414" s="27">
        <v>146</v>
      </c>
      <c r="C414" s="27" t="s">
        <v>503</v>
      </c>
      <c r="D414" s="27" t="s">
        <v>5411</v>
      </c>
      <c r="E414" s="27" t="s">
        <v>474</v>
      </c>
      <c r="F414" s="27" t="s">
        <v>462</v>
      </c>
      <c r="G414" s="28">
        <v>2026</v>
      </c>
      <c r="H414" s="20" t="str">
        <f>VLOOKUP(U414,'[1]KODE TYPE standar'!$D:$U,17,0)</f>
        <v>RUSH</v>
      </c>
      <c r="I414" s="20" t="str">
        <f>VLOOKUP(U414,'[1]KODE TYPE standar'!$D:$U,16,0)</f>
        <v>RUSH</v>
      </c>
      <c r="J414" s="20" t="str">
        <f>VLOOKUP(U414,'[1]KODE TYPE standar'!$D:$U,18,0)</f>
        <v>RUSH S A/T</v>
      </c>
      <c r="K414" s="27" t="s">
        <v>119</v>
      </c>
      <c r="L414" s="27" t="s">
        <v>110</v>
      </c>
      <c r="M414" s="27" t="s">
        <v>262</v>
      </c>
      <c r="N414" s="27" t="s">
        <v>141</v>
      </c>
      <c r="O414" s="28" t="s">
        <v>156</v>
      </c>
      <c r="P414" s="29" t="s">
        <v>151</v>
      </c>
      <c r="Q414" s="29" t="s">
        <v>161</v>
      </c>
      <c r="R414" s="29" t="s">
        <v>318</v>
      </c>
      <c r="S414" s="27" t="s">
        <v>1476</v>
      </c>
      <c r="T414" s="27" t="s">
        <v>541</v>
      </c>
      <c r="U414" s="27" t="s">
        <v>116</v>
      </c>
      <c r="V414" s="27" t="s">
        <v>64</v>
      </c>
      <c r="W414" s="27" t="s">
        <v>65</v>
      </c>
      <c r="X414" s="27" t="s">
        <v>5412</v>
      </c>
      <c r="Y414" s="27" t="s">
        <v>5413</v>
      </c>
      <c r="Z414" s="27" t="s">
        <v>1475</v>
      </c>
      <c r="AA414" s="27" t="s">
        <v>1476</v>
      </c>
      <c r="AB414" s="27" t="s">
        <v>541</v>
      </c>
      <c r="AC414" s="27" t="s">
        <v>5414</v>
      </c>
      <c r="AD414" s="27" t="s">
        <v>5415</v>
      </c>
      <c r="AE414" s="27" t="s">
        <v>110</v>
      </c>
      <c r="AF414" s="27" t="s">
        <v>5416</v>
      </c>
      <c r="AG414" s="27" t="s">
        <v>5417</v>
      </c>
      <c r="AH414" s="27" t="s">
        <v>1494</v>
      </c>
      <c r="AI414" s="27" t="s">
        <v>141</v>
      </c>
      <c r="AJ414" s="27" t="s">
        <v>262</v>
      </c>
      <c r="AK414" s="27" t="s">
        <v>89</v>
      </c>
      <c r="AL414" s="27"/>
      <c r="AM414" s="34">
        <v>322500000</v>
      </c>
      <c r="AN414" s="34">
        <v>249185268</v>
      </c>
      <c r="AO414" s="34">
        <v>43412500</v>
      </c>
      <c r="AP414" s="34">
        <v>28295089</v>
      </c>
      <c r="AQ414" s="34">
        <v>0</v>
      </c>
      <c r="AR414" s="34">
        <v>0</v>
      </c>
      <c r="AS414" s="34">
        <v>13392857</v>
      </c>
      <c r="AT414" s="34">
        <v>307500000</v>
      </c>
      <c r="AU414" s="34">
        <v>10000000</v>
      </c>
      <c r="AV414" s="34">
        <v>-15000000</v>
      </c>
      <c r="AW414" s="27"/>
      <c r="AX414" s="27"/>
      <c r="AY414" s="27" t="s">
        <v>83</v>
      </c>
      <c r="AZ414" s="27">
        <v>1</v>
      </c>
      <c r="BA414" s="27"/>
      <c r="BB414" s="27" t="s">
        <v>475</v>
      </c>
      <c r="BC414" s="27" t="s">
        <v>5418</v>
      </c>
      <c r="BD414" s="27" t="s">
        <v>475</v>
      </c>
      <c r="BE414" s="27" t="s">
        <v>475</v>
      </c>
      <c r="BF414" s="27" t="s">
        <v>5419</v>
      </c>
      <c r="BG414" s="27" t="s">
        <v>5420</v>
      </c>
      <c r="BH414" s="27"/>
      <c r="BI414" s="27" t="s">
        <v>477</v>
      </c>
      <c r="BJ414" s="27" t="s">
        <v>5421</v>
      </c>
      <c r="BK414" s="27" t="s">
        <v>464</v>
      </c>
      <c r="BL414" s="27" t="s">
        <v>5422</v>
      </c>
      <c r="BM414" s="38">
        <v>0</v>
      </c>
    </row>
    <row r="415" spans="1:65" x14ac:dyDescent="0.2">
      <c r="A415" s="37">
        <v>1581</v>
      </c>
      <c r="B415" s="27">
        <v>146</v>
      </c>
      <c r="C415" s="27" t="s">
        <v>503</v>
      </c>
      <c r="D415" s="27" t="s">
        <v>5423</v>
      </c>
      <c r="E415" s="27" t="s">
        <v>467</v>
      </c>
      <c r="F415" s="27" t="s">
        <v>462</v>
      </c>
      <c r="G415" s="28">
        <v>2026</v>
      </c>
      <c r="H415" s="20" t="str">
        <f>VLOOKUP(U415,'[1]KODE TYPE standar'!$D:$U,17,0)</f>
        <v>CALYA</v>
      </c>
      <c r="I415" s="20" t="str">
        <f>VLOOKUP(U415,'[1]KODE TYPE standar'!$D:$U,16,0)</f>
        <v>CALYA</v>
      </c>
      <c r="J415" s="20" t="str">
        <f>VLOOKUP(U415,'[1]KODE TYPE standar'!$D:$U,18,0)</f>
        <v>CALYA G M/T</v>
      </c>
      <c r="K415" s="27" t="s">
        <v>118</v>
      </c>
      <c r="L415" s="27" t="s">
        <v>110</v>
      </c>
      <c r="M415" s="27" t="s">
        <v>262</v>
      </c>
      <c r="N415" s="27" t="s">
        <v>140</v>
      </c>
      <c r="O415" s="28" t="s">
        <v>156</v>
      </c>
      <c r="P415" s="29" t="s">
        <v>151</v>
      </c>
      <c r="Q415" s="29" t="s">
        <v>161</v>
      </c>
      <c r="R415" s="29" t="s">
        <v>597</v>
      </c>
      <c r="S415" s="27" t="s">
        <v>1476</v>
      </c>
      <c r="T415" s="27" t="s">
        <v>541</v>
      </c>
      <c r="U415" s="27" t="s">
        <v>268</v>
      </c>
      <c r="V415" s="27" t="s">
        <v>68</v>
      </c>
      <c r="W415" s="27" t="s">
        <v>69</v>
      </c>
      <c r="X415" s="27" t="s">
        <v>5424</v>
      </c>
      <c r="Y415" s="27" t="s">
        <v>5425</v>
      </c>
      <c r="Z415" s="27" t="s">
        <v>1475</v>
      </c>
      <c r="AA415" s="27" t="s">
        <v>1476</v>
      </c>
      <c r="AB415" s="27" t="s">
        <v>541</v>
      </c>
      <c r="AC415" s="27" t="s">
        <v>5426</v>
      </c>
      <c r="AD415" s="27" t="s">
        <v>5427</v>
      </c>
      <c r="AE415" s="27" t="s">
        <v>110</v>
      </c>
      <c r="AF415" s="27" t="s">
        <v>5427</v>
      </c>
      <c r="AG415" s="27" t="s">
        <v>5428</v>
      </c>
      <c r="AH415" s="27" t="s">
        <v>1215</v>
      </c>
      <c r="AI415" s="27" t="s">
        <v>140</v>
      </c>
      <c r="AJ415" s="27" t="s">
        <v>262</v>
      </c>
      <c r="AK415" s="27" t="s">
        <v>63</v>
      </c>
      <c r="AL415" s="27"/>
      <c r="AM415" s="34">
        <v>182200000</v>
      </c>
      <c r="AN415" s="34">
        <v>139575893</v>
      </c>
      <c r="AO415" s="34">
        <v>25875000</v>
      </c>
      <c r="AP415" s="34">
        <v>15677678</v>
      </c>
      <c r="AQ415" s="34">
        <v>0</v>
      </c>
      <c r="AR415" s="34">
        <v>0</v>
      </c>
      <c r="AS415" s="34">
        <v>8928571</v>
      </c>
      <c r="AT415" s="34">
        <v>172200000</v>
      </c>
      <c r="AU415" s="34">
        <v>1990000</v>
      </c>
      <c r="AV415" s="34">
        <v>-10000000</v>
      </c>
      <c r="AW415" s="27" t="s">
        <v>451</v>
      </c>
      <c r="AX415" s="27" t="s">
        <v>451</v>
      </c>
      <c r="AY415" s="27" t="s">
        <v>83</v>
      </c>
      <c r="AZ415" s="27">
        <v>1</v>
      </c>
      <c r="BA415" s="27"/>
      <c r="BB415" s="27" t="s">
        <v>443</v>
      </c>
      <c r="BC415" s="27" t="s">
        <v>5429</v>
      </c>
      <c r="BD415" s="27" t="s">
        <v>412</v>
      </c>
      <c r="BE415" s="27" t="s">
        <v>412</v>
      </c>
      <c r="BF415" s="27" t="s">
        <v>5430</v>
      </c>
      <c r="BG415" s="27" t="s">
        <v>5431</v>
      </c>
      <c r="BH415" s="27" t="s">
        <v>467</v>
      </c>
      <c r="BI415" s="27" t="s">
        <v>452</v>
      </c>
      <c r="BJ415" s="27" t="s">
        <v>5432</v>
      </c>
      <c r="BK415" s="27" t="s">
        <v>421</v>
      </c>
      <c r="BL415" s="27" t="s">
        <v>5433</v>
      </c>
      <c r="BM415" s="38">
        <v>0</v>
      </c>
    </row>
    <row r="416" spans="1:65" x14ac:dyDescent="0.2">
      <c r="A416" s="37">
        <v>1591</v>
      </c>
      <c r="B416" s="27">
        <v>146</v>
      </c>
      <c r="C416" s="27" t="s">
        <v>503</v>
      </c>
      <c r="D416" s="27" t="s">
        <v>5434</v>
      </c>
      <c r="E416" s="27" t="s">
        <v>463</v>
      </c>
      <c r="F416" s="27" t="s">
        <v>462</v>
      </c>
      <c r="G416" s="28">
        <v>2026</v>
      </c>
      <c r="H416" s="20" t="str">
        <f>VLOOKUP(U416,'[1]KODE TYPE standar'!$D:$U,17,0)</f>
        <v>AGYA</v>
      </c>
      <c r="I416" s="20" t="str">
        <f>VLOOKUP(U416,'[1]KODE TYPE standar'!$D:$U,16,0)</f>
        <v>AGYA</v>
      </c>
      <c r="J416" s="20" t="str">
        <f>VLOOKUP(U416,'[1]KODE TYPE standar'!$D:$U,18,0)</f>
        <v>AGYA G A/T</v>
      </c>
      <c r="K416" s="27" t="s">
        <v>118</v>
      </c>
      <c r="L416" s="27" t="s">
        <v>110</v>
      </c>
      <c r="M416" s="27" t="s">
        <v>262</v>
      </c>
      <c r="N416" s="27" t="s">
        <v>158</v>
      </c>
      <c r="O416" s="28" t="s">
        <v>6581</v>
      </c>
      <c r="P416" s="29" t="s">
        <v>149</v>
      </c>
      <c r="Q416" s="29" t="s">
        <v>161</v>
      </c>
      <c r="R416" s="29" t="s">
        <v>597</v>
      </c>
      <c r="S416" s="27" t="s">
        <v>937</v>
      </c>
      <c r="T416" s="27" t="s">
        <v>541</v>
      </c>
      <c r="U416" s="27" t="s">
        <v>74</v>
      </c>
      <c r="V416" s="27" t="s">
        <v>68</v>
      </c>
      <c r="W416" s="27" t="s">
        <v>69</v>
      </c>
      <c r="X416" s="27" t="s">
        <v>5435</v>
      </c>
      <c r="Y416" s="27" t="s">
        <v>5436</v>
      </c>
      <c r="Z416" s="27" t="s">
        <v>936</v>
      </c>
      <c r="AA416" s="27" t="s">
        <v>937</v>
      </c>
      <c r="AB416" s="27" t="s">
        <v>541</v>
      </c>
      <c r="AC416" s="27" t="s">
        <v>5437</v>
      </c>
      <c r="AD416" s="27" t="s">
        <v>5438</v>
      </c>
      <c r="AE416" s="27" t="s">
        <v>110</v>
      </c>
      <c r="AF416" s="27" t="s">
        <v>5438</v>
      </c>
      <c r="AG416" s="27" t="s">
        <v>5439</v>
      </c>
      <c r="AH416" s="27" t="s">
        <v>3331</v>
      </c>
      <c r="AI416" s="27" t="s">
        <v>158</v>
      </c>
      <c r="AJ416" s="27" t="s">
        <v>262</v>
      </c>
      <c r="AK416" s="27" t="s">
        <v>63</v>
      </c>
      <c r="AL416" s="27"/>
      <c r="AM416" s="34">
        <v>200800000</v>
      </c>
      <c r="AN416" s="34">
        <v>153794643</v>
      </c>
      <c r="AO416" s="34">
        <v>28550000</v>
      </c>
      <c r="AP416" s="34">
        <v>17383928</v>
      </c>
      <c r="AQ416" s="34">
        <v>0</v>
      </c>
      <c r="AR416" s="34">
        <v>0</v>
      </c>
      <c r="AS416" s="34">
        <v>8928571</v>
      </c>
      <c r="AT416" s="34">
        <v>190800000</v>
      </c>
      <c r="AU416" s="34">
        <v>3000000</v>
      </c>
      <c r="AV416" s="34">
        <v>-10000000</v>
      </c>
      <c r="AW416" s="27" t="s">
        <v>475</v>
      </c>
      <c r="AX416" s="27" t="s">
        <v>475</v>
      </c>
      <c r="AY416" s="27" t="s">
        <v>83</v>
      </c>
      <c r="AZ416" s="27">
        <v>1</v>
      </c>
      <c r="BA416" s="27"/>
      <c r="BB416" s="27" t="s">
        <v>416</v>
      </c>
      <c r="BC416" s="27" t="s">
        <v>5440</v>
      </c>
      <c r="BD416" s="27" t="s">
        <v>415</v>
      </c>
      <c r="BE416" s="27" t="s">
        <v>415</v>
      </c>
      <c r="BF416" s="27" t="s">
        <v>5441</v>
      </c>
      <c r="BG416" s="27" t="s">
        <v>5442</v>
      </c>
      <c r="BH416" s="27" t="s">
        <v>463</v>
      </c>
      <c r="BI416" s="27" t="s">
        <v>480</v>
      </c>
      <c r="BJ416" s="27" t="s">
        <v>5443</v>
      </c>
      <c r="BK416" s="27" t="s">
        <v>464</v>
      </c>
      <c r="BL416" s="27" t="s">
        <v>5444</v>
      </c>
      <c r="BM416" s="38">
        <v>0</v>
      </c>
    </row>
    <row r="417" spans="1:65" x14ac:dyDescent="0.2">
      <c r="A417" s="37">
        <v>1595</v>
      </c>
      <c r="B417" s="27">
        <v>146</v>
      </c>
      <c r="C417" s="27" t="s">
        <v>503</v>
      </c>
      <c r="D417" s="27" t="s">
        <v>5445</v>
      </c>
      <c r="E417" s="27" t="s">
        <v>469</v>
      </c>
      <c r="F417" s="27" t="s">
        <v>462</v>
      </c>
      <c r="G417" s="28">
        <v>2026</v>
      </c>
      <c r="H417" s="20" t="str">
        <f>VLOOKUP(U417,'[1]KODE TYPE standar'!$D:$U,17,0)</f>
        <v>CALYA</v>
      </c>
      <c r="I417" s="20" t="str">
        <f>VLOOKUP(U417,'[1]KODE TYPE standar'!$D:$U,16,0)</f>
        <v>CALYA</v>
      </c>
      <c r="J417" s="20" t="str">
        <f>VLOOKUP(U417,'[1]KODE TYPE standar'!$D:$U,18,0)</f>
        <v>CALYA G M/T</v>
      </c>
      <c r="K417" s="27" t="s">
        <v>120</v>
      </c>
      <c r="L417" s="27" t="s">
        <v>110</v>
      </c>
      <c r="M417" s="27" t="s">
        <v>262</v>
      </c>
      <c r="N417" s="27" t="s">
        <v>106</v>
      </c>
      <c r="O417" s="28" t="s">
        <v>156</v>
      </c>
      <c r="P417" s="29" t="s">
        <v>536</v>
      </c>
      <c r="Q417" s="29" t="s">
        <v>161</v>
      </c>
      <c r="R417" s="29" t="s">
        <v>145</v>
      </c>
      <c r="S417" s="27" t="s">
        <v>631</v>
      </c>
      <c r="T417" s="27" t="s">
        <v>509</v>
      </c>
      <c r="U417" s="27" t="s">
        <v>268</v>
      </c>
      <c r="V417" s="27" t="s">
        <v>1912</v>
      </c>
      <c r="W417" s="27" t="s">
        <v>1913</v>
      </c>
      <c r="X417" s="27" t="s">
        <v>5446</v>
      </c>
      <c r="Y417" s="27" t="s">
        <v>5447</v>
      </c>
      <c r="Z417" s="27" t="s">
        <v>630</v>
      </c>
      <c r="AA417" s="27" t="s">
        <v>631</v>
      </c>
      <c r="AB417" s="27" t="s">
        <v>509</v>
      </c>
      <c r="AC417" s="27" t="s">
        <v>5448</v>
      </c>
      <c r="AD417" s="27" t="s">
        <v>5449</v>
      </c>
      <c r="AE417" s="27" t="s">
        <v>110</v>
      </c>
      <c r="AF417" s="27" t="s">
        <v>5449</v>
      </c>
      <c r="AG417" s="27" t="s">
        <v>5450</v>
      </c>
      <c r="AH417" s="27" t="s">
        <v>3331</v>
      </c>
      <c r="AI417" s="27" t="s">
        <v>106</v>
      </c>
      <c r="AJ417" s="27" t="s">
        <v>262</v>
      </c>
      <c r="AK417" s="27" t="s">
        <v>423</v>
      </c>
      <c r="AL417" s="27"/>
      <c r="AM417" s="34">
        <v>182200000</v>
      </c>
      <c r="AN417" s="34">
        <v>139575893</v>
      </c>
      <c r="AO417" s="34">
        <v>25875000</v>
      </c>
      <c r="AP417" s="34">
        <v>15570535</v>
      </c>
      <c r="AQ417" s="34">
        <v>0</v>
      </c>
      <c r="AR417" s="34">
        <v>0</v>
      </c>
      <c r="AS417" s="34">
        <v>9821429</v>
      </c>
      <c r="AT417" s="34">
        <v>171200000</v>
      </c>
      <c r="AU417" s="34">
        <v>500000</v>
      </c>
      <c r="AV417" s="34">
        <v>-11000000</v>
      </c>
      <c r="AW417" s="27" t="s">
        <v>466</v>
      </c>
      <c r="AX417" s="27" t="s">
        <v>466</v>
      </c>
      <c r="AY417" s="27" t="s">
        <v>83</v>
      </c>
      <c r="AZ417" s="27">
        <v>1</v>
      </c>
      <c r="BA417" s="27"/>
      <c r="BB417" s="27" t="s">
        <v>416</v>
      </c>
      <c r="BC417" s="27" t="s">
        <v>5451</v>
      </c>
      <c r="BD417" s="27" t="s">
        <v>435</v>
      </c>
      <c r="BE417" s="27" t="s">
        <v>435</v>
      </c>
      <c r="BF417" s="27" t="s">
        <v>5452</v>
      </c>
      <c r="BG417" s="27" t="s">
        <v>5453</v>
      </c>
      <c r="BH417" s="27" t="s">
        <v>469</v>
      </c>
      <c r="BI417" s="27" t="s">
        <v>454</v>
      </c>
      <c r="BJ417" s="27" t="s">
        <v>5454</v>
      </c>
      <c r="BK417" s="27" t="s">
        <v>472</v>
      </c>
      <c r="BL417" s="27" t="s">
        <v>5455</v>
      </c>
      <c r="BM417" s="38">
        <v>0</v>
      </c>
    </row>
    <row r="418" spans="1:65" x14ac:dyDescent="0.2">
      <c r="A418" s="37">
        <v>1596</v>
      </c>
      <c r="B418" s="27">
        <v>146</v>
      </c>
      <c r="C418" s="27" t="s">
        <v>503</v>
      </c>
      <c r="D418" s="27" t="s">
        <v>5456</v>
      </c>
      <c r="E418" s="27" t="s">
        <v>443</v>
      </c>
      <c r="F418" s="27" t="s">
        <v>462</v>
      </c>
      <c r="G418" s="28">
        <v>2026</v>
      </c>
      <c r="H418" s="20" t="str">
        <f>VLOOKUP(U418,'[1]KODE TYPE standar'!$D:$U,17,0)</f>
        <v>VELOZ</v>
      </c>
      <c r="I418" s="20" t="str">
        <f>VLOOKUP(U418,'[1]KODE TYPE standar'!$D:$U,16,0)</f>
        <v>VELOZ</v>
      </c>
      <c r="J418" s="20" t="str">
        <f>VLOOKUP(U418,'[1]KODE TYPE standar'!$D:$U,18,0)</f>
        <v>VELOZ V AT HYBRID</v>
      </c>
      <c r="K418" s="27" t="s">
        <v>50</v>
      </c>
      <c r="L418" s="27" t="s">
        <v>110</v>
      </c>
      <c r="M418" s="27" t="s">
        <v>50</v>
      </c>
      <c r="N418" s="27" t="s">
        <v>106</v>
      </c>
      <c r="O418" s="28" t="s">
        <v>156</v>
      </c>
      <c r="P418" s="29" t="s">
        <v>149</v>
      </c>
      <c r="Q418" s="29" t="s">
        <v>161</v>
      </c>
      <c r="R418" s="29" t="s">
        <v>148</v>
      </c>
      <c r="S418" s="27" t="s">
        <v>508</v>
      </c>
      <c r="T418" s="27" t="s">
        <v>509</v>
      </c>
      <c r="U418" s="27" t="s">
        <v>335</v>
      </c>
      <c r="V418" s="27" t="s">
        <v>51</v>
      </c>
      <c r="W418" s="27" t="s">
        <v>286</v>
      </c>
      <c r="X418" s="27" t="s">
        <v>5457</v>
      </c>
      <c r="Y418" s="27" t="s">
        <v>5458</v>
      </c>
      <c r="Z418" s="27" t="s">
        <v>507</v>
      </c>
      <c r="AA418" s="27" t="s">
        <v>508</v>
      </c>
      <c r="AB418" s="27" t="s">
        <v>509</v>
      </c>
      <c r="AC418" s="27" t="s">
        <v>5459</v>
      </c>
      <c r="AD418" s="27" t="s">
        <v>5460</v>
      </c>
      <c r="AE418" s="27" t="s">
        <v>110</v>
      </c>
      <c r="AF418" s="27" t="s">
        <v>5460</v>
      </c>
      <c r="AG418" s="27" t="s">
        <v>5461</v>
      </c>
      <c r="AH418" s="27" t="s">
        <v>3510</v>
      </c>
      <c r="AI418" s="27" t="s">
        <v>106</v>
      </c>
      <c r="AJ418" s="27" t="s">
        <v>50</v>
      </c>
      <c r="AK418" s="27" t="s">
        <v>50</v>
      </c>
      <c r="AL418" s="27"/>
      <c r="AM418" s="34">
        <v>304500000</v>
      </c>
      <c r="AN418" s="34">
        <v>235122768</v>
      </c>
      <c r="AO418" s="34">
        <v>41162500</v>
      </c>
      <c r="AP418" s="34">
        <v>28214732</v>
      </c>
      <c r="AQ418" s="34">
        <v>0</v>
      </c>
      <c r="AR418" s="34">
        <v>0</v>
      </c>
      <c r="AS418" s="34">
        <v>0</v>
      </c>
      <c r="AT418" s="34">
        <v>304500000</v>
      </c>
      <c r="AU418" s="34">
        <v>0</v>
      </c>
      <c r="AV418" s="34">
        <v>0</v>
      </c>
      <c r="AW418" s="27" t="s">
        <v>440</v>
      </c>
      <c r="AX418" s="27" t="s">
        <v>440</v>
      </c>
      <c r="AY418" s="27" t="s">
        <v>83</v>
      </c>
      <c r="AZ418" s="27">
        <v>1</v>
      </c>
      <c r="BA418" s="27" t="s">
        <v>163</v>
      </c>
      <c r="BB418" s="27" t="s">
        <v>412</v>
      </c>
      <c r="BC418" s="27" t="s">
        <v>5462</v>
      </c>
      <c r="BD418" s="27" t="s">
        <v>436</v>
      </c>
      <c r="BE418" s="27" t="s">
        <v>436</v>
      </c>
      <c r="BF418" s="27" t="s">
        <v>5463</v>
      </c>
      <c r="BG418" s="27" t="s">
        <v>5464</v>
      </c>
      <c r="BH418" s="27" t="s">
        <v>443</v>
      </c>
      <c r="BI418" s="27" t="s">
        <v>451</v>
      </c>
      <c r="BJ418" s="27" t="s">
        <v>5465</v>
      </c>
      <c r="BK418" s="27" t="s">
        <v>433</v>
      </c>
      <c r="BL418" s="27" t="s">
        <v>5466</v>
      </c>
      <c r="BM418" s="38">
        <v>0</v>
      </c>
    </row>
    <row r="419" spans="1:65" x14ac:dyDescent="0.2">
      <c r="A419" s="37">
        <v>1615</v>
      </c>
      <c r="B419" s="27">
        <v>146</v>
      </c>
      <c r="C419" s="27" t="s">
        <v>503</v>
      </c>
      <c r="D419" s="27" t="s">
        <v>5467</v>
      </c>
      <c r="E419" s="27" t="s">
        <v>452</v>
      </c>
      <c r="F419" s="27" t="s">
        <v>462</v>
      </c>
      <c r="G419" s="28">
        <v>2026</v>
      </c>
      <c r="H419" s="20" t="str">
        <f>VLOOKUP(U419,'[1]KODE TYPE standar'!$D:$U,17,0)</f>
        <v>INV REBORN</v>
      </c>
      <c r="I419" s="20" t="str">
        <f>VLOOKUP(U419,'[1]KODE TYPE standar'!$D:$U,16,0)</f>
        <v>INNOVA</v>
      </c>
      <c r="J419" s="20" t="str">
        <f>VLOOKUP(U419,'[1]KODE TYPE standar'!$D:$U,18,0)</f>
        <v>INNOVA G A/T DIESEL</v>
      </c>
      <c r="K419" s="27" t="s">
        <v>118</v>
      </c>
      <c r="L419" s="27" t="s">
        <v>110</v>
      </c>
      <c r="M419" s="27" t="s">
        <v>262</v>
      </c>
      <c r="N419" s="27" t="s">
        <v>141</v>
      </c>
      <c r="O419" s="28" t="s">
        <v>156</v>
      </c>
      <c r="P419" s="29" t="s">
        <v>150</v>
      </c>
      <c r="Q419" s="29" t="s">
        <v>162</v>
      </c>
      <c r="R419" s="29" t="s">
        <v>1264</v>
      </c>
      <c r="S419" s="27" t="s">
        <v>1373</v>
      </c>
      <c r="T419" s="27" t="s">
        <v>509</v>
      </c>
      <c r="U419" s="27" t="s">
        <v>192</v>
      </c>
      <c r="V419" s="27" t="s">
        <v>48</v>
      </c>
      <c r="W419" s="27" t="s">
        <v>49</v>
      </c>
      <c r="X419" s="27" t="s">
        <v>5468</v>
      </c>
      <c r="Y419" s="27" t="s">
        <v>5469</v>
      </c>
      <c r="Z419" s="27" t="s">
        <v>1372</v>
      </c>
      <c r="AA419" s="27" t="s">
        <v>1373</v>
      </c>
      <c r="AB419" s="27" t="s">
        <v>509</v>
      </c>
      <c r="AC419" s="27" t="s">
        <v>3254</v>
      </c>
      <c r="AD419" s="27" t="s">
        <v>5470</v>
      </c>
      <c r="AE419" s="27" t="s">
        <v>110</v>
      </c>
      <c r="AF419" s="27" t="s">
        <v>5471</v>
      </c>
      <c r="AG419" s="27" t="s">
        <v>3256</v>
      </c>
      <c r="AH419" s="27" t="s">
        <v>1757</v>
      </c>
      <c r="AI419" s="27" t="s">
        <v>141</v>
      </c>
      <c r="AJ419" s="27" t="s">
        <v>262</v>
      </c>
      <c r="AK419" s="27" t="s">
        <v>63</v>
      </c>
      <c r="AL419" s="27"/>
      <c r="AM419" s="34">
        <v>442700000</v>
      </c>
      <c r="AN419" s="34">
        <v>343091518</v>
      </c>
      <c r="AO419" s="34">
        <v>58437500</v>
      </c>
      <c r="AP419" s="34">
        <v>39028125</v>
      </c>
      <c r="AQ419" s="34">
        <v>0</v>
      </c>
      <c r="AR419" s="34">
        <v>0</v>
      </c>
      <c r="AS419" s="34">
        <v>17857143</v>
      </c>
      <c r="AT419" s="34">
        <v>422700000</v>
      </c>
      <c r="AU419" s="34">
        <v>10000000</v>
      </c>
      <c r="AV419" s="34">
        <v>-20000000</v>
      </c>
      <c r="AW419" s="27" t="s">
        <v>455</v>
      </c>
      <c r="AX419" s="27" t="s">
        <v>455</v>
      </c>
      <c r="AY419" s="27" t="s">
        <v>83</v>
      </c>
      <c r="AZ419" s="27">
        <v>1</v>
      </c>
      <c r="BA419" s="27" t="s">
        <v>5472</v>
      </c>
      <c r="BB419" s="27" t="s">
        <v>466</v>
      </c>
      <c r="BC419" s="27" t="s">
        <v>5473</v>
      </c>
      <c r="BD419" s="27" t="s">
        <v>466</v>
      </c>
      <c r="BE419" s="27" t="s">
        <v>466</v>
      </c>
      <c r="BF419" s="27" t="s">
        <v>5474</v>
      </c>
      <c r="BG419" s="27" t="s">
        <v>5475</v>
      </c>
      <c r="BH419" s="27" t="s">
        <v>452</v>
      </c>
      <c r="BI419" s="27" t="s">
        <v>465</v>
      </c>
      <c r="BJ419" s="27" t="s">
        <v>5476</v>
      </c>
      <c r="BK419" s="27" t="s">
        <v>408</v>
      </c>
      <c r="BL419" s="27" t="s">
        <v>5477</v>
      </c>
      <c r="BM419" s="38">
        <v>0</v>
      </c>
    </row>
    <row r="420" spans="1:65" x14ac:dyDescent="0.2">
      <c r="A420" s="37">
        <v>1649</v>
      </c>
      <c r="B420" s="27">
        <v>146</v>
      </c>
      <c r="C420" s="27" t="s">
        <v>503</v>
      </c>
      <c r="D420" s="27" t="s">
        <v>5478</v>
      </c>
      <c r="E420" s="27" t="s">
        <v>471</v>
      </c>
      <c r="F420" s="27" t="s">
        <v>462</v>
      </c>
      <c r="G420" s="28">
        <v>2026</v>
      </c>
      <c r="H420" s="20" t="str">
        <f>VLOOKUP(U420,'[1]KODE TYPE standar'!$D:$U,17,0)</f>
        <v>CALYA</v>
      </c>
      <c r="I420" s="20" t="str">
        <f>VLOOKUP(U420,'[1]KODE TYPE standar'!$D:$U,16,0)</f>
        <v>CALYA</v>
      </c>
      <c r="J420" s="20" t="str">
        <f>VLOOKUP(U420,'[1]KODE TYPE standar'!$D:$U,18,0)</f>
        <v>CALYA G M/T</v>
      </c>
      <c r="K420" s="27" t="s">
        <v>118</v>
      </c>
      <c r="L420" s="27" t="s">
        <v>110</v>
      </c>
      <c r="M420" s="27" t="s">
        <v>262</v>
      </c>
      <c r="N420" s="27" t="s">
        <v>140</v>
      </c>
      <c r="O420" s="28" t="s">
        <v>156</v>
      </c>
      <c r="P420" s="29" t="s">
        <v>150</v>
      </c>
      <c r="Q420" s="29" t="s">
        <v>162</v>
      </c>
      <c r="R420" s="29" t="s">
        <v>145</v>
      </c>
      <c r="S420" s="27" t="s">
        <v>923</v>
      </c>
      <c r="T420" s="27" t="s">
        <v>541</v>
      </c>
      <c r="U420" s="27" t="s">
        <v>268</v>
      </c>
      <c r="V420" s="27" t="s">
        <v>96</v>
      </c>
      <c r="W420" s="27" t="s">
        <v>97</v>
      </c>
      <c r="X420" s="27" t="s">
        <v>5479</v>
      </c>
      <c r="Y420" s="27" t="s">
        <v>5480</v>
      </c>
      <c r="Z420" s="27" t="s">
        <v>922</v>
      </c>
      <c r="AA420" s="27" t="s">
        <v>923</v>
      </c>
      <c r="AB420" s="27" t="s">
        <v>541</v>
      </c>
      <c r="AC420" s="27" t="s">
        <v>5481</v>
      </c>
      <c r="AD420" s="27" t="s">
        <v>5482</v>
      </c>
      <c r="AE420" s="27" t="s">
        <v>110</v>
      </c>
      <c r="AF420" s="27" t="s">
        <v>5482</v>
      </c>
      <c r="AG420" s="27" t="s">
        <v>5483</v>
      </c>
      <c r="AH420" s="27" t="s">
        <v>5484</v>
      </c>
      <c r="AI420" s="27" t="s">
        <v>140</v>
      </c>
      <c r="AJ420" s="27" t="s">
        <v>262</v>
      </c>
      <c r="AK420" s="27" t="s">
        <v>63</v>
      </c>
      <c r="AL420" s="27"/>
      <c r="AM420" s="34">
        <v>182200000</v>
      </c>
      <c r="AN420" s="34">
        <v>139575893</v>
      </c>
      <c r="AO420" s="34">
        <v>25875000</v>
      </c>
      <c r="AP420" s="34">
        <v>15677678</v>
      </c>
      <c r="AQ420" s="34">
        <v>0</v>
      </c>
      <c r="AR420" s="34">
        <v>0</v>
      </c>
      <c r="AS420" s="34">
        <v>8928571</v>
      </c>
      <c r="AT420" s="34">
        <v>172200000</v>
      </c>
      <c r="AU420" s="34">
        <v>0</v>
      </c>
      <c r="AV420" s="34">
        <v>-10000000</v>
      </c>
      <c r="AW420" s="27" t="s">
        <v>464</v>
      </c>
      <c r="AX420" s="27" t="s">
        <v>464</v>
      </c>
      <c r="AY420" s="27" t="s">
        <v>83</v>
      </c>
      <c r="AZ420" s="27">
        <v>1</v>
      </c>
      <c r="BA420" s="27"/>
      <c r="BB420" s="27" t="s">
        <v>443</v>
      </c>
      <c r="BC420" s="27" t="s">
        <v>5485</v>
      </c>
      <c r="BD420" s="27" t="s">
        <v>443</v>
      </c>
      <c r="BE420" s="27" t="s">
        <v>443</v>
      </c>
      <c r="BF420" s="27" t="s">
        <v>5486</v>
      </c>
      <c r="BG420" s="27" t="s">
        <v>5487</v>
      </c>
      <c r="BH420" s="27" t="s">
        <v>471</v>
      </c>
      <c r="BI420" s="27" t="s">
        <v>474</v>
      </c>
      <c r="BJ420" s="27" t="s">
        <v>5143</v>
      </c>
      <c r="BK420" s="27" t="s">
        <v>427</v>
      </c>
      <c r="BL420" s="27" t="s">
        <v>5488</v>
      </c>
      <c r="BM420" s="38">
        <v>0</v>
      </c>
    </row>
    <row r="421" spans="1:65" x14ac:dyDescent="0.2">
      <c r="A421" s="37">
        <v>1693</v>
      </c>
      <c r="B421" s="27">
        <v>146</v>
      </c>
      <c r="C421" s="27" t="s">
        <v>503</v>
      </c>
      <c r="D421" s="27" t="s">
        <v>5489</v>
      </c>
      <c r="E421" s="27" t="s">
        <v>473</v>
      </c>
      <c r="F421" s="27" t="s">
        <v>462</v>
      </c>
      <c r="G421" s="28">
        <v>2026</v>
      </c>
      <c r="H421" s="20" t="str">
        <f>VLOOKUP(U421,'[1]KODE TYPE standar'!$D:$U,17,0)</f>
        <v>RUSH</v>
      </c>
      <c r="I421" s="20" t="str">
        <f>VLOOKUP(U421,'[1]KODE TYPE standar'!$D:$U,16,0)</f>
        <v>RUSH</v>
      </c>
      <c r="J421" s="20" t="str">
        <f>VLOOKUP(U421,'[1]KODE TYPE standar'!$D:$U,18,0)</f>
        <v>RUSH S A/T</v>
      </c>
      <c r="K421" s="27" t="s">
        <v>118</v>
      </c>
      <c r="L421" s="27" t="s">
        <v>110</v>
      </c>
      <c r="M421" s="27" t="s">
        <v>262</v>
      </c>
      <c r="N421" s="27" t="s">
        <v>141</v>
      </c>
      <c r="O421" s="28" t="s">
        <v>156</v>
      </c>
      <c r="P421" s="29" t="s">
        <v>149</v>
      </c>
      <c r="Q421" s="29" t="s">
        <v>147</v>
      </c>
      <c r="R421" s="29" t="s">
        <v>145</v>
      </c>
      <c r="S421" s="27" t="s">
        <v>1966</v>
      </c>
      <c r="T421" s="27" t="s">
        <v>509</v>
      </c>
      <c r="U421" s="27" t="s">
        <v>116</v>
      </c>
      <c r="V421" s="27" t="s">
        <v>60</v>
      </c>
      <c r="W421" s="27" t="s">
        <v>61</v>
      </c>
      <c r="X421" s="27" t="s">
        <v>5490</v>
      </c>
      <c r="Y421" s="27" t="s">
        <v>5491</v>
      </c>
      <c r="Z421" s="27" t="s">
        <v>4724</v>
      </c>
      <c r="AA421" s="27" t="s">
        <v>1966</v>
      </c>
      <c r="AB421" s="27" t="s">
        <v>509</v>
      </c>
      <c r="AC421" s="27" t="s">
        <v>5492</v>
      </c>
      <c r="AD421" s="27" t="s">
        <v>5493</v>
      </c>
      <c r="AE421" s="27" t="s">
        <v>110</v>
      </c>
      <c r="AF421" s="27" t="s">
        <v>5493</v>
      </c>
      <c r="AG421" s="27" t="s">
        <v>5494</v>
      </c>
      <c r="AH421" s="27" t="s">
        <v>170</v>
      </c>
      <c r="AI421" s="27" t="s">
        <v>141</v>
      </c>
      <c r="AJ421" s="27" t="s">
        <v>262</v>
      </c>
      <c r="AK421" s="27" t="s">
        <v>63</v>
      </c>
      <c r="AL421" s="27"/>
      <c r="AM421" s="34">
        <v>322500000</v>
      </c>
      <c r="AN421" s="34">
        <v>249185268</v>
      </c>
      <c r="AO421" s="34">
        <v>43412500</v>
      </c>
      <c r="AP421" s="34">
        <v>28295089</v>
      </c>
      <c r="AQ421" s="34">
        <v>0</v>
      </c>
      <c r="AR421" s="34">
        <v>0</v>
      </c>
      <c r="AS421" s="34">
        <v>13392857</v>
      </c>
      <c r="AT421" s="34">
        <v>307500000</v>
      </c>
      <c r="AU421" s="34">
        <v>10000000</v>
      </c>
      <c r="AV421" s="34">
        <v>-15000000</v>
      </c>
      <c r="AW421" s="27"/>
      <c r="AX421" s="27"/>
      <c r="AY421" s="27" t="s">
        <v>83</v>
      </c>
      <c r="AZ421" s="27">
        <v>1</v>
      </c>
      <c r="BA421" s="27"/>
      <c r="BB421" s="27" t="s">
        <v>473</v>
      </c>
      <c r="BC421" s="27" t="s">
        <v>5495</v>
      </c>
      <c r="BD421" s="27" t="s">
        <v>474</v>
      </c>
      <c r="BE421" s="27" t="s">
        <v>474</v>
      </c>
      <c r="BF421" s="27" t="s">
        <v>5496</v>
      </c>
      <c r="BG421" s="27" t="s">
        <v>5497</v>
      </c>
      <c r="BH421" s="27"/>
      <c r="BI421" s="27" t="s">
        <v>460</v>
      </c>
      <c r="BJ421" s="27" t="s">
        <v>5498</v>
      </c>
      <c r="BK421" s="27" t="s">
        <v>466</v>
      </c>
      <c r="BL421" s="27" t="s">
        <v>5499</v>
      </c>
      <c r="BM421" s="38">
        <v>0</v>
      </c>
    </row>
    <row r="422" spans="1:65" x14ac:dyDescent="0.2">
      <c r="A422" s="37">
        <v>1725</v>
      </c>
      <c r="B422" s="27">
        <v>146</v>
      </c>
      <c r="C422" s="27" t="s">
        <v>503</v>
      </c>
      <c r="D422" s="27" t="s">
        <v>5500</v>
      </c>
      <c r="E422" s="27" t="s">
        <v>443</v>
      </c>
      <c r="F422" s="27" t="s">
        <v>462</v>
      </c>
      <c r="G422" s="28">
        <v>2026</v>
      </c>
      <c r="H422" s="20" t="str">
        <f>VLOOKUP(U422,'[1]KODE TYPE standar'!$D:$U,17,0)</f>
        <v>CALYA</v>
      </c>
      <c r="I422" s="20" t="str">
        <f>VLOOKUP(U422,'[1]KODE TYPE standar'!$D:$U,16,0)</f>
        <v>CALYA</v>
      </c>
      <c r="J422" s="20" t="str">
        <f>VLOOKUP(U422,'[1]KODE TYPE standar'!$D:$U,18,0)</f>
        <v>CALYA G M/T</v>
      </c>
      <c r="K422" s="27" t="s">
        <v>118</v>
      </c>
      <c r="L422" s="27" t="s">
        <v>110</v>
      </c>
      <c r="M422" s="27" t="s">
        <v>262</v>
      </c>
      <c r="N422" s="27" t="s">
        <v>139</v>
      </c>
      <c r="O422" s="28" t="s">
        <v>156</v>
      </c>
      <c r="P422" s="29" t="s">
        <v>151</v>
      </c>
      <c r="Q422" s="29" t="s">
        <v>161</v>
      </c>
      <c r="R422" s="29" t="s">
        <v>597</v>
      </c>
      <c r="S422" s="27" t="s">
        <v>923</v>
      </c>
      <c r="T422" s="27" t="s">
        <v>541</v>
      </c>
      <c r="U422" s="27" t="s">
        <v>268</v>
      </c>
      <c r="V422" s="27" t="s">
        <v>269</v>
      </c>
      <c r="W422" s="27" t="s">
        <v>270</v>
      </c>
      <c r="X422" s="27" t="s">
        <v>5501</v>
      </c>
      <c r="Y422" s="27" t="s">
        <v>5502</v>
      </c>
      <c r="Z422" s="27" t="s">
        <v>922</v>
      </c>
      <c r="AA422" s="27" t="s">
        <v>923</v>
      </c>
      <c r="AB422" s="27" t="s">
        <v>541</v>
      </c>
      <c r="AC422" s="27" t="s">
        <v>5503</v>
      </c>
      <c r="AD422" s="27" t="s">
        <v>5504</v>
      </c>
      <c r="AE422" s="27" t="s">
        <v>110</v>
      </c>
      <c r="AF422" s="27" t="s">
        <v>5505</v>
      </c>
      <c r="AG422" s="27" t="s">
        <v>5506</v>
      </c>
      <c r="AH422" s="27" t="s">
        <v>913</v>
      </c>
      <c r="AI422" s="27" t="s">
        <v>139</v>
      </c>
      <c r="AJ422" s="27" t="s">
        <v>262</v>
      </c>
      <c r="AK422" s="27" t="s">
        <v>63</v>
      </c>
      <c r="AL422" s="27"/>
      <c r="AM422" s="34">
        <v>182200000</v>
      </c>
      <c r="AN422" s="34">
        <v>139575893</v>
      </c>
      <c r="AO422" s="34">
        <v>25875000</v>
      </c>
      <c r="AP422" s="34">
        <v>15677678</v>
      </c>
      <c r="AQ422" s="34">
        <v>0</v>
      </c>
      <c r="AR422" s="34">
        <v>0</v>
      </c>
      <c r="AS422" s="34">
        <v>8928571</v>
      </c>
      <c r="AT422" s="34">
        <v>172200000</v>
      </c>
      <c r="AU422" s="34">
        <v>0</v>
      </c>
      <c r="AV422" s="34">
        <v>-10000000</v>
      </c>
      <c r="AW422" s="27" t="s">
        <v>427</v>
      </c>
      <c r="AX422" s="27" t="s">
        <v>427</v>
      </c>
      <c r="AY422" s="27" t="s">
        <v>83</v>
      </c>
      <c r="AZ422" s="27">
        <v>1</v>
      </c>
      <c r="BA422" s="27"/>
      <c r="BB422" s="27" t="s">
        <v>446</v>
      </c>
      <c r="BC422" s="27" t="s">
        <v>5507</v>
      </c>
      <c r="BD422" s="27" t="s">
        <v>409</v>
      </c>
      <c r="BE422" s="27" t="s">
        <v>409</v>
      </c>
      <c r="BF422" s="27" t="s">
        <v>5508</v>
      </c>
      <c r="BG422" s="27" t="s">
        <v>5509</v>
      </c>
      <c r="BH422" s="27" t="s">
        <v>443</v>
      </c>
      <c r="BI422" s="27" t="s">
        <v>463</v>
      </c>
      <c r="BJ422" s="27" t="s">
        <v>5510</v>
      </c>
      <c r="BK422" s="27" t="s">
        <v>438</v>
      </c>
      <c r="BL422" s="27" t="s">
        <v>5511</v>
      </c>
      <c r="BM422" s="38">
        <v>0</v>
      </c>
    </row>
    <row r="423" spans="1:65" x14ac:dyDescent="0.2">
      <c r="A423" s="37">
        <v>1769</v>
      </c>
      <c r="B423" s="27">
        <v>146</v>
      </c>
      <c r="C423" s="27" t="s">
        <v>503</v>
      </c>
      <c r="D423" s="27" t="s">
        <v>5512</v>
      </c>
      <c r="E423" s="27" t="s">
        <v>475</v>
      </c>
      <c r="F423" s="27" t="s">
        <v>462</v>
      </c>
      <c r="G423" s="28">
        <v>2026</v>
      </c>
      <c r="H423" s="20" t="str">
        <f>VLOOKUP(U423,'[1]KODE TYPE standar'!$D:$U,17,0)</f>
        <v>RUSH</v>
      </c>
      <c r="I423" s="20" t="str">
        <f>VLOOKUP(U423,'[1]KODE TYPE standar'!$D:$U,16,0)</f>
        <v>RUSH</v>
      </c>
      <c r="J423" s="20" t="str">
        <f>VLOOKUP(U423,'[1]KODE TYPE standar'!$D:$U,18,0)</f>
        <v>RUSH S M/T</v>
      </c>
      <c r="K423" s="27" t="s">
        <v>118</v>
      </c>
      <c r="L423" s="27" t="s">
        <v>110</v>
      </c>
      <c r="M423" s="27" t="s">
        <v>262</v>
      </c>
      <c r="N423" s="27" t="s">
        <v>106</v>
      </c>
      <c r="O423" s="28" t="s">
        <v>156</v>
      </c>
      <c r="P423" s="29" t="s">
        <v>149</v>
      </c>
      <c r="Q423" s="29" t="s">
        <v>161</v>
      </c>
      <c r="R423" s="29" t="s">
        <v>597</v>
      </c>
      <c r="S423" s="27" t="s">
        <v>647</v>
      </c>
      <c r="T423" s="27" t="s">
        <v>509</v>
      </c>
      <c r="U423" s="27" t="s">
        <v>276</v>
      </c>
      <c r="V423" s="27" t="s">
        <v>60</v>
      </c>
      <c r="W423" s="27" t="s">
        <v>61</v>
      </c>
      <c r="X423" s="27" t="s">
        <v>5513</v>
      </c>
      <c r="Y423" s="27" t="s">
        <v>5514</v>
      </c>
      <c r="Z423" s="27" t="s">
        <v>646</v>
      </c>
      <c r="AA423" s="27" t="s">
        <v>647</v>
      </c>
      <c r="AB423" s="27" t="s">
        <v>509</v>
      </c>
      <c r="AC423" s="27" t="s">
        <v>5515</v>
      </c>
      <c r="AD423" s="27" t="s">
        <v>5516</v>
      </c>
      <c r="AE423" s="27" t="s">
        <v>110</v>
      </c>
      <c r="AF423" s="27" t="s">
        <v>5516</v>
      </c>
      <c r="AG423" s="27" t="s">
        <v>5517</v>
      </c>
      <c r="AH423" s="27" t="s">
        <v>573</v>
      </c>
      <c r="AI423" s="27" t="s">
        <v>106</v>
      </c>
      <c r="AJ423" s="27" t="s">
        <v>262</v>
      </c>
      <c r="AK423" s="27" t="s">
        <v>63</v>
      </c>
      <c r="AL423" s="27"/>
      <c r="AM423" s="34">
        <v>311800000</v>
      </c>
      <c r="AN423" s="34">
        <v>240825893</v>
      </c>
      <c r="AO423" s="34">
        <v>42075000</v>
      </c>
      <c r="AP423" s="34">
        <v>27291964</v>
      </c>
      <c r="AQ423" s="34">
        <v>0</v>
      </c>
      <c r="AR423" s="34">
        <v>0</v>
      </c>
      <c r="AS423" s="34">
        <v>13392857</v>
      </c>
      <c r="AT423" s="34">
        <v>296800000</v>
      </c>
      <c r="AU423" s="34">
        <v>10000000</v>
      </c>
      <c r="AV423" s="34">
        <v>-15000000</v>
      </c>
      <c r="AW423" s="27"/>
      <c r="AX423" s="27"/>
      <c r="AY423" s="27" t="s">
        <v>83</v>
      </c>
      <c r="AZ423" s="27">
        <v>1</v>
      </c>
      <c r="BA423" s="27" t="s">
        <v>163</v>
      </c>
      <c r="BB423" s="27" t="s">
        <v>475</v>
      </c>
      <c r="BC423" s="27" t="s">
        <v>5518</v>
      </c>
      <c r="BD423" s="27" t="s">
        <v>464</v>
      </c>
      <c r="BE423" s="27" t="s">
        <v>464</v>
      </c>
      <c r="BF423" s="27" t="s">
        <v>5519</v>
      </c>
      <c r="BG423" s="27" t="s">
        <v>5520</v>
      </c>
      <c r="BH423" s="27"/>
      <c r="BI423" s="27" t="s">
        <v>456</v>
      </c>
      <c r="BJ423" s="27" t="s">
        <v>5521</v>
      </c>
      <c r="BK423" s="27" t="s">
        <v>458</v>
      </c>
      <c r="BL423" s="27" t="s">
        <v>5522</v>
      </c>
      <c r="BM423" s="38">
        <v>0</v>
      </c>
    </row>
    <row r="424" spans="1:65" x14ac:dyDescent="0.2">
      <c r="A424" s="37">
        <v>1809</v>
      </c>
      <c r="B424" s="27">
        <v>146</v>
      </c>
      <c r="C424" s="27" t="s">
        <v>503</v>
      </c>
      <c r="D424" s="27" t="s">
        <v>5523</v>
      </c>
      <c r="E424" s="27" t="s">
        <v>421</v>
      </c>
      <c r="F424" s="27" t="s">
        <v>462</v>
      </c>
      <c r="G424" s="28">
        <v>2026</v>
      </c>
      <c r="H424" s="20" t="str">
        <f>VLOOKUP(U424,'[1]KODE TYPE standar'!$D:$U,17,0)</f>
        <v>AVANZA</v>
      </c>
      <c r="I424" s="20" t="str">
        <f>VLOOKUP(U424,'[1]KODE TYPE standar'!$D:$U,16,0)</f>
        <v>AVANZA</v>
      </c>
      <c r="J424" s="20" t="str">
        <f>VLOOKUP(U424,'[1]KODE TYPE standar'!$D:$U,18,0)</f>
        <v>AVANZA E A/T</v>
      </c>
      <c r="K424" s="27" t="s">
        <v>118</v>
      </c>
      <c r="L424" s="27" t="s">
        <v>110</v>
      </c>
      <c r="M424" s="27" t="s">
        <v>262</v>
      </c>
      <c r="N424" s="27" t="s">
        <v>140</v>
      </c>
      <c r="O424" s="28" t="s">
        <v>156</v>
      </c>
      <c r="P424" s="29" t="s">
        <v>149</v>
      </c>
      <c r="Q424" s="29" t="s">
        <v>162</v>
      </c>
      <c r="R424" s="29" t="s">
        <v>597</v>
      </c>
      <c r="S424" s="27" t="s">
        <v>4387</v>
      </c>
      <c r="T424" s="27" t="s">
        <v>585</v>
      </c>
      <c r="U424" s="27" t="s">
        <v>328</v>
      </c>
      <c r="V424" s="27" t="s">
        <v>64</v>
      </c>
      <c r="W424" s="27" t="s">
        <v>65</v>
      </c>
      <c r="X424" s="27" t="s">
        <v>5524</v>
      </c>
      <c r="Y424" s="27" t="s">
        <v>5525</v>
      </c>
      <c r="Z424" s="27" t="s">
        <v>4386</v>
      </c>
      <c r="AA424" s="27" t="s">
        <v>4387</v>
      </c>
      <c r="AB424" s="27" t="s">
        <v>585</v>
      </c>
      <c r="AC424" s="27" t="s">
        <v>5526</v>
      </c>
      <c r="AD424" s="27" t="s">
        <v>5527</v>
      </c>
      <c r="AE424" s="27" t="s">
        <v>110</v>
      </c>
      <c r="AF424" s="27" t="s">
        <v>5528</v>
      </c>
      <c r="AG424" s="27" t="s">
        <v>5529</v>
      </c>
      <c r="AH424" s="27" t="s">
        <v>514</v>
      </c>
      <c r="AI424" s="27" t="s">
        <v>140</v>
      </c>
      <c r="AJ424" s="27" t="s">
        <v>262</v>
      </c>
      <c r="AK424" s="27" t="s">
        <v>63</v>
      </c>
      <c r="AL424" s="27" t="s">
        <v>5530</v>
      </c>
      <c r="AM424" s="34">
        <v>262200000</v>
      </c>
      <c r="AN424" s="34">
        <v>202075893</v>
      </c>
      <c r="AO424" s="34">
        <v>35875000</v>
      </c>
      <c r="AP424" s="34">
        <v>22641964</v>
      </c>
      <c r="AQ424" s="34">
        <v>0</v>
      </c>
      <c r="AR424" s="34">
        <v>0</v>
      </c>
      <c r="AS424" s="34">
        <v>13392857</v>
      </c>
      <c r="AT424" s="34">
        <v>247200000</v>
      </c>
      <c r="AU424" s="34">
        <v>0</v>
      </c>
      <c r="AV424" s="34">
        <v>-15000000</v>
      </c>
      <c r="AW424" s="27" t="s">
        <v>412</v>
      </c>
      <c r="AX424" s="27" t="s">
        <v>412</v>
      </c>
      <c r="AY424" s="27" t="s">
        <v>83</v>
      </c>
      <c r="AZ424" s="27">
        <v>1</v>
      </c>
      <c r="BA424" s="27" t="s">
        <v>5531</v>
      </c>
      <c r="BB424" s="27" t="s">
        <v>438</v>
      </c>
      <c r="BC424" s="27" t="s">
        <v>5532</v>
      </c>
      <c r="BD424" s="27" t="s">
        <v>439</v>
      </c>
      <c r="BE424" s="27" t="s">
        <v>439</v>
      </c>
      <c r="BF424" s="27" t="s">
        <v>5533</v>
      </c>
      <c r="BG424" s="27" t="s">
        <v>5534</v>
      </c>
      <c r="BH424" s="27" t="s">
        <v>421</v>
      </c>
      <c r="BI424" s="27" t="s">
        <v>472</v>
      </c>
      <c r="BJ424" s="27" t="s">
        <v>5535</v>
      </c>
      <c r="BK424" s="27" t="s">
        <v>431</v>
      </c>
      <c r="BL424" s="27" t="s">
        <v>5536</v>
      </c>
      <c r="BM424" s="38">
        <v>0</v>
      </c>
    </row>
    <row r="425" spans="1:65" x14ac:dyDescent="0.2">
      <c r="A425" s="37">
        <v>1811</v>
      </c>
      <c r="B425" s="27">
        <v>146</v>
      </c>
      <c r="C425" s="27" t="s">
        <v>503</v>
      </c>
      <c r="D425" s="27" t="s">
        <v>5537</v>
      </c>
      <c r="E425" s="27" t="s">
        <v>455</v>
      </c>
      <c r="F425" s="27" t="s">
        <v>462</v>
      </c>
      <c r="G425" s="28">
        <v>2026</v>
      </c>
      <c r="H425" s="20" t="str">
        <f>VLOOKUP(U425,'[1]KODE TYPE standar'!$D:$U,17,0)</f>
        <v>CALYA</v>
      </c>
      <c r="I425" s="20" t="str">
        <f>VLOOKUP(U425,'[1]KODE TYPE standar'!$D:$U,16,0)</f>
        <v>CALYA</v>
      </c>
      <c r="J425" s="20" t="str">
        <f>VLOOKUP(U425,'[1]KODE TYPE standar'!$D:$U,18,0)</f>
        <v>CALYA G A/T</v>
      </c>
      <c r="K425" s="27" t="s">
        <v>121</v>
      </c>
      <c r="L425" s="27" t="s">
        <v>110</v>
      </c>
      <c r="M425" s="27" t="s">
        <v>262</v>
      </c>
      <c r="N425" s="27" t="s">
        <v>140</v>
      </c>
      <c r="O425" s="28" t="s">
        <v>156</v>
      </c>
      <c r="P425" s="29" t="s">
        <v>149</v>
      </c>
      <c r="Q425" s="29" t="s">
        <v>161</v>
      </c>
      <c r="R425" s="29" t="s">
        <v>145</v>
      </c>
      <c r="S425" s="27" t="s">
        <v>877</v>
      </c>
      <c r="T425" s="27" t="s">
        <v>585</v>
      </c>
      <c r="U425" s="27" t="s">
        <v>88</v>
      </c>
      <c r="V425" s="27" t="s">
        <v>60</v>
      </c>
      <c r="W425" s="27" t="s">
        <v>61</v>
      </c>
      <c r="X425" s="27" t="s">
        <v>5538</v>
      </c>
      <c r="Y425" s="27" t="s">
        <v>5539</v>
      </c>
      <c r="Z425" s="27" t="s">
        <v>876</v>
      </c>
      <c r="AA425" s="27" t="s">
        <v>877</v>
      </c>
      <c r="AB425" s="27" t="s">
        <v>585</v>
      </c>
      <c r="AC425" s="27" t="s">
        <v>5540</v>
      </c>
      <c r="AD425" s="27" t="s">
        <v>5541</v>
      </c>
      <c r="AE425" s="27" t="s">
        <v>110</v>
      </c>
      <c r="AF425" s="27" t="s">
        <v>5541</v>
      </c>
      <c r="AG425" s="27" t="s">
        <v>5542</v>
      </c>
      <c r="AH425" s="27" t="s">
        <v>528</v>
      </c>
      <c r="AI425" s="27" t="s">
        <v>140</v>
      </c>
      <c r="AJ425" s="27" t="s">
        <v>262</v>
      </c>
      <c r="AK425" s="27" t="s">
        <v>104</v>
      </c>
      <c r="AL425" s="27"/>
      <c r="AM425" s="34">
        <v>196800000</v>
      </c>
      <c r="AN425" s="34">
        <v>150982143</v>
      </c>
      <c r="AO425" s="34">
        <v>27700000</v>
      </c>
      <c r="AP425" s="34">
        <v>17046428</v>
      </c>
      <c r="AQ425" s="34">
        <v>0</v>
      </c>
      <c r="AR425" s="34">
        <v>0</v>
      </c>
      <c r="AS425" s="34">
        <v>8928571</v>
      </c>
      <c r="AT425" s="34">
        <v>186800000</v>
      </c>
      <c r="AU425" s="34">
        <v>3000000</v>
      </c>
      <c r="AV425" s="34">
        <v>-10000000</v>
      </c>
      <c r="AW425" s="27"/>
      <c r="AX425" s="27"/>
      <c r="AY425" s="27" t="s">
        <v>83</v>
      </c>
      <c r="AZ425" s="27">
        <v>1</v>
      </c>
      <c r="BA425" s="27"/>
      <c r="BB425" s="27" t="s">
        <v>463</v>
      </c>
      <c r="BC425" s="27" t="s">
        <v>5543</v>
      </c>
      <c r="BD425" s="27" t="s">
        <v>463</v>
      </c>
      <c r="BE425" s="27" t="s">
        <v>463</v>
      </c>
      <c r="BF425" s="27" t="s">
        <v>5544</v>
      </c>
      <c r="BG425" s="27" t="s">
        <v>5545</v>
      </c>
      <c r="BH425" s="27"/>
      <c r="BI425" s="27" t="s">
        <v>5546</v>
      </c>
      <c r="BJ425" s="27" t="s">
        <v>5547</v>
      </c>
      <c r="BK425" s="27" t="s">
        <v>472</v>
      </c>
      <c r="BL425" s="27" t="s">
        <v>5548</v>
      </c>
      <c r="BM425" s="38">
        <v>0</v>
      </c>
    </row>
    <row r="426" spans="1:65" x14ac:dyDescent="0.2">
      <c r="A426" s="37">
        <v>1838</v>
      </c>
      <c r="B426" s="27">
        <v>146</v>
      </c>
      <c r="C426" s="27" t="s">
        <v>503</v>
      </c>
      <c r="D426" s="27" t="s">
        <v>5549</v>
      </c>
      <c r="E426" s="27" t="s">
        <v>436</v>
      </c>
      <c r="F426" s="27" t="s">
        <v>462</v>
      </c>
      <c r="G426" s="28">
        <v>2026</v>
      </c>
      <c r="H426" s="20" t="str">
        <f>VLOOKUP(U426,'[1]KODE TYPE standar'!$D:$U,17,0)</f>
        <v>CALYA</v>
      </c>
      <c r="I426" s="20" t="str">
        <f>VLOOKUP(U426,'[1]KODE TYPE standar'!$D:$U,16,0)</f>
        <v>CALYA</v>
      </c>
      <c r="J426" s="20" t="str">
        <f>VLOOKUP(U426,'[1]KODE TYPE standar'!$D:$U,18,0)</f>
        <v>CALYA G M/T</v>
      </c>
      <c r="K426" s="27" t="s">
        <v>119</v>
      </c>
      <c r="L426" s="27" t="s">
        <v>110</v>
      </c>
      <c r="M426" s="27" t="s">
        <v>262</v>
      </c>
      <c r="N426" s="27" t="s">
        <v>141</v>
      </c>
      <c r="O426" s="28" t="s">
        <v>156</v>
      </c>
      <c r="P426" s="29" t="s">
        <v>151</v>
      </c>
      <c r="Q426" s="29" t="s">
        <v>161</v>
      </c>
      <c r="R426" s="29" t="s">
        <v>597</v>
      </c>
      <c r="S426" s="27" t="s">
        <v>524</v>
      </c>
      <c r="T426" s="27" t="s">
        <v>509</v>
      </c>
      <c r="U426" s="27" t="s">
        <v>268</v>
      </c>
      <c r="V426" s="27" t="s">
        <v>60</v>
      </c>
      <c r="W426" s="27" t="s">
        <v>61</v>
      </c>
      <c r="X426" s="27" t="s">
        <v>5550</v>
      </c>
      <c r="Y426" s="27" t="s">
        <v>5551</v>
      </c>
      <c r="Z426" s="27" t="s">
        <v>523</v>
      </c>
      <c r="AA426" s="27" t="s">
        <v>524</v>
      </c>
      <c r="AB426" s="27" t="s">
        <v>509</v>
      </c>
      <c r="AC426" s="27" t="s">
        <v>5552</v>
      </c>
      <c r="AD426" s="27" t="s">
        <v>5553</v>
      </c>
      <c r="AE426" s="27" t="s">
        <v>110</v>
      </c>
      <c r="AF426" s="27" t="s">
        <v>5553</v>
      </c>
      <c r="AG426" s="27" t="s">
        <v>5554</v>
      </c>
      <c r="AH426" s="27" t="s">
        <v>1494</v>
      </c>
      <c r="AI426" s="27" t="s">
        <v>141</v>
      </c>
      <c r="AJ426" s="27" t="s">
        <v>262</v>
      </c>
      <c r="AK426" s="27" t="s">
        <v>89</v>
      </c>
      <c r="AL426" s="27" t="s">
        <v>5555</v>
      </c>
      <c r="AM426" s="34">
        <v>182200000</v>
      </c>
      <c r="AN426" s="34">
        <v>139575893</v>
      </c>
      <c r="AO426" s="34">
        <v>25875000</v>
      </c>
      <c r="AP426" s="34">
        <v>15677678</v>
      </c>
      <c r="AQ426" s="34">
        <v>0</v>
      </c>
      <c r="AR426" s="34">
        <v>0</v>
      </c>
      <c r="AS426" s="34">
        <v>8928571</v>
      </c>
      <c r="AT426" s="34">
        <v>172200000</v>
      </c>
      <c r="AU426" s="34">
        <v>0</v>
      </c>
      <c r="AV426" s="34">
        <v>-10000000</v>
      </c>
      <c r="AW426" s="27" t="s">
        <v>427</v>
      </c>
      <c r="AX426" s="27" t="s">
        <v>427</v>
      </c>
      <c r="AY426" s="27" t="s">
        <v>83</v>
      </c>
      <c r="AZ426" s="27">
        <v>1</v>
      </c>
      <c r="BA426" s="27"/>
      <c r="BB426" s="27" t="s">
        <v>438</v>
      </c>
      <c r="BC426" s="27" t="s">
        <v>5556</v>
      </c>
      <c r="BD426" s="27" t="s">
        <v>439</v>
      </c>
      <c r="BE426" s="27" t="s">
        <v>439</v>
      </c>
      <c r="BF426" s="27" t="s">
        <v>5557</v>
      </c>
      <c r="BG426" s="27" t="s">
        <v>5558</v>
      </c>
      <c r="BH426" s="27" t="s">
        <v>436</v>
      </c>
      <c r="BI426" s="27" t="s">
        <v>469</v>
      </c>
      <c r="BJ426" s="27" t="s">
        <v>5559</v>
      </c>
      <c r="BK426" s="27" t="s">
        <v>421</v>
      </c>
      <c r="BL426" s="27" t="s">
        <v>5560</v>
      </c>
      <c r="BM426" s="38">
        <v>0</v>
      </c>
    </row>
    <row r="427" spans="1:65" x14ac:dyDescent="0.2">
      <c r="A427" s="37">
        <v>1840</v>
      </c>
      <c r="B427" s="27">
        <v>146</v>
      </c>
      <c r="C427" s="27" t="s">
        <v>503</v>
      </c>
      <c r="D427" s="27" t="s">
        <v>5561</v>
      </c>
      <c r="E427" s="27" t="s">
        <v>412</v>
      </c>
      <c r="F427" s="27" t="s">
        <v>462</v>
      </c>
      <c r="G427" s="28">
        <v>2026</v>
      </c>
      <c r="H427" s="20" t="str">
        <f>VLOOKUP(U427,'[1]KODE TYPE standar'!$D:$U,17,0)</f>
        <v>AVANZA</v>
      </c>
      <c r="I427" s="20" t="str">
        <f>VLOOKUP(U427,'[1]KODE TYPE standar'!$D:$U,16,0)</f>
        <v>AVANZA</v>
      </c>
      <c r="J427" s="20" t="str">
        <f>VLOOKUP(U427,'[1]KODE TYPE standar'!$D:$U,18,0)</f>
        <v>AVANZA G A/T</v>
      </c>
      <c r="K427" s="27" t="s">
        <v>118</v>
      </c>
      <c r="L427" s="27" t="s">
        <v>110</v>
      </c>
      <c r="M427" s="27" t="s">
        <v>262</v>
      </c>
      <c r="N427" s="27" t="s">
        <v>140</v>
      </c>
      <c r="O427" s="28" t="s">
        <v>156</v>
      </c>
      <c r="P427" s="29" t="s">
        <v>146</v>
      </c>
      <c r="Q427" s="29" t="s">
        <v>161</v>
      </c>
      <c r="R427" s="29" t="s">
        <v>318</v>
      </c>
      <c r="S427" s="27" t="s">
        <v>1373</v>
      </c>
      <c r="T427" s="27" t="s">
        <v>509</v>
      </c>
      <c r="U427" s="27" t="s">
        <v>329</v>
      </c>
      <c r="V427" s="27" t="s">
        <v>64</v>
      </c>
      <c r="W427" s="27" t="s">
        <v>65</v>
      </c>
      <c r="X427" s="27" t="s">
        <v>5562</v>
      </c>
      <c r="Y427" s="27" t="s">
        <v>5563</v>
      </c>
      <c r="Z427" s="27" t="s">
        <v>1372</v>
      </c>
      <c r="AA427" s="27" t="s">
        <v>1373</v>
      </c>
      <c r="AB427" s="27" t="s">
        <v>509</v>
      </c>
      <c r="AC427" s="27" t="s">
        <v>5564</v>
      </c>
      <c r="AD427" s="27" t="s">
        <v>5565</v>
      </c>
      <c r="AE427" s="27" t="s">
        <v>110</v>
      </c>
      <c r="AF427" s="27" t="s">
        <v>5565</v>
      </c>
      <c r="AG427" s="27" t="s">
        <v>5566</v>
      </c>
      <c r="AH427" s="27" t="s">
        <v>1215</v>
      </c>
      <c r="AI427" s="27" t="s">
        <v>140</v>
      </c>
      <c r="AJ427" s="27" t="s">
        <v>262</v>
      </c>
      <c r="AK427" s="27" t="s">
        <v>63</v>
      </c>
      <c r="AL427" s="27" t="s">
        <v>5567</v>
      </c>
      <c r="AM427" s="34">
        <v>285000000</v>
      </c>
      <c r="AN427" s="34">
        <v>219888393</v>
      </c>
      <c r="AO427" s="34">
        <v>38725000</v>
      </c>
      <c r="AP427" s="34">
        <v>24779464</v>
      </c>
      <c r="AQ427" s="34">
        <v>0</v>
      </c>
      <c r="AR427" s="34">
        <v>0</v>
      </c>
      <c r="AS427" s="34">
        <v>13392857</v>
      </c>
      <c r="AT427" s="34">
        <v>270000000</v>
      </c>
      <c r="AU427" s="34">
        <v>0</v>
      </c>
      <c r="AV427" s="34">
        <v>-15000000</v>
      </c>
      <c r="AW427" s="27" t="s">
        <v>427</v>
      </c>
      <c r="AX427" s="27" t="s">
        <v>427</v>
      </c>
      <c r="AY427" s="27" t="s">
        <v>83</v>
      </c>
      <c r="AZ427" s="27">
        <v>1</v>
      </c>
      <c r="BA427" s="27"/>
      <c r="BB427" s="27" t="s">
        <v>277</v>
      </c>
      <c r="BC427" s="27" t="s">
        <v>5568</v>
      </c>
      <c r="BD427" s="27" t="s">
        <v>348</v>
      </c>
      <c r="BE427" s="27" t="s">
        <v>348</v>
      </c>
      <c r="BF427" s="27" t="s">
        <v>5569</v>
      </c>
      <c r="BG427" s="27" t="s">
        <v>5570</v>
      </c>
      <c r="BH427" s="27" t="s">
        <v>412</v>
      </c>
      <c r="BI427" s="27" t="s">
        <v>464</v>
      </c>
      <c r="BJ427" s="27" t="s">
        <v>5571</v>
      </c>
      <c r="BK427" s="27" t="s">
        <v>421</v>
      </c>
      <c r="BL427" s="27" t="s">
        <v>5572</v>
      </c>
      <c r="BM427" s="38">
        <v>0</v>
      </c>
    </row>
    <row r="428" spans="1:65" x14ac:dyDescent="0.2">
      <c r="A428" s="37">
        <v>1845</v>
      </c>
      <c r="B428" s="27">
        <v>146</v>
      </c>
      <c r="C428" s="27" t="s">
        <v>503</v>
      </c>
      <c r="D428" s="27" t="s">
        <v>5573</v>
      </c>
      <c r="E428" s="27" t="s">
        <v>451</v>
      </c>
      <c r="F428" s="27" t="s">
        <v>462</v>
      </c>
      <c r="G428" s="28">
        <v>2026</v>
      </c>
      <c r="H428" s="20" t="str">
        <f>VLOOKUP(U428,'[1]KODE TYPE standar'!$D:$U,17,0)</f>
        <v>INV ZENIX GAS</v>
      </c>
      <c r="I428" s="20" t="str">
        <f>VLOOKUP(U428,'[1]KODE TYPE standar'!$D:$U,16,0)</f>
        <v>INNOVA</v>
      </c>
      <c r="J428" s="20" t="str">
        <f>VLOOKUP(U428,'[1]KODE TYPE standar'!$D:$U,18,0)</f>
        <v>INNOVA ZENIX V A/T</v>
      </c>
      <c r="K428" s="27" t="s">
        <v>50</v>
      </c>
      <c r="L428" s="27" t="s">
        <v>110</v>
      </c>
      <c r="M428" s="27" t="s">
        <v>50</v>
      </c>
      <c r="N428" s="27" t="s">
        <v>141</v>
      </c>
      <c r="O428" s="28" t="s">
        <v>156</v>
      </c>
      <c r="P428" s="29" t="s">
        <v>150</v>
      </c>
      <c r="Q428" s="29" t="s">
        <v>162</v>
      </c>
      <c r="R428" s="29" t="s">
        <v>145</v>
      </c>
      <c r="S428" s="27" t="s">
        <v>524</v>
      </c>
      <c r="T428" s="27" t="s">
        <v>509</v>
      </c>
      <c r="U428" s="27" t="s">
        <v>5574</v>
      </c>
      <c r="V428" s="27" t="s">
        <v>93</v>
      </c>
      <c r="W428" s="27" t="s">
        <v>81</v>
      </c>
      <c r="X428" s="27" t="s">
        <v>5575</v>
      </c>
      <c r="Y428" s="27" t="s">
        <v>5576</v>
      </c>
      <c r="Z428" s="27" t="s">
        <v>523</v>
      </c>
      <c r="AA428" s="27" t="s">
        <v>524</v>
      </c>
      <c r="AB428" s="27" t="s">
        <v>509</v>
      </c>
      <c r="AC428" s="27" t="s">
        <v>5577</v>
      </c>
      <c r="AD428" s="27" t="s">
        <v>5578</v>
      </c>
      <c r="AE428" s="27" t="s">
        <v>110</v>
      </c>
      <c r="AF428" s="27" t="s">
        <v>5579</v>
      </c>
      <c r="AG428" s="27" t="s">
        <v>5580</v>
      </c>
      <c r="AH428" s="27" t="s">
        <v>1377</v>
      </c>
      <c r="AI428" s="27" t="s">
        <v>141</v>
      </c>
      <c r="AJ428" s="27" t="s">
        <v>50</v>
      </c>
      <c r="AK428" s="27" t="s">
        <v>50</v>
      </c>
      <c r="AL428" s="27"/>
      <c r="AM428" s="34">
        <v>486466000</v>
      </c>
      <c r="AN428" s="34">
        <v>377283705</v>
      </c>
      <c r="AO428" s="34">
        <v>63908250</v>
      </c>
      <c r="AP428" s="34">
        <v>43024044</v>
      </c>
      <c r="AQ428" s="34">
        <v>0</v>
      </c>
      <c r="AR428" s="34">
        <v>0</v>
      </c>
      <c r="AS428" s="34">
        <v>18750000</v>
      </c>
      <c r="AT428" s="34">
        <v>465466000</v>
      </c>
      <c r="AU428" s="34">
        <v>0</v>
      </c>
      <c r="AV428" s="34">
        <v>-21000000</v>
      </c>
      <c r="AW428" s="27" t="s">
        <v>472</v>
      </c>
      <c r="AX428" s="27" t="s">
        <v>472</v>
      </c>
      <c r="AY428" s="27" t="s">
        <v>83</v>
      </c>
      <c r="AZ428" s="27">
        <v>1</v>
      </c>
      <c r="BA428" s="27"/>
      <c r="BB428" s="27" t="s">
        <v>443</v>
      </c>
      <c r="BC428" s="27" t="s">
        <v>5581</v>
      </c>
      <c r="BD428" s="27" t="s">
        <v>412</v>
      </c>
      <c r="BE428" s="27" t="s">
        <v>412</v>
      </c>
      <c r="BF428" s="27" t="s">
        <v>5582</v>
      </c>
      <c r="BG428" s="27" t="s">
        <v>5583</v>
      </c>
      <c r="BH428" s="27" t="s">
        <v>451</v>
      </c>
      <c r="BI428" s="27" t="s">
        <v>475</v>
      </c>
      <c r="BJ428" s="27" t="s">
        <v>5584</v>
      </c>
      <c r="BK428" s="27" t="s">
        <v>471</v>
      </c>
      <c r="BL428" s="27" t="s">
        <v>5585</v>
      </c>
      <c r="BM428" s="38">
        <v>0</v>
      </c>
    </row>
    <row r="429" spans="1:65" x14ac:dyDescent="0.2">
      <c r="A429" s="37">
        <v>1868</v>
      </c>
      <c r="B429" s="27">
        <v>146</v>
      </c>
      <c r="C429" s="27" t="s">
        <v>503</v>
      </c>
      <c r="D429" s="27" t="s">
        <v>5586</v>
      </c>
      <c r="E429" s="27" t="s">
        <v>466</v>
      </c>
      <c r="F429" s="27" t="s">
        <v>462</v>
      </c>
      <c r="G429" s="28">
        <v>2026</v>
      </c>
      <c r="H429" s="20" t="str">
        <f>VLOOKUP(U429,'[1]KODE TYPE standar'!$D:$U,17,0)</f>
        <v>INV ZENIX HYBRID</v>
      </c>
      <c r="I429" s="20" t="str">
        <f>VLOOKUP(U429,'[1]KODE TYPE standar'!$D:$U,16,0)</f>
        <v>INNOVA</v>
      </c>
      <c r="J429" s="20" t="str">
        <f>VLOOKUP(U429,'[1]KODE TYPE standar'!$D:$U,18,0)</f>
        <v>INNOVA ZENIX G A/T HIYBRID</v>
      </c>
      <c r="K429" s="27" t="s">
        <v>119</v>
      </c>
      <c r="L429" s="27" t="s">
        <v>110</v>
      </c>
      <c r="M429" s="27" t="s">
        <v>262</v>
      </c>
      <c r="N429" s="27" t="s">
        <v>141</v>
      </c>
      <c r="O429" s="28" t="s">
        <v>156</v>
      </c>
      <c r="P429" s="29" t="s">
        <v>319</v>
      </c>
      <c r="Q429" s="29" t="s">
        <v>147</v>
      </c>
      <c r="R429" s="29" t="s">
        <v>612</v>
      </c>
      <c r="S429" s="27" t="s">
        <v>4352</v>
      </c>
      <c r="T429" s="27" t="s">
        <v>585</v>
      </c>
      <c r="U429" s="27" t="s">
        <v>388</v>
      </c>
      <c r="V429" s="27" t="s">
        <v>77</v>
      </c>
      <c r="W429" s="27" t="s">
        <v>78</v>
      </c>
      <c r="X429" s="27" t="s">
        <v>5587</v>
      </c>
      <c r="Y429" s="27" t="s">
        <v>5588</v>
      </c>
      <c r="Z429" s="27" t="s">
        <v>4351</v>
      </c>
      <c r="AA429" s="27" t="s">
        <v>4352</v>
      </c>
      <c r="AB429" s="27" t="s">
        <v>585</v>
      </c>
      <c r="AC429" s="27" t="s">
        <v>5589</v>
      </c>
      <c r="AD429" s="27" t="s">
        <v>5590</v>
      </c>
      <c r="AE429" s="27" t="s">
        <v>110</v>
      </c>
      <c r="AF429" s="27" t="s">
        <v>5590</v>
      </c>
      <c r="AG429" s="27" t="s">
        <v>5591</v>
      </c>
      <c r="AH429" s="27" t="s">
        <v>1427</v>
      </c>
      <c r="AI429" s="27" t="s">
        <v>141</v>
      </c>
      <c r="AJ429" s="27" t="s">
        <v>262</v>
      </c>
      <c r="AK429" s="27" t="s">
        <v>89</v>
      </c>
      <c r="AL429" s="27"/>
      <c r="AM429" s="34">
        <v>477500000</v>
      </c>
      <c r="AN429" s="34">
        <v>370279018</v>
      </c>
      <c r="AO429" s="34">
        <v>62787500</v>
      </c>
      <c r="AP429" s="34">
        <v>42290625</v>
      </c>
      <c r="AQ429" s="34">
        <v>0</v>
      </c>
      <c r="AR429" s="34">
        <v>0</v>
      </c>
      <c r="AS429" s="34">
        <v>17857143</v>
      </c>
      <c r="AT429" s="34">
        <v>457500000</v>
      </c>
      <c r="AU429" s="34">
        <v>8000000</v>
      </c>
      <c r="AV429" s="34">
        <v>-20000000</v>
      </c>
      <c r="AW429" s="27"/>
      <c r="AX429" s="27"/>
      <c r="AY429" s="27" t="s">
        <v>83</v>
      </c>
      <c r="AZ429" s="27">
        <v>1</v>
      </c>
      <c r="BA429" s="27" t="s">
        <v>163</v>
      </c>
      <c r="BB429" s="27" t="s">
        <v>443</v>
      </c>
      <c r="BC429" s="27" t="s">
        <v>5592</v>
      </c>
      <c r="BD429" s="27" t="s">
        <v>443</v>
      </c>
      <c r="BE429" s="27" t="s">
        <v>443</v>
      </c>
      <c r="BF429" s="27" t="s">
        <v>5593</v>
      </c>
      <c r="BG429" s="27" t="s">
        <v>5594</v>
      </c>
      <c r="BH429" s="27" t="s">
        <v>466</v>
      </c>
      <c r="BI429" s="27" t="s">
        <v>468</v>
      </c>
      <c r="BJ429" s="27" t="s">
        <v>5595</v>
      </c>
      <c r="BK429" s="27" t="s">
        <v>408</v>
      </c>
      <c r="BL429" s="27" t="s">
        <v>5596</v>
      </c>
      <c r="BM429" s="38">
        <v>0</v>
      </c>
    </row>
    <row r="430" spans="1:65" x14ac:dyDescent="0.2">
      <c r="A430" s="37">
        <v>1872</v>
      </c>
      <c r="B430" s="27">
        <v>146</v>
      </c>
      <c r="C430" s="27" t="s">
        <v>503</v>
      </c>
      <c r="D430" s="27" t="s">
        <v>5597</v>
      </c>
      <c r="E430" s="27" t="s">
        <v>474</v>
      </c>
      <c r="F430" s="27" t="s">
        <v>462</v>
      </c>
      <c r="G430" s="28">
        <v>2026</v>
      </c>
      <c r="H430" s="20" t="str">
        <f>VLOOKUP(U430,'[1]KODE TYPE standar'!$D:$U,17,0)</f>
        <v>RUSH</v>
      </c>
      <c r="I430" s="20" t="str">
        <f>VLOOKUP(U430,'[1]KODE TYPE standar'!$D:$U,16,0)</f>
        <v>RUSH</v>
      </c>
      <c r="J430" s="20" t="str">
        <f>VLOOKUP(U430,'[1]KODE TYPE standar'!$D:$U,18,0)</f>
        <v>RUSH S A/T</v>
      </c>
      <c r="K430" s="27" t="s">
        <v>50</v>
      </c>
      <c r="L430" s="27" t="s">
        <v>110</v>
      </c>
      <c r="M430" s="27" t="s">
        <v>50</v>
      </c>
      <c r="N430" s="27" t="s">
        <v>140</v>
      </c>
      <c r="O430" s="28" t="s">
        <v>156</v>
      </c>
      <c r="P430" s="29" t="s">
        <v>536</v>
      </c>
      <c r="Q430" s="29" t="s">
        <v>161</v>
      </c>
      <c r="R430" s="29" t="s">
        <v>597</v>
      </c>
      <c r="S430" s="27" t="s">
        <v>631</v>
      </c>
      <c r="T430" s="27" t="s">
        <v>509</v>
      </c>
      <c r="U430" s="27" t="s">
        <v>116</v>
      </c>
      <c r="V430" s="27" t="s">
        <v>64</v>
      </c>
      <c r="W430" s="27" t="s">
        <v>65</v>
      </c>
      <c r="X430" s="27" t="s">
        <v>5598</v>
      </c>
      <c r="Y430" s="27" t="s">
        <v>5599</v>
      </c>
      <c r="Z430" s="27" t="s">
        <v>630</v>
      </c>
      <c r="AA430" s="27" t="s">
        <v>631</v>
      </c>
      <c r="AB430" s="27" t="s">
        <v>509</v>
      </c>
      <c r="AC430" s="27" t="s">
        <v>5600</v>
      </c>
      <c r="AD430" s="27" t="s">
        <v>5601</v>
      </c>
      <c r="AE430" s="27" t="s">
        <v>110</v>
      </c>
      <c r="AF430" s="27" t="s">
        <v>5601</v>
      </c>
      <c r="AG430" s="27" t="s">
        <v>5602</v>
      </c>
      <c r="AH430" s="27" t="s">
        <v>2363</v>
      </c>
      <c r="AI430" s="27" t="s">
        <v>140</v>
      </c>
      <c r="AJ430" s="27" t="s">
        <v>50</v>
      </c>
      <c r="AK430" s="27" t="s">
        <v>50</v>
      </c>
      <c r="AL430" s="27"/>
      <c r="AM430" s="34">
        <v>322500000</v>
      </c>
      <c r="AN430" s="34">
        <v>249185268</v>
      </c>
      <c r="AO430" s="34">
        <v>43412500</v>
      </c>
      <c r="AP430" s="34">
        <v>28295089</v>
      </c>
      <c r="AQ430" s="34">
        <v>0</v>
      </c>
      <c r="AR430" s="34">
        <v>0</v>
      </c>
      <c r="AS430" s="34">
        <v>13392857</v>
      </c>
      <c r="AT430" s="34">
        <v>307500000</v>
      </c>
      <c r="AU430" s="34">
        <v>9000000</v>
      </c>
      <c r="AV430" s="34">
        <v>-15000000</v>
      </c>
      <c r="AW430" s="27"/>
      <c r="AX430" s="27"/>
      <c r="AY430" s="27" t="s">
        <v>83</v>
      </c>
      <c r="AZ430" s="27">
        <v>1</v>
      </c>
      <c r="BA430" s="27"/>
      <c r="BB430" s="27" t="s">
        <v>474</v>
      </c>
      <c r="BC430" s="27" t="s">
        <v>5603</v>
      </c>
      <c r="BD430" s="27" t="s">
        <v>474</v>
      </c>
      <c r="BE430" s="27" t="s">
        <v>474</v>
      </c>
      <c r="BF430" s="27" t="s">
        <v>5604</v>
      </c>
      <c r="BG430" s="27" t="s">
        <v>5605</v>
      </c>
      <c r="BH430" s="27" t="s">
        <v>474</v>
      </c>
      <c r="BI430" s="27" t="s">
        <v>477</v>
      </c>
      <c r="BJ430" s="27" t="s">
        <v>5606</v>
      </c>
      <c r="BK430" s="27" t="s">
        <v>451</v>
      </c>
      <c r="BL430" s="27" t="s">
        <v>5607</v>
      </c>
      <c r="BM430" s="38">
        <v>0</v>
      </c>
    </row>
    <row r="431" spans="1:65" x14ac:dyDescent="0.2">
      <c r="A431" s="37">
        <v>1874</v>
      </c>
      <c r="B431" s="27">
        <v>146</v>
      </c>
      <c r="C431" s="27" t="s">
        <v>503</v>
      </c>
      <c r="D431" s="27" t="s">
        <v>5608</v>
      </c>
      <c r="E431" s="27" t="s">
        <v>473</v>
      </c>
      <c r="F431" s="27" t="s">
        <v>462</v>
      </c>
      <c r="G431" s="28">
        <v>2026</v>
      </c>
      <c r="H431" s="20" t="str">
        <f>VLOOKUP(U431,'[1]KODE TYPE standar'!$D:$U,17,0)</f>
        <v>HIACE</v>
      </c>
      <c r="I431" s="20" t="str">
        <f>VLOOKUP(U431,'[1]KODE TYPE standar'!$D:$U,16,0)</f>
        <v>HIACE</v>
      </c>
      <c r="J431" s="20" t="str">
        <f>VLOOKUP(U431,'[1]KODE TYPE standar'!$D:$U,18,0)</f>
        <v>HIACE PREMIO</v>
      </c>
      <c r="K431" s="27" t="s">
        <v>119</v>
      </c>
      <c r="L431" s="27" t="s">
        <v>110</v>
      </c>
      <c r="M431" s="27" t="s">
        <v>262</v>
      </c>
      <c r="N431" s="27" t="s">
        <v>141</v>
      </c>
      <c r="O431" s="28" t="s">
        <v>156</v>
      </c>
      <c r="P431" s="29" t="s">
        <v>149</v>
      </c>
      <c r="Q431" s="29" t="s">
        <v>161</v>
      </c>
      <c r="R431" s="29" t="s">
        <v>145</v>
      </c>
      <c r="S431" s="27" t="s">
        <v>709</v>
      </c>
      <c r="T431" s="27" t="s">
        <v>585</v>
      </c>
      <c r="U431" s="27" t="s">
        <v>173</v>
      </c>
      <c r="V431" s="27" t="s">
        <v>99</v>
      </c>
      <c r="W431" s="27" t="s">
        <v>61</v>
      </c>
      <c r="X431" s="27" t="s">
        <v>5609</v>
      </c>
      <c r="Y431" s="27" t="s">
        <v>5610</v>
      </c>
      <c r="Z431" s="27" t="s">
        <v>708</v>
      </c>
      <c r="AA431" s="27" t="s">
        <v>709</v>
      </c>
      <c r="AB431" s="27" t="s">
        <v>585</v>
      </c>
      <c r="AC431" s="27" t="s">
        <v>5611</v>
      </c>
      <c r="AD431" s="27" t="s">
        <v>3532</v>
      </c>
      <c r="AE431" s="27" t="s">
        <v>110</v>
      </c>
      <c r="AF431" s="27" t="s">
        <v>3545</v>
      </c>
      <c r="AG431" s="27" t="s">
        <v>5612</v>
      </c>
      <c r="AH431" s="27" t="s">
        <v>1427</v>
      </c>
      <c r="AI431" s="27" t="s">
        <v>141</v>
      </c>
      <c r="AJ431" s="27" t="s">
        <v>262</v>
      </c>
      <c r="AK431" s="27" t="s">
        <v>89</v>
      </c>
      <c r="AL431" s="27"/>
      <c r="AM431" s="34">
        <v>679100000</v>
      </c>
      <c r="AN431" s="34">
        <v>525680804</v>
      </c>
      <c r="AO431" s="34">
        <v>90337500</v>
      </c>
      <c r="AP431" s="34">
        <v>58795982</v>
      </c>
      <c r="AQ431" s="34">
        <v>0</v>
      </c>
      <c r="AR431" s="34">
        <v>0</v>
      </c>
      <c r="AS431" s="34">
        <v>35714286</v>
      </c>
      <c r="AT431" s="34">
        <v>639100000</v>
      </c>
      <c r="AU431" s="34">
        <v>93000000</v>
      </c>
      <c r="AV431" s="34">
        <v>-40000000</v>
      </c>
      <c r="AW431" s="27"/>
      <c r="AX431" s="27"/>
      <c r="AY431" s="27" t="s">
        <v>83</v>
      </c>
      <c r="AZ431" s="27">
        <v>1</v>
      </c>
      <c r="BA431" s="27" t="s">
        <v>163</v>
      </c>
      <c r="BB431" s="27" t="s">
        <v>473</v>
      </c>
      <c r="BC431" s="27" t="s">
        <v>5613</v>
      </c>
      <c r="BD431" s="27" t="s">
        <v>458</v>
      </c>
      <c r="BE431" s="27" t="s">
        <v>458</v>
      </c>
      <c r="BF431" s="27" t="s">
        <v>5614</v>
      </c>
      <c r="BG431" s="27" t="s">
        <v>5615</v>
      </c>
      <c r="BH431" s="27"/>
      <c r="BI431" s="27" t="s">
        <v>460</v>
      </c>
      <c r="BJ431" s="27" t="s">
        <v>5616</v>
      </c>
      <c r="BK431" s="27" t="s">
        <v>473</v>
      </c>
      <c r="BL431" s="27" t="s">
        <v>5617</v>
      </c>
      <c r="BM431" s="38">
        <v>0</v>
      </c>
    </row>
    <row r="432" spans="1:65" x14ac:dyDescent="0.2">
      <c r="A432" s="37">
        <v>1890</v>
      </c>
      <c r="B432" s="27">
        <v>146</v>
      </c>
      <c r="C432" s="27" t="s">
        <v>503</v>
      </c>
      <c r="D432" s="27" t="s">
        <v>5618</v>
      </c>
      <c r="E432" s="27" t="s">
        <v>469</v>
      </c>
      <c r="F432" s="27" t="s">
        <v>462</v>
      </c>
      <c r="G432" s="28">
        <v>2026</v>
      </c>
      <c r="H432" s="20" t="str">
        <f>VLOOKUP(U432,'[1]KODE TYPE standar'!$D:$U,17,0)</f>
        <v>INV ZENIX HYBRID</v>
      </c>
      <c r="I432" s="20" t="str">
        <f>VLOOKUP(U432,'[1]KODE TYPE standar'!$D:$U,16,0)</f>
        <v>INNOVA</v>
      </c>
      <c r="J432" s="20" t="str">
        <f>VLOOKUP(U432,'[1]KODE TYPE standar'!$D:$U,18,0)</f>
        <v>INNOVA ZENIX Q A/T HYBRID</v>
      </c>
      <c r="K432" s="27" t="s">
        <v>119</v>
      </c>
      <c r="L432" s="27" t="s">
        <v>110</v>
      </c>
      <c r="M432" s="27" t="s">
        <v>262</v>
      </c>
      <c r="N432" s="27" t="s">
        <v>80</v>
      </c>
      <c r="O432" s="28" t="s">
        <v>6581</v>
      </c>
      <c r="P432" s="29" t="s">
        <v>536</v>
      </c>
      <c r="Q432" s="29" t="s">
        <v>161</v>
      </c>
      <c r="R432" s="29" t="s">
        <v>597</v>
      </c>
      <c r="S432" s="27" t="s">
        <v>631</v>
      </c>
      <c r="T432" s="27" t="s">
        <v>509</v>
      </c>
      <c r="U432" s="27" t="s">
        <v>208</v>
      </c>
      <c r="V432" s="27" t="s">
        <v>51</v>
      </c>
      <c r="W432" s="27" t="s">
        <v>86</v>
      </c>
      <c r="X432" s="27" t="s">
        <v>5619</v>
      </c>
      <c r="Y432" s="27" t="s">
        <v>5620</v>
      </c>
      <c r="Z432" s="27" t="s">
        <v>630</v>
      </c>
      <c r="AA432" s="27" t="s">
        <v>631</v>
      </c>
      <c r="AB432" s="27" t="s">
        <v>509</v>
      </c>
      <c r="AC432" s="27" t="s">
        <v>5621</v>
      </c>
      <c r="AD432" s="27" t="s">
        <v>5622</v>
      </c>
      <c r="AE432" s="27" t="s">
        <v>110</v>
      </c>
      <c r="AF432" s="27" t="s">
        <v>5622</v>
      </c>
      <c r="AG432" s="27" t="s">
        <v>5623</v>
      </c>
      <c r="AH432" s="27" t="s">
        <v>378</v>
      </c>
      <c r="AI432" s="27" t="s">
        <v>80</v>
      </c>
      <c r="AJ432" s="27" t="s">
        <v>262</v>
      </c>
      <c r="AK432" s="27" t="s">
        <v>89</v>
      </c>
      <c r="AL432" s="27"/>
      <c r="AM432" s="34">
        <v>629800000</v>
      </c>
      <c r="AN432" s="34">
        <v>489719643</v>
      </c>
      <c r="AO432" s="34">
        <v>81314000</v>
      </c>
      <c r="AP432" s="34">
        <v>56516357</v>
      </c>
      <c r="AQ432" s="34">
        <v>0</v>
      </c>
      <c r="AR432" s="34">
        <v>0</v>
      </c>
      <c r="AS432" s="34">
        <v>18750000</v>
      </c>
      <c r="AT432" s="34">
        <v>608800000</v>
      </c>
      <c r="AU432" s="34">
        <v>9000000</v>
      </c>
      <c r="AV432" s="34">
        <v>-21000000</v>
      </c>
      <c r="AW432" s="27" t="s">
        <v>452</v>
      </c>
      <c r="AX432" s="27" t="s">
        <v>452</v>
      </c>
      <c r="AY432" s="27" t="s">
        <v>83</v>
      </c>
      <c r="AZ432" s="27">
        <v>1</v>
      </c>
      <c r="BA432" s="27"/>
      <c r="BB432" s="27" t="s">
        <v>469</v>
      </c>
      <c r="BC432" s="27" t="s">
        <v>5624</v>
      </c>
      <c r="BD432" s="27" t="s">
        <v>472</v>
      </c>
      <c r="BE432" s="27" t="s">
        <v>472</v>
      </c>
      <c r="BF432" s="27" t="s">
        <v>501</v>
      </c>
      <c r="BG432" s="27" t="s">
        <v>5625</v>
      </c>
      <c r="BH432" s="27" t="s">
        <v>469</v>
      </c>
      <c r="BI432" s="27" t="s">
        <v>454</v>
      </c>
      <c r="BJ432" s="27" t="s">
        <v>5626</v>
      </c>
      <c r="BK432" s="27" t="s">
        <v>472</v>
      </c>
      <c r="BL432" s="27" t="s">
        <v>5627</v>
      </c>
      <c r="BM432" s="38">
        <v>0</v>
      </c>
    </row>
    <row r="433" spans="1:65" x14ac:dyDescent="0.2">
      <c r="A433" s="37">
        <v>1906</v>
      </c>
      <c r="B433" s="27">
        <v>146</v>
      </c>
      <c r="C433" s="27" t="s">
        <v>503</v>
      </c>
      <c r="D433" s="27" t="s">
        <v>5628</v>
      </c>
      <c r="E433" s="27" t="s">
        <v>451</v>
      </c>
      <c r="F433" s="27" t="s">
        <v>462</v>
      </c>
      <c r="G433" s="28">
        <v>2026</v>
      </c>
      <c r="H433" s="20" t="str">
        <f>VLOOKUP(U433,'[1]KODE TYPE standar'!$D:$U,17,0)</f>
        <v>CALYA</v>
      </c>
      <c r="I433" s="20" t="str">
        <f>VLOOKUP(U433,'[1]KODE TYPE standar'!$D:$U,16,0)</f>
        <v>CALYA</v>
      </c>
      <c r="J433" s="20" t="str">
        <f>VLOOKUP(U433,'[1]KODE TYPE standar'!$D:$U,18,0)</f>
        <v>CALYA G M/T</v>
      </c>
      <c r="K433" s="27" t="s">
        <v>121</v>
      </c>
      <c r="L433" s="27" t="s">
        <v>110</v>
      </c>
      <c r="M433" s="27" t="s">
        <v>262</v>
      </c>
      <c r="N433" s="27" t="s">
        <v>141</v>
      </c>
      <c r="O433" s="28" t="s">
        <v>156</v>
      </c>
      <c r="P433" s="29" t="s">
        <v>149</v>
      </c>
      <c r="Q433" s="29" t="s">
        <v>162</v>
      </c>
      <c r="R433" s="29" t="s">
        <v>145</v>
      </c>
      <c r="S433" s="27" t="s">
        <v>1966</v>
      </c>
      <c r="T433" s="27" t="s">
        <v>509</v>
      </c>
      <c r="U433" s="27" t="s">
        <v>268</v>
      </c>
      <c r="V433" s="27" t="s">
        <v>68</v>
      </c>
      <c r="W433" s="27" t="s">
        <v>69</v>
      </c>
      <c r="X433" s="27" t="s">
        <v>5629</v>
      </c>
      <c r="Y433" s="27" t="s">
        <v>5630</v>
      </c>
      <c r="Z433" s="27" t="s">
        <v>4724</v>
      </c>
      <c r="AA433" s="27" t="s">
        <v>1966</v>
      </c>
      <c r="AB433" s="27" t="s">
        <v>509</v>
      </c>
      <c r="AC433" s="27" t="s">
        <v>5631</v>
      </c>
      <c r="AD433" s="27" t="s">
        <v>5632</v>
      </c>
      <c r="AE433" s="27" t="s">
        <v>110</v>
      </c>
      <c r="AF433" s="27" t="s">
        <v>5633</v>
      </c>
      <c r="AG433" s="27" t="s">
        <v>5634</v>
      </c>
      <c r="AH433" s="27" t="s">
        <v>688</v>
      </c>
      <c r="AI433" s="27" t="s">
        <v>141</v>
      </c>
      <c r="AJ433" s="27" t="s">
        <v>262</v>
      </c>
      <c r="AK433" s="27" t="s">
        <v>104</v>
      </c>
      <c r="AL433" s="27"/>
      <c r="AM433" s="34">
        <v>182200000</v>
      </c>
      <c r="AN433" s="34">
        <v>139575893</v>
      </c>
      <c r="AO433" s="34">
        <v>25875000</v>
      </c>
      <c r="AP433" s="34">
        <v>15677678</v>
      </c>
      <c r="AQ433" s="34">
        <v>0</v>
      </c>
      <c r="AR433" s="34">
        <v>0</v>
      </c>
      <c r="AS433" s="34">
        <v>8928571</v>
      </c>
      <c r="AT433" s="34">
        <v>172200000</v>
      </c>
      <c r="AU433" s="34">
        <v>0</v>
      </c>
      <c r="AV433" s="34">
        <v>-10000000</v>
      </c>
      <c r="AW433" s="27" t="s">
        <v>463</v>
      </c>
      <c r="AX433" s="27" t="s">
        <v>463</v>
      </c>
      <c r="AY433" s="27" t="s">
        <v>83</v>
      </c>
      <c r="AZ433" s="27">
        <v>1</v>
      </c>
      <c r="BA433" s="27"/>
      <c r="BB433" s="27"/>
      <c r="BC433" s="27" t="s">
        <v>5635</v>
      </c>
      <c r="BD433" s="27" t="s">
        <v>422</v>
      </c>
      <c r="BE433" s="27" t="s">
        <v>422</v>
      </c>
      <c r="BF433" s="27" t="s">
        <v>5636</v>
      </c>
      <c r="BG433" s="27" t="s">
        <v>5637</v>
      </c>
      <c r="BH433" s="27" t="s">
        <v>451</v>
      </c>
      <c r="BI433" s="27" t="s">
        <v>470</v>
      </c>
      <c r="BJ433" s="27" t="s">
        <v>5143</v>
      </c>
      <c r="BK433" s="27" t="s">
        <v>427</v>
      </c>
      <c r="BL433" s="27" t="s">
        <v>5638</v>
      </c>
      <c r="BM433" s="38">
        <v>0</v>
      </c>
    </row>
    <row r="434" spans="1:65" x14ac:dyDescent="0.2">
      <c r="A434" s="37">
        <v>1937</v>
      </c>
      <c r="B434" s="27">
        <v>146</v>
      </c>
      <c r="C434" s="27" t="s">
        <v>503</v>
      </c>
      <c r="D434" s="27" t="s">
        <v>5639</v>
      </c>
      <c r="E434" s="27" t="s">
        <v>440</v>
      </c>
      <c r="F434" s="27" t="s">
        <v>462</v>
      </c>
      <c r="G434" s="28">
        <v>2026</v>
      </c>
      <c r="H434" s="20" t="str">
        <f>VLOOKUP(U434,'[1]KODE TYPE standar'!$D:$U,17,0)</f>
        <v>INV REBORN</v>
      </c>
      <c r="I434" s="20" t="str">
        <f>VLOOKUP(U434,'[1]KODE TYPE standar'!$D:$U,16,0)</f>
        <v>INNOVA</v>
      </c>
      <c r="J434" s="20" t="str">
        <f>VLOOKUP(U434,'[1]KODE TYPE standar'!$D:$U,18,0)</f>
        <v>INNOVA G A/T DIESEL</v>
      </c>
      <c r="K434" s="27" t="s">
        <v>119</v>
      </c>
      <c r="L434" s="27" t="s">
        <v>110</v>
      </c>
      <c r="M434" s="27" t="s">
        <v>262</v>
      </c>
      <c r="N434" s="27" t="s">
        <v>141</v>
      </c>
      <c r="O434" s="28" t="s">
        <v>156</v>
      </c>
      <c r="P434" s="29" t="s">
        <v>151</v>
      </c>
      <c r="Q434" s="29" t="s">
        <v>162</v>
      </c>
      <c r="R434" s="29" t="s">
        <v>145</v>
      </c>
      <c r="S434" s="27" t="s">
        <v>978</v>
      </c>
      <c r="T434" s="27" t="s">
        <v>541</v>
      </c>
      <c r="U434" s="27" t="s">
        <v>192</v>
      </c>
      <c r="V434" s="27" t="s">
        <v>283</v>
      </c>
      <c r="W434" s="27" t="s">
        <v>284</v>
      </c>
      <c r="X434" s="27" t="s">
        <v>5640</v>
      </c>
      <c r="Y434" s="27" t="s">
        <v>5641</v>
      </c>
      <c r="Z434" s="27" t="s">
        <v>977</v>
      </c>
      <c r="AA434" s="27" t="s">
        <v>978</v>
      </c>
      <c r="AB434" s="27" t="s">
        <v>541</v>
      </c>
      <c r="AC434" s="27" t="s">
        <v>5642</v>
      </c>
      <c r="AD434" s="27" t="s">
        <v>5643</v>
      </c>
      <c r="AE434" s="27" t="s">
        <v>110</v>
      </c>
      <c r="AF434" s="27" t="s">
        <v>5643</v>
      </c>
      <c r="AG434" s="27" t="s">
        <v>5644</v>
      </c>
      <c r="AH434" s="27" t="s">
        <v>1202</v>
      </c>
      <c r="AI434" s="27" t="s">
        <v>141</v>
      </c>
      <c r="AJ434" s="27" t="s">
        <v>262</v>
      </c>
      <c r="AK434" s="27" t="s">
        <v>89</v>
      </c>
      <c r="AL434" s="27"/>
      <c r="AM434" s="34">
        <v>442700000</v>
      </c>
      <c r="AN434" s="34">
        <v>343091518</v>
      </c>
      <c r="AO434" s="34">
        <v>58437500</v>
      </c>
      <c r="AP434" s="34">
        <v>38920982</v>
      </c>
      <c r="AQ434" s="34">
        <v>0</v>
      </c>
      <c r="AR434" s="34">
        <v>0</v>
      </c>
      <c r="AS434" s="34">
        <v>18750000</v>
      </c>
      <c r="AT434" s="34">
        <v>421700000</v>
      </c>
      <c r="AU434" s="34">
        <v>2762400</v>
      </c>
      <c r="AV434" s="34">
        <v>-21000000</v>
      </c>
      <c r="AW434" s="27" t="s">
        <v>471</v>
      </c>
      <c r="AX434" s="27" t="s">
        <v>471</v>
      </c>
      <c r="AY434" s="27" t="s">
        <v>83</v>
      </c>
      <c r="AZ434" s="27">
        <v>1</v>
      </c>
      <c r="BA434" s="27"/>
      <c r="BB434" s="27" t="s">
        <v>434</v>
      </c>
      <c r="BC434" s="27" t="s">
        <v>5645</v>
      </c>
      <c r="BD434" s="27" t="s">
        <v>443</v>
      </c>
      <c r="BE434" s="27" t="s">
        <v>443</v>
      </c>
      <c r="BF434" s="27" t="s">
        <v>5646</v>
      </c>
      <c r="BG434" s="27" t="s">
        <v>5647</v>
      </c>
      <c r="BH434" s="27" t="s">
        <v>440</v>
      </c>
      <c r="BI434" s="27" t="s">
        <v>458</v>
      </c>
      <c r="BJ434" s="27" t="s">
        <v>5476</v>
      </c>
      <c r="BK434" s="27" t="s">
        <v>408</v>
      </c>
      <c r="BL434" s="27" t="s">
        <v>5648</v>
      </c>
      <c r="BM434" s="38">
        <v>0</v>
      </c>
    </row>
    <row r="435" spans="1:65" x14ac:dyDescent="0.2">
      <c r="A435" s="37">
        <v>1952</v>
      </c>
      <c r="B435" s="27">
        <v>146</v>
      </c>
      <c r="C435" s="27" t="s">
        <v>503</v>
      </c>
      <c r="D435" s="27" t="s">
        <v>5649</v>
      </c>
      <c r="E435" s="27" t="s">
        <v>467</v>
      </c>
      <c r="F435" s="27" t="s">
        <v>462</v>
      </c>
      <c r="G435" s="28">
        <v>2026</v>
      </c>
      <c r="H435" s="20" t="str">
        <f>VLOOKUP(U435,'[1]KODE TYPE standar'!$D:$U,17,0)</f>
        <v>VELOZ</v>
      </c>
      <c r="I435" s="20" t="str">
        <f>VLOOKUP(U435,'[1]KODE TYPE standar'!$D:$U,16,0)</f>
        <v>VELOZ</v>
      </c>
      <c r="J435" s="20" t="str">
        <f>VLOOKUP(U435,'[1]KODE TYPE standar'!$D:$U,18,0)</f>
        <v>VELOZ Q AT HYBRID</v>
      </c>
      <c r="K435" s="27" t="s">
        <v>119</v>
      </c>
      <c r="L435" s="27" t="s">
        <v>110</v>
      </c>
      <c r="M435" s="27" t="s">
        <v>262</v>
      </c>
      <c r="N435" s="27" t="s">
        <v>141</v>
      </c>
      <c r="O435" s="28" t="s">
        <v>156</v>
      </c>
      <c r="P435" s="29" t="s">
        <v>149</v>
      </c>
      <c r="Q435" s="29" t="s">
        <v>161</v>
      </c>
      <c r="R435" s="29" t="s">
        <v>318</v>
      </c>
      <c r="S435" s="27" t="s">
        <v>508</v>
      </c>
      <c r="T435" s="27" t="s">
        <v>509</v>
      </c>
      <c r="U435" s="27" t="s">
        <v>338</v>
      </c>
      <c r="V435" s="27" t="s">
        <v>64</v>
      </c>
      <c r="W435" s="27" t="s">
        <v>65</v>
      </c>
      <c r="X435" s="27" t="s">
        <v>5650</v>
      </c>
      <c r="Y435" s="27" t="s">
        <v>5651</v>
      </c>
      <c r="Z435" s="27" t="s">
        <v>507</v>
      </c>
      <c r="AA435" s="27" t="s">
        <v>508</v>
      </c>
      <c r="AB435" s="27" t="s">
        <v>509</v>
      </c>
      <c r="AC435" s="27" t="s">
        <v>5652</v>
      </c>
      <c r="AD435" s="27" t="s">
        <v>5653</v>
      </c>
      <c r="AE435" s="27" t="s">
        <v>110</v>
      </c>
      <c r="AF435" s="27" t="s">
        <v>5653</v>
      </c>
      <c r="AG435" s="27" t="s">
        <v>5654</v>
      </c>
      <c r="AH435" s="27" t="s">
        <v>1022</v>
      </c>
      <c r="AI435" s="27" t="s">
        <v>141</v>
      </c>
      <c r="AJ435" s="27" t="s">
        <v>262</v>
      </c>
      <c r="AK435" s="27" t="s">
        <v>89</v>
      </c>
      <c r="AL435" s="27"/>
      <c r="AM435" s="34">
        <v>350000000</v>
      </c>
      <c r="AN435" s="34">
        <v>270669643</v>
      </c>
      <c r="AO435" s="34">
        <v>46850000</v>
      </c>
      <c r="AP435" s="34">
        <v>32480357</v>
      </c>
      <c r="AQ435" s="34">
        <v>0</v>
      </c>
      <c r="AR435" s="34">
        <v>0</v>
      </c>
      <c r="AS435" s="34">
        <v>0</v>
      </c>
      <c r="AT435" s="34">
        <v>350000000</v>
      </c>
      <c r="AU435" s="34">
        <v>0</v>
      </c>
      <c r="AV435" s="34">
        <v>0</v>
      </c>
      <c r="AW435" s="27" t="s">
        <v>422</v>
      </c>
      <c r="AX435" s="27" t="s">
        <v>422</v>
      </c>
      <c r="AY435" s="27" t="s">
        <v>83</v>
      </c>
      <c r="AZ435" s="27">
        <v>1</v>
      </c>
      <c r="BA435" s="27" t="s">
        <v>163</v>
      </c>
      <c r="BB435" s="27" t="s">
        <v>434</v>
      </c>
      <c r="BC435" s="27" t="s">
        <v>5655</v>
      </c>
      <c r="BD435" s="27" t="s">
        <v>434</v>
      </c>
      <c r="BE435" s="27" t="s">
        <v>434</v>
      </c>
      <c r="BF435" s="27" t="s">
        <v>5656</v>
      </c>
      <c r="BG435" s="27" t="s">
        <v>5657</v>
      </c>
      <c r="BH435" s="27" t="s">
        <v>467</v>
      </c>
      <c r="BI435" s="27" t="s">
        <v>452</v>
      </c>
      <c r="BJ435" s="27" t="s">
        <v>5658</v>
      </c>
      <c r="BK435" s="27" t="s">
        <v>434</v>
      </c>
      <c r="BL435" s="27" t="s">
        <v>5659</v>
      </c>
      <c r="BM435" s="38">
        <v>0</v>
      </c>
    </row>
    <row r="436" spans="1:65" x14ac:dyDescent="0.2">
      <c r="A436" s="37">
        <v>1975</v>
      </c>
      <c r="B436" s="27">
        <v>146</v>
      </c>
      <c r="C436" s="27" t="s">
        <v>503</v>
      </c>
      <c r="D436" s="27" t="s">
        <v>5660</v>
      </c>
      <c r="E436" s="27" t="s">
        <v>443</v>
      </c>
      <c r="F436" s="27" t="s">
        <v>462</v>
      </c>
      <c r="G436" s="28">
        <v>2026</v>
      </c>
      <c r="H436" s="20" t="str">
        <f>VLOOKUP(U436,'[1]KODE TYPE standar'!$D:$U,17,0)</f>
        <v>CALYA</v>
      </c>
      <c r="I436" s="20" t="str">
        <f>VLOOKUP(U436,'[1]KODE TYPE standar'!$D:$U,16,0)</f>
        <v>CALYA</v>
      </c>
      <c r="J436" s="20" t="str">
        <f>VLOOKUP(U436,'[1]KODE TYPE standar'!$D:$U,18,0)</f>
        <v>CALYA G A/T</v>
      </c>
      <c r="K436" s="27" t="s">
        <v>119</v>
      </c>
      <c r="L436" s="27" t="s">
        <v>110</v>
      </c>
      <c r="M436" s="27" t="s">
        <v>262</v>
      </c>
      <c r="N436" s="27" t="s">
        <v>139</v>
      </c>
      <c r="O436" s="28" t="s">
        <v>156</v>
      </c>
      <c r="P436" s="29" t="s">
        <v>149</v>
      </c>
      <c r="Q436" s="29" t="s">
        <v>161</v>
      </c>
      <c r="R436" s="29" t="s">
        <v>145</v>
      </c>
      <c r="S436" s="27" t="s">
        <v>709</v>
      </c>
      <c r="T436" s="27" t="s">
        <v>585</v>
      </c>
      <c r="U436" s="27" t="s">
        <v>88</v>
      </c>
      <c r="V436" s="27" t="s">
        <v>77</v>
      </c>
      <c r="W436" s="27" t="s">
        <v>78</v>
      </c>
      <c r="X436" s="27" t="s">
        <v>5661</v>
      </c>
      <c r="Y436" s="27" t="s">
        <v>5662</v>
      </c>
      <c r="Z436" s="27" t="s">
        <v>708</v>
      </c>
      <c r="AA436" s="27" t="s">
        <v>709</v>
      </c>
      <c r="AB436" s="27" t="s">
        <v>585</v>
      </c>
      <c r="AC436" s="27" t="s">
        <v>5663</v>
      </c>
      <c r="AD436" s="27" t="s">
        <v>5664</v>
      </c>
      <c r="AE436" s="27" t="s">
        <v>110</v>
      </c>
      <c r="AF436" s="27" t="s">
        <v>5664</v>
      </c>
      <c r="AG436" s="27" t="s">
        <v>5665</v>
      </c>
      <c r="AH436" s="27" t="s">
        <v>913</v>
      </c>
      <c r="AI436" s="27" t="s">
        <v>139</v>
      </c>
      <c r="AJ436" s="27" t="s">
        <v>262</v>
      </c>
      <c r="AK436" s="27" t="s">
        <v>89</v>
      </c>
      <c r="AL436" s="27"/>
      <c r="AM436" s="34">
        <v>196800000</v>
      </c>
      <c r="AN436" s="34">
        <v>150982143</v>
      </c>
      <c r="AO436" s="34">
        <v>27700000</v>
      </c>
      <c r="AP436" s="34">
        <v>17046428</v>
      </c>
      <c r="AQ436" s="34">
        <v>0</v>
      </c>
      <c r="AR436" s="34">
        <v>0</v>
      </c>
      <c r="AS436" s="34">
        <v>8928571</v>
      </c>
      <c r="AT436" s="34">
        <v>186800000</v>
      </c>
      <c r="AU436" s="34">
        <v>0</v>
      </c>
      <c r="AV436" s="34">
        <v>-10000000</v>
      </c>
      <c r="AW436" s="27" t="s">
        <v>427</v>
      </c>
      <c r="AX436" s="27" t="s">
        <v>427</v>
      </c>
      <c r="AY436" s="27" t="s">
        <v>83</v>
      </c>
      <c r="AZ436" s="27">
        <v>1</v>
      </c>
      <c r="BA436" s="27" t="s">
        <v>163</v>
      </c>
      <c r="BB436" s="27" t="s">
        <v>413</v>
      </c>
      <c r="BC436" s="27" t="s">
        <v>5666</v>
      </c>
      <c r="BD436" s="27" t="s">
        <v>412</v>
      </c>
      <c r="BE436" s="27" t="s">
        <v>412</v>
      </c>
      <c r="BF436" s="27" t="s">
        <v>5667</v>
      </c>
      <c r="BG436" s="27" t="s">
        <v>5668</v>
      </c>
      <c r="BH436" s="27" t="s">
        <v>443</v>
      </c>
      <c r="BI436" s="27" t="s">
        <v>463</v>
      </c>
      <c r="BJ436" s="27" t="s">
        <v>500</v>
      </c>
      <c r="BK436" s="27" t="s">
        <v>431</v>
      </c>
      <c r="BL436" s="27" t="s">
        <v>5377</v>
      </c>
      <c r="BM436" s="38">
        <v>0</v>
      </c>
    </row>
    <row r="437" spans="1:65" x14ac:dyDescent="0.2">
      <c r="A437" s="37">
        <v>1991</v>
      </c>
      <c r="B437" s="27">
        <v>146</v>
      </c>
      <c r="C437" s="27" t="s">
        <v>503</v>
      </c>
      <c r="D437" s="27" t="s">
        <v>5669</v>
      </c>
      <c r="E437" s="27" t="s">
        <v>452</v>
      </c>
      <c r="F437" s="27" t="s">
        <v>462</v>
      </c>
      <c r="G437" s="28">
        <v>2026</v>
      </c>
      <c r="H437" s="20" t="str">
        <f>VLOOKUP(U437,'[1]KODE TYPE standar'!$D:$U,17,0)</f>
        <v>HILUX</v>
      </c>
      <c r="I437" s="20" t="str">
        <f>VLOOKUP(U437,'[1]KODE TYPE standar'!$D:$U,16,0)</f>
        <v>HILUX</v>
      </c>
      <c r="J437" s="20" t="str">
        <f>VLOOKUP(U437,'[1]KODE TYPE standar'!$D:$U,18,0)</f>
        <v>RANGGA-HILUX PU DIESEL M/T</v>
      </c>
      <c r="K437" s="27" t="s">
        <v>119</v>
      </c>
      <c r="L437" s="27" t="s">
        <v>110</v>
      </c>
      <c r="M437" s="27" t="s">
        <v>262</v>
      </c>
      <c r="N437" s="27" t="s">
        <v>55</v>
      </c>
      <c r="O437" s="28" t="s">
        <v>6581</v>
      </c>
      <c r="P437" s="29" t="s">
        <v>149</v>
      </c>
      <c r="Q437" s="29" t="s">
        <v>161</v>
      </c>
      <c r="R437" s="29" t="s">
        <v>145</v>
      </c>
      <c r="S437" s="27" t="s">
        <v>892</v>
      </c>
      <c r="T437" s="27" t="s">
        <v>541</v>
      </c>
      <c r="U437" s="27" t="s">
        <v>457</v>
      </c>
      <c r="V437" s="27" t="s">
        <v>99</v>
      </c>
      <c r="W437" s="27" t="s">
        <v>61</v>
      </c>
      <c r="X437" s="27" t="s">
        <v>5670</v>
      </c>
      <c r="Y437" s="27" t="s">
        <v>5671</v>
      </c>
      <c r="Z437" s="27" t="s">
        <v>891</v>
      </c>
      <c r="AA437" s="27" t="s">
        <v>892</v>
      </c>
      <c r="AB437" s="27" t="s">
        <v>541</v>
      </c>
      <c r="AC437" s="27" t="s">
        <v>5672</v>
      </c>
      <c r="AD437" s="27" t="s">
        <v>5673</v>
      </c>
      <c r="AE437" s="27" t="s">
        <v>110</v>
      </c>
      <c r="AF437" s="27" t="s">
        <v>5673</v>
      </c>
      <c r="AG437" s="27" t="s">
        <v>5674</v>
      </c>
      <c r="AH437" s="27" t="s">
        <v>5675</v>
      </c>
      <c r="AI437" s="27" t="s">
        <v>55</v>
      </c>
      <c r="AJ437" s="27" t="s">
        <v>262</v>
      </c>
      <c r="AK437" s="27" t="s">
        <v>89</v>
      </c>
      <c r="AL437" s="27"/>
      <c r="AM437" s="34">
        <v>259700000</v>
      </c>
      <c r="AN437" s="34">
        <v>199457207</v>
      </c>
      <c r="AO437" s="34">
        <v>38302500</v>
      </c>
      <c r="AP437" s="34">
        <v>19958310</v>
      </c>
      <c r="AQ437" s="34">
        <v>0</v>
      </c>
      <c r="AR437" s="34">
        <v>0</v>
      </c>
      <c r="AS437" s="34">
        <v>18018018</v>
      </c>
      <c r="AT437" s="34">
        <v>239700000</v>
      </c>
      <c r="AU437" s="34">
        <v>0</v>
      </c>
      <c r="AV437" s="34">
        <v>-20000000</v>
      </c>
      <c r="AW437" s="27" t="s">
        <v>455</v>
      </c>
      <c r="AX437" s="27" t="s">
        <v>455</v>
      </c>
      <c r="AY437" s="27" t="s">
        <v>83</v>
      </c>
      <c r="AZ437" s="27">
        <v>1</v>
      </c>
      <c r="BA437" s="27" t="s">
        <v>163</v>
      </c>
      <c r="BB437" s="27" t="s">
        <v>463</v>
      </c>
      <c r="BC437" s="27" t="s">
        <v>5676</v>
      </c>
      <c r="BD437" s="27" t="s">
        <v>478</v>
      </c>
      <c r="BE437" s="27" t="s">
        <v>478</v>
      </c>
      <c r="BF437" s="27" t="s">
        <v>5677</v>
      </c>
      <c r="BG437" s="27" t="s">
        <v>5678</v>
      </c>
      <c r="BH437" s="27" t="s">
        <v>452</v>
      </c>
      <c r="BI437" s="27" t="s">
        <v>465</v>
      </c>
      <c r="BJ437" s="27" t="s">
        <v>5679</v>
      </c>
      <c r="BK437" s="27" t="s">
        <v>244</v>
      </c>
      <c r="BL437" s="27" t="s">
        <v>5680</v>
      </c>
      <c r="BM437" s="38">
        <v>0</v>
      </c>
    </row>
    <row r="438" spans="1:65" x14ac:dyDescent="0.2">
      <c r="A438" s="37">
        <v>3</v>
      </c>
      <c r="B438" s="27">
        <v>146</v>
      </c>
      <c r="C438" s="27" t="s">
        <v>503</v>
      </c>
      <c r="D438" s="27" t="s">
        <v>5681</v>
      </c>
      <c r="E438" s="27" t="s">
        <v>480</v>
      </c>
      <c r="F438" s="27" t="s">
        <v>5682</v>
      </c>
      <c r="G438" s="28">
        <v>2026</v>
      </c>
      <c r="H438" s="20" t="str">
        <f>VLOOKUP(U438,'[1]KODE TYPE standar'!$D:$U,17,0)</f>
        <v>CALYA</v>
      </c>
      <c r="I438" s="20" t="str">
        <f>VLOOKUP(U438,'[1]KODE TYPE standar'!$D:$U,16,0)</f>
        <v>CALYA</v>
      </c>
      <c r="J438" s="20" t="str">
        <f>VLOOKUP(U438,'[1]KODE TYPE standar'!$D:$U,18,0)</f>
        <v>CALYA G M/T</v>
      </c>
      <c r="K438" s="27" t="s">
        <v>118</v>
      </c>
      <c r="L438" s="27" t="s">
        <v>110</v>
      </c>
      <c r="M438" s="27" t="s">
        <v>262</v>
      </c>
      <c r="N438" s="27" t="s">
        <v>140</v>
      </c>
      <c r="O438" s="28" t="s">
        <v>156</v>
      </c>
      <c r="P438" s="29" t="s">
        <v>149</v>
      </c>
      <c r="Q438" s="29" t="s">
        <v>161</v>
      </c>
      <c r="R438" s="29" t="s">
        <v>597</v>
      </c>
      <c r="S438" s="27" t="s">
        <v>540</v>
      </c>
      <c r="T438" s="27" t="s">
        <v>541</v>
      </c>
      <c r="U438" s="27" t="s">
        <v>268</v>
      </c>
      <c r="V438" s="27" t="s">
        <v>77</v>
      </c>
      <c r="W438" s="27" t="s">
        <v>78</v>
      </c>
      <c r="X438" s="27" t="s">
        <v>5683</v>
      </c>
      <c r="Y438" s="27" t="s">
        <v>5684</v>
      </c>
      <c r="Z438" s="27" t="s">
        <v>539</v>
      </c>
      <c r="AA438" s="27" t="s">
        <v>540</v>
      </c>
      <c r="AB438" s="27" t="s">
        <v>541</v>
      </c>
      <c r="AC438" s="27" t="s">
        <v>5685</v>
      </c>
      <c r="AD438" s="27" t="s">
        <v>5686</v>
      </c>
      <c r="AE438" s="27" t="s">
        <v>110</v>
      </c>
      <c r="AF438" s="27" t="s">
        <v>5686</v>
      </c>
      <c r="AG438" s="27" t="s">
        <v>5687</v>
      </c>
      <c r="AH438" s="27" t="s">
        <v>1745</v>
      </c>
      <c r="AI438" s="27" t="s">
        <v>140</v>
      </c>
      <c r="AJ438" s="27" t="s">
        <v>262</v>
      </c>
      <c r="AK438" s="27" t="s">
        <v>63</v>
      </c>
      <c r="AL438" s="27" t="s">
        <v>5688</v>
      </c>
      <c r="AM438" s="34">
        <v>182700000</v>
      </c>
      <c r="AN438" s="34">
        <v>139966518</v>
      </c>
      <c r="AO438" s="34">
        <v>25937500</v>
      </c>
      <c r="AP438" s="34">
        <v>15724553</v>
      </c>
      <c r="AQ438" s="34">
        <v>0</v>
      </c>
      <c r="AR438" s="34">
        <v>0</v>
      </c>
      <c r="AS438" s="34">
        <v>8928571</v>
      </c>
      <c r="AT438" s="34">
        <v>172700000</v>
      </c>
      <c r="AU438" s="34">
        <v>0</v>
      </c>
      <c r="AV438" s="34">
        <v>-10000000</v>
      </c>
      <c r="AW438" s="27" t="s">
        <v>479</v>
      </c>
      <c r="AX438" s="27" t="s">
        <v>479</v>
      </c>
      <c r="AY438" s="27" t="s">
        <v>83</v>
      </c>
      <c r="AZ438" s="27">
        <v>1</v>
      </c>
      <c r="BA438" s="27"/>
      <c r="BB438" s="27" t="s">
        <v>458</v>
      </c>
      <c r="BC438" s="27" t="s">
        <v>5689</v>
      </c>
      <c r="BD438" s="27" t="s">
        <v>458</v>
      </c>
      <c r="BE438" s="27" t="s">
        <v>458</v>
      </c>
      <c r="BF438" s="27" t="s">
        <v>5690</v>
      </c>
      <c r="BG438" s="27" t="s">
        <v>5691</v>
      </c>
      <c r="BH438" s="27" t="s">
        <v>480</v>
      </c>
      <c r="BI438" s="27" t="s">
        <v>5692</v>
      </c>
      <c r="BJ438" s="27" t="s">
        <v>5693</v>
      </c>
      <c r="BK438" s="27" t="s">
        <v>473</v>
      </c>
      <c r="BL438" s="27" t="s">
        <v>5694</v>
      </c>
      <c r="BM438" s="38">
        <v>0</v>
      </c>
    </row>
    <row r="439" spans="1:65" x14ac:dyDescent="0.2">
      <c r="A439" s="37">
        <v>25</v>
      </c>
      <c r="B439" s="27">
        <v>146</v>
      </c>
      <c r="C439" s="27" t="s">
        <v>503</v>
      </c>
      <c r="D439" s="27" t="s">
        <v>5695</v>
      </c>
      <c r="E439" s="27" t="s">
        <v>495</v>
      </c>
      <c r="F439" s="27" t="s">
        <v>5682</v>
      </c>
      <c r="G439" s="28">
        <v>2026</v>
      </c>
      <c r="H439" s="20" t="str">
        <f>VLOOKUP(U439,'[1]KODE TYPE standar'!$D:$U,17,0)</f>
        <v>INV REBORN</v>
      </c>
      <c r="I439" s="20" t="str">
        <f>VLOOKUP(U439,'[1]KODE TYPE standar'!$D:$U,16,0)</f>
        <v>INNOVA</v>
      </c>
      <c r="J439" s="20" t="str">
        <f>VLOOKUP(U439,'[1]KODE TYPE standar'!$D:$U,18,0)</f>
        <v>INNOVA G A/T DIESEL</v>
      </c>
      <c r="K439" s="27" t="s">
        <v>121</v>
      </c>
      <c r="L439" s="27" t="s">
        <v>110</v>
      </c>
      <c r="M439" s="27" t="s">
        <v>262</v>
      </c>
      <c r="N439" s="27" t="s">
        <v>141</v>
      </c>
      <c r="O439" s="28" t="s">
        <v>156</v>
      </c>
      <c r="P439" s="29" t="s">
        <v>150</v>
      </c>
      <c r="Q439" s="29" t="s">
        <v>161</v>
      </c>
      <c r="R439" s="29" t="s">
        <v>1264</v>
      </c>
      <c r="S439" s="27" t="s">
        <v>631</v>
      </c>
      <c r="T439" s="27" t="s">
        <v>509</v>
      </c>
      <c r="U439" s="27" t="s">
        <v>192</v>
      </c>
      <c r="V439" s="27" t="s">
        <v>283</v>
      </c>
      <c r="W439" s="27" t="s">
        <v>284</v>
      </c>
      <c r="X439" s="27" t="s">
        <v>5696</v>
      </c>
      <c r="Y439" s="27" t="s">
        <v>5697</v>
      </c>
      <c r="Z439" s="27" t="s">
        <v>630</v>
      </c>
      <c r="AA439" s="27" t="s">
        <v>631</v>
      </c>
      <c r="AB439" s="27" t="s">
        <v>509</v>
      </c>
      <c r="AC439" s="27" t="s">
        <v>5698</v>
      </c>
      <c r="AD439" s="27" t="s">
        <v>5699</v>
      </c>
      <c r="AE439" s="27" t="s">
        <v>110</v>
      </c>
      <c r="AF439" s="27" t="s">
        <v>5700</v>
      </c>
      <c r="AG439" s="27" t="s">
        <v>5701</v>
      </c>
      <c r="AH439" s="27" t="s">
        <v>688</v>
      </c>
      <c r="AI439" s="27" t="s">
        <v>141</v>
      </c>
      <c r="AJ439" s="27" t="s">
        <v>262</v>
      </c>
      <c r="AK439" s="27" t="s">
        <v>104</v>
      </c>
      <c r="AL439" s="27"/>
      <c r="AM439" s="34">
        <v>442700000</v>
      </c>
      <c r="AN439" s="34">
        <v>343091518</v>
      </c>
      <c r="AO439" s="34">
        <v>58437500</v>
      </c>
      <c r="AP439" s="34">
        <v>37635267</v>
      </c>
      <c r="AQ439" s="34">
        <v>0</v>
      </c>
      <c r="AR439" s="34">
        <v>0</v>
      </c>
      <c r="AS439" s="34">
        <v>29464286</v>
      </c>
      <c r="AT439" s="34">
        <v>409700000</v>
      </c>
      <c r="AU439" s="34">
        <v>2000000</v>
      </c>
      <c r="AV439" s="34">
        <v>-33000000</v>
      </c>
      <c r="AW439" s="27"/>
      <c r="AX439" s="27"/>
      <c r="AY439" s="27" t="s">
        <v>83</v>
      </c>
      <c r="AZ439" s="27">
        <v>1</v>
      </c>
      <c r="BA439" s="27"/>
      <c r="BB439" s="27" t="s">
        <v>484</v>
      </c>
      <c r="BC439" s="27" t="s">
        <v>5702</v>
      </c>
      <c r="BD439" s="27" t="s">
        <v>484</v>
      </c>
      <c r="BE439" s="27" t="s">
        <v>484</v>
      </c>
      <c r="BF439" s="27" t="s">
        <v>5703</v>
      </c>
      <c r="BG439" s="27" t="s">
        <v>5704</v>
      </c>
      <c r="BH439" s="27"/>
      <c r="BI439" s="27" t="s">
        <v>497</v>
      </c>
      <c r="BJ439" s="27" t="s">
        <v>5705</v>
      </c>
      <c r="BK439" s="27" t="s">
        <v>468</v>
      </c>
      <c r="BL439" s="27" t="s">
        <v>5706</v>
      </c>
      <c r="BM439" s="38">
        <v>0</v>
      </c>
    </row>
    <row r="440" spans="1:65" x14ac:dyDescent="0.2">
      <c r="A440" s="37">
        <v>32</v>
      </c>
      <c r="B440" s="27">
        <v>146</v>
      </c>
      <c r="C440" s="27" t="s">
        <v>503</v>
      </c>
      <c r="D440" s="27" t="s">
        <v>5707</v>
      </c>
      <c r="E440" s="27" t="s">
        <v>5708</v>
      </c>
      <c r="F440" s="27" t="s">
        <v>5682</v>
      </c>
      <c r="G440" s="28">
        <v>2026</v>
      </c>
      <c r="H440" s="20" t="str">
        <f>VLOOKUP(U440,'[1]KODE TYPE standar'!$D:$U,17,0)</f>
        <v>CALYA</v>
      </c>
      <c r="I440" s="20" t="str">
        <f>VLOOKUP(U440,'[1]KODE TYPE standar'!$D:$U,16,0)</f>
        <v>CALYA</v>
      </c>
      <c r="J440" s="20" t="str">
        <f>VLOOKUP(U440,'[1]KODE TYPE standar'!$D:$U,18,0)</f>
        <v>CALYA G M/T</v>
      </c>
      <c r="K440" s="27" t="s">
        <v>118</v>
      </c>
      <c r="L440" s="27" t="s">
        <v>110</v>
      </c>
      <c r="M440" s="27" t="s">
        <v>262</v>
      </c>
      <c r="N440" s="27" t="s">
        <v>141</v>
      </c>
      <c r="O440" s="28" t="s">
        <v>156</v>
      </c>
      <c r="P440" s="29" t="s">
        <v>151</v>
      </c>
      <c r="Q440" s="29" t="s">
        <v>161</v>
      </c>
      <c r="R440" s="29" t="s">
        <v>597</v>
      </c>
      <c r="S440" s="27" t="s">
        <v>908</v>
      </c>
      <c r="T440" s="27" t="s">
        <v>509</v>
      </c>
      <c r="U440" s="27" t="s">
        <v>268</v>
      </c>
      <c r="V440" s="27" t="s">
        <v>60</v>
      </c>
      <c r="W440" s="27" t="s">
        <v>61</v>
      </c>
      <c r="X440" s="27" t="s">
        <v>5709</v>
      </c>
      <c r="Y440" s="27" t="s">
        <v>5710</v>
      </c>
      <c r="Z440" s="27" t="s">
        <v>907</v>
      </c>
      <c r="AA440" s="27" t="s">
        <v>908</v>
      </c>
      <c r="AB440" s="27" t="s">
        <v>509</v>
      </c>
      <c r="AC440" s="27" t="s">
        <v>5711</v>
      </c>
      <c r="AD440" s="27" t="s">
        <v>5712</v>
      </c>
      <c r="AE440" s="27" t="s">
        <v>110</v>
      </c>
      <c r="AF440" s="27" t="s">
        <v>5712</v>
      </c>
      <c r="AG440" s="27" t="s">
        <v>5713</v>
      </c>
      <c r="AH440" s="27" t="s">
        <v>2449</v>
      </c>
      <c r="AI440" s="27" t="s">
        <v>141</v>
      </c>
      <c r="AJ440" s="27" t="s">
        <v>262</v>
      </c>
      <c r="AK440" s="27" t="s">
        <v>63</v>
      </c>
      <c r="AL440" s="27"/>
      <c r="AM440" s="34">
        <v>182700000</v>
      </c>
      <c r="AN440" s="34">
        <v>139966518</v>
      </c>
      <c r="AO440" s="34">
        <v>25937500</v>
      </c>
      <c r="AP440" s="34">
        <v>15349553</v>
      </c>
      <c r="AQ440" s="34">
        <v>0</v>
      </c>
      <c r="AR440" s="34">
        <v>0</v>
      </c>
      <c r="AS440" s="34">
        <v>12053571</v>
      </c>
      <c r="AT440" s="34">
        <v>169200000</v>
      </c>
      <c r="AU440" s="34">
        <v>4500000</v>
      </c>
      <c r="AV440" s="34">
        <v>-13500000</v>
      </c>
      <c r="AW440" s="27"/>
      <c r="AX440" s="27"/>
      <c r="AY440" s="27" t="s">
        <v>83</v>
      </c>
      <c r="AZ440" s="27">
        <v>1</v>
      </c>
      <c r="BA440" s="27"/>
      <c r="BB440" s="27" t="s">
        <v>5692</v>
      </c>
      <c r="BC440" s="27" t="s">
        <v>5714</v>
      </c>
      <c r="BD440" s="27" t="s">
        <v>5715</v>
      </c>
      <c r="BE440" s="27" t="s">
        <v>5715</v>
      </c>
      <c r="BF440" s="27" t="s">
        <v>5716</v>
      </c>
      <c r="BG440" s="27" t="s">
        <v>5717</v>
      </c>
      <c r="BH440" s="27"/>
      <c r="BI440" s="27" t="s">
        <v>5718</v>
      </c>
      <c r="BJ440" s="27" t="s">
        <v>5719</v>
      </c>
      <c r="BK440" s="27" t="s">
        <v>5720</v>
      </c>
      <c r="BL440" s="27" t="s">
        <v>5721</v>
      </c>
      <c r="BM440" s="38">
        <v>0</v>
      </c>
    </row>
    <row r="441" spans="1:65" x14ac:dyDescent="0.2">
      <c r="A441" s="37">
        <v>38</v>
      </c>
      <c r="B441" s="27">
        <v>146</v>
      </c>
      <c r="C441" s="27" t="s">
        <v>503</v>
      </c>
      <c r="D441" s="27" t="s">
        <v>5722</v>
      </c>
      <c r="E441" s="27" t="s">
        <v>460</v>
      </c>
      <c r="F441" s="27" t="s">
        <v>5682</v>
      </c>
      <c r="G441" s="28">
        <v>2026</v>
      </c>
      <c r="H441" s="20" t="str">
        <f>VLOOKUP(U441,'[1]KODE TYPE standar'!$D:$U,17,0)</f>
        <v>CALYA</v>
      </c>
      <c r="I441" s="20" t="str">
        <f>VLOOKUP(U441,'[1]KODE TYPE standar'!$D:$U,16,0)</f>
        <v>CALYA</v>
      </c>
      <c r="J441" s="20" t="str">
        <f>VLOOKUP(U441,'[1]KODE TYPE standar'!$D:$U,18,0)</f>
        <v>CALYA G M/T</v>
      </c>
      <c r="K441" s="27" t="s">
        <v>119</v>
      </c>
      <c r="L441" s="27" t="s">
        <v>110</v>
      </c>
      <c r="M441" s="27" t="s">
        <v>262</v>
      </c>
      <c r="N441" s="27" t="s">
        <v>140</v>
      </c>
      <c r="O441" s="28" t="s">
        <v>156</v>
      </c>
      <c r="P441" s="29" t="s">
        <v>151</v>
      </c>
      <c r="Q441" s="29" t="s">
        <v>161</v>
      </c>
      <c r="R441" s="29" t="s">
        <v>145</v>
      </c>
      <c r="S441" s="27" t="s">
        <v>5334</v>
      </c>
      <c r="T441" s="27" t="s">
        <v>585</v>
      </c>
      <c r="U441" s="27" t="s">
        <v>268</v>
      </c>
      <c r="V441" s="27" t="s">
        <v>77</v>
      </c>
      <c r="W441" s="27" t="s">
        <v>78</v>
      </c>
      <c r="X441" s="27" t="s">
        <v>5723</v>
      </c>
      <c r="Y441" s="27" t="s">
        <v>5724</v>
      </c>
      <c r="Z441" s="27" t="s">
        <v>5333</v>
      </c>
      <c r="AA441" s="27" t="s">
        <v>5334</v>
      </c>
      <c r="AB441" s="27" t="s">
        <v>585</v>
      </c>
      <c r="AC441" s="27" t="s">
        <v>5725</v>
      </c>
      <c r="AD441" s="27" t="s">
        <v>5726</v>
      </c>
      <c r="AE441" s="27" t="s">
        <v>110</v>
      </c>
      <c r="AF441" s="27" t="s">
        <v>5726</v>
      </c>
      <c r="AG441" s="27" t="s">
        <v>5727</v>
      </c>
      <c r="AH441" s="27" t="s">
        <v>844</v>
      </c>
      <c r="AI441" s="27" t="s">
        <v>140</v>
      </c>
      <c r="AJ441" s="27" t="s">
        <v>262</v>
      </c>
      <c r="AK441" s="27" t="s">
        <v>89</v>
      </c>
      <c r="AL441" s="27"/>
      <c r="AM441" s="34">
        <v>182700000</v>
      </c>
      <c r="AN441" s="34">
        <v>139966518</v>
      </c>
      <c r="AO441" s="34">
        <v>25937500</v>
      </c>
      <c r="AP441" s="34">
        <v>15724553</v>
      </c>
      <c r="AQ441" s="34">
        <v>0</v>
      </c>
      <c r="AR441" s="34">
        <v>0</v>
      </c>
      <c r="AS441" s="34">
        <v>8928571</v>
      </c>
      <c r="AT441" s="34">
        <v>172700000</v>
      </c>
      <c r="AU441" s="34">
        <v>0</v>
      </c>
      <c r="AV441" s="34">
        <v>-10000000</v>
      </c>
      <c r="AW441" s="27" t="s">
        <v>5692</v>
      </c>
      <c r="AX441" s="27" t="s">
        <v>5692</v>
      </c>
      <c r="AY441" s="27" t="s">
        <v>83</v>
      </c>
      <c r="AZ441" s="27">
        <v>1</v>
      </c>
      <c r="BA441" s="27" t="s">
        <v>163</v>
      </c>
      <c r="BB441" s="27" t="s">
        <v>456</v>
      </c>
      <c r="BC441" s="27" t="s">
        <v>5728</v>
      </c>
      <c r="BD441" s="27" t="s">
        <v>479</v>
      </c>
      <c r="BE441" s="27" t="s">
        <v>479</v>
      </c>
      <c r="BF441" s="27" t="s">
        <v>5729</v>
      </c>
      <c r="BG441" s="27" t="s">
        <v>5730</v>
      </c>
      <c r="BH441" s="27" t="s">
        <v>460</v>
      </c>
      <c r="BI441" s="27" t="s">
        <v>5720</v>
      </c>
      <c r="BJ441" s="27" t="s">
        <v>5731</v>
      </c>
      <c r="BK441" s="27" t="s">
        <v>470</v>
      </c>
      <c r="BL441" s="27" t="s">
        <v>5732</v>
      </c>
      <c r="BM441" s="38">
        <v>0</v>
      </c>
    </row>
    <row r="442" spans="1:65" x14ac:dyDescent="0.2">
      <c r="A442" s="37">
        <v>56</v>
      </c>
      <c r="B442" s="27">
        <v>146</v>
      </c>
      <c r="C442" s="27" t="s">
        <v>503</v>
      </c>
      <c r="D442" s="27" t="s">
        <v>5733</v>
      </c>
      <c r="E442" s="27" t="s">
        <v>488</v>
      </c>
      <c r="F442" s="27" t="s">
        <v>5682</v>
      </c>
      <c r="G442" s="28">
        <v>2026</v>
      </c>
      <c r="H442" s="20" t="str">
        <f>VLOOKUP(U442,'[1]KODE TYPE standar'!$D:$U,17,0)</f>
        <v>HILUX</v>
      </c>
      <c r="I442" s="20" t="str">
        <f>VLOOKUP(U442,'[1]KODE TYPE standar'!$D:$U,16,0)</f>
        <v>HILUX</v>
      </c>
      <c r="J442" s="20" t="str">
        <f>VLOOKUP(U442,'[1]KODE TYPE standar'!$D:$U,18,0)</f>
        <v>HILUX DC V A/T DIESEL</v>
      </c>
      <c r="K442" s="27" t="s">
        <v>121</v>
      </c>
      <c r="L442" s="27" t="s">
        <v>110</v>
      </c>
      <c r="M442" s="27" t="s">
        <v>262</v>
      </c>
      <c r="N442" s="27" t="s">
        <v>140</v>
      </c>
      <c r="O442" s="28" t="s">
        <v>156</v>
      </c>
      <c r="P442" s="29" t="s">
        <v>151</v>
      </c>
      <c r="Q442" s="29" t="s">
        <v>162</v>
      </c>
      <c r="R442" s="29" t="s">
        <v>318</v>
      </c>
      <c r="S442" s="27" t="s">
        <v>3907</v>
      </c>
      <c r="T442" s="27" t="s">
        <v>541</v>
      </c>
      <c r="U442" s="27" t="s">
        <v>5734</v>
      </c>
      <c r="V442" s="27" t="s">
        <v>48</v>
      </c>
      <c r="W442" s="27" t="s">
        <v>49</v>
      </c>
      <c r="X442" s="27" t="s">
        <v>5735</v>
      </c>
      <c r="Y442" s="27" t="s">
        <v>5736</v>
      </c>
      <c r="Z442" s="27" t="s">
        <v>3906</v>
      </c>
      <c r="AA442" s="27" t="s">
        <v>3907</v>
      </c>
      <c r="AB442" s="27" t="s">
        <v>541</v>
      </c>
      <c r="AC442" s="27" t="s">
        <v>5737</v>
      </c>
      <c r="AD442" s="27" t="s">
        <v>5738</v>
      </c>
      <c r="AE442" s="27" t="s">
        <v>110</v>
      </c>
      <c r="AF442" s="27" t="s">
        <v>5739</v>
      </c>
      <c r="AG442" s="27"/>
      <c r="AH442" s="27" t="s">
        <v>844</v>
      </c>
      <c r="AI442" s="27" t="s">
        <v>140</v>
      </c>
      <c r="AJ442" s="27" t="s">
        <v>262</v>
      </c>
      <c r="AK442" s="27" t="s">
        <v>104</v>
      </c>
      <c r="AL442" s="27"/>
      <c r="AM442" s="34">
        <v>575100000</v>
      </c>
      <c r="AN442" s="34">
        <v>444430804</v>
      </c>
      <c r="AO442" s="34">
        <v>77337500</v>
      </c>
      <c r="AP442" s="34">
        <v>51885267</v>
      </c>
      <c r="AQ442" s="34">
        <v>0</v>
      </c>
      <c r="AR442" s="34">
        <v>0</v>
      </c>
      <c r="AS442" s="34">
        <v>12053571</v>
      </c>
      <c r="AT442" s="34">
        <v>561600000</v>
      </c>
      <c r="AU442" s="34">
        <v>0</v>
      </c>
      <c r="AV442" s="34">
        <v>-13500000</v>
      </c>
      <c r="AW442" s="27" t="s">
        <v>5720</v>
      </c>
      <c r="AX442" s="27" t="s">
        <v>5720</v>
      </c>
      <c r="AY442" s="27" t="s">
        <v>83</v>
      </c>
      <c r="AZ442" s="27">
        <v>1</v>
      </c>
      <c r="BA442" s="27"/>
      <c r="BB442" s="27" t="s">
        <v>459</v>
      </c>
      <c r="BC442" s="27" t="s">
        <v>5740</v>
      </c>
      <c r="BD442" s="27" t="s">
        <v>5546</v>
      </c>
      <c r="BE442" s="27" t="s">
        <v>5546</v>
      </c>
      <c r="BF442" s="27" t="s">
        <v>5741</v>
      </c>
      <c r="BG442" s="27" t="s">
        <v>5742</v>
      </c>
      <c r="BH442" s="27" t="s">
        <v>488</v>
      </c>
      <c r="BI442" s="27" t="s">
        <v>5743</v>
      </c>
      <c r="BJ442" s="27" t="s">
        <v>5744</v>
      </c>
      <c r="BK442" s="27" t="s">
        <v>5745</v>
      </c>
      <c r="BL442" s="27" t="s">
        <v>5746</v>
      </c>
      <c r="BM442" s="38">
        <v>0</v>
      </c>
    </row>
    <row r="443" spans="1:65" x14ac:dyDescent="0.2">
      <c r="A443" s="37">
        <v>104</v>
      </c>
      <c r="B443" s="27">
        <v>146</v>
      </c>
      <c r="C443" s="27" t="s">
        <v>503</v>
      </c>
      <c r="D443" s="27" t="s">
        <v>5747</v>
      </c>
      <c r="E443" s="27" t="s">
        <v>5708</v>
      </c>
      <c r="F443" s="27" t="s">
        <v>5682</v>
      </c>
      <c r="G443" s="28">
        <v>2026</v>
      </c>
      <c r="H443" s="20" t="str">
        <f>VLOOKUP(U443,'[1]KODE TYPE standar'!$D:$U,17,0)</f>
        <v>RAIZE</v>
      </c>
      <c r="I443" s="20" t="str">
        <f>VLOOKUP(U443,'[1]KODE TYPE standar'!$D:$U,16,0)</f>
        <v>RAIZE</v>
      </c>
      <c r="J443" s="20" t="str">
        <f>VLOOKUP(U443,'[1]KODE TYPE standar'!$D:$U,18,0)</f>
        <v>RAIZE G A/T</v>
      </c>
      <c r="K443" s="27" t="s">
        <v>121</v>
      </c>
      <c r="L443" s="27" t="s">
        <v>110</v>
      </c>
      <c r="M443" s="27" t="s">
        <v>262</v>
      </c>
      <c r="N443" s="27" t="s">
        <v>141</v>
      </c>
      <c r="O443" s="28" t="s">
        <v>156</v>
      </c>
      <c r="P443" s="29" t="s">
        <v>151</v>
      </c>
      <c r="Q443" s="29" t="s">
        <v>161</v>
      </c>
      <c r="R443" s="29" t="s">
        <v>1016</v>
      </c>
      <c r="S443" s="27" t="s">
        <v>1476</v>
      </c>
      <c r="T443" s="27" t="s">
        <v>541</v>
      </c>
      <c r="U443" s="27" t="s">
        <v>239</v>
      </c>
      <c r="V443" s="27" t="s">
        <v>68</v>
      </c>
      <c r="W443" s="27" t="s">
        <v>69</v>
      </c>
      <c r="X443" s="27" t="s">
        <v>5748</v>
      </c>
      <c r="Y443" s="27" t="s">
        <v>5749</v>
      </c>
      <c r="Z443" s="27" t="s">
        <v>1475</v>
      </c>
      <c r="AA443" s="27" t="s">
        <v>1476</v>
      </c>
      <c r="AB443" s="27" t="s">
        <v>541</v>
      </c>
      <c r="AC443" s="27" t="s">
        <v>5750</v>
      </c>
      <c r="AD443" s="27" t="s">
        <v>5751</v>
      </c>
      <c r="AE443" s="27" t="s">
        <v>110</v>
      </c>
      <c r="AF443" s="27" t="s">
        <v>5751</v>
      </c>
      <c r="AG443" s="27" t="s">
        <v>5752</v>
      </c>
      <c r="AH443" s="27" t="s">
        <v>1349</v>
      </c>
      <c r="AI443" s="27" t="s">
        <v>141</v>
      </c>
      <c r="AJ443" s="27" t="s">
        <v>262</v>
      </c>
      <c r="AK443" s="27" t="s">
        <v>104</v>
      </c>
      <c r="AL443" s="27"/>
      <c r="AM443" s="34">
        <v>262100000</v>
      </c>
      <c r="AN443" s="34">
        <v>201997768</v>
      </c>
      <c r="AO443" s="34">
        <v>35862500</v>
      </c>
      <c r="AP443" s="34">
        <v>21775446</v>
      </c>
      <c r="AQ443" s="34">
        <v>0</v>
      </c>
      <c r="AR443" s="34">
        <v>0</v>
      </c>
      <c r="AS443" s="34">
        <v>20535714</v>
      </c>
      <c r="AT443" s="34">
        <v>239100000</v>
      </c>
      <c r="AU443" s="34">
        <v>25800000</v>
      </c>
      <c r="AV443" s="34">
        <v>-23000000</v>
      </c>
      <c r="AW443" s="27"/>
      <c r="AX443" s="27"/>
      <c r="AY443" s="27" t="s">
        <v>83</v>
      </c>
      <c r="AZ443" s="27">
        <v>1</v>
      </c>
      <c r="BA443" s="27"/>
      <c r="BB443" s="27" t="s">
        <v>5708</v>
      </c>
      <c r="BC443" s="27" t="s">
        <v>5753</v>
      </c>
      <c r="BD443" s="27" t="s">
        <v>5708</v>
      </c>
      <c r="BE443" s="27" t="s">
        <v>5708</v>
      </c>
      <c r="BF443" s="27" t="s">
        <v>5754</v>
      </c>
      <c r="BG443" s="27" t="s">
        <v>5755</v>
      </c>
      <c r="BH443" s="27"/>
      <c r="BI443" s="27" t="s">
        <v>5718</v>
      </c>
      <c r="BJ443" s="27" t="s">
        <v>5756</v>
      </c>
      <c r="BK443" s="27" t="s">
        <v>484</v>
      </c>
      <c r="BL443" s="27" t="s">
        <v>5757</v>
      </c>
      <c r="BM443" s="38">
        <v>0</v>
      </c>
    </row>
    <row r="444" spans="1:65" x14ac:dyDescent="0.2">
      <c r="A444" s="37">
        <v>118</v>
      </c>
      <c r="B444" s="27">
        <v>146</v>
      </c>
      <c r="C444" s="27" t="s">
        <v>503</v>
      </c>
      <c r="D444" s="27" t="s">
        <v>5758</v>
      </c>
      <c r="E444" s="27" t="s">
        <v>477</v>
      </c>
      <c r="F444" s="27" t="s">
        <v>5682</v>
      </c>
      <c r="G444" s="28">
        <v>2026</v>
      </c>
      <c r="H444" s="20" t="str">
        <f>VLOOKUP(U444,'[1]KODE TYPE standar'!$D:$U,17,0)</f>
        <v>RUSH</v>
      </c>
      <c r="I444" s="20" t="str">
        <f>VLOOKUP(U444,'[1]KODE TYPE standar'!$D:$U,16,0)</f>
        <v>RUSH</v>
      </c>
      <c r="J444" s="20" t="str">
        <f>VLOOKUP(U444,'[1]KODE TYPE standar'!$D:$U,18,0)</f>
        <v>RUSH S M/T</v>
      </c>
      <c r="K444" s="27" t="s">
        <v>118</v>
      </c>
      <c r="L444" s="27" t="s">
        <v>110</v>
      </c>
      <c r="M444" s="27" t="s">
        <v>262</v>
      </c>
      <c r="N444" s="27" t="s">
        <v>140</v>
      </c>
      <c r="O444" s="28" t="s">
        <v>156</v>
      </c>
      <c r="P444" s="29" t="s">
        <v>536</v>
      </c>
      <c r="Q444" s="29" t="s">
        <v>162</v>
      </c>
      <c r="R444" s="29" t="s">
        <v>145</v>
      </c>
      <c r="S444" s="27" t="s">
        <v>923</v>
      </c>
      <c r="T444" s="27" t="s">
        <v>541</v>
      </c>
      <c r="U444" s="27" t="s">
        <v>276</v>
      </c>
      <c r="V444" s="27" t="s">
        <v>64</v>
      </c>
      <c r="W444" s="27" t="s">
        <v>65</v>
      </c>
      <c r="X444" s="27" t="s">
        <v>5759</v>
      </c>
      <c r="Y444" s="27" t="s">
        <v>5760</v>
      </c>
      <c r="Z444" s="27" t="s">
        <v>922</v>
      </c>
      <c r="AA444" s="27" t="s">
        <v>923</v>
      </c>
      <c r="AB444" s="27" t="s">
        <v>541</v>
      </c>
      <c r="AC444" s="27" t="s">
        <v>5761</v>
      </c>
      <c r="AD444" s="27" t="s">
        <v>5762</v>
      </c>
      <c r="AE444" s="27" t="s">
        <v>110</v>
      </c>
      <c r="AF444" s="27" t="s">
        <v>5762</v>
      </c>
      <c r="AG444" s="27" t="s">
        <v>5529</v>
      </c>
      <c r="AH444" s="27" t="s">
        <v>881</v>
      </c>
      <c r="AI444" s="27" t="s">
        <v>140</v>
      </c>
      <c r="AJ444" s="27" t="s">
        <v>262</v>
      </c>
      <c r="AK444" s="27" t="s">
        <v>63</v>
      </c>
      <c r="AL444" s="27"/>
      <c r="AM444" s="34">
        <v>312500000</v>
      </c>
      <c r="AN444" s="34">
        <v>241372768</v>
      </c>
      <c r="AO444" s="34">
        <v>42162500</v>
      </c>
      <c r="AP444" s="34">
        <v>27357589</v>
      </c>
      <c r="AQ444" s="34">
        <v>0</v>
      </c>
      <c r="AR444" s="34">
        <v>0</v>
      </c>
      <c r="AS444" s="34">
        <v>13392857</v>
      </c>
      <c r="AT444" s="34">
        <v>297500000</v>
      </c>
      <c r="AU444" s="34">
        <v>0</v>
      </c>
      <c r="AV444" s="34">
        <v>-15000000</v>
      </c>
      <c r="AW444" s="27" t="s">
        <v>498</v>
      </c>
      <c r="AX444" s="27" t="s">
        <v>498</v>
      </c>
      <c r="AY444" s="27" t="s">
        <v>83</v>
      </c>
      <c r="AZ444" s="27">
        <v>1</v>
      </c>
      <c r="BA444" s="27"/>
      <c r="BB444" s="27" t="s">
        <v>5546</v>
      </c>
      <c r="BC444" s="27" t="s">
        <v>5763</v>
      </c>
      <c r="BD444" s="27" t="s">
        <v>5546</v>
      </c>
      <c r="BE444" s="27" t="s">
        <v>5546</v>
      </c>
      <c r="BF444" s="27" t="s">
        <v>5764</v>
      </c>
      <c r="BG444" s="27" t="s">
        <v>5765</v>
      </c>
      <c r="BH444" s="27" t="s">
        <v>477</v>
      </c>
      <c r="BI444" s="27" t="s">
        <v>495</v>
      </c>
      <c r="BJ444" s="27" t="s">
        <v>5766</v>
      </c>
      <c r="BK444" s="27" t="s">
        <v>456</v>
      </c>
      <c r="BL444" s="27" t="s">
        <v>5767</v>
      </c>
      <c r="BM444" s="38">
        <v>0</v>
      </c>
    </row>
    <row r="445" spans="1:65" x14ac:dyDescent="0.2">
      <c r="A445" s="37">
        <v>129</v>
      </c>
      <c r="B445" s="27">
        <v>146</v>
      </c>
      <c r="C445" s="27" t="s">
        <v>503</v>
      </c>
      <c r="D445" s="27" t="s">
        <v>5768</v>
      </c>
      <c r="E445" s="27" t="s">
        <v>465</v>
      </c>
      <c r="F445" s="27" t="s">
        <v>5682</v>
      </c>
      <c r="G445" s="28">
        <v>2026</v>
      </c>
      <c r="H445" s="20" t="str">
        <f>VLOOKUP(U445,'[1]KODE TYPE standar'!$D:$U,17,0)</f>
        <v>AVANZA</v>
      </c>
      <c r="I445" s="20" t="str">
        <f>VLOOKUP(U445,'[1]KODE TYPE standar'!$D:$U,16,0)</f>
        <v>AVANZA</v>
      </c>
      <c r="J445" s="20" t="str">
        <f>VLOOKUP(U445,'[1]KODE TYPE standar'!$D:$U,18,0)</f>
        <v>AVANZA E A/T</v>
      </c>
      <c r="K445" s="27" t="s">
        <v>118</v>
      </c>
      <c r="L445" s="27" t="s">
        <v>110</v>
      </c>
      <c r="M445" s="27" t="s">
        <v>262</v>
      </c>
      <c r="N445" s="27" t="s">
        <v>106</v>
      </c>
      <c r="O445" s="28" t="s">
        <v>156</v>
      </c>
      <c r="P445" s="29" t="s">
        <v>146</v>
      </c>
      <c r="Q445" s="29" t="s">
        <v>162</v>
      </c>
      <c r="R445" s="29" t="s">
        <v>597</v>
      </c>
      <c r="S445" s="27" t="s">
        <v>4753</v>
      </c>
      <c r="T445" s="27" t="s">
        <v>509</v>
      </c>
      <c r="U445" s="27" t="s">
        <v>328</v>
      </c>
      <c r="V445" s="27" t="s">
        <v>64</v>
      </c>
      <c r="W445" s="27" t="s">
        <v>65</v>
      </c>
      <c r="X445" s="27" t="s">
        <v>5769</v>
      </c>
      <c r="Y445" s="27" t="s">
        <v>5770</v>
      </c>
      <c r="Z445" s="27" t="s">
        <v>4752</v>
      </c>
      <c r="AA445" s="27" t="s">
        <v>4753</v>
      </c>
      <c r="AB445" s="27" t="s">
        <v>509</v>
      </c>
      <c r="AC445" s="27" t="s">
        <v>4754</v>
      </c>
      <c r="AD445" s="27" t="s">
        <v>5771</v>
      </c>
      <c r="AE445" s="27" t="s">
        <v>110</v>
      </c>
      <c r="AF445" s="27" t="s">
        <v>4755</v>
      </c>
      <c r="AG445" s="27" t="s">
        <v>4757</v>
      </c>
      <c r="AH445" s="27" t="s">
        <v>2107</v>
      </c>
      <c r="AI445" s="27" t="s">
        <v>106</v>
      </c>
      <c r="AJ445" s="27" t="s">
        <v>262</v>
      </c>
      <c r="AK445" s="27" t="s">
        <v>63</v>
      </c>
      <c r="AL445" s="27"/>
      <c r="AM445" s="34">
        <v>262700000</v>
      </c>
      <c r="AN445" s="34">
        <v>202466518</v>
      </c>
      <c r="AO445" s="34">
        <v>35937500</v>
      </c>
      <c r="AP445" s="34">
        <v>22688839</v>
      </c>
      <c r="AQ445" s="34">
        <v>0</v>
      </c>
      <c r="AR445" s="34">
        <v>0</v>
      </c>
      <c r="AS445" s="34">
        <v>13392857</v>
      </c>
      <c r="AT445" s="34">
        <v>247700000</v>
      </c>
      <c r="AU445" s="34">
        <v>0</v>
      </c>
      <c r="AV445" s="34">
        <v>-15000000</v>
      </c>
      <c r="AW445" s="27" t="s">
        <v>5745</v>
      </c>
      <c r="AX445" s="27" t="s">
        <v>5745</v>
      </c>
      <c r="AY445" s="27" t="s">
        <v>83</v>
      </c>
      <c r="AZ445" s="27">
        <v>1</v>
      </c>
      <c r="BA445" s="27" t="s">
        <v>5772</v>
      </c>
      <c r="BB445" s="27"/>
      <c r="BC445" s="27" t="s">
        <v>5773</v>
      </c>
      <c r="BD445" s="27" t="s">
        <v>4746</v>
      </c>
      <c r="BE445" s="27" t="s">
        <v>4746</v>
      </c>
      <c r="BF445" s="27" t="s">
        <v>5774</v>
      </c>
      <c r="BG445" s="27" t="s">
        <v>5775</v>
      </c>
      <c r="BH445" s="27" t="s">
        <v>465</v>
      </c>
      <c r="BI445" s="27" t="s">
        <v>488</v>
      </c>
      <c r="BJ445" s="27" t="s">
        <v>5776</v>
      </c>
      <c r="BK445" s="27" t="s">
        <v>480</v>
      </c>
      <c r="BL445" s="27" t="s">
        <v>5777</v>
      </c>
      <c r="BM445" s="38">
        <v>0</v>
      </c>
    </row>
    <row r="446" spans="1:65" x14ac:dyDescent="0.2">
      <c r="A446" s="37">
        <v>139</v>
      </c>
      <c r="B446" s="27">
        <v>146</v>
      </c>
      <c r="C446" s="27" t="s">
        <v>503</v>
      </c>
      <c r="D446" s="27" t="s">
        <v>5778</v>
      </c>
      <c r="E446" s="27" t="s">
        <v>490</v>
      </c>
      <c r="F446" s="27" t="s">
        <v>5682</v>
      </c>
      <c r="G446" s="28">
        <v>2026</v>
      </c>
      <c r="H446" s="20" t="str">
        <f>VLOOKUP(U446,'[1]KODE TYPE standar'!$D:$U,17,0)</f>
        <v>CALYA</v>
      </c>
      <c r="I446" s="20" t="str">
        <f>VLOOKUP(U446,'[1]KODE TYPE standar'!$D:$U,16,0)</f>
        <v>CALYA</v>
      </c>
      <c r="J446" s="20" t="str">
        <f>VLOOKUP(U446,'[1]KODE TYPE standar'!$D:$U,18,0)</f>
        <v>CALYA G M/T</v>
      </c>
      <c r="K446" s="27" t="s">
        <v>118</v>
      </c>
      <c r="L446" s="27" t="s">
        <v>110</v>
      </c>
      <c r="M446" s="27" t="s">
        <v>262</v>
      </c>
      <c r="N446" s="27" t="s">
        <v>141</v>
      </c>
      <c r="O446" s="28" t="s">
        <v>156</v>
      </c>
      <c r="P446" s="29" t="s">
        <v>151</v>
      </c>
      <c r="Q446" s="29" t="s">
        <v>161</v>
      </c>
      <c r="R446" s="29" t="s">
        <v>597</v>
      </c>
      <c r="S446" s="27" t="s">
        <v>1476</v>
      </c>
      <c r="T446" s="27" t="s">
        <v>541</v>
      </c>
      <c r="U446" s="27" t="s">
        <v>268</v>
      </c>
      <c r="V446" s="27" t="s">
        <v>77</v>
      </c>
      <c r="W446" s="27" t="s">
        <v>78</v>
      </c>
      <c r="X446" s="27" t="s">
        <v>5779</v>
      </c>
      <c r="Y446" s="27" t="s">
        <v>5780</v>
      </c>
      <c r="Z446" s="27" t="s">
        <v>1475</v>
      </c>
      <c r="AA446" s="27" t="s">
        <v>1476</v>
      </c>
      <c r="AB446" s="27" t="s">
        <v>541</v>
      </c>
      <c r="AC446" s="27" t="s">
        <v>5781</v>
      </c>
      <c r="AD446" s="27" t="s">
        <v>5782</v>
      </c>
      <c r="AE446" s="27" t="s">
        <v>110</v>
      </c>
      <c r="AF446" s="27" t="s">
        <v>5782</v>
      </c>
      <c r="AG446" s="27" t="s">
        <v>4768</v>
      </c>
      <c r="AH446" s="27" t="s">
        <v>1149</v>
      </c>
      <c r="AI446" s="27" t="s">
        <v>141</v>
      </c>
      <c r="AJ446" s="27" t="s">
        <v>262</v>
      </c>
      <c r="AK446" s="27" t="s">
        <v>63</v>
      </c>
      <c r="AL446" s="27"/>
      <c r="AM446" s="34">
        <v>182700000</v>
      </c>
      <c r="AN446" s="34">
        <v>139966518</v>
      </c>
      <c r="AO446" s="34">
        <v>25937500</v>
      </c>
      <c r="AP446" s="34">
        <v>15295982</v>
      </c>
      <c r="AQ446" s="34">
        <v>0</v>
      </c>
      <c r="AR446" s="34">
        <v>0</v>
      </c>
      <c r="AS446" s="34">
        <v>12500000</v>
      </c>
      <c r="AT446" s="34">
        <v>168700000</v>
      </c>
      <c r="AU446" s="34">
        <v>0</v>
      </c>
      <c r="AV446" s="34">
        <v>-14000000</v>
      </c>
      <c r="AW446" s="27"/>
      <c r="AX446" s="27"/>
      <c r="AY446" s="27" t="s">
        <v>83</v>
      </c>
      <c r="AZ446" s="27">
        <v>1</v>
      </c>
      <c r="BA446" s="27" t="s">
        <v>5783</v>
      </c>
      <c r="BB446" s="27" t="s">
        <v>465</v>
      </c>
      <c r="BC446" s="27" t="s">
        <v>5784</v>
      </c>
      <c r="BD446" s="27" t="s">
        <v>480</v>
      </c>
      <c r="BE446" s="27" t="s">
        <v>480</v>
      </c>
      <c r="BF446" s="27" t="s">
        <v>5785</v>
      </c>
      <c r="BG446" s="27" t="s">
        <v>5786</v>
      </c>
      <c r="BH446" s="27" t="s">
        <v>490</v>
      </c>
      <c r="BI446" s="27" t="s">
        <v>5787</v>
      </c>
      <c r="BJ446" s="27" t="s">
        <v>5719</v>
      </c>
      <c r="BK446" s="27" t="s">
        <v>5720</v>
      </c>
      <c r="BL446" s="27" t="s">
        <v>5788</v>
      </c>
      <c r="BM446" s="38">
        <v>0</v>
      </c>
    </row>
    <row r="447" spans="1:65" x14ac:dyDescent="0.2">
      <c r="A447" s="37">
        <v>180</v>
      </c>
      <c r="B447" s="27">
        <v>146</v>
      </c>
      <c r="C447" s="27" t="s">
        <v>503</v>
      </c>
      <c r="D447" s="27" t="s">
        <v>5789</v>
      </c>
      <c r="E447" s="27" t="s">
        <v>5546</v>
      </c>
      <c r="F447" s="27" t="s">
        <v>5682</v>
      </c>
      <c r="G447" s="28">
        <v>2026</v>
      </c>
      <c r="H447" s="20" t="str">
        <f>VLOOKUP(U447,'[1]KODE TYPE standar'!$D:$U,17,0)</f>
        <v>RUSH</v>
      </c>
      <c r="I447" s="20" t="str">
        <f>VLOOKUP(U447,'[1]KODE TYPE standar'!$D:$U,16,0)</f>
        <v>RUSH</v>
      </c>
      <c r="J447" s="20" t="str">
        <f>VLOOKUP(U447,'[1]KODE TYPE standar'!$D:$U,18,0)</f>
        <v>RUSH S M/T</v>
      </c>
      <c r="K447" s="27" t="s">
        <v>118</v>
      </c>
      <c r="L447" s="27" t="s">
        <v>110</v>
      </c>
      <c r="M447" s="27" t="s">
        <v>262</v>
      </c>
      <c r="N447" s="27" t="s">
        <v>141</v>
      </c>
      <c r="O447" s="28" t="s">
        <v>156</v>
      </c>
      <c r="P447" s="29" t="s">
        <v>536</v>
      </c>
      <c r="Q447" s="29" t="s">
        <v>162</v>
      </c>
      <c r="R447" s="29" t="s">
        <v>597</v>
      </c>
      <c r="S447" s="27" t="s">
        <v>524</v>
      </c>
      <c r="T447" s="27" t="s">
        <v>509</v>
      </c>
      <c r="U447" s="27" t="s">
        <v>276</v>
      </c>
      <c r="V447" s="27" t="s">
        <v>64</v>
      </c>
      <c r="W447" s="27" t="s">
        <v>65</v>
      </c>
      <c r="X447" s="27" t="s">
        <v>5790</v>
      </c>
      <c r="Y447" s="27" t="s">
        <v>5791</v>
      </c>
      <c r="Z447" s="27" t="s">
        <v>523</v>
      </c>
      <c r="AA447" s="27" t="s">
        <v>524</v>
      </c>
      <c r="AB447" s="27" t="s">
        <v>509</v>
      </c>
      <c r="AC447" s="27" t="s">
        <v>5792</v>
      </c>
      <c r="AD447" s="27" t="s">
        <v>5793</v>
      </c>
      <c r="AE447" s="27" t="s">
        <v>110</v>
      </c>
      <c r="AF447" s="27" t="s">
        <v>5793</v>
      </c>
      <c r="AG447" s="27" t="s">
        <v>5794</v>
      </c>
      <c r="AH447" s="27" t="s">
        <v>1720</v>
      </c>
      <c r="AI447" s="27" t="s">
        <v>141</v>
      </c>
      <c r="AJ447" s="27" t="s">
        <v>262</v>
      </c>
      <c r="AK447" s="27" t="s">
        <v>63</v>
      </c>
      <c r="AL447" s="27"/>
      <c r="AM447" s="34">
        <v>312500000</v>
      </c>
      <c r="AN447" s="34">
        <v>241372768</v>
      </c>
      <c r="AO447" s="34">
        <v>42162500</v>
      </c>
      <c r="AP447" s="34">
        <v>27357589</v>
      </c>
      <c r="AQ447" s="34">
        <v>0</v>
      </c>
      <c r="AR447" s="34">
        <v>0</v>
      </c>
      <c r="AS447" s="34">
        <v>13392857</v>
      </c>
      <c r="AT447" s="34">
        <v>297500000</v>
      </c>
      <c r="AU447" s="34">
        <v>0</v>
      </c>
      <c r="AV447" s="34">
        <v>-15000000</v>
      </c>
      <c r="AW447" s="27" t="s">
        <v>5795</v>
      </c>
      <c r="AX447" s="27" t="s">
        <v>5795</v>
      </c>
      <c r="AY447" s="27" t="s">
        <v>83</v>
      </c>
      <c r="AZ447" s="27">
        <v>1</v>
      </c>
      <c r="BA447" s="27"/>
      <c r="BB447" s="27" t="s">
        <v>465</v>
      </c>
      <c r="BC447" s="27" t="s">
        <v>5796</v>
      </c>
      <c r="BD447" s="27" t="s">
        <v>465</v>
      </c>
      <c r="BE447" s="27" t="s">
        <v>465</v>
      </c>
      <c r="BF447" s="27" t="s">
        <v>5797</v>
      </c>
      <c r="BG447" s="27" t="s">
        <v>5798</v>
      </c>
      <c r="BH447" s="27" t="s">
        <v>5546</v>
      </c>
      <c r="BI447" s="27" t="s">
        <v>494</v>
      </c>
      <c r="BJ447" s="27" t="s">
        <v>5799</v>
      </c>
      <c r="BK447" s="27" t="s">
        <v>468</v>
      </c>
      <c r="BL447" s="27" t="s">
        <v>5800</v>
      </c>
      <c r="BM447" s="38">
        <v>0</v>
      </c>
    </row>
    <row r="448" spans="1:65" x14ac:dyDescent="0.2">
      <c r="A448" s="37">
        <v>182</v>
      </c>
      <c r="B448" s="27">
        <v>146</v>
      </c>
      <c r="C448" s="27" t="s">
        <v>503</v>
      </c>
      <c r="D448" s="27" t="s">
        <v>5801</v>
      </c>
      <c r="E448" s="27" t="s">
        <v>5708</v>
      </c>
      <c r="F448" s="27" t="s">
        <v>5682</v>
      </c>
      <c r="G448" s="28">
        <v>2026</v>
      </c>
      <c r="H448" s="20" t="str">
        <f>VLOOKUP(U448,'[1]KODE TYPE standar'!$D:$U,17,0)</f>
        <v>CALYA</v>
      </c>
      <c r="I448" s="20" t="str">
        <f>VLOOKUP(U448,'[1]KODE TYPE standar'!$D:$U,16,0)</f>
        <v>CALYA</v>
      </c>
      <c r="J448" s="20" t="str">
        <f>VLOOKUP(U448,'[1]KODE TYPE standar'!$D:$U,18,0)</f>
        <v>CALYA G M/T</v>
      </c>
      <c r="K448" s="27" t="s">
        <v>118</v>
      </c>
      <c r="L448" s="27" t="s">
        <v>110</v>
      </c>
      <c r="M448" s="27" t="s">
        <v>262</v>
      </c>
      <c r="N448" s="27" t="s">
        <v>140</v>
      </c>
      <c r="O448" s="28" t="s">
        <v>156</v>
      </c>
      <c r="P448" s="29" t="s">
        <v>151</v>
      </c>
      <c r="Q448" s="29" t="s">
        <v>161</v>
      </c>
      <c r="R448" s="29" t="s">
        <v>597</v>
      </c>
      <c r="S448" s="27" t="s">
        <v>1171</v>
      </c>
      <c r="T448" s="27" t="s">
        <v>509</v>
      </c>
      <c r="U448" s="27" t="s">
        <v>268</v>
      </c>
      <c r="V448" s="27" t="s">
        <v>60</v>
      </c>
      <c r="W448" s="27" t="s">
        <v>61</v>
      </c>
      <c r="X448" s="27" t="s">
        <v>5802</v>
      </c>
      <c r="Y448" s="27" t="s">
        <v>5803</v>
      </c>
      <c r="Z448" s="27" t="s">
        <v>1170</v>
      </c>
      <c r="AA448" s="27" t="s">
        <v>1171</v>
      </c>
      <c r="AB448" s="27" t="s">
        <v>509</v>
      </c>
      <c r="AC448" s="27" t="s">
        <v>5804</v>
      </c>
      <c r="AD448" s="27" t="s">
        <v>5805</v>
      </c>
      <c r="AE448" s="27" t="s">
        <v>110</v>
      </c>
      <c r="AF448" s="27" t="s">
        <v>5805</v>
      </c>
      <c r="AG448" s="27" t="s">
        <v>5806</v>
      </c>
      <c r="AH448" s="27" t="s">
        <v>5024</v>
      </c>
      <c r="AI448" s="27" t="s">
        <v>140</v>
      </c>
      <c r="AJ448" s="27" t="s">
        <v>262</v>
      </c>
      <c r="AK448" s="27" t="s">
        <v>63</v>
      </c>
      <c r="AL448" s="27"/>
      <c r="AM448" s="34">
        <v>182700000</v>
      </c>
      <c r="AN448" s="34">
        <v>139966518</v>
      </c>
      <c r="AO448" s="34">
        <v>25937500</v>
      </c>
      <c r="AP448" s="34">
        <v>15349553</v>
      </c>
      <c r="AQ448" s="34">
        <v>0</v>
      </c>
      <c r="AR448" s="34">
        <v>0</v>
      </c>
      <c r="AS448" s="34">
        <v>12053571</v>
      </c>
      <c r="AT448" s="34">
        <v>169200000</v>
      </c>
      <c r="AU448" s="34">
        <v>3890000</v>
      </c>
      <c r="AV448" s="34">
        <v>-13500000</v>
      </c>
      <c r="AW448" s="27"/>
      <c r="AX448" s="27"/>
      <c r="AY448" s="27" t="s">
        <v>83</v>
      </c>
      <c r="AZ448" s="27">
        <v>1</v>
      </c>
      <c r="BA448" s="27"/>
      <c r="BB448" s="27" t="s">
        <v>5708</v>
      </c>
      <c r="BC448" s="27" t="s">
        <v>5807</v>
      </c>
      <c r="BD448" s="27" t="s">
        <v>495</v>
      </c>
      <c r="BE448" s="27" t="s">
        <v>495</v>
      </c>
      <c r="BF448" s="27" t="s">
        <v>5808</v>
      </c>
      <c r="BG448" s="27" t="s">
        <v>5809</v>
      </c>
      <c r="BH448" s="27"/>
      <c r="BI448" s="27" t="s">
        <v>5718</v>
      </c>
      <c r="BJ448" s="27" t="s">
        <v>5810</v>
      </c>
      <c r="BK448" s="27" t="s">
        <v>5708</v>
      </c>
      <c r="BL448" s="27" t="s">
        <v>5811</v>
      </c>
      <c r="BM448" s="38">
        <v>0</v>
      </c>
    </row>
    <row r="449" spans="1:65" x14ac:dyDescent="0.2">
      <c r="A449" s="37">
        <v>183</v>
      </c>
      <c r="B449" s="27">
        <v>146</v>
      </c>
      <c r="C449" s="27" t="s">
        <v>503</v>
      </c>
      <c r="D449" s="27" t="s">
        <v>5812</v>
      </c>
      <c r="E449" s="27" t="s">
        <v>5546</v>
      </c>
      <c r="F449" s="27" t="s">
        <v>5682</v>
      </c>
      <c r="G449" s="28">
        <v>2026</v>
      </c>
      <c r="H449" s="20" t="str">
        <f>VLOOKUP(U449,'[1]KODE TYPE standar'!$D:$U,17,0)</f>
        <v>AVANZA</v>
      </c>
      <c r="I449" s="20" t="str">
        <f>VLOOKUP(U449,'[1]KODE TYPE standar'!$D:$U,16,0)</f>
        <v>AVANZA</v>
      </c>
      <c r="J449" s="20" t="str">
        <f>VLOOKUP(U449,'[1]KODE TYPE standar'!$D:$U,18,0)</f>
        <v>AVANZA E A/T</v>
      </c>
      <c r="K449" s="27" t="s">
        <v>118</v>
      </c>
      <c r="L449" s="27" t="s">
        <v>110</v>
      </c>
      <c r="M449" s="27" t="s">
        <v>262</v>
      </c>
      <c r="N449" s="27" t="s">
        <v>141</v>
      </c>
      <c r="O449" s="28" t="s">
        <v>156</v>
      </c>
      <c r="P449" s="29" t="s">
        <v>149</v>
      </c>
      <c r="Q449" s="29" t="s">
        <v>161</v>
      </c>
      <c r="R449" s="29" t="s">
        <v>597</v>
      </c>
      <c r="S449" s="27" t="s">
        <v>4753</v>
      </c>
      <c r="T449" s="27" t="s">
        <v>509</v>
      </c>
      <c r="U449" s="27" t="s">
        <v>328</v>
      </c>
      <c r="V449" s="27" t="s">
        <v>269</v>
      </c>
      <c r="W449" s="27" t="s">
        <v>81</v>
      </c>
      <c r="X449" s="27" t="s">
        <v>5813</v>
      </c>
      <c r="Y449" s="27" t="s">
        <v>5814</v>
      </c>
      <c r="Z449" s="27" t="s">
        <v>4752</v>
      </c>
      <c r="AA449" s="27" t="s">
        <v>4753</v>
      </c>
      <c r="AB449" s="27" t="s">
        <v>509</v>
      </c>
      <c r="AC449" s="27" t="s">
        <v>5815</v>
      </c>
      <c r="AD449" s="27" t="s">
        <v>5816</v>
      </c>
      <c r="AE449" s="27" t="s">
        <v>110</v>
      </c>
      <c r="AF449" s="27" t="s">
        <v>5816</v>
      </c>
      <c r="AG449" s="27" t="s">
        <v>5817</v>
      </c>
      <c r="AH449" s="27" t="s">
        <v>1757</v>
      </c>
      <c r="AI449" s="27" t="s">
        <v>141</v>
      </c>
      <c r="AJ449" s="27" t="s">
        <v>262</v>
      </c>
      <c r="AK449" s="27" t="s">
        <v>63</v>
      </c>
      <c r="AL449" s="27"/>
      <c r="AM449" s="34">
        <v>262700000</v>
      </c>
      <c r="AN449" s="34">
        <v>202466518</v>
      </c>
      <c r="AO449" s="34">
        <v>35937500</v>
      </c>
      <c r="AP449" s="34">
        <v>22688839</v>
      </c>
      <c r="AQ449" s="34">
        <v>0</v>
      </c>
      <c r="AR449" s="34">
        <v>0</v>
      </c>
      <c r="AS449" s="34">
        <v>13392857</v>
      </c>
      <c r="AT449" s="34">
        <v>247700000</v>
      </c>
      <c r="AU449" s="34">
        <v>0</v>
      </c>
      <c r="AV449" s="34">
        <v>-15000000</v>
      </c>
      <c r="AW449" s="27" t="s">
        <v>5715</v>
      </c>
      <c r="AX449" s="27" t="s">
        <v>5715</v>
      </c>
      <c r="AY449" s="27" t="s">
        <v>83</v>
      </c>
      <c r="AZ449" s="27">
        <v>1</v>
      </c>
      <c r="BA449" s="27"/>
      <c r="BB449" s="27" t="s">
        <v>458</v>
      </c>
      <c r="BC449" s="27" t="s">
        <v>5818</v>
      </c>
      <c r="BD449" s="27" t="s">
        <v>452</v>
      </c>
      <c r="BE449" s="27" t="s">
        <v>452</v>
      </c>
      <c r="BF449" s="27" t="s">
        <v>5819</v>
      </c>
      <c r="BG449" s="27" t="s">
        <v>5820</v>
      </c>
      <c r="BH449" s="27" t="s">
        <v>5546</v>
      </c>
      <c r="BI449" s="27" t="s">
        <v>494</v>
      </c>
      <c r="BJ449" s="27" t="s">
        <v>5821</v>
      </c>
      <c r="BK449" s="27" t="s">
        <v>465</v>
      </c>
      <c r="BL449" s="27" t="s">
        <v>5822</v>
      </c>
      <c r="BM449" s="38">
        <v>0</v>
      </c>
    </row>
    <row r="450" spans="1:65" x14ac:dyDescent="0.2">
      <c r="A450" s="37">
        <v>245</v>
      </c>
      <c r="B450" s="27">
        <v>146</v>
      </c>
      <c r="C450" s="27" t="s">
        <v>503</v>
      </c>
      <c r="D450" s="27" t="s">
        <v>5823</v>
      </c>
      <c r="E450" s="27" t="s">
        <v>495</v>
      </c>
      <c r="F450" s="27" t="s">
        <v>5682</v>
      </c>
      <c r="G450" s="28">
        <v>2026</v>
      </c>
      <c r="H450" s="20" t="str">
        <f>VLOOKUP(U450,'[1]KODE TYPE standar'!$D:$U,17,0)</f>
        <v>RAIZE</v>
      </c>
      <c r="I450" s="20" t="str">
        <f>VLOOKUP(U450,'[1]KODE TYPE standar'!$D:$U,16,0)</f>
        <v>RAIZE</v>
      </c>
      <c r="J450" s="20" t="str">
        <f>VLOOKUP(U450,'[1]KODE TYPE standar'!$D:$U,18,0)</f>
        <v>RAIZE S A/T</v>
      </c>
      <c r="K450" s="27" t="s">
        <v>118</v>
      </c>
      <c r="L450" s="27" t="s">
        <v>110</v>
      </c>
      <c r="M450" s="27" t="s">
        <v>262</v>
      </c>
      <c r="N450" s="27" t="s">
        <v>140</v>
      </c>
      <c r="O450" s="28" t="s">
        <v>156</v>
      </c>
      <c r="P450" s="29" t="s">
        <v>151</v>
      </c>
      <c r="Q450" s="29" t="s">
        <v>161</v>
      </c>
      <c r="R450" s="29" t="s">
        <v>145</v>
      </c>
      <c r="S450" s="27" t="s">
        <v>892</v>
      </c>
      <c r="T450" s="27" t="s">
        <v>541</v>
      </c>
      <c r="U450" s="27" t="s">
        <v>333</v>
      </c>
      <c r="V450" s="27" t="s">
        <v>5824</v>
      </c>
      <c r="W450" s="27" t="s">
        <v>5825</v>
      </c>
      <c r="X450" s="27" t="s">
        <v>5826</v>
      </c>
      <c r="Y450" s="27" t="s">
        <v>5827</v>
      </c>
      <c r="Z450" s="27" t="s">
        <v>891</v>
      </c>
      <c r="AA450" s="27" t="s">
        <v>892</v>
      </c>
      <c r="AB450" s="27" t="s">
        <v>541</v>
      </c>
      <c r="AC450" s="27" t="s">
        <v>5828</v>
      </c>
      <c r="AD450" s="27" t="s">
        <v>5829</v>
      </c>
      <c r="AE450" s="27" t="s">
        <v>110</v>
      </c>
      <c r="AF450" s="27" t="s">
        <v>5830</v>
      </c>
      <c r="AG450" s="27" t="s">
        <v>5831</v>
      </c>
      <c r="AH450" s="27" t="s">
        <v>3984</v>
      </c>
      <c r="AI450" s="27" t="s">
        <v>140</v>
      </c>
      <c r="AJ450" s="27" t="s">
        <v>262</v>
      </c>
      <c r="AK450" s="27" t="s">
        <v>63</v>
      </c>
      <c r="AL450" s="27"/>
      <c r="AM450" s="34">
        <v>297900000</v>
      </c>
      <c r="AN450" s="34">
        <v>229966518</v>
      </c>
      <c r="AO450" s="34">
        <v>40337500</v>
      </c>
      <c r="AP450" s="34">
        <v>25024553</v>
      </c>
      <c r="AQ450" s="34">
        <v>0</v>
      </c>
      <c r="AR450" s="34">
        <v>0</v>
      </c>
      <c r="AS450" s="34">
        <v>21428571</v>
      </c>
      <c r="AT450" s="34">
        <v>273900000</v>
      </c>
      <c r="AU450" s="34">
        <v>0</v>
      </c>
      <c r="AV450" s="34">
        <v>-24000000</v>
      </c>
      <c r="AW450" s="27" t="s">
        <v>5708</v>
      </c>
      <c r="AX450" s="27" t="s">
        <v>5708</v>
      </c>
      <c r="AY450" s="27" t="s">
        <v>83</v>
      </c>
      <c r="AZ450" s="27">
        <v>1</v>
      </c>
      <c r="BA450" s="27"/>
      <c r="BB450" s="27" t="s">
        <v>465</v>
      </c>
      <c r="BC450" s="27" t="s">
        <v>5832</v>
      </c>
      <c r="BD450" s="27" t="s">
        <v>481</v>
      </c>
      <c r="BE450" s="27" t="s">
        <v>481</v>
      </c>
      <c r="BF450" s="27" t="s">
        <v>5833</v>
      </c>
      <c r="BG450" s="27" t="s">
        <v>5834</v>
      </c>
      <c r="BH450" s="27" t="s">
        <v>495</v>
      </c>
      <c r="BI450" s="27" t="s">
        <v>497</v>
      </c>
      <c r="BJ450" s="27" t="s">
        <v>5835</v>
      </c>
      <c r="BK450" s="27" t="s">
        <v>5836</v>
      </c>
      <c r="BL450" s="27" t="s">
        <v>5837</v>
      </c>
      <c r="BM450" s="38">
        <v>0</v>
      </c>
    </row>
    <row r="451" spans="1:65" x14ac:dyDescent="0.2">
      <c r="A451" s="37">
        <v>280</v>
      </c>
      <c r="B451" s="27">
        <v>146</v>
      </c>
      <c r="C451" s="27" t="s">
        <v>503</v>
      </c>
      <c r="D451" s="27" t="s">
        <v>5838</v>
      </c>
      <c r="E451" s="27" t="s">
        <v>477</v>
      </c>
      <c r="F451" s="27" t="s">
        <v>5682</v>
      </c>
      <c r="G451" s="28">
        <v>2026</v>
      </c>
      <c r="H451" s="20" t="str">
        <f>VLOOKUP(U451,'[1]KODE TYPE standar'!$D:$U,17,0)</f>
        <v>HILUX</v>
      </c>
      <c r="I451" s="20" t="str">
        <f>VLOOKUP(U451,'[1]KODE TYPE standar'!$D:$U,16,0)</f>
        <v>HILUX</v>
      </c>
      <c r="J451" s="20" t="str">
        <f>VLOOKUP(U451,'[1]KODE TYPE standar'!$D:$U,18,0)</f>
        <v>RANGGA-HILUX PU DIESEL M/T</v>
      </c>
      <c r="K451" s="27" t="s">
        <v>50</v>
      </c>
      <c r="L451" s="27" t="s">
        <v>109</v>
      </c>
      <c r="M451" s="27" t="s">
        <v>50</v>
      </c>
      <c r="N451" s="27" t="s">
        <v>55</v>
      </c>
      <c r="O451" s="28" t="s">
        <v>6581</v>
      </c>
      <c r="P451" s="29" t="s">
        <v>149</v>
      </c>
      <c r="Q451" s="29" t="s">
        <v>162</v>
      </c>
      <c r="R451" s="29" t="s">
        <v>109</v>
      </c>
      <c r="S451" s="27" t="s">
        <v>877</v>
      </c>
      <c r="T451" s="27" t="s">
        <v>585</v>
      </c>
      <c r="U451" s="27" t="s">
        <v>5839</v>
      </c>
      <c r="V451" s="27" t="s">
        <v>5840</v>
      </c>
      <c r="W451" s="27" t="s">
        <v>5841</v>
      </c>
      <c r="X451" s="27" t="s">
        <v>5842</v>
      </c>
      <c r="Y451" s="27" t="s">
        <v>5843</v>
      </c>
      <c r="Z451" s="27" t="s">
        <v>876</v>
      </c>
      <c r="AA451" s="27" t="s">
        <v>877</v>
      </c>
      <c r="AB451" s="27" t="s">
        <v>585</v>
      </c>
      <c r="AC451" s="27" t="s">
        <v>5844</v>
      </c>
      <c r="AD451" s="27" t="s">
        <v>5845</v>
      </c>
      <c r="AE451" s="27" t="s">
        <v>109</v>
      </c>
      <c r="AF451" s="27" t="s">
        <v>5845</v>
      </c>
      <c r="AG451" s="27" t="s">
        <v>5846</v>
      </c>
      <c r="AH451" s="27" t="s">
        <v>5847</v>
      </c>
      <c r="AI451" s="27" t="s">
        <v>55</v>
      </c>
      <c r="AJ451" s="27" t="s">
        <v>50</v>
      </c>
      <c r="AK451" s="27" t="s">
        <v>50</v>
      </c>
      <c r="AL451" s="27"/>
      <c r="AM451" s="34">
        <v>294300000</v>
      </c>
      <c r="AN451" s="34">
        <v>226731982</v>
      </c>
      <c r="AO451" s="34">
        <v>42627500</v>
      </c>
      <c r="AP451" s="34">
        <v>23255833</v>
      </c>
      <c r="AQ451" s="34">
        <v>0</v>
      </c>
      <c r="AR451" s="34">
        <v>0</v>
      </c>
      <c r="AS451" s="34">
        <v>15315315</v>
      </c>
      <c r="AT451" s="34">
        <v>277300000</v>
      </c>
      <c r="AU451" s="34">
        <v>0</v>
      </c>
      <c r="AV451" s="34">
        <v>-17000000</v>
      </c>
      <c r="AW451" s="27" t="s">
        <v>484</v>
      </c>
      <c r="AX451" s="27" t="s">
        <v>484</v>
      </c>
      <c r="AY451" s="27" t="s">
        <v>83</v>
      </c>
      <c r="AZ451" s="27">
        <v>1</v>
      </c>
      <c r="BA451" s="27"/>
      <c r="BB451" s="27" t="s">
        <v>5848</v>
      </c>
      <c r="BC451" s="27" t="s">
        <v>5849</v>
      </c>
      <c r="BD451" s="27" t="s">
        <v>343</v>
      </c>
      <c r="BE451" s="27" t="s">
        <v>343</v>
      </c>
      <c r="BF451" s="27" t="s">
        <v>5850</v>
      </c>
      <c r="BG451" s="27" t="s">
        <v>5851</v>
      </c>
      <c r="BH451" s="27" t="s">
        <v>477</v>
      </c>
      <c r="BI451" s="27" t="s">
        <v>495</v>
      </c>
      <c r="BJ451" s="27" t="s">
        <v>5852</v>
      </c>
      <c r="BK451" s="27" t="s">
        <v>456</v>
      </c>
      <c r="BL451" s="27" t="s">
        <v>5853</v>
      </c>
      <c r="BM451" s="38">
        <v>0</v>
      </c>
    </row>
    <row r="452" spans="1:65" x14ac:dyDescent="0.2">
      <c r="A452" s="37">
        <v>286</v>
      </c>
      <c r="B452" s="27">
        <v>146</v>
      </c>
      <c r="C452" s="27" t="s">
        <v>503</v>
      </c>
      <c r="D452" s="27" t="s">
        <v>5854</v>
      </c>
      <c r="E452" s="27" t="s">
        <v>5708</v>
      </c>
      <c r="F452" s="27" t="s">
        <v>5682</v>
      </c>
      <c r="G452" s="28">
        <v>2026</v>
      </c>
      <c r="H452" s="20" t="str">
        <f>VLOOKUP(U452,'[1]KODE TYPE standar'!$D:$U,17,0)</f>
        <v>CALYA</v>
      </c>
      <c r="I452" s="20" t="str">
        <f>VLOOKUP(U452,'[1]KODE TYPE standar'!$D:$U,16,0)</f>
        <v>CALYA</v>
      </c>
      <c r="J452" s="20" t="str">
        <f>VLOOKUP(U452,'[1]KODE TYPE standar'!$D:$U,18,0)</f>
        <v>CALYA G M/T</v>
      </c>
      <c r="K452" s="27" t="s">
        <v>118</v>
      </c>
      <c r="L452" s="27" t="s">
        <v>110</v>
      </c>
      <c r="M452" s="27" t="s">
        <v>262</v>
      </c>
      <c r="N452" s="27" t="s">
        <v>140</v>
      </c>
      <c r="O452" s="28" t="s">
        <v>156</v>
      </c>
      <c r="P452" s="29" t="s">
        <v>151</v>
      </c>
      <c r="Q452" s="29" t="s">
        <v>147</v>
      </c>
      <c r="R452" s="29" t="s">
        <v>597</v>
      </c>
      <c r="S452" s="27" t="s">
        <v>795</v>
      </c>
      <c r="T452" s="27" t="s">
        <v>509</v>
      </c>
      <c r="U452" s="27" t="s">
        <v>268</v>
      </c>
      <c r="V452" s="27" t="s">
        <v>269</v>
      </c>
      <c r="W452" s="27" t="s">
        <v>270</v>
      </c>
      <c r="X452" s="27" t="s">
        <v>5855</v>
      </c>
      <c r="Y452" s="27" t="s">
        <v>5856</v>
      </c>
      <c r="Z452" s="27" t="s">
        <v>794</v>
      </c>
      <c r="AA452" s="27" t="s">
        <v>795</v>
      </c>
      <c r="AB452" s="27" t="s">
        <v>509</v>
      </c>
      <c r="AC452" s="27" t="s">
        <v>5857</v>
      </c>
      <c r="AD452" s="27" t="s">
        <v>5858</v>
      </c>
      <c r="AE452" s="27" t="s">
        <v>110</v>
      </c>
      <c r="AF452" s="27" t="s">
        <v>5859</v>
      </c>
      <c r="AG452" s="27" t="s">
        <v>5860</v>
      </c>
      <c r="AH452" s="27" t="s">
        <v>528</v>
      </c>
      <c r="AI452" s="27" t="s">
        <v>140</v>
      </c>
      <c r="AJ452" s="27" t="s">
        <v>262</v>
      </c>
      <c r="AK452" s="27" t="s">
        <v>63</v>
      </c>
      <c r="AL452" s="27"/>
      <c r="AM452" s="34">
        <v>182700000</v>
      </c>
      <c r="AN452" s="34">
        <v>139966518</v>
      </c>
      <c r="AO452" s="34">
        <v>25937500</v>
      </c>
      <c r="AP452" s="34">
        <v>15349553</v>
      </c>
      <c r="AQ452" s="34">
        <v>0</v>
      </c>
      <c r="AR452" s="34">
        <v>0</v>
      </c>
      <c r="AS452" s="34">
        <v>12053571</v>
      </c>
      <c r="AT452" s="34">
        <v>169200000</v>
      </c>
      <c r="AU452" s="34">
        <v>0</v>
      </c>
      <c r="AV452" s="34">
        <v>-13500000</v>
      </c>
      <c r="AW452" s="27"/>
      <c r="AX452" s="27"/>
      <c r="AY452" s="27" t="s">
        <v>83</v>
      </c>
      <c r="AZ452" s="27">
        <v>1</v>
      </c>
      <c r="BA452" s="27"/>
      <c r="BB452" s="27" t="s">
        <v>485</v>
      </c>
      <c r="BC452" s="27" t="s">
        <v>5861</v>
      </c>
      <c r="BD452" s="27" t="s">
        <v>489</v>
      </c>
      <c r="BE452" s="27" t="s">
        <v>489</v>
      </c>
      <c r="BF452" s="27" t="s">
        <v>5862</v>
      </c>
      <c r="BG452" s="27" t="s">
        <v>5863</v>
      </c>
      <c r="BH452" s="27"/>
      <c r="BI452" s="27" t="s">
        <v>5718</v>
      </c>
      <c r="BJ452" s="27" t="s">
        <v>5864</v>
      </c>
      <c r="BK452" s="27" t="s">
        <v>470</v>
      </c>
      <c r="BL452" s="27" t="s">
        <v>5865</v>
      </c>
      <c r="BM452" s="38">
        <v>0</v>
      </c>
    </row>
    <row r="453" spans="1:65" x14ac:dyDescent="0.2">
      <c r="A453" s="37">
        <v>303</v>
      </c>
      <c r="B453" s="27">
        <v>146</v>
      </c>
      <c r="C453" s="27" t="s">
        <v>503</v>
      </c>
      <c r="D453" s="27" t="s">
        <v>5866</v>
      </c>
      <c r="E453" s="27" t="s">
        <v>5745</v>
      </c>
      <c r="F453" s="27" t="s">
        <v>5682</v>
      </c>
      <c r="G453" s="28">
        <v>2026</v>
      </c>
      <c r="H453" s="20" t="str">
        <f>VLOOKUP(U453,'[1]KODE TYPE standar'!$D:$U,17,0)</f>
        <v>VELOZ</v>
      </c>
      <c r="I453" s="20" t="str">
        <f>VLOOKUP(U453,'[1]KODE TYPE standar'!$D:$U,16,0)</f>
        <v>VELOZ</v>
      </c>
      <c r="J453" s="20" t="str">
        <f>VLOOKUP(U453,'[1]KODE TYPE standar'!$D:$U,18,0)</f>
        <v>VELOZ Q AT HYBRID</v>
      </c>
      <c r="K453" s="27" t="s">
        <v>119</v>
      </c>
      <c r="L453" s="27" t="s">
        <v>110</v>
      </c>
      <c r="M453" s="27" t="s">
        <v>262</v>
      </c>
      <c r="N453" s="27" t="s">
        <v>141</v>
      </c>
      <c r="O453" s="28" t="s">
        <v>156</v>
      </c>
      <c r="P453" s="29" t="s">
        <v>149</v>
      </c>
      <c r="Q453" s="29" t="s">
        <v>161</v>
      </c>
      <c r="R453" s="29" t="s">
        <v>145</v>
      </c>
      <c r="S453" s="27" t="s">
        <v>709</v>
      </c>
      <c r="T453" s="27" t="s">
        <v>585</v>
      </c>
      <c r="U453" s="27" t="s">
        <v>337</v>
      </c>
      <c r="V453" s="27" t="s">
        <v>51</v>
      </c>
      <c r="W453" s="27" t="s">
        <v>286</v>
      </c>
      <c r="X453" s="27" t="s">
        <v>5867</v>
      </c>
      <c r="Y453" s="27" t="s">
        <v>5868</v>
      </c>
      <c r="Z453" s="27" t="s">
        <v>708</v>
      </c>
      <c r="AA453" s="27" t="s">
        <v>709</v>
      </c>
      <c r="AB453" s="27" t="s">
        <v>585</v>
      </c>
      <c r="AC453" s="27" t="s">
        <v>5869</v>
      </c>
      <c r="AD453" s="27" t="s">
        <v>5870</v>
      </c>
      <c r="AE453" s="27" t="s">
        <v>110</v>
      </c>
      <c r="AF453" s="27" t="s">
        <v>5870</v>
      </c>
      <c r="AG453" s="27" t="s">
        <v>5871</v>
      </c>
      <c r="AH453" s="27" t="s">
        <v>170</v>
      </c>
      <c r="AI453" s="27" t="s">
        <v>141</v>
      </c>
      <c r="AJ453" s="27" t="s">
        <v>262</v>
      </c>
      <c r="AK453" s="27" t="s">
        <v>89</v>
      </c>
      <c r="AL453" s="27"/>
      <c r="AM453" s="34">
        <v>326500000</v>
      </c>
      <c r="AN453" s="34">
        <v>252310268</v>
      </c>
      <c r="AO453" s="34">
        <v>43912500</v>
      </c>
      <c r="AP453" s="34">
        <v>29205803</v>
      </c>
      <c r="AQ453" s="34">
        <v>0</v>
      </c>
      <c r="AR453" s="34">
        <v>0</v>
      </c>
      <c r="AS453" s="34">
        <v>8928571</v>
      </c>
      <c r="AT453" s="34">
        <v>316500000</v>
      </c>
      <c r="AU453" s="34">
        <v>0</v>
      </c>
      <c r="AV453" s="34">
        <v>-10000000</v>
      </c>
      <c r="AW453" s="27" t="s">
        <v>5720</v>
      </c>
      <c r="AX453" s="27" t="s">
        <v>5720</v>
      </c>
      <c r="AY453" s="27" t="s">
        <v>83</v>
      </c>
      <c r="AZ453" s="27">
        <v>1</v>
      </c>
      <c r="BA453" s="27" t="s">
        <v>163</v>
      </c>
      <c r="BB453" s="27" t="s">
        <v>5872</v>
      </c>
      <c r="BC453" s="27" t="s">
        <v>5873</v>
      </c>
      <c r="BD453" s="27" t="s">
        <v>477</v>
      </c>
      <c r="BE453" s="27" t="s">
        <v>477</v>
      </c>
      <c r="BF453" s="27" t="s">
        <v>5874</v>
      </c>
      <c r="BG453" s="27" t="s">
        <v>5875</v>
      </c>
      <c r="BH453" s="27" t="s">
        <v>495</v>
      </c>
      <c r="BI453" s="27" t="s">
        <v>5876</v>
      </c>
      <c r="BJ453" s="27" t="s">
        <v>5877</v>
      </c>
      <c r="BK453" s="27" t="s">
        <v>465</v>
      </c>
      <c r="BL453" s="27" t="s">
        <v>5878</v>
      </c>
      <c r="BM453" s="38">
        <v>0</v>
      </c>
    </row>
    <row r="454" spans="1:65" x14ac:dyDescent="0.2">
      <c r="A454" s="37">
        <v>313</v>
      </c>
      <c r="B454" s="27">
        <v>146</v>
      </c>
      <c r="C454" s="27" t="s">
        <v>503</v>
      </c>
      <c r="D454" s="27" t="s">
        <v>5879</v>
      </c>
      <c r="E454" s="27" t="s">
        <v>5692</v>
      </c>
      <c r="F454" s="27" t="s">
        <v>5682</v>
      </c>
      <c r="G454" s="28">
        <v>2026</v>
      </c>
      <c r="H454" s="20" t="str">
        <f>VLOOKUP(U454,'[1]KODE TYPE standar'!$D:$U,17,0)</f>
        <v>INV REBORN</v>
      </c>
      <c r="I454" s="20" t="str">
        <f>VLOOKUP(U454,'[1]KODE TYPE standar'!$D:$U,16,0)</f>
        <v>INNOVA</v>
      </c>
      <c r="J454" s="20" t="str">
        <f>VLOOKUP(U454,'[1]KODE TYPE standar'!$D:$U,18,0)</f>
        <v>INNOVA G A/T DIESEL</v>
      </c>
      <c r="K454" s="27" t="s">
        <v>121</v>
      </c>
      <c r="L454" s="27" t="s">
        <v>110</v>
      </c>
      <c r="M454" s="27" t="s">
        <v>262</v>
      </c>
      <c r="N454" s="27" t="s">
        <v>106</v>
      </c>
      <c r="O454" s="28" t="s">
        <v>156</v>
      </c>
      <c r="P454" s="29" t="s">
        <v>151</v>
      </c>
      <c r="Q454" s="29" t="s">
        <v>161</v>
      </c>
      <c r="R454" s="29" t="s">
        <v>597</v>
      </c>
      <c r="S454" s="27" t="s">
        <v>892</v>
      </c>
      <c r="T454" s="27" t="s">
        <v>541</v>
      </c>
      <c r="U454" s="27" t="s">
        <v>192</v>
      </c>
      <c r="V454" s="27" t="s">
        <v>283</v>
      </c>
      <c r="W454" s="27" t="s">
        <v>284</v>
      </c>
      <c r="X454" s="27" t="s">
        <v>5880</v>
      </c>
      <c r="Y454" s="27" t="s">
        <v>5881</v>
      </c>
      <c r="Z454" s="27" t="s">
        <v>891</v>
      </c>
      <c r="AA454" s="27" t="s">
        <v>892</v>
      </c>
      <c r="AB454" s="27" t="s">
        <v>541</v>
      </c>
      <c r="AC454" s="27" t="s">
        <v>5882</v>
      </c>
      <c r="AD454" s="27" t="s">
        <v>5883</v>
      </c>
      <c r="AE454" s="27" t="s">
        <v>110</v>
      </c>
      <c r="AF454" s="27" t="s">
        <v>5884</v>
      </c>
      <c r="AG454" s="27" t="s">
        <v>5885</v>
      </c>
      <c r="AH454" s="27" t="s">
        <v>2107</v>
      </c>
      <c r="AI454" s="27" t="s">
        <v>106</v>
      </c>
      <c r="AJ454" s="27" t="s">
        <v>262</v>
      </c>
      <c r="AK454" s="27" t="s">
        <v>104</v>
      </c>
      <c r="AL454" s="27"/>
      <c r="AM454" s="34">
        <v>442700000</v>
      </c>
      <c r="AN454" s="34">
        <v>343091518</v>
      </c>
      <c r="AO454" s="34">
        <v>58437500</v>
      </c>
      <c r="AP454" s="34">
        <v>37420982</v>
      </c>
      <c r="AQ454" s="34">
        <v>0</v>
      </c>
      <c r="AR454" s="34">
        <v>0</v>
      </c>
      <c r="AS454" s="34">
        <v>31250000</v>
      </c>
      <c r="AT454" s="34">
        <v>407700000</v>
      </c>
      <c r="AU454" s="34">
        <v>0</v>
      </c>
      <c r="AV454" s="34">
        <v>-35000000</v>
      </c>
      <c r="AW454" s="27" t="s">
        <v>484</v>
      </c>
      <c r="AX454" s="27" t="s">
        <v>484</v>
      </c>
      <c r="AY454" s="27" t="s">
        <v>83</v>
      </c>
      <c r="AZ454" s="27">
        <v>1</v>
      </c>
      <c r="BA454" s="27"/>
      <c r="BB454" s="27" t="s">
        <v>460</v>
      </c>
      <c r="BC454" s="27" t="s">
        <v>5886</v>
      </c>
      <c r="BD454" s="27" t="s">
        <v>460</v>
      </c>
      <c r="BE454" s="27" t="s">
        <v>460</v>
      </c>
      <c r="BF454" s="27" t="s">
        <v>5887</v>
      </c>
      <c r="BG454" s="27" t="s">
        <v>5888</v>
      </c>
      <c r="BH454" s="27" t="s">
        <v>5692</v>
      </c>
      <c r="BI454" s="27" t="s">
        <v>5889</v>
      </c>
      <c r="BJ454" s="27" t="s">
        <v>5890</v>
      </c>
      <c r="BK454" s="27" t="s">
        <v>465</v>
      </c>
      <c r="BL454" s="27" t="s">
        <v>5891</v>
      </c>
      <c r="BM454" s="38">
        <v>0</v>
      </c>
    </row>
    <row r="455" spans="1:65" x14ac:dyDescent="0.2">
      <c r="A455" s="37">
        <v>342</v>
      </c>
      <c r="B455" s="27">
        <v>146</v>
      </c>
      <c r="C455" s="27" t="s">
        <v>503</v>
      </c>
      <c r="D455" s="27" t="s">
        <v>5892</v>
      </c>
      <c r="E455" s="27" t="s">
        <v>495</v>
      </c>
      <c r="F455" s="27" t="s">
        <v>5682</v>
      </c>
      <c r="G455" s="28">
        <v>2026</v>
      </c>
      <c r="H455" s="20" t="str">
        <f>VLOOKUP(U455,'[1]KODE TYPE standar'!$D:$U,17,0)</f>
        <v>AVANZA</v>
      </c>
      <c r="I455" s="20" t="str">
        <f>VLOOKUP(U455,'[1]KODE TYPE standar'!$D:$U,16,0)</f>
        <v>AVANZA</v>
      </c>
      <c r="J455" s="20" t="str">
        <f>VLOOKUP(U455,'[1]KODE TYPE standar'!$D:$U,18,0)</f>
        <v>AVANZA G A/T</v>
      </c>
      <c r="K455" s="27" t="s">
        <v>118</v>
      </c>
      <c r="L455" s="27" t="s">
        <v>110</v>
      </c>
      <c r="M455" s="27" t="s">
        <v>262</v>
      </c>
      <c r="N455" s="27" t="s">
        <v>141</v>
      </c>
      <c r="O455" s="28" t="s">
        <v>156</v>
      </c>
      <c r="P455" s="29" t="s">
        <v>151</v>
      </c>
      <c r="Q455" s="29" t="s">
        <v>161</v>
      </c>
      <c r="R455" s="29" t="s">
        <v>597</v>
      </c>
      <c r="S455" s="27" t="s">
        <v>1476</v>
      </c>
      <c r="T455" s="27" t="s">
        <v>541</v>
      </c>
      <c r="U455" s="27" t="s">
        <v>329</v>
      </c>
      <c r="V455" s="27" t="s">
        <v>64</v>
      </c>
      <c r="W455" s="27" t="s">
        <v>65</v>
      </c>
      <c r="X455" s="27" t="s">
        <v>5893</v>
      </c>
      <c r="Y455" s="27" t="s">
        <v>5894</v>
      </c>
      <c r="Z455" s="27" t="s">
        <v>1475</v>
      </c>
      <c r="AA455" s="27" t="s">
        <v>1476</v>
      </c>
      <c r="AB455" s="27" t="s">
        <v>541</v>
      </c>
      <c r="AC455" s="27" t="s">
        <v>5895</v>
      </c>
      <c r="AD455" s="27" t="s">
        <v>5896</v>
      </c>
      <c r="AE455" s="27" t="s">
        <v>110</v>
      </c>
      <c r="AF455" s="27" t="s">
        <v>5896</v>
      </c>
      <c r="AG455" s="27" t="s">
        <v>5897</v>
      </c>
      <c r="AH455" s="27" t="s">
        <v>1757</v>
      </c>
      <c r="AI455" s="27" t="s">
        <v>141</v>
      </c>
      <c r="AJ455" s="27" t="s">
        <v>262</v>
      </c>
      <c r="AK455" s="27" t="s">
        <v>63</v>
      </c>
      <c r="AL455" s="27"/>
      <c r="AM455" s="34">
        <v>285500000</v>
      </c>
      <c r="AN455" s="34">
        <v>220279018</v>
      </c>
      <c r="AO455" s="34">
        <v>38787500</v>
      </c>
      <c r="AP455" s="34">
        <v>24269196</v>
      </c>
      <c r="AQ455" s="34">
        <v>0</v>
      </c>
      <c r="AR455" s="34">
        <v>0</v>
      </c>
      <c r="AS455" s="34">
        <v>18035714</v>
      </c>
      <c r="AT455" s="34">
        <v>265300000</v>
      </c>
      <c r="AU455" s="34">
        <v>0</v>
      </c>
      <c r="AV455" s="34">
        <v>-20200000</v>
      </c>
      <c r="AW455" s="27" t="s">
        <v>490</v>
      </c>
      <c r="AX455" s="27" t="s">
        <v>490</v>
      </c>
      <c r="AY455" s="27" t="s">
        <v>83</v>
      </c>
      <c r="AZ455" s="27">
        <v>1</v>
      </c>
      <c r="BA455" s="27"/>
      <c r="BB455" s="27" t="s">
        <v>5546</v>
      </c>
      <c r="BC455" s="27" t="s">
        <v>5898</v>
      </c>
      <c r="BD455" s="27" t="s">
        <v>5546</v>
      </c>
      <c r="BE455" s="27" t="s">
        <v>5546</v>
      </c>
      <c r="BF455" s="27" t="s">
        <v>5899</v>
      </c>
      <c r="BG455" s="27" t="s">
        <v>5900</v>
      </c>
      <c r="BH455" s="27" t="s">
        <v>495</v>
      </c>
      <c r="BI455" s="27" t="s">
        <v>497</v>
      </c>
      <c r="BJ455" s="27" t="s">
        <v>5901</v>
      </c>
      <c r="BK455" s="27" t="s">
        <v>484</v>
      </c>
      <c r="BL455" s="27" t="s">
        <v>5902</v>
      </c>
      <c r="BM455" s="38">
        <v>0</v>
      </c>
    </row>
    <row r="456" spans="1:65" x14ac:dyDescent="0.2">
      <c r="A456" s="37">
        <v>359</v>
      </c>
      <c r="B456" s="27">
        <v>146</v>
      </c>
      <c r="C456" s="27" t="s">
        <v>503</v>
      </c>
      <c r="D456" s="27" t="s">
        <v>5903</v>
      </c>
      <c r="E456" s="27" t="s">
        <v>479</v>
      </c>
      <c r="F456" s="27" t="s">
        <v>5682</v>
      </c>
      <c r="G456" s="28">
        <v>2026</v>
      </c>
      <c r="H456" s="20" t="str">
        <f>VLOOKUP(U456,'[1]KODE TYPE standar'!$D:$U,17,0)</f>
        <v>YARIS</v>
      </c>
      <c r="I456" s="20" t="str">
        <f>VLOOKUP(U456,'[1]KODE TYPE standar'!$D:$U,16,0)</f>
        <v>YARIS</v>
      </c>
      <c r="J456" s="20" t="str">
        <f>VLOOKUP(U456,'[1]KODE TYPE standar'!$D:$U,18,0)</f>
        <v>YARIS CROSS S A/T</v>
      </c>
      <c r="K456" s="27" t="s">
        <v>50</v>
      </c>
      <c r="L456" s="27" t="s">
        <v>110</v>
      </c>
      <c r="M456" s="27" t="s">
        <v>50</v>
      </c>
      <c r="N456" s="27" t="s">
        <v>141</v>
      </c>
      <c r="O456" s="28" t="s">
        <v>156</v>
      </c>
      <c r="P456" s="29" t="s">
        <v>1248</v>
      </c>
      <c r="Q456" s="29" t="s">
        <v>161</v>
      </c>
      <c r="R456" s="29" t="s">
        <v>597</v>
      </c>
      <c r="S456" s="27" t="s">
        <v>978</v>
      </c>
      <c r="T456" s="27" t="s">
        <v>541</v>
      </c>
      <c r="U456" s="27" t="s">
        <v>108</v>
      </c>
      <c r="V456" s="27" t="s">
        <v>48</v>
      </c>
      <c r="W456" s="27" t="s">
        <v>49</v>
      </c>
      <c r="X456" s="27" t="s">
        <v>5904</v>
      </c>
      <c r="Y456" s="27" t="s">
        <v>5905</v>
      </c>
      <c r="Z456" s="27" t="s">
        <v>977</v>
      </c>
      <c r="AA456" s="27" t="s">
        <v>978</v>
      </c>
      <c r="AB456" s="27" t="s">
        <v>541</v>
      </c>
      <c r="AC456" s="27" t="s">
        <v>5906</v>
      </c>
      <c r="AD456" s="27" t="s">
        <v>5907</v>
      </c>
      <c r="AE456" s="27" t="s">
        <v>110</v>
      </c>
      <c r="AF456" s="27" t="s">
        <v>5907</v>
      </c>
      <c r="AG456" s="27" t="s">
        <v>5908</v>
      </c>
      <c r="AH456" s="27" t="s">
        <v>1808</v>
      </c>
      <c r="AI456" s="27" t="s">
        <v>141</v>
      </c>
      <c r="AJ456" s="27" t="s">
        <v>50</v>
      </c>
      <c r="AK456" s="27" t="s">
        <v>50</v>
      </c>
      <c r="AL456" s="27"/>
      <c r="AM456" s="34">
        <v>461100000</v>
      </c>
      <c r="AN456" s="34">
        <v>357466518</v>
      </c>
      <c r="AO456" s="34">
        <v>60737500</v>
      </c>
      <c r="AP456" s="34">
        <v>39681696</v>
      </c>
      <c r="AQ456" s="34">
        <v>0</v>
      </c>
      <c r="AR456" s="34">
        <v>0</v>
      </c>
      <c r="AS456" s="34">
        <v>26785714</v>
      </c>
      <c r="AT456" s="34">
        <v>431100000</v>
      </c>
      <c r="AU456" s="34">
        <v>0</v>
      </c>
      <c r="AV456" s="34">
        <v>-30000000</v>
      </c>
      <c r="AW456" s="27" t="s">
        <v>460</v>
      </c>
      <c r="AX456" s="27" t="s">
        <v>460</v>
      </c>
      <c r="AY456" s="27" t="s">
        <v>83</v>
      </c>
      <c r="AZ456" s="27">
        <v>1</v>
      </c>
      <c r="BA456" s="27"/>
      <c r="BB456" s="27" t="s">
        <v>481</v>
      </c>
      <c r="BC456" s="27" t="s">
        <v>5909</v>
      </c>
      <c r="BD456" s="27" t="s">
        <v>470</v>
      </c>
      <c r="BE456" s="27" t="s">
        <v>470</v>
      </c>
      <c r="BF456" s="27" t="s">
        <v>5910</v>
      </c>
      <c r="BG456" s="27" t="s">
        <v>5911</v>
      </c>
      <c r="BH456" s="27" t="s">
        <v>479</v>
      </c>
      <c r="BI456" s="27" t="s">
        <v>5715</v>
      </c>
      <c r="BJ456" s="27" t="s">
        <v>5912</v>
      </c>
      <c r="BK456" s="27" t="s">
        <v>435</v>
      </c>
      <c r="BL456" s="27" t="s">
        <v>5913</v>
      </c>
      <c r="BM456" s="38">
        <v>0</v>
      </c>
    </row>
    <row r="457" spans="1:65" x14ac:dyDescent="0.2">
      <c r="A457" s="37">
        <v>371</v>
      </c>
      <c r="B457" s="27">
        <v>146</v>
      </c>
      <c r="C457" s="27" t="s">
        <v>503</v>
      </c>
      <c r="D457" s="27" t="s">
        <v>5914</v>
      </c>
      <c r="E457" s="27" t="s">
        <v>490</v>
      </c>
      <c r="F457" s="27" t="s">
        <v>5682</v>
      </c>
      <c r="G457" s="28">
        <v>2026</v>
      </c>
      <c r="H457" s="20" t="str">
        <f>VLOOKUP(U457,'[1]KODE TYPE standar'!$D:$U,17,0)</f>
        <v>FORTUNER</v>
      </c>
      <c r="I457" s="20" t="str">
        <f>VLOOKUP(U457,'[1]KODE TYPE standar'!$D:$U,16,0)</f>
        <v>FORTUNER</v>
      </c>
      <c r="J457" s="20" t="str">
        <f>VLOOKUP(U457,'[1]KODE TYPE standar'!$D:$U,18,0)</f>
        <v>FORTUNER 4X2 VRZ A/T DIESEL</v>
      </c>
      <c r="K457" s="27" t="s">
        <v>50</v>
      </c>
      <c r="L457" s="27" t="s">
        <v>110</v>
      </c>
      <c r="M457" s="27" t="s">
        <v>50</v>
      </c>
      <c r="N457" s="27" t="s">
        <v>159</v>
      </c>
      <c r="O457" s="28" t="s">
        <v>6581</v>
      </c>
      <c r="P457" s="29" t="s">
        <v>149</v>
      </c>
      <c r="Q457" s="29" t="s">
        <v>162</v>
      </c>
      <c r="R457" s="29" t="s">
        <v>145</v>
      </c>
      <c r="S457" s="27" t="s">
        <v>795</v>
      </c>
      <c r="T457" s="27" t="s">
        <v>509</v>
      </c>
      <c r="U457" s="27" t="s">
        <v>279</v>
      </c>
      <c r="V457" s="27" t="s">
        <v>51</v>
      </c>
      <c r="W457" s="27" t="s">
        <v>86</v>
      </c>
      <c r="X457" s="27" t="s">
        <v>5915</v>
      </c>
      <c r="Y457" s="27" t="s">
        <v>5916</v>
      </c>
      <c r="Z457" s="27" t="s">
        <v>794</v>
      </c>
      <c r="AA457" s="27" t="s">
        <v>795</v>
      </c>
      <c r="AB457" s="27" t="s">
        <v>509</v>
      </c>
      <c r="AC457" s="27" t="s">
        <v>5917</v>
      </c>
      <c r="AD457" s="27" t="s">
        <v>5918</v>
      </c>
      <c r="AE457" s="27" t="s">
        <v>110</v>
      </c>
      <c r="AF457" s="27" t="s">
        <v>5919</v>
      </c>
      <c r="AG457" s="27" t="s">
        <v>5920</v>
      </c>
      <c r="AH457" s="27" t="s">
        <v>5921</v>
      </c>
      <c r="AI457" s="27" t="s">
        <v>159</v>
      </c>
      <c r="AJ457" s="27" t="s">
        <v>50</v>
      </c>
      <c r="AK457" s="27" t="s">
        <v>50</v>
      </c>
      <c r="AL457" s="27"/>
      <c r="AM457" s="34">
        <v>683700000</v>
      </c>
      <c r="AN457" s="34">
        <v>530399554</v>
      </c>
      <c r="AO457" s="34">
        <v>89652500</v>
      </c>
      <c r="AP457" s="34">
        <v>58612232</v>
      </c>
      <c r="AQ457" s="34">
        <v>0</v>
      </c>
      <c r="AR457" s="34">
        <v>0</v>
      </c>
      <c r="AS457" s="34">
        <v>41964286</v>
      </c>
      <c r="AT457" s="34">
        <v>636700000</v>
      </c>
      <c r="AU457" s="34">
        <v>0</v>
      </c>
      <c r="AV457" s="34">
        <v>-47000000</v>
      </c>
      <c r="AW457" s="27"/>
      <c r="AX457" s="27"/>
      <c r="AY457" s="27" t="s">
        <v>83</v>
      </c>
      <c r="AZ457" s="27">
        <v>1</v>
      </c>
      <c r="BA457" s="27"/>
      <c r="BB457" s="27" t="s">
        <v>5720</v>
      </c>
      <c r="BC457" s="27" t="s">
        <v>5922</v>
      </c>
      <c r="BD457" s="27" t="s">
        <v>5720</v>
      </c>
      <c r="BE457" s="27" t="s">
        <v>5720</v>
      </c>
      <c r="BF457" s="27" t="s">
        <v>5923</v>
      </c>
      <c r="BG457" s="27" t="s">
        <v>5924</v>
      </c>
      <c r="BH457" s="27" t="s">
        <v>490</v>
      </c>
      <c r="BI457" s="27" t="s">
        <v>5787</v>
      </c>
      <c r="BJ457" s="27" t="s">
        <v>5925</v>
      </c>
      <c r="BK457" s="27" t="s">
        <v>468</v>
      </c>
      <c r="BL457" s="27" t="s">
        <v>5926</v>
      </c>
      <c r="BM457" s="38">
        <v>0</v>
      </c>
    </row>
    <row r="458" spans="1:65" x14ac:dyDescent="0.2">
      <c r="A458" s="37">
        <v>377</v>
      </c>
      <c r="B458" s="27">
        <v>146</v>
      </c>
      <c r="C458" s="27" t="s">
        <v>503</v>
      </c>
      <c r="D458" s="27" t="s">
        <v>5927</v>
      </c>
      <c r="E458" s="27" t="s">
        <v>5836</v>
      </c>
      <c r="F458" s="27" t="s">
        <v>5682</v>
      </c>
      <c r="G458" s="28">
        <v>2026</v>
      </c>
      <c r="H458" s="20" t="str">
        <f>VLOOKUP(U458,'[1]KODE TYPE standar'!$D:$U,17,0)</f>
        <v>CALYA</v>
      </c>
      <c r="I458" s="20" t="str">
        <f>VLOOKUP(U458,'[1]KODE TYPE standar'!$D:$U,16,0)</f>
        <v>CALYA</v>
      </c>
      <c r="J458" s="20" t="str">
        <f>VLOOKUP(U458,'[1]KODE TYPE standar'!$D:$U,18,0)</f>
        <v>CALYA G M/T</v>
      </c>
      <c r="K458" s="27" t="s">
        <v>119</v>
      </c>
      <c r="L458" s="27" t="s">
        <v>110</v>
      </c>
      <c r="M458" s="27" t="s">
        <v>262</v>
      </c>
      <c r="N458" s="27" t="s">
        <v>106</v>
      </c>
      <c r="O458" s="28" t="s">
        <v>156</v>
      </c>
      <c r="P458" s="29" t="s">
        <v>149</v>
      </c>
      <c r="Q458" s="29" t="s">
        <v>161</v>
      </c>
      <c r="R458" s="29" t="s">
        <v>145</v>
      </c>
      <c r="S458" s="27" t="s">
        <v>554</v>
      </c>
      <c r="T458" s="27" t="s">
        <v>509</v>
      </c>
      <c r="U458" s="27" t="s">
        <v>268</v>
      </c>
      <c r="V458" s="27" t="s">
        <v>68</v>
      </c>
      <c r="W458" s="27" t="s">
        <v>69</v>
      </c>
      <c r="X458" s="27" t="s">
        <v>5928</v>
      </c>
      <c r="Y458" s="27" t="s">
        <v>5929</v>
      </c>
      <c r="Z458" s="27" t="s">
        <v>553</v>
      </c>
      <c r="AA458" s="27" t="s">
        <v>554</v>
      </c>
      <c r="AB458" s="27" t="s">
        <v>509</v>
      </c>
      <c r="AC458" s="27" t="s">
        <v>5930</v>
      </c>
      <c r="AD458" s="27" t="s">
        <v>5931</v>
      </c>
      <c r="AE458" s="27" t="s">
        <v>110</v>
      </c>
      <c r="AF458" s="27" t="s">
        <v>5931</v>
      </c>
      <c r="AG458" s="27" t="s">
        <v>5932</v>
      </c>
      <c r="AH458" s="27" t="s">
        <v>5933</v>
      </c>
      <c r="AI458" s="27" t="s">
        <v>106</v>
      </c>
      <c r="AJ458" s="27" t="s">
        <v>262</v>
      </c>
      <c r="AK458" s="27" t="s">
        <v>89</v>
      </c>
      <c r="AL458" s="27"/>
      <c r="AM458" s="34">
        <v>182700000</v>
      </c>
      <c r="AN458" s="34">
        <v>139966518</v>
      </c>
      <c r="AO458" s="34">
        <v>25937500</v>
      </c>
      <c r="AP458" s="34">
        <v>15403125</v>
      </c>
      <c r="AQ458" s="34">
        <v>0</v>
      </c>
      <c r="AR458" s="34">
        <v>0</v>
      </c>
      <c r="AS458" s="34">
        <v>11607143</v>
      </c>
      <c r="AT458" s="34">
        <v>169700000</v>
      </c>
      <c r="AU458" s="34">
        <v>0</v>
      </c>
      <c r="AV458" s="34">
        <v>-13000000</v>
      </c>
      <c r="AW458" s="27" t="s">
        <v>490</v>
      </c>
      <c r="AX458" s="27" t="s">
        <v>490</v>
      </c>
      <c r="AY458" s="27" t="s">
        <v>83</v>
      </c>
      <c r="AZ458" s="27">
        <v>1</v>
      </c>
      <c r="BA458" s="27" t="s">
        <v>5934</v>
      </c>
      <c r="BB458" s="27" t="s">
        <v>5836</v>
      </c>
      <c r="BC458" s="27" t="s">
        <v>5935</v>
      </c>
      <c r="BD458" s="27" t="s">
        <v>474</v>
      </c>
      <c r="BE458" s="27" t="s">
        <v>474</v>
      </c>
      <c r="BF458" s="27" t="s">
        <v>5936</v>
      </c>
      <c r="BG458" s="27" t="s">
        <v>5937</v>
      </c>
      <c r="BH458" s="27" t="s">
        <v>5836</v>
      </c>
      <c r="BI458" s="27" t="s">
        <v>5938</v>
      </c>
      <c r="BJ458" s="27" t="s">
        <v>5939</v>
      </c>
      <c r="BK458" s="27" t="s">
        <v>468</v>
      </c>
      <c r="BL458" s="27" t="s">
        <v>5940</v>
      </c>
      <c r="BM458" s="38">
        <v>0</v>
      </c>
    </row>
    <row r="459" spans="1:65" x14ac:dyDescent="0.2">
      <c r="A459" s="37">
        <v>407</v>
      </c>
      <c r="B459" s="27">
        <v>146</v>
      </c>
      <c r="C459" s="27" t="s">
        <v>503</v>
      </c>
      <c r="D459" s="27" t="s">
        <v>5941</v>
      </c>
      <c r="E459" s="27" t="s">
        <v>479</v>
      </c>
      <c r="F459" s="27" t="s">
        <v>5682</v>
      </c>
      <c r="G459" s="28">
        <v>2026</v>
      </c>
      <c r="H459" s="20" t="str">
        <f>VLOOKUP(U459,'[1]KODE TYPE standar'!$D:$U,17,0)</f>
        <v>AVANZA</v>
      </c>
      <c r="I459" s="20" t="str">
        <f>VLOOKUP(U459,'[1]KODE TYPE standar'!$D:$U,16,0)</f>
        <v>AVANZA</v>
      </c>
      <c r="J459" s="20" t="str">
        <f>VLOOKUP(U459,'[1]KODE TYPE standar'!$D:$U,18,0)</f>
        <v>AVANZA E A/T</v>
      </c>
      <c r="K459" s="27" t="s">
        <v>119</v>
      </c>
      <c r="L459" s="27" t="s">
        <v>110</v>
      </c>
      <c r="M459" s="27" t="s">
        <v>262</v>
      </c>
      <c r="N459" s="27" t="s">
        <v>106</v>
      </c>
      <c r="O459" s="28" t="s">
        <v>156</v>
      </c>
      <c r="P459" s="29" t="s">
        <v>536</v>
      </c>
      <c r="Q459" s="29" t="s">
        <v>162</v>
      </c>
      <c r="R459" s="29" t="s">
        <v>145</v>
      </c>
      <c r="S459" s="27" t="s">
        <v>554</v>
      </c>
      <c r="T459" s="27" t="s">
        <v>509</v>
      </c>
      <c r="U459" s="27" t="s">
        <v>328</v>
      </c>
      <c r="V459" s="27" t="s">
        <v>269</v>
      </c>
      <c r="W459" s="27" t="s">
        <v>81</v>
      </c>
      <c r="X459" s="27" t="s">
        <v>5942</v>
      </c>
      <c r="Y459" s="27" t="s">
        <v>5943</v>
      </c>
      <c r="Z459" s="27" t="s">
        <v>553</v>
      </c>
      <c r="AA459" s="27" t="s">
        <v>554</v>
      </c>
      <c r="AB459" s="27" t="s">
        <v>509</v>
      </c>
      <c r="AC459" s="27" t="s">
        <v>5944</v>
      </c>
      <c r="AD459" s="27" t="s">
        <v>5945</v>
      </c>
      <c r="AE459" s="27" t="s">
        <v>110</v>
      </c>
      <c r="AF459" s="27" t="s">
        <v>5945</v>
      </c>
      <c r="AG459" s="27" t="s">
        <v>5946</v>
      </c>
      <c r="AH459" s="27" t="s">
        <v>2021</v>
      </c>
      <c r="AI459" s="27" t="s">
        <v>106</v>
      </c>
      <c r="AJ459" s="27" t="s">
        <v>262</v>
      </c>
      <c r="AK459" s="27" t="s">
        <v>89</v>
      </c>
      <c r="AL459" s="27"/>
      <c r="AM459" s="34">
        <v>262700000</v>
      </c>
      <c r="AN459" s="34">
        <v>202466518</v>
      </c>
      <c r="AO459" s="34">
        <v>35937500</v>
      </c>
      <c r="AP459" s="34">
        <v>22688839</v>
      </c>
      <c r="AQ459" s="34">
        <v>0</v>
      </c>
      <c r="AR459" s="34">
        <v>0</v>
      </c>
      <c r="AS459" s="34">
        <v>13392857</v>
      </c>
      <c r="AT459" s="34">
        <v>247700000</v>
      </c>
      <c r="AU459" s="34">
        <v>0</v>
      </c>
      <c r="AV459" s="34">
        <v>-15000000</v>
      </c>
      <c r="AW459" s="27" t="s">
        <v>5872</v>
      </c>
      <c r="AX459" s="27" t="s">
        <v>5872</v>
      </c>
      <c r="AY459" s="27" t="s">
        <v>83</v>
      </c>
      <c r="AZ459" s="27">
        <v>1</v>
      </c>
      <c r="BA459" s="27" t="s">
        <v>5947</v>
      </c>
      <c r="BB459" s="27" t="s">
        <v>468</v>
      </c>
      <c r="BC459" s="27" t="s">
        <v>5948</v>
      </c>
      <c r="BD459" s="27" t="s">
        <v>454</v>
      </c>
      <c r="BE459" s="27" t="s">
        <v>454</v>
      </c>
      <c r="BF459" s="27" t="s">
        <v>5949</v>
      </c>
      <c r="BG459" s="27" t="s">
        <v>5950</v>
      </c>
      <c r="BH459" s="27" t="s">
        <v>479</v>
      </c>
      <c r="BI459" s="27" t="s">
        <v>484</v>
      </c>
      <c r="BJ459" s="27" t="s">
        <v>5951</v>
      </c>
      <c r="BK459" s="27" t="s">
        <v>454</v>
      </c>
      <c r="BL459" s="27" t="s">
        <v>5952</v>
      </c>
      <c r="BM459" s="38">
        <v>0</v>
      </c>
    </row>
    <row r="460" spans="1:65" x14ac:dyDescent="0.2">
      <c r="A460" s="37">
        <v>409</v>
      </c>
      <c r="B460" s="27">
        <v>146</v>
      </c>
      <c r="C460" s="27" t="s">
        <v>503</v>
      </c>
      <c r="D460" s="27" t="s">
        <v>5953</v>
      </c>
      <c r="E460" s="27" t="s">
        <v>465</v>
      </c>
      <c r="F460" s="27" t="s">
        <v>5682</v>
      </c>
      <c r="G460" s="28">
        <v>2026</v>
      </c>
      <c r="H460" s="20" t="str">
        <f>VLOOKUP(U460,'[1]KODE TYPE standar'!$D:$U,17,0)</f>
        <v>RAIZE</v>
      </c>
      <c r="I460" s="20" t="str">
        <f>VLOOKUP(U460,'[1]KODE TYPE standar'!$D:$U,16,0)</f>
        <v>RAIZE</v>
      </c>
      <c r="J460" s="20" t="str">
        <f>VLOOKUP(U460,'[1]KODE TYPE standar'!$D:$U,18,0)</f>
        <v>RAIZE G A/T</v>
      </c>
      <c r="K460" s="27" t="s">
        <v>50</v>
      </c>
      <c r="L460" s="27" t="s">
        <v>110</v>
      </c>
      <c r="M460" s="27" t="s">
        <v>50</v>
      </c>
      <c r="N460" s="27" t="s">
        <v>141</v>
      </c>
      <c r="O460" s="28" t="s">
        <v>156</v>
      </c>
      <c r="P460" s="29" t="s">
        <v>149</v>
      </c>
      <c r="Q460" s="29" t="s">
        <v>161</v>
      </c>
      <c r="R460" s="29" t="s">
        <v>145</v>
      </c>
      <c r="S460" s="27" t="s">
        <v>724</v>
      </c>
      <c r="T460" s="27" t="s">
        <v>541</v>
      </c>
      <c r="U460" s="27" t="s">
        <v>380</v>
      </c>
      <c r="V460" s="27" t="s">
        <v>60</v>
      </c>
      <c r="W460" s="27" t="s">
        <v>61</v>
      </c>
      <c r="X460" s="27" t="s">
        <v>5954</v>
      </c>
      <c r="Y460" s="27" t="s">
        <v>5955</v>
      </c>
      <c r="Z460" s="27" t="s">
        <v>723</v>
      </c>
      <c r="AA460" s="27" t="s">
        <v>724</v>
      </c>
      <c r="AB460" s="27" t="s">
        <v>541</v>
      </c>
      <c r="AC460" s="27" t="s">
        <v>5956</v>
      </c>
      <c r="AD460" s="27" t="s">
        <v>5957</v>
      </c>
      <c r="AE460" s="27" t="s">
        <v>110</v>
      </c>
      <c r="AF460" s="27" t="s">
        <v>5957</v>
      </c>
      <c r="AG460" s="27" t="s">
        <v>5958</v>
      </c>
      <c r="AH460" s="27" t="s">
        <v>1808</v>
      </c>
      <c r="AI460" s="27" t="s">
        <v>141</v>
      </c>
      <c r="AJ460" s="27" t="s">
        <v>50</v>
      </c>
      <c r="AK460" s="27" t="s">
        <v>50</v>
      </c>
      <c r="AL460" s="27"/>
      <c r="AM460" s="34">
        <v>281200000</v>
      </c>
      <c r="AN460" s="34">
        <v>216919643</v>
      </c>
      <c r="AO460" s="34">
        <v>38250000</v>
      </c>
      <c r="AP460" s="34">
        <v>23566071</v>
      </c>
      <c r="AQ460" s="34">
        <v>0</v>
      </c>
      <c r="AR460" s="34">
        <v>0</v>
      </c>
      <c r="AS460" s="34">
        <v>20535714</v>
      </c>
      <c r="AT460" s="34">
        <v>258200000</v>
      </c>
      <c r="AU460" s="34">
        <v>0</v>
      </c>
      <c r="AV460" s="34">
        <v>-23000000</v>
      </c>
      <c r="AW460" s="27" t="s">
        <v>498</v>
      </c>
      <c r="AX460" s="27" t="s">
        <v>498</v>
      </c>
      <c r="AY460" s="27" t="s">
        <v>83</v>
      </c>
      <c r="AZ460" s="27">
        <v>1</v>
      </c>
      <c r="BA460" s="27"/>
      <c r="BB460" s="27" t="s">
        <v>480</v>
      </c>
      <c r="BC460" s="27" t="s">
        <v>5959</v>
      </c>
      <c r="BD460" s="27" t="s">
        <v>480</v>
      </c>
      <c r="BE460" s="27" t="s">
        <v>480</v>
      </c>
      <c r="BF460" s="27" t="s">
        <v>5960</v>
      </c>
      <c r="BG460" s="27" t="s">
        <v>5961</v>
      </c>
      <c r="BH460" s="27" t="s">
        <v>465</v>
      </c>
      <c r="BI460" s="27" t="s">
        <v>498</v>
      </c>
      <c r="BJ460" s="27" t="s">
        <v>5962</v>
      </c>
      <c r="BK460" s="27" t="s">
        <v>468</v>
      </c>
      <c r="BL460" s="27" t="s">
        <v>5963</v>
      </c>
      <c r="BM460" s="38">
        <v>0</v>
      </c>
    </row>
    <row r="461" spans="1:65" x14ac:dyDescent="0.2">
      <c r="A461" s="37">
        <v>429</v>
      </c>
      <c r="B461" s="27">
        <v>146</v>
      </c>
      <c r="C461" s="27" t="s">
        <v>503</v>
      </c>
      <c r="D461" s="27" t="s">
        <v>5964</v>
      </c>
      <c r="E461" s="27" t="s">
        <v>5720</v>
      </c>
      <c r="F461" s="27" t="s">
        <v>5682</v>
      </c>
      <c r="G461" s="28">
        <v>2026</v>
      </c>
      <c r="H461" s="20" t="str">
        <f>VLOOKUP(U461,'[1]KODE TYPE standar'!$D:$U,17,0)</f>
        <v>HIACE</v>
      </c>
      <c r="I461" s="20" t="str">
        <f>VLOOKUP(U461,'[1]KODE TYPE standar'!$D:$U,16,0)</f>
        <v>HIACE</v>
      </c>
      <c r="J461" s="20" t="str">
        <f>VLOOKUP(U461,'[1]KODE TYPE standar'!$D:$U,18,0)</f>
        <v>HIACE PREMIO</v>
      </c>
      <c r="K461" s="27" t="s">
        <v>50</v>
      </c>
      <c r="L461" s="27" t="s">
        <v>110</v>
      </c>
      <c r="M461" s="27" t="s">
        <v>50</v>
      </c>
      <c r="N461" s="27" t="s">
        <v>141</v>
      </c>
      <c r="O461" s="28" t="s">
        <v>156</v>
      </c>
      <c r="P461" s="29" t="s">
        <v>149</v>
      </c>
      <c r="Q461" s="29" t="s">
        <v>161</v>
      </c>
      <c r="R461" s="29" t="s">
        <v>318</v>
      </c>
      <c r="S461" s="27" t="s">
        <v>601</v>
      </c>
      <c r="T461" s="27" t="s">
        <v>509</v>
      </c>
      <c r="U461" s="27" t="s">
        <v>173</v>
      </c>
      <c r="V461" s="27" t="s">
        <v>99</v>
      </c>
      <c r="W461" s="27" t="s">
        <v>61</v>
      </c>
      <c r="X461" s="27" t="s">
        <v>5965</v>
      </c>
      <c r="Y461" s="27" t="s">
        <v>5966</v>
      </c>
      <c r="Z461" s="27" t="s">
        <v>600</v>
      </c>
      <c r="AA461" s="27" t="s">
        <v>601</v>
      </c>
      <c r="AB461" s="27" t="s">
        <v>509</v>
      </c>
      <c r="AC461" s="27" t="s">
        <v>1672</v>
      </c>
      <c r="AD461" s="27" t="s">
        <v>5967</v>
      </c>
      <c r="AE461" s="27" t="s">
        <v>110</v>
      </c>
      <c r="AF461" s="27" t="s">
        <v>5968</v>
      </c>
      <c r="AG461" s="27" t="s">
        <v>1675</v>
      </c>
      <c r="AH461" s="27" t="s">
        <v>605</v>
      </c>
      <c r="AI461" s="27" t="s">
        <v>141</v>
      </c>
      <c r="AJ461" s="27" t="s">
        <v>50</v>
      </c>
      <c r="AK461" s="27" t="s">
        <v>50</v>
      </c>
      <c r="AL461" s="27"/>
      <c r="AM461" s="34">
        <v>679100000</v>
      </c>
      <c r="AN461" s="34">
        <v>525680804</v>
      </c>
      <c r="AO461" s="34">
        <v>90337500</v>
      </c>
      <c r="AP461" s="34">
        <v>58795982</v>
      </c>
      <c r="AQ461" s="34">
        <v>0</v>
      </c>
      <c r="AR461" s="34">
        <v>0</v>
      </c>
      <c r="AS461" s="34">
        <v>35714286</v>
      </c>
      <c r="AT461" s="34">
        <v>639100000</v>
      </c>
      <c r="AU461" s="34">
        <v>438100000</v>
      </c>
      <c r="AV461" s="34">
        <v>-40847637</v>
      </c>
      <c r="AW461" s="27"/>
      <c r="AX461" s="27"/>
      <c r="AY461" s="27" t="s">
        <v>83</v>
      </c>
      <c r="AZ461" s="27">
        <v>1</v>
      </c>
      <c r="BA461" s="27" t="s">
        <v>1677</v>
      </c>
      <c r="BB461" s="27" t="s">
        <v>495</v>
      </c>
      <c r="BC461" s="27" t="s">
        <v>5969</v>
      </c>
      <c r="BD461" s="27" t="s">
        <v>494</v>
      </c>
      <c r="BE461" s="27" t="s">
        <v>494</v>
      </c>
      <c r="BF461" s="27" t="s">
        <v>5970</v>
      </c>
      <c r="BG461" s="27" t="s">
        <v>5971</v>
      </c>
      <c r="BH461" s="27"/>
      <c r="BI461" s="27" t="s">
        <v>5972</v>
      </c>
      <c r="BJ461" s="27" t="s">
        <v>5973</v>
      </c>
      <c r="BK461" s="27" t="s">
        <v>484</v>
      </c>
      <c r="BL461" s="27" t="s">
        <v>5974</v>
      </c>
      <c r="BM461" s="38">
        <v>0</v>
      </c>
    </row>
    <row r="462" spans="1:65" x14ac:dyDescent="0.2">
      <c r="A462" s="37">
        <v>452</v>
      </c>
      <c r="B462" s="27">
        <v>146</v>
      </c>
      <c r="C462" s="27" t="s">
        <v>503</v>
      </c>
      <c r="D462" s="27" t="s">
        <v>5975</v>
      </c>
      <c r="E462" s="27" t="s">
        <v>460</v>
      </c>
      <c r="F462" s="27" t="s">
        <v>5682</v>
      </c>
      <c r="G462" s="28">
        <v>2026</v>
      </c>
      <c r="H462" s="20" t="str">
        <f>VLOOKUP(U462,'[1]KODE TYPE standar'!$D:$U,17,0)</f>
        <v>RUSH</v>
      </c>
      <c r="I462" s="20" t="str">
        <f>VLOOKUP(U462,'[1]KODE TYPE standar'!$D:$U,16,0)</f>
        <v>RUSH</v>
      </c>
      <c r="J462" s="20" t="str">
        <f>VLOOKUP(U462,'[1]KODE TYPE standar'!$D:$U,18,0)</f>
        <v>RUSH S M/T</v>
      </c>
      <c r="K462" s="27" t="s">
        <v>118</v>
      </c>
      <c r="L462" s="27" t="s">
        <v>110</v>
      </c>
      <c r="M462" s="27" t="s">
        <v>262</v>
      </c>
      <c r="N462" s="27" t="s">
        <v>106</v>
      </c>
      <c r="O462" s="28" t="s">
        <v>156</v>
      </c>
      <c r="P462" s="29" t="s">
        <v>151</v>
      </c>
      <c r="Q462" s="29" t="s">
        <v>147</v>
      </c>
      <c r="R462" s="29" t="s">
        <v>145</v>
      </c>
      <c r="S462" s="27" t="s">
        <v>3907</v>
      </c>
      <c r="T462" s="27" t="s">
        <v>541</v>
      </c>
      <c r="U462" s="27" t="s">
        <v>276</v>
      </c>
      <c r="V462" s="27" t="s">
        <v>60</v>
      </c>
      <c r="W462" s="27" t="s">
        <v>61</v>
      </c>
      <c r="X462" s="27" t="s">
        <v>5976</v>
      </c>
      <c r="Y462" s="27" t="s">
        <v>5977</v>
      </c>
      <c r="Z462" s="27" t="s">
        <v>3906</v>
      </c>
      <c r="AA462" s="27" t="s">
        <v>3907</v>
      </c>
      <c r="AB462" s="27" t="s">
        <v>541</v>
      </c>
      <c r="AC462" s="27" t="s">
        <v>5978</v>
      </c>
      <c r="AD462" s="27" t="s">
        <v>5979</v>
      </c>
      <c r="AE462" s="27" t="s">
        <v>110</v>
      </c>
      <c r="AF462" s="27" t="s">
        <v>5979</v>
      </c>
      <c r="AG462" s="27" t="s">
        <v>5980</v>
      </c>
      <c r="AH462" s="27" t="s">
        <v>1087</v>
      </c>
      <c r="AI462" s="27" t="s">
        <v>106</v>
      </c>
      <c r="AJ462" s="27" t="s">
        <v>262</v>
      </c>
      <c r="AK462" s="27" t="s">
        <v>63</v>
      </c>
      <c r="AL462" s="27"/>
      <c r="AM462" s="34">
        <v>312500000</v>
      </c>
      <c r="AN462" s="34">
        <v>241372768</v>
      </c>
      <c r="AO462" s="34">
        <v>42162500</v>
      </c>
      <c r="AP462" s="34">
        <v>27357589</v>
      </c>
      <c r="AQ462" s="34">
        <v>0</v>
      </c>
      <c r="AR462" s="34">
        <v>0</v>
      </c>
      <c r="AS462" s="34">
        <v>13392857</v>
      </c>
      <c r="AT462" s="34">
        <v>297500000</v>
      </c>
      <c r="AU462" s="34">
        <v>0</v>
      </c>
      <c r="AV462" s="34">
        <v>-15000000</v>
      </c>
      <c r="AW462" s="27" t="s">
        <v>5715</v>
      </c>
      <c r="AX462" s="27" t="s">
        <v>5715</v>
      </c>
      <c r="AY462" s="27" t="s">
        <v>83</v>
      </c>
      <c r="AZ462" s="27">
        <v>1</v>
      </c>
      <c r="BA462" s="27"/>
      <c r="BB462" s="27" t="s">
        <v>456</v>
      </c>
      <c r="BC462" s="27" t="s">
        <v>5981</v>
      </c>
      <c r="BD462" s="27" t="s">
        <v>479</v>
      </c>
      <c r="BE462" s="27" t="s">
        <v>479</v>
      </c>
      <c r="BF462" s="27" t="s">
        <v>5982</v>
      </c>
      <c r="BG462" s="27" t="s">
        <v>5983</v>
      </c>
      <c r="BH462" s="27" t="s">
        <v>460</v>
      </c>
      <c r="BI462" s="27" t="s">
        <v>5720</v>
      </c>
      <c r="BJ462" s="27" t="s">
        <v>5984</v>
      </c>
      <c r="BK462" s="27" t="s">
        <v>470</v>
      </c>
      <c r="BL462" s="27" t="s">
        <v>5985</v>
      </c>
      <c r="BM462" s="38">
        <v>0</v>
      </c>
    </row>
    <row r="463" spans="1:65" x14ac:dyDescent="0.2">
      <c r="A463" s="37">
        <v>478</v>
      </c>
      <c r="B463" s="27">
        <v>146</v>
      </c>
      <c r="C463" s="27" t="s">
        <v>503</v>
      </c>
      <c r="D463" s="27" t="s">
        <v>5986</v>
      </c>
      <c r="E463" s="27" t="s">
        <v>468</v>
      </c>
      <c r="F463" s="27" t="s">
        <v>5682</v>
      </c>
      <c r="G463" s="28">
        <v>2026</v>
      </c>
      <c r="H463" s="20" t="str">
        <f>VLOOKUP(U463,'[1]KODE TYPE standar'!$D:$U,17,0)</f>
        <v>CALYA</v>
      </c>
      <c r="I463" s="20" t="str">
        <f>VLOOKUP(U463,'[1]KODE TYPE standar'!$D:$U,16,0)</f>
        <v>CALYA</v>
      </c>
      <c r="J463" s="20" t="str">
        <f>VLOOKUP(U463,'[1]KODE TYPE standar'!$D:$U,18,0)</f>
        <v>CALYA G M/T</v>
      </c>
      <c r="K463" s="27" t="s">
        <v>119</v>
      </c>
      <c r="L463" s="27" t="s">
        <v>110</v>
      </c>
      <c r="M463" s="27" t="s">
        <v>262</v>
      </c>
      <c r="N463" s="27" t="s">
        <v>144</v>
      </c>
      <c r="O463" s="28" t="s">
        <v>6581</v>
      </c>
      <c r="P463" s="29" t="s">
        <v>151</v>
      </c>
      <c r="Q463" s="29" t="s">
        <v>161</v>
      </c>
      <c r="R463" s="29" t="s">
        <v>145</v>
      </c>
      <c r="S463" s="27" t="s">
        <v>795</v>
      </c>
      <c r="T463" s="27" t="s">
        <v>509</v>
      </c>
      <c r="U463" s="27" t="s">
        <v>268</v>
      </c>
      <c r="V463" s="27" t="s">
        <v>60</v>
      </c>
      <c r="W463" s="27" t="s">
        <v>61</v>
      </c>
      <c r="X463" s="27" t="s">
        <v>5987</v>
      </c>
      <c r="Y463" s="27" t="s">
        <v>5988</v>
      </c>
      <c r="Z463" s="27" t="s">
        <v>794</v>
      </c>
      <c r="AA463" s="27" t="s">
        <v>795</v>
      </c>
      <c r="AB463" s="27" t="s">
        <v>509</v>
      </c>
      <c r="AC463" s="27" t="s">
        <v>5989</v>
      </c>
      <c r="AD463" s="27" t="s">
        <v>5990</v>
      </c>
      <c r="AE463" s="27" t="s">
        <v>110</v>
      </c>
      <c r="AF463" s="27" t="s">
        <v>5990</v>
      </c>
      <c r="AG463" s="27" t="s">
        <v>5991</v>
      </c>
      <c r="AH463" s="27" t="s">
        <v>5992</v>
      </c>
      <c r="AI463" s="27" t="s">
        <v>144</v>
      </c>
      <c r="AJ463" s="27" t="s">
        <v>262</v>
      </c>
      <c r="AK463" s="27" t="s">
        <v>89</v>
      </c>
      <c r="AL463" s="27" t="s">
        <v>5993</v>
      </c>
      <c r="AM463" s="34">
        <v>182700000</v>
      </c>
      <c r="AN463" s="34">
        <v>137399554</v>
      </c>
      <c r="AO463" s="34">
        <v>28812500</v>
      </c>
      <c r="AP463" s="34">
        <v>15416517</v>
      </c>
      <c r="AQ463" s="34">
        <v>0</v>
      </c>
      <c r="AR463" s="34">
        <v>0</v>
      </c>
      <c r="AS463" s="34">
        <v>8928571</v>
      </c>
      <c r="AT463" s="34">
        <v>172700000</v>
      </c>
      <c r="AU463" s="34">
        <v>0</v>
      </c>
      <c r="AV463" s="34">
        <v>-10000000</v>
      </c>
      <c r="AW463" s="27" t="s">
        <v>456</v>
      </c>
      <c r="AX463" s="27" t="s">
        <v>456</v>
      </c>
      <c r="AY463" s="27" t="s">
        <v>83</v>
      </c>
      <c r="AZ463" s="27">
        <v>1</v>
      </c>
      <c r="BA463" s="27"/>
      <c r="BB463" s="27" t="s">
        <v>473</v>
      </c>
      <c r="BC463" s="27" t="s">
        <v>5994</v>
      </c>
      <c r="BD463" s="27" t="s">
        <v>475</v>
      </c>
      <c r="BE463" s="27" t="s">
        <v>475</v>
      </c>
      <c r="BF463" s="27" t="s">
        <v>5995</v>
      </c>
      <c r="BG463" s="27" t="s">
        <v>5996</v>
      </c>
      <c r="BH463" s="27" t="s">
        <v>468</v>
      </c>
      <c r="BI463" s="27" t="s">
        <v>5745</v>
      </c>
      <c r="BJ463" s="27" t="s">
        <v>5997</v>
      </c>
      <c r="BK463" s="27" t="s">
        <v>481</v>
      </c>
      <c r="BL463" s="27" t="s">
        <v>5998</v>
      </c>
      <c r="BM463" s="38">
        <v>0</v>
      </c>
    </row>
    <row r="464" spans="1:65" x14ac:dyDescent="0.2">
      <c r="A464" s="37">
        <v>482</v>
      </c>
      <c r="B464" s="27">
        <v>146</v>
      </c>
      <c r="C464" s="27" t="s">
        <v>503</v>
      </c>
      <c r="D464" s="27" t="s">
        <v>5999</v>
      </c>
      <c r="E464" s="27" t="s">
        <v>477</v>
      </c>
      <c r="F464" s="27" t="s">
        <v>5682</v>
      </c>
      <c r="G464" s="28">
        <v>2026</v>
      </c>
      <c r="H464" s="20" t="str">
        <f>VLOOKUP(U464,'[1]KODE TYPE standar'!$D:$U,17,0)</f>
        <v>INV REBORN</v>
      </c>
      <c r="I464" s="20" t="str">
        <f>VLOOKUP(U464,'[1]KODE TYPE standar'!$D:$U,16,0)</f>
        <v>INNOVA</v>
      </c>
      <c r="J464" s="20" t="str">
        <f>VLOOKUP(U464,'[1]KODE TYPE standar'!$D:$U,18,0)</f>
        <v>INNOVA G A/T DIESEL</v>
      </c>
      <c r="K464" s="27" t="s">
        <v>118</v>
      </c>
      <c r="L464" s="27" t="s">
        <v>110</v>
      </c>
      <c r="M464" s="27" t="s">
        <v>262</v>
      </c>
      <c r="N464" s="27" t="s">
        <v>107</v>
      </c>
      <c r="O464" s="28" t="s">
        <v>6581</v>
      </c>
      <c r="P464" s="29" t="s">
        <v>150</v>
      </c>
      <c r="Q464" s="29" t="s">
        <v>161</v>
      </c>
      <c r="R464" s="29" t="s">
        <v>145</v>
      </c>
      <c r="S464" s="27" t="s">
        <v>631</v>
      </c>
      <c r="T464" s="27" t="s">
        <v>509</v>
      </c>
      <c r="U464" s="27" t="s">
        <v>192</v>
      </c>
      <c r="V464" s="27" t="s">
        <v>48</v>
      </c>
      <c r="W464" s="27" t="s">
        <v>49</v>
      </c>
      <c r="X464" s="27" t="s">
        <v>6000</v>
      </c>
      <c r="Y464" s="27" t="s">
        <v>6001</v>
      </c>
      <c r="Z464" s="27" t="s">
        <v>630</v>
      </c>
      <c r="AA464" s="27" t="s">
        <v>631</v>
      </c>
      <c r="AB464" s="27" t="s">
        <v>509</v>
      </c>
      <c r="AC464" s="27" t="s">
        <v>6002</v>
      </c>
      <c r="AD464" s="27" t="s">
        <v>6003</v>
      </c>
      <c r="AE464" s="27" t="s">
        <v>110</v>
      </c>
      <c r="AF464" s="27" t="s">
        <v>6004</v>
      </c>
      <c r="AG464" s="27" t="s">
        <v>6005</v>
      </c>
      <c r="AH464" s="27" t="s">
        <v>6006</v>
      </c>
      <c r="AI464" s="27" t="s">
        <v>107</v>
      </c>
      <c r="AJ464" s="27" t="s">
        <v>262</v>
      </c>
      <c r="AK464" s="27" t="s">
        <v>63</v>
      </c>
      <c r="AL464" s="27"/>
      <c r="AM464" s="34">
        <v>442700000</v>
      </c>
      <c r="AN464" s="34">
        <v>342689732</v>
      </c>
      <c r="AO464" s="34">
        <v>58887500</v>
      </c>
      <c r="AP464" s="34">
        <v>38979910</v>
      </c>
      <c r="AQ464" s="34">
        <v>0</v>
      </c>
      <c r="AR464" s="34">
        <v>0</v>
      </c>
      <c r="AS464" s="34">
        <v>17857143</v>
      </c>
      <c r="AT464" s="34">
        <v>422700000</v>
      </c>
      <c r="AU464" s="34">
        <v>0</v>
      </c>
      <c r="AV464" s="34">
        <v>-20000000</v>
      </c>
      <c r="AW464" s="27" t="s">
        <v>5795</v>
      </c>
      <c r="AX464" s="27" t="s">
        <v>5795</v>
      </c>
      <c r="AY464" s="27" t="s">
        <v>83</v>
      </c>
      <c r="AZ464" s="27">
        <v>1</v>
      </c>
      <c r="BA464" s="27"/>
      <c r="BB464" s="27" t="s">
        <v>477</v>
      </c>
      <c r="BC464" s="27" t="s">
        <v>6007</v>
      </c>
      <c r="BD464" s="27" t="s">
        <v>456</v>
      </c>
      <c r="BE464" s="27" t="s">
        <v>456</v>
      </c>
      <c r="BF464" s="27" t="s">
        <v>6008</v>
      </c>
      <c r="BG464" s="27" t="s">
        <v>6009</v>
      </c>
      <c r="BH464" s="27" t="s">
        <v>477</v>
      </c>
      <c r="BI464" s="27" t="s">
        <v>495</v>
      </c>
      <c r="BJ464" s="27" t="s">
        <v>6010</v>
      </c>
      <c r="BK464" s="27" t="s">
        <v>421</v>
      </c>
      <c r="BL464" s="27" t="s">
        <v>6011</v>
      </c>
      <c r="BM464" s="38">
        <v>0</v>
      </c>
    </row>
    <row r="465" spans="1:65" x14ac:dyDescent="0.2">
      <c r="A465" s="37">
        <v>518</v>
      </c>
      <c r="B465" s="27">
        <v>146</v>
      </c>
      <c r="C465" s="27" t="s">
        <v>503</v>
      </c>
      <c r="D465" s="27" t="s">
        <v>6012</v>
      </c>
      <c r="E465" s="27" t="s">
        <v>484</v>
      </c>
      <c r="F465" s="27" t="s">
        <v>5682</v>
      </c>
      <c r="G465" s="28">
        <v>2026</v>
      </c>
      <c r="H465" s="20" t="str">
        <f>VLOOKUP(U465,'[1]KODE TYPE standar'!$D:$U,17,0)</f>
        <v>INV REBORN</v>
      </c>
      <c r="I465" s="20" t="str">
        <f>VLOOKUP(U465,'[1]KODE TYPE standar'!$D:$U,16,0)</f>
        <v>INNOVA</v>
      </c>
      <c r="J465" s="20" t="str">
        <f>VLOOKUP(U465,'[1]KODE TYPE standar'!$D:$U,18,0)</f>
        <v>INNOVA G A/T DIESEL</v>
      </c>
      <c r="K465" s="27" t="s">
        <v>120</v>
      </c>
      <c r="L465" s="27" t="s">
        <v>110</v>
      </c>
      <c r="M465" s="27" t="s">
        <v>262</v>
      </c>
      <c r="N465" s="27" t="s">
        <v>87</v>
      </c>
      <c r="O465" s="28" t="s">
        <v>6581</v>
      </c>
      <c r="P465" s="29" t="s">
        <v>149</v>
      </c>
      <c r="Q465" s="29" t="s">
        <v>162</v>
      </c>
      <c r="R465" s="29" t="s">
        <v>2197</v>
      </c>
      <c r="S465" s="27" t="s">
        <v>6016</v>
      </c>
      <c r="T465" s="27" t="s">
        <v>585</v>
      </c>
      <c r="U465" s="27" t="s">
        <v>192</v>
      </c>
      <c r="V465" s="27" t="s">
        <v>48</v>
      </c>
      <c r="W465" s="27" t="s">
        <v>49</v>
      </c>
      <c r="X465" s="27" t="s">
        <v>6013</v>
      </c>
      <c r="Y465" s="27" t="s">
        <v>6014</v>
      </c>
      <c r="Z465" s="27" t="s">
        <v>6015</v>
      </c>
      <c r="AA465" s="27" t="s">
        <v>6016</v>
      </c>
      <c r="AB465" s="27" t="s">
        <v>585</v>
      </c>
      <c r="AC465" s="27" t="s">
        <v>6017</v>
      </c>
      <c r="AD465" s="27" t="s">
        <v>6018</v>
      </c>
      <c r="AE465" s="27" t="s">
        <v>110</v>
      </c>
      <c r="AF465" s="27" t="s">
        <v>6018</v>
      </c>
      <c r="AG465" s="27" t="s">
        <v>6019</v>
      </c>
      <c r="AH465" s="27" t="s">
        <v>374</v>
      </c>
      <c r="AI465" s="27" t="s">
        <v>87</v>
      </c>
      <c r="AJ465" s="27" t="s">
        <v>262</v>
      </c>
      <c r="AK465" s="27" t="s">
        <v>423</v>
      </c>
      <c r="AL465" s="27"/>
      <c r="AM465" s="34">
        <v>438700000</v>
      </c>
      <c r="AN465" s="34">
        <v>340422768</v>
      </c>
      <c r="AO465" s="34">
        <v>57426500</v>
      </c>
      <c r="AP465" s="34">
        <v>37207875</v>
      </c>
      <c r="AQ465" s="34">
        <v>0</v>
      </c>
      <c r="AR465" s="34">
        <v>0</v>
      </c>
      <c r="AS465" s="34">
        <v>30357143</v>
      </c>
      <c r="AT465" s="34">
        <v>404700000</v>
      </c>
      <c r="AU465" s="34">
        <v>0</v>
      </c>
      <c r="AV465" s="34">
        <v>-34000000</v>
      </c>
      <c r="AW465" s="27"/>
      <c r="AX465" s="27"/>
      <c r="AY465" s="27" t="s">
        <v>83</v>
      </c>
      <c r="AZ465" s="27">
        <v>1</v>
      </c>
      <c r="BA465" s="27"/>
      <c r="BB465" s="27" t="s">
        <v>488</v>
      </c>
      <c r="BC465" s="27" t="s">
        <v>6020</v>
      </c>
      <c r="BD465" s="27" t="s">
        <v>5795</v>
      </c>
      <c r="BE465" s="27" t="s">
        <v>5795</v>
      </c>
      <c r="BF465" s="27" t="s">
        <v>6021</v>
      </c>
      <c r="BG465" s="27" t="s">
        <v>6022</v>
      </c>
      <c r="BH465" s="27" t="s">
        <v>484</v>
      </c>
      <c r="BI465" s="27" t="s">
        <v>5972</v>
      </c>
      <c r="BJ465" s="27" t="s">
        <v>5890</v>
      </c>
      <c r="BK465" s="27" t="s">
        <v>465</v>
      </c>
      <c r="BL465" s="27" t="s">
        <v>6023</v>
      </c>
      <c r="BM465" s="38">
        <v>0</v>
      </c>
    </row>
    <row r="466" spans="1:65" x14ac:dyDescent="0.2">
      <c r="A466" s="37">
        <v>543</v>
      </c>
      <c r="B466" s="27">
        <v>146</v>
      </c>
      <c r="C466" s="27" t="s">
        <v>503</v>
      </c>
      <c r="D466" s="27" t="s">
        <v>6024</v>
      </c>
      <c r="E466" s="27" t="s">
        <v>490</v>
      </c>
      <c r="F466" s="27" t="s">
        <v>5682</v>
      </c>
      <c r="G466" s="28">
        <v>2026</v>
      </c>
      <c r="H466" s="20" t="str">
        <f>VLOOKUP(U466,'[1]KODE TYPE standar'!$D:$U,17,0)</f>
        <v>CALYA</v>
      </c>
      <c r="I466" s="20" t="str">
        <f>VLOOKUP(U466,'[1]KODE TYPE standar'!$D:$U,16,0)</f>
        <v>CALYA</v>
      </c>
      <c r="J466" s="20" t="str">
        <f>VLOOKUP(U466,'[1]KODE TYPE standar'!$D:$U,18,0)</f>
        <v>CALYA G A/T</v>
      </c>
      <c r="K466" s="27" t="s">
        <v>118</v>
      </c>
      <c r="L466" s="27" t="s">
        <v>110</v>
      </c>
      <c r="M466" s="27" t="s">
        <v>262</v>
      </c>
      <c r="N466" s="27" t="s">
        <v>157</v>
      </c>
      <c r="O466" s="28" t="s">
        <v>6581</v>
      </c>
      <c r="P466" s="29" t="s">
        <v>151</v>
      </c>
      <c r="Q466" s="29" t="s">
        <v>162</v>
      </c>
      <c r="R466" s="29" t="s">
        <v>1016</v>
      </c>
      <c r="S466" s="27" t="s">
        <v>795</v>
      </c>
      <c r="T466" s="27" t="s">
        <v>509</v>
      </c>
      <c r="U466" s="27" t="s">
        <v>88</v>
      </c>
      <c r="V466" s="27" t="s">
        <v>96</v>
      </c>
      <c r="W466" s="27" t="s">
        <v>97</v>
      </c>
      <c r="X466" s="27" t="s">
        <v>6025</v>
      </c>
      <c r="Y466" s="27" t="s">
        <v>6026</v>
      </c>
      <c r="Z466" s="27" t="s">
        <v>794</v>
      </c>
      <c r="AA466" s="27" t="s">
        <v>795</v>
      </c>
      <c r="AB466" s="27" t="s">
        <v>509</v>
      </c>
      <c r="AC466" s="27" t="s">
        <v>6027</v>
      </c>
      <c r="AD466" s="27" t="s">
        <v>6028</v>
      </c>
      <c r="AE466" s="27" t="s">
        <v>110</v>
      </c>
      <c r="AF466" s="27" t="s">
        <v>6028</v>
      </c>
      <c r="AG466" s="27" t="s">
        <v>6029</v>
      </c>
      <c r="AH466" s="27" t="s">
        <v>6030</v>
      </c>
      <c r="AI466" s="27" t="s">
        <v>157</v>
      </c>
      <c r="AJ466" s="27" t="s">
        <v>262</v>
      </c>
      <c r="AK466" s="27" t="s">
        <v>63</v>
      </c>
      <c r="AL466" s="27"/>
      <c r="AM466" s="34">
        <v>197300000</v>
      </c>
      <c r="AN466" s="34">
        <v>151372768</v>
      </c>
      <c r="AO466" s="34">
        <v>27762500</v>
      </c>
      <c r="AP466" s="34">
        <v>16771875</v>
      </c>
      <c r="AQ466" s="34">
        <v>0</v>
      </c>
      <c r="AR466" s="34">
        <v>0</v>
      </c>
      <c r="AS466" s="34">
        <v>11607143</v>
      </c>
      <c r="AT466" s="34">
        <v>184300000</v>
      </c>
      <c r="AU466" s="34">
        <v>0</v>
      </c>
      <c r="AV466" s="34">
        <v>-13000000</v>
      </c>
      <c r="AW466" s="27"/>
      <c r="AX466" s="27"/>
      <c r="AY466" s="27" t="s">
        <v>83</v>
      </c>
      <c r="AZ466" s="27">
        <v>1</v>
      </c>
      <c r="BA466" s="27"/>
      <c r="BB466" s="27" t="s">
        <v>498</v>
      </c>
      <c r="BC466" s="27" t="s">
        <v>6031</v>
      </c>
      <c r="BD466" s="27" t="s">
        <v>5872</v>
      </c>
      <c r="BE466" s="27" t="s">
        <v>5872</v>
      </c>
      <c r="BF466" s="27" t="s">
        <v>6032</v>
      </c>
      <c r="BG466" s="27" t="s">
        <v>6033</v>
      </c>
      <c r="BH466" s="27" t="s">
        <v>490</v>
      </c>
      <c r="BI466" s="27" t="s">
        <v>5787</v>
      </c>
      <c r="BJ466" s="27" t="s">
        <v>6034</v>
      </c>
      <c r="BK466" s="27" t="s">
        <v>465</v>
      </c>
      <c r="BL466" s="27" t="s">
        <v>6035</v>
      </c>
      <c r="BM466" s="38">
        <v>0</v>
      </c>
    </row>
    <row r="467" spans="1:65" x14ac:dyDescent="0.2">
      <c r="A467" s="37">
        <v>570</v>
      </c>
      <c r="B467" s="27">
        <v>146</v>
      </c>
      <c r="C467" s="27" t="s">
        <v>503</v>
      </c>
      <c r="D467" s="27" t="s">
        <v>6036</v>
      </c>
      <c r="E467" s="27" t="s">
        <v>456</v>
      </c>
      <c r="F467" s="27" t="s">
        <v>5682</v>
      </c>
      <c r="G467" s="28">
        <v>2026</v>
      </c>
      <c r="H467" s="20" t="str">
        <f>VLOOKUP(U467,'[1]KODE TYPE standar'!$D:$U,17,0)</f>
        <v>CALYA</v>
      </c>
      <c r="I467" s="20" t="str">
        <f>VLOOKUP(U467,'[1]KODE TYPE standar'!$D:$U,16,0)</f>
        <v>CALYA</v>
      </c>
      <c r="J467" s="20" t="str">
        <f>VLOOKUP(U467,'[1]KODE TYPE standar'!$D:$U,18,0)</f>
        <v>CALYA G M/T</v>
      </c>
      <c r="K467" s="27" t="s">
        <v>119</v>
      </c>
      <c r="L467" s="27" t="s">
        <v>110</v>
      </c>
      <c r="M467" s="27" t="s">
        <v>262</v>
      </c>
      <c r="N467" s="27" t="s">
        <v>141</v>
      </c>
      <c r="O467" s="28" t="s">
        <v>156</v>
      </c>
      <c r="P467" s="29" t="s">
        <v>149</v>
      </c>
      <c r="Q467" s="29" t="s">
        <v>161</v>
      </c>
      <c r="R467" s="29" t="s">
        <v>1016</v>
      </c>
      <c r="S467" s="27" t="s">
        <v>877</v>
      </c>
      <c r="T467" s="27" t="s">
        <v>585</v>
      </c>
      <c r="U467" s="27" t="s">
        <v>268</v>
      </c>
      <c r="V467" s="27" t="s">
        <v>77</v>
      </c>
      <c r="W467" s="27" t="s">
        <v>78</v>
      </c>
      <c r="X467" s="27" t="s">
        <v>6037</v>
      </c>
      <c r="Y467" s="27" t="s">
        <v>6038</v>
      </c>
      <c r="Z467" s="27" t="s">
        <v>876</v>
      </c>
      <c r="AA467" s="27" t="s">
        <v>877</v>
      </c>
      <c r="AB467" s="27" t="s">
        <v>585</v>
      </c>
      <c r="AC467" s="27" t="s">
        <v>6039</v>
      </c>
      <c r="AD467" s="27" t="s">
        <v>6040</v>
      </c>
      <c r="AE467" s="27" t="s">
        <v>110</v>
      </c>
      <c r="AF467" s="27" t="s">
        <v>6040</v>
      </c>
      <c r="AG467" s="27" t="s">
        <v>6041</v>
      </c>
      <c r="AH467" s="27" t="s">
        <v>605</v>
      </c>
      <c r="AI467" s="27" t="s">
        <v>141</v>
      </c>
      <c r="AJ467" s="27" t="s">
        <v>262</v>
      </c>
      <c r="AK467" s="27" t="s">
        <v>89</v>
      </c>
      <c r="AL467" s="27"/>
      <c r="AM467" s="34">
        <v>182700000</v>
      </c>
      <c r="AN467" s="34">
        <v>139966518</v>
      </c>
      <c r="AO467" s="34">
        <v>25937500</v>
      </c>
      <c r="AP467" s="34">
        <v>15724553</v>
      </c>
      <c r="AQ467" s="34">
        <v>0</v>
      </c>
      <c r="AR467" s="34">
        <v>0</v>
      </c>
      <c r="AS467" s="34">
        <v>8928571</v>
      </c>
      <c r="AT467" s="34">
        <v>172700000</v>
      </c>
      <c r="AU467" s="34">
        <v>0</v>
      </c>
      <c r="AV467" s="34">
        <v>-10000000</v>
      </c>
      <c r="AW467" s="27" t="s">
        <v>5836</v>
      </c>
      <c r="AX467" s="27" t="s">
        <v>5836</v>
      </c>
      <c r="AY467" s="27" t="s">
        <v>83</v>
      </c>
      <c r="AZ467" s="27">
        <v>1</v>
      </c>
      <c r="BA467" s="27"/>
      <c r="BB467" s="27" t="s">
        <v>473</v>
      </c>
      <c r="BC467" s="27" t="s">
        <v>6042</v>
      </c>
      <c r="BD467" s="27" t="s">
        <v>474</v>
      </c>
      <c r="BE467" s="27" t="s">
        <v>474</v>
      </c>
      <c r="BF467" s="27" t="s">
        <v>6043</v>
      </c>
      <c r="BG467" s="27" t="s">
        <v>6044</v>
      </c>
      <c r="BH467" s="27" t="s">
        <v>456</v>
      </c>
      <c r="BI467" s="27" t="s">
        <v>5836</v>
      </c>
      <c r="BJ467" s="27" t="s">
        <v>5693</v>
      </c>
      <c r="BK467" s="27" t="s">
        <v>473</v>
      </c>
      <c r="BL467" s="27" t="s">
        <v>6045</v>
      </c>
      <c r="BM467" s="38">
        <v>0</v>
      </c>
    </row>
    <row r="468" spans="1:65" x14ac:dyDescent="0.2">
      <c r="A468" s="37">
        <v>596</v>
      </c>
      <c r="B468" s="27">
        <v>146</v>
      </c>
      <c r="C468" s="27" t="s">
        <v>503</v>
      </c>
      <c r="D468" s="27" t="s">
        <v>6046</v>
      </c>
      <c r="E468" s="27" t="s">
        <v>5745</v>
      </c>
      <c r="F468" s="27" t="s">
        <v>5682</v>
      </c>
      <c r="G468" s="28">
        <v>2026</v>
      </c>
      <c r="H468" s="20" t="str">
        <f>VLOOKUP(U468,'[1]KODE TYPE standar'!$D:$U,17,0)</f>
        <v>VELOZ</v>
      </c>
      <c r="I468" s="20" t="str">
        <f>VLOOKUP(U468,'[1]KODE TYPE standar'!$D:$U,16,0)</f>
        <v>VELOZ</v>
      </c>
      <c r="J468" s="20" t="str">
        <f>VLOOKUP(U468,'[1]KODE TYPE standar'!$D:$U,18,0)</f>
        <v>VELOZ Q AT HYBRID</v>
      </c>
      <c r="K468" s="27" t="s">
        <v>118</v>
      </c>
      <c r="L468" s="27" t="s">
        <v>110</v>
      </c>
      <c r="M468" s="27" t="s">
        <v>262</v>
      </c>
      <c r="N468" s="27" t="s">
        <v>139</v>
      </c>
      <c r="O468" s="28" t="s">
        <v>156</v>
      </c>
      <c r="P468" s="29" t="s">
        <v>536</v>
      </c>
      <c r="Q468" s="29" t="s">
        <v>161</v>
      </c>
      <c r="R468" s="29" t="s">
        <v>597</v>
      </c>
      <c r="S468" s="27" t="s">
        <v>631</v>
      </c>
      <c r="T468" s="27" t="s">
        <v>509</v>
      </c>
      <c r="U468" s="27" t="s">
        <v>337</v>
      </c>
      <c r="V468" s="27" t="s">
        <v>51</v>
      </c>
      <c r="W468" s="27" t="s">
        <v>286</v>
      </c>
      <c r="X468" s="27" t="s">
        <v>6047</v>
      </c>
      <c r="Y468" s="27" t="s">
        <v>6048</v>
      </c>
      <c r="Z468" s="27" t="s">
        <v>630</v>
      </c>
      <c r="AA468" s="27" t="s">
        <v>631</v>
      </c>
      <c r="AB468" s="27" t="s">
        <v>509</v>
      </c>
      <c r="AC468" s="27" t="s">
        <v>6049</v>
      </c>
      <c r="AD468" s="27" t="s">
        <v>5114</v>
      </c>
      <c r="AE468" s="27" t="s">
        <v>110</v>
      </c>
      <c r="AF468" s="27" t="s">
        <v>5114</v>
      </c>
      <c r="AG468" s="27" t="s">
        <v>6050</v>
      </c>
      <c r="AH468" s="27" t="s">
        <v>913</v>
      </c>
      <c r="AI468" s="27" t="s">
        <v>139</v>
      </c>
      <c r="AJ468" s="27" t="s">
        <v>262</v>
      </c>
      <c r="AK468" s="27" t="s">
        <v>63</v>
      </c>
      <c r="AL468" s="27"/>
      <c r="AM468" s="34">
        <v>326500000</v>
      </c>
      <c r="AN468" s="34">
        <v>252310268</v>
      </c>
      <c r="AO468" s="34">
        <v>43912500</v>
      </c>
      <c r="AP468" s="34">
        <v>29420089</v>
      </c>
      <c r="AQ468" s="34">
        <v>0</v>
      </c>
      <c r="AR468" s="34">
        <v>0</v>
      </c>
      <c r="AS468" s="34">
        <v>7142857</v>
      </c>
      <c r="AT468" s="34">
        <v>318500000</v>
      </c>
      <c r="AU468" s="34">
        <v>0</v>
      </c>
      <c r="AV468" s="34">
        <v>-8000000</v>
      </c>
      <c r="AW468" s="27" t="s">
        <v>495</v>
      </c>
      <c r="AX468" s="27" t="s">
        <v>495</v>
      </c>
      <c r="AY468" s="27" t="s">
        <v>83</v>
      </c>
      <c r="AZ468" s="27">
        <v>1</v>
      </c>
      <c r="BA468" s="27"/>
      <c r="BB468" s="27" t="s">
        <v>5872</v>
      </c>
      <c r="BC468" s="27" t="s">
        <v>6051</v>
      </c>
      <c r="BD468" s="27" t="s">
        <v>5872</v>
      </c>
      <c r="BE468" s="27" t="s">
        <v>5872</v>
      </c>
      <c r="BF468" s="27" t="s">
        <v>6052</v>
      </c>
      <c r="BG468" s="27" t="s">
        <v>6053</v>
      </c>
      <c r="BH468" s="27" t="s">
        <v>5745</v>
      </c>
      <c r="BI468" s="27" t="s">
        <v>5876</v>
      </c>
      <c r="BJ468" s="27" t="s">
        <v>6054</v>
      </c>
      <c r="BK468" s="27" t="s">
        <v>472</v>
      </c>
      <c r="BL468" s="27" t="s">
        <v>6055</v>
      </c>
      <c r="BM468" s="38">
        <v>0</v>
      </c>
    </row>
    <row r="469" spans="1:65" x14ac:dyDescent="0.2">
      <c r="A469" s="37">
        <v>600</v>
      </c>
      <c r="B469" s="27">
        <v>146</v>
      </c>
      <c r="C469" s="27" t="s">
        <v>503</v>
      </c>
      <c r="D469" s="27" t="s">
        <v>6056</v>
      </c>
      <c r="E469" s="27" t="s">
        <v>5720</v>
      </c>
      <c r="F469" s="27" t="s">
        <v>5682</v>
      </c>
      <c r="G469" s="28">
        <v>2026</v>
      </c>
      <c r="H469" s="20" t="str">
        <f>VLOOKUP(U469,'[1]KODE TYPE standar'!$D:$U,17,0)</f>
        <v>AVANZA</v>
      </c>
      <c r="I469" s="20" t="str">
        <f>VLOOKUP(U469,'[1]KODE TYPE standar'!$D:$U,16,0)</f>
        <v>AVANZA</v>
      </c>
      <c r="J469" s="20" t="str">
        <f>VLOOKUP(U469,'[1]KODE TYPE standar'!$D:$U,18,0)</f>
        <v>AVANZA G A/T</v>
      </c>
      <c r="K469" s="27" t="s">
        <v>119</v>
      </c>
      <c r="L469" s="27" t="s">
        <v>110</v>
      </c>
      <c r="M469" s="27" t="s">
        <v>262</v>
      </c>
      <c r="N469" s="27" t="s">
        <v>159</v>
      </c>
      <c r="O469" s="28" t="s">
        <v>6581</v>
      </c>
      <c r="P469" s="29" t="s">
        <v>536</v>
      </c>
      <c r="Q469" s="29" t="s">
        <v>162</v>
      </c>
      <c r="R469" s="29" t="s">
        <v>145</v>
      </c>
      <c r="S469" s="27" t="s">
        <v>795</v>
      </c>
      <c r="T469" s="27" t="s">
        <v>509</v>
      </c>
      <c r="U469" s="27" t="s">
        <v>329</v>
      </c>
      <c r="V469" s="27" t="s">
        <v>60</v>
      </c>
      <c r="W469" s="27" t="s">
        <v>61</v>
      </c>
      <c r="X469" s="27" t="s">
        <v>6057</v>
      </c>
      <c r="Y469" s="27" t="s">
        <v>6058</v>
      </c>
      <c r="Z469" s="27" t="s">
        <v>794</v>
      </c>
      <c r="AA469" s="27" t="s">
        <v>795</v>
      </c>
      <c r="AB469" s="27" t="s">
        <v>509</v>
      </c>
      <c r="AC469" s="27" t="s">
        <v>6059</v>
      </c>
      <c r="AD469" s="27" t="s">
        <v>6060</v>
      </c>
      <c r="AE469" s="27" t="s">
        <v>110</v>
      </c>
      <c r="AF469" s="27" t="s">
        <v>6060</v>
      </c>
      <c r="AG469" s="27" t="s">
        <v>6061</v>
      </c>
      <c r="AH469" s="27" t="s">
        <v>502</v>
      </c>
      <c r="AI469" s="27" t="s">
        <v>159</v>
      </c>
      <c r="AJ469" s="27" t="s">
        <v>262</v>
      </c>
      <c r="AK469" s="27" t="s">
        <v>89</v>
      </c>
      <c r="AL469" s="27"/>
      <c r="AM469" s="34">
        <v>285500000</v>
      </c>
      <c r="AN469" s="34">
        <v>219305804</v>
      </c>
      <c r="AO469" s="34">
        <v>39877500</v>
      </c>
      <c r="AP469" s="34">
        <v>23959553</v>
      </c>
      <c r="AQ469" s="34">
        <v>0</v>
      </c>
      <c r="AR469" s="34">
        <v>0</v>
      </c>
      <c r="AS469" s="34">
        <v>19642857</v>
      </c>
      <c r="AT469" s="34">
        <v>263500000</v>
      </c>
      <c r="AU469" s="34">
        <v>64000000</v>
      </c>
      <c r="AV469" s="34">
        <v>-22000000</v>
      </c>
      <c r="AW469" s="27"/>
      <c r="AX469" s="27"/>
      <c r="AY469" s="27" t="s">
        <v>83</v>
      </c>
      <c r="AZ469" s="27">
        <v>1</v>
      </c>
      <c r="BA469" s="27"/>
      <c r="BB469" s="27" t="s">
        <v>406</v>
      </c>
      <c r="BC469" s="27" t="s">
        <v>6062</v>
      </c>
      <c r="BD469" s="27" t="s">
        <v>403</v>
      </c>
      <c r="BE469" s="27" t="s">
        <v>403</v>
      </c>
      <c r="BF469" s="27" t="s">
        <v>6063</v>
      </c>
      <c r="BG469" s="27" t="s">
        <v>6064</v>
      </c>
      <c r="BH469" s="27"/>
      <c r="BI469" s="27" t="s">
        <v>6065</v>
      </c>
      <c r="BJ469" s="27" t="s">
        <v>6066</v>
      </c>
      <c r="BK469" s="27" t="s">
        <v>5745</v>
      </c>
      <c r="BL469" s="27" t="s">
        <v>6067</v>
      </c>
      <c r="BM469" s="38">
        <v>0</v>
      </c>
    </row>
    <row r="470" spans="1:65" x14ac:dyDescent="0.2">
      <c r="A470" s="37">
        <v>611</v>
      </c>
      <c r="B470" s="27">
        <v>146</v>
      </c>
      <c r="C470" s="27" t="s">
        <v>503</v>
      </c>
      <c r="D470" s="27" t="s">
        <v>6068</v>
      </c>
      <c r="E470" s="27" t="s">
        <v>5708</v>
      </c>
      <c r="F470" s="27" t="s">
        <v>5682</v>
      </c>
      <c r="G470" s="28">
        <v>2026</v>
      </c>
      <c r="H470" s="20" t="str">
        <f>VLOOKUP(U470,'[1]KODE TYPE standar'!$D:$U,17,0)</f>
        <v>FORTUNER</v>
      </c>
      <c r="I470" s="20" t="str">
        <f>VLOOKUP(U470,'[1]KODE TYPE standar'!$D:$U,16,0)</f>
        <v>FORTUNER</v>
      </c>
      <c r="J470" s="20" t="str">
        <f>VLOOKUP(U470,'[1]KODE TYPE standar'!$D:$U,18,0)</f>
        <v>FORTUNER 4X2 VRZ A/T DIESEL</v>
      </c>
      <c r="K470" s="27" t="s">
        <v>118</v>
      </c>
      <c r="L470" s="27" t="s">
        <v>110</v>
      </c>
      <c r="M470" s="27" t="s">
        <v>262</v>
      </c>
      <c r="N470" s="27" t="s">
        <v>140</v>
      </c>
      <c r="O470" s="28" t="s">
        <v>156</v>
      </c>
      <c r="P470" s="29" t="s">
        <v>149</v>
      </c>
      <c r="Q470" s="29" t="s">
        <v>161</v>
      </c>
      <c r="R470" s="29" t="s">
        <v>145</v>
      </c>
      <c r="S470" s="27" t="s">
        <v>540</v>
      </c>
      <c r="T470" s="27" t="s">
        <v>541</v>
      </c>
      <c r="U470" s="27" t="s">
        <v>122</v>
      </c>
      <c r="V470" s="27" t="s">
        <v>48</v>
      </c>
      <c r="W470" s="27" t="s">
        <v>49</v>
      </c>
      <c r="X470" s="27" t="s">
        <v>6069</v>
      </c>
      <c r="Y470" s="27" t="s">
        <v>6070</v>
      </c>
      <c r="Z470" s="27" t="s">
        <v>539</v>
      </c>
      <c r="AA470" s="27" t="s">
        <v>540</v>
      </c>
      <c r="AB470" s="27" t="s">
        <v>541</v>
      </c>
      <c r="AC470" s="27" t="s">
        <v>6071</v>
      </c>
      <c r="AD470" s="27" t="s">
        <v>6072</v>
      </c>
      <c r="AE470" s="27" t="s">
        <v>110</v>
      </c>
      <c r="AF470" s="27" t="s">
        <v>6072</v>
      </c>
      <c r="AG470" s="27" t="s">
        <v>6073</v>
      </c>
      <c r="AH470" s="27" t="s">
        <v>559</v>
      </c>
      <c r="AI470" s="27" t="s">
        <v>140</v>
      </c>
      <c r="AJ470" s="27" t="s">
        <v>262</v>
      </c>
      <c r="AK470" s="27" t="s">
        <v>63</v>
      </c>
      <c r="AL470" s="27"/>
      <c r="AM470" s="34">
        <v>680700000</v>
      </c>
      <c r="AN470" s="34">
        <v>529029018</v>
      </c>
      <c r="AO470" s="34">
        <v>88187500</v>
      </c>
      <c r="AP470" s="34">
        <v>58126446</v>
      </c>
      <c r="AQ470" s="34">
        <v>0</v>
      </c>
      <c r="AR470" s="34">
        <v>0</v>
      </c>
      <c r="AS470" s="34">
        <v>44641964</v>
      </c>
      <c r="AT470" s="34">
        <v>630701000</v>
      </c>
      <c r="AU470" s="34">
        <v>0</v>
      </c>
      <c r="AV470" s="34">
        <v>-49999000</v>
      </c>
      <c r="AW470" s="27"/>
      <c r="AX470" s="27"/>
      <c r="AY470" s="27" t="s">
        <v>83</v>
      </c>
      <c r="AZ470" s="27">
        <v>1</v>
      </c>
      <c r="BA470" s="27"/>
      <c r="BB470" s="27" t="s">
        <v>485</v>
      </c>
      <c r="BC470" s="27" t="s">
        <v>6074</v>
      </c>
      <c r="BD470" s="27" t="s">
        <v>485</v>
      </c>
      <c r="BE470" s="27" t="s">
        <v>485</v>
      </c>
      <c r="BF470" s="27" t="s">
        <v>6075</v>
      </c>
      <c r="BG470" s="27" t="s">
        <v>6076</v>
      </c>
      <c r="BH470" s="27"/>
      <c r="BI470" s="27" t="s">
        <v>5718</v>
      </c>
      <c r="BJ470" s="27" t="s">
        <v>6077</v>
      </c>
      <c r="BK470" s="27" t="s">
        <v>399</v>
      </c>
      <c r="BL470" s="27" t="s">
        <v>6078</v>
      </c>
      <c r="BM470" s="38">
        <v>0</v>
      </c>
    </row>
    <row r="471" spans="1:65" x14ac:dyDescent="0.2">
      <c r="A471" s="37">
        <v>618</v>
      </c>
      <c r="B471" s="27">
        <v>146</v>
      </c>
      <c r="C471" s="27" t="s">
        <v>503</v>
      </c>
      <c r="D471" s="27" t="s">
        <v>6079</v>
      </c>
      <c r="E471" s="27" t="s">
        <v>479</v>
      </c>
      <c r="F471" s="27" t="s">
        <v>5682</v>
      </c>
      <c r="G471" s="28">
        <v>2026</v>
      </c>
      <c r="H471" s="20" t="str">
        <f>VLOOKUP(U471,'[1]KODE TYPE standar'!$D:$U,17,0)</f>
        <v>VELOZ</v>
      </c>
      <c r="I471" s="20" t="str">
        <f>VLOOKUP(U471,'[1]KODE TYPE standar'!$D:$U,16,0)</f>
        <v>VELOZ</v>
      </c>
      <c r="J471" s="20" t="str">
        <f>VLOOKUP(U471,'[1]KODE TYPE standar'!$D:$U,18,0)</f>
        <v>VELOZ V AT HYBRID</v>
      </c>
      <c r="K471" s="27" t="s">
        <v>121</v>
      </c>
      <c r="L471" s="27" t="s">
        <v>110</v>
      </c>
      <c r="M471" s="27" t="s">
        <v>262</v>
      </c>
      <c r="N471" s="27" t="s">
        <v>139</v>
      </c>
      <c r="O471" s="28" t="s">
        <v>156</v>
      </c>
      <c r="P471" s="29" t="s">
        <v>149</v>
      </c>
      <c r="Q471" s="29" t="s">
        <v>162</v>
      </c>
      <c r="R471" s="29" t="s">
        <v>597</v>
      </c>
      <c r="S471" s="27" t="s">
        <v>923</v>
      </c>
      <c r="T471" s="27" t="s">
        <v>541</v>
      </c>
      <c r="U471" s="27" t="s">
        <v>327</v>
      </c>
      <c r="V471" s="27" t="s">
        <v>64</v>
      </c>
      <c r="W471" s="27" t="s">
        <v>65</v>
      </c>
      <c r="X471" s="27" t="s">
        <v>6080</v>
      </c>
      <c r="Y471" s="27" t="s">
        <v>6081</v>
      </c>
      <c r="Z471" s="27" t="s">
        <v>922</v>
      </c>
      <c r="AA471" s="27" t="s">
        <v>923</v>
      </c>
      <c r="AB471" s="27" t="s">
        <v>541</v>
      </c>
      <c r="AC471" s="27" t="s">
        <v>6082</v>
      </c>
      <c r="AD471" s="27" t="s">
        <v>6083</v>
      </c>
      <c r="AE471" s="27" t="s">
        <v>110</v>
      </c>
      <c r="AF471" s="27" t="s">
        <v>6083</v>
      </c>
      <c r="AG471" s="27" t="s">
        <v>6084</v>
      </c>
      <c r="AH471" s="27" t="s">
        <v>674</v>
      </c>
      <c r="AI471" s="27" t="s">
        <v>139</v>
      </c>
      <c r="AJ471" s="27" t="s">
        <v>262</v>
      </c>
      <c r="AK471" s="27" t="s">
        <v>104</v>
      </c>
      <c r="AL471" s="27"/>
      <c r="AM471" s="34">
        <v>303000000</v>
      </c>
      <c r="AN471" s="34">
        <v>233950893</v>
      </c>
      <c r="AO471" s="34">
        <v>40975000</v>
      </c>
      <c r="AP471" s="34">
        <v>28074107</v>
      </c>
      <c r="AQ471" s="34">
        <v>0</v>
      </c>
      <c r="AR471" s="34">
        <v>0</v>
      </c>
      <c r="AS471" s="34">
        <v>0</v>
      </c>
      <c r="AT471" s="34">
        <v>303000000</v>
      </c>
      <c r="AU471" s="34">
        <v>0</v>
      </c>
      <c r="AV471" s="34">
        <v>0</v>
      </c>
      <c r="AW471" s="27" t="s">
        <v>460</v>
      </c>
      <c r="AX471" s="27" t="s">
        <v>460</v>
      </c>
      <c r="AY471" s="27" t="s">
        <v>83</v>
      </c>
      <c r="AZ471" s="27">
        <v>1</v>
      </c>
      <c r="BA471" s="27"/>
      <c r="BB471" s="27" t="s">
        <v>480</v>
      </c>
      <c r="BC471" s="27" t="s">
        <v>6085</v>
      </c>
      <c r="BD471" s="27" t="s">
        <v>481</v>
      </c>
      <c r="BE471" s="27" t="s">
        <v>481</v>
      </c>
      <c r="BF471" s="27" t="s">
        <v>6086</v>
      </c>
      <c r="BG471" s="27" t="s">
        <v>6087</v>
      </c>
      <c r="BH471" s="27" t="s">
        <v>479</v>
      </c>
      <c r="BI471" s="27" t="s">
        <v>484</v>
      </c>
      <c r="BJ471" s="27" t="s">
        <v>6088</v>
      </c>
      <c r="BK471" s="27" t="s">
        <v>473</v>
      </c>
      <c r="BL471" s="27" t="s">
        <v>6089</v>
      </c>
      <c r="BM471" s="38">
        <v>0</v>
      </c>
    </row>
    <row r="472" spans="1:65" x14ac:dyDescent="0.2">
      <c r="A472" s="37">
        <v>726</v>
      </c>
      <c r="B472" s="27">
        <v>146</v>
      </c>
      <c r="C472" s="27" t="s">
        <v>503</v>
      </c>
      <c r="D472" s="27" t="s">
        <v>6090</v>
      </c>
      <c r="E472" s="27" t="s">
        <v>465</v>
      </c>
      <c r="F472" s="27" t="s">
        <v>5682</v>
      </c>
      <c r="G472" s="28">
        <v>2026</v>
      </c>
      <c r="H472" s="20" t="str">
        <f>VLOOKUP(U472,'[1]KODE TYPE standar'!$D:$U,17,0)</f>
        <v>CALYA</v>
      </c>
      <c r="I472" s="20" t="str">
        <f>VLOOKUP(U472,'[1]KODE TYPE standar'!$D:$U,16,0)</f>
        <v>CALYA</v>
      </c>
      <c r="J472" s="20" t="str">
        <f>VLOOKUP(U472,'[1]KODE TYPE standar'!$D:$U,18,0)</f>
        <v>CALYA G M/T</v>
      </c>
      <c r="K472" s="27" t="s">
        <v>119</v>
      </c>
      <c r="L472" s="27" t="s">
        <v>110</v>
      </c>
      <c r="M472" s="27" t="s">
        <v>262</v>
      </c>
      <c r="N472" s="27" t="s">
        <v>106</v>
      </c>
      <c r="O472" s="28" t="s">
        <v>156</v>
      </c>
      <c r="P472" s="29" t="s">
        <v>149</v>
      </c>
      <c r="Q472" s="29" t="s">
        <v>161</v>
      </c>
      <c r="R472" s="29" t="s">
        <v>145</v>
      </c>
      <c r="S472" s="27" t="s">
        <v>709</v>
      </c>
      <c r="T472" s="27" t="s">
        <v>585</v>
      </c>
      <c r="U472" s="27" t="s">
        <v>268</v>
      </c>
      <c r="V472" s="27" t="s">
        <v>60</v>
      </c>
      <c r="W472" s="27" t="s">
        <v>61</v>
      </c>
      <c r="X472" s="27" t="s">
        <v>6091</v>
      </c>
      <c r="Y472" s="27" t="s">
        <v>6092</v>
      </c>
      <c r="Z472" s="27" t="s">
        <v>708</v>
      </c>
      <c r="AA472" s="27" t="s">
        <v>709</v>
      </c>
      <c r="AB472" s="27" t="s">
        <v>585</v>
      </c>
      <c r="AC472" s="27" t="s">
        <v>6093</v>
      </c>
      <c r="AD472" s="27" t="s">
        <v>6094</v>
      </c>
      <c r="AE472" s="27" t="s">
        <v>110</v>
      </c>
      <c r="AF472" s="27" t="s">
        <v>6094</v>
      </c>
      <c r="AG472" s="27" t="s">
        <v>926</v>
      </c>
      <c r="AH472" s="27" t="s">
        <v>927</v>
      </c>
      <c r="AI472" s="27" t="s">
        <v>106</v>
      </c>
      <c r="AJ472" s="27" t="s">
        <v>262</v>
      </c>
      <c r="AK472" s="27" t="s">
        <v>89</v>
      </c>
      <c r="AL472" s="27"/>
      <c r="AM472" s="34">
        <v>182700000</v>
      </c>
      <c r="AN472" s="34">
        <v>139966518</v>
      </c>
      <c r="AO472" s="34">
        <v>25937500</v>
      </c>
      <c r="AP472" s="34">
        <v>15724553</v>
      </c>
      <c r="AQ472" s="34">
        <v>0</v>
      </c>
      <c r="AR472" s="34">
        <v>0</v>
      </c>
      <c r="AS472" s="34">
        <v>8928571</v>
      </c>
      <c r="AT472" s="34">
        <v>172700000</v>
      </c>
      <c r="AU472" s="34">
        <v>0</v>
      </c>
      <c r="AV472" s="34">
        <v>-10000000</v>
      </c>
      <c r="AW472" s="27" t="s">
        <v>460</v>
      </c>
      <c r="AX472" s="27" t="s">
        <v>460</v>
      </c>
      <c r="AY472" s="27" t="s">
        <v>83</v>
      </c>
      <c r="AZ472" s="27">
        <v>1</v>
      </c>
      <c r="BA472" s="27" t="s">
        <v>163</v>
      </c>
      <c r="BB472" s="27" t="s">
        <v>454</v>
      </c>
      <c r="BC472" s="27" t="s">
        <v>6095</v>
      </c>
      <c r="BD472" s="27" t="s">
        <v>455</v>
      </c>
      <c r="BE472" s="27" t="s">
        <v>455</v>
      </c>
      <c r="BF472" s="27" t="s">
        <v>6096</v>
      </c>
      <c r="BG472" s="27" t="s">
        <v>6097</v>
      </c>
      <c r="BH472" s="27" t="s">
        <v>465</v>
      </c>
      <c r="BI472" s="27" t="s">
        <v>488</v>
      </c>
      <c r="BJ472" s="27" t="s">
        <v>5864</v>
      </c>
      <c r="BK472" s="27" t="s">
        <v>470</v>
      </c>
      <c r="BL472" s="27" t="s">
        <v>6098</v>
      </c>
      <c r="BM472" s="38">
        <v>0</v>
      </c>
    </row>
    <row r="473" spans="1:65" x14ac:dyDescent="0.2">
      <c r="A473" s="37">
        <v>807</v>
      </c>
      <c r="B473" s="27">
        <v>146</v>
      </c>
      <c r="C473" s="27" t="s">
        <v>503</v>
      </c>
      <c r="D473" s="27" t="s">
        <v>6099</v>
      </c>
      <c r="E473" s="27" t="s">
        <v>5708</v>
      </c>
      <c r="F473" s="27" t="s">
        <v>5682</v>
      </c>
      <c r="G473" s="28">
        <v>2026</v>
      </c>
      <c r="H473" s="20" t="str">
        <f>VLOOKUP(U473,'[1]KODE TYPE standar'!$D:$U,17,0)</f>
        <v>AVANZA</v>
      </c>
      <c r="I473" s="20" t="str">
        <f>VLOOKUP(U473,'[1]KODE TYPE standar'!$D:$U,16,0)</f>
        <v>AVANZA</v>
      </c>
      <c r="J473" s="20" t="str">
        <f>VLOOKUP(U473,'[1]KODE TYPE standar'!$D:$U,18,0)</f>
        <v>AVANZA G M/T</v>
      </c>
      <c r="K473" s="27" t="s">
        <v>118</v>
      </c>
      <c r="L473" s="27" t="s">
        <v>110</v>
      </c>
      <c r="M473" s="27" t="s">
        <v>262</v>
      </c>
      <c r="N473" s="27" t="s">
        <v>140</v>
      </c>
      <c r="O473" s="28" t="s">
        <v>156</v>
      </c>
      <c r="P473" s="29" t="s">
        <v>149</v>
      </c>
      <c r="Q473" s="29" t="s">
        <v>147</v>
      </c>
      <c r="R473" s="29" t="s">
        <v>145</v>
      </c>
      <c r="S473" s="27" t="s">
        <v>4848</v>
      </c>
      <c r="T473" s="27" t="s">
        <v>541</v>
      </c>
      <c r="U473" s="27" t="s">
        <v>373</v>
      </c>
      <c r="V473" s="27" t="s">
        <v>64</v>
      </c>
      <c r="W473" s="27" t="s">
        <v>65</v>
      </c>
      <c r="X473" s="27" t="s">
        <v>6100</v>
      </c>
      <c r="Y473" s="27" t="s">
        <v>6101</v>
      </c>
      <c r="Z473" s="27" t="s">
        <v>4847</v>
      </c>
      <c r="AA473" s="27" t="s">
        <v>4848</v>
      </c>
      <c r="AB473" s="27" t="s">
        <v>541</v>
      </c>
      <c r="AC473" s="27" t="s">
        <v>6102</v>
      </c>
      <c r="AD473" s="27" t="s">
        <v>6103</v>
      </c>
      <c r="AE473" s="27" t="s">
        <v>110</v>
      </c>
      <c r="AF473" s="27" t="s">
        <v>6103</v>
      </c>
      <c r="AG473" s="27" t="s">
        <v>6104</v>
      </c>
      <c r="AH473" s="27" t="s">
        <v>1391</v>
      </c>
      <c r="AI473" s="27" t="s">
        <v>140</v>
      </c>
      <c r="AJ473" s="27" t="s">
        <v>262</v>
      </c>
      <c r="AK473" s="27" t="s">
        <v>63</v>
      </c>
      <c r="AL473" s="27"/>
      <c r="AM473" s="34">
        <v>270700000</v>
      </c>
      <c r="AN473" s="34">
        <v>208716518</v>
      </c>
      <c r="AO473" s="34">
        <v>36937500</v>
      </c>
      <c r="AP473" s="34">
        <v>22688839</v>
      </c>
      <c r="AQ473" s="34">
        <v>0</v>
      </c>
      <c r="AR473" s="34">
        <v>0</v>
      </c>
      <c r="AS473" s="34">
        <v>19642857</v>
      </c>
      <c r="AT473" s="34">
        <v>248700000</v>
      </c>
      <c r="AU473" s="34">
        <v>0</v>
      </c>
      <c r="AV473" s="34">
        <v>-22000000</v>
      </c>
      <c r="AW473" s="27"/>
      <c r="AX473" s="27"/>
      <c r="AY473" s="27" t="s">
        <v>83</v>
      </c>
      <c r="AZ473" s="27">
        <v>1</v>
      </c>
      <c r="BA473" s="27"/>
      <c r="BB473" s="27" t="s">
        <v>490</v>
      </c>
      <c r="BC473" s="27" t="s">
        <v>6105</v>
      </c>
      <c r="BD473" s="27" t="s">
        <v>5720</v>
      </c>
      <c r="BE473" s="27" t="s">
        <v>5720</v>
      </c>
      <c r="BF473" s="27" t="s">
        <v>6106</v>
      </c>
      <c r="BG473" s="27" t="s">
        <v>6107</v>
      </c>
      <c r="BH473" s="27"/>
      <c r="BI473" s="27" t="s">
        <v>5718</v>
      </c>
      <c r="BJ473" s="27" t="s">
        <v>6108</v>
      </c>
      <c r="BK473" s="27" t="s">
        <v>477</v>
      </c>
      <c r="BL473" s="27" t="s">
        <v>6109</v>
      </c>
      <c r="BM473" s="38">
        <v>0</v>
      </c>
    </row>
    <row r="474" spans="1:65" x14ac:dyDescent="0.2">
      <c r="A474" s="37">
        <v>881</v>
      </c>
      <c r="B474" s="27">
        <v>146</v>
      </c>
      <c r="C474" s="27" t="s">
        <v>503</v>
      </c>
      <c r="D474" s="27" t="s">
        <v>6110</v>
      </c>
      <c r="E474" s="27" t="s">
        <v>485</v>
      </c>
      <c r="F474" s="27" t="s">
        <v>5682</v>
      </c>
      <c r="G474" s="28">
        <v>2026</v>
      </c>
      <c r="H474" s="20" t="str">
        <f>VLOOKUP(U474,'[1]KODE TYPE standar'!$D:$U,17,0)</f>
        <v>CALYA</v>
      </c>
      <c r="I474" s="20" t="str">
        <f>VLOOKUP(U474,'[1]KODE TYPE standar'!$D:$U,16,0)</f>
        <v>CALYA</v>
      </c>
      <c r="J474" s="20" t="str">
        <f>VLOOKUP(U474,'[1]KODE TYPE standar'!$D:$U,18,0)</f>
        <v>CALYA G A/T</v>
      </c>
      <c r="K474" s="27" t="s">
        <v>118</v>
      </c>
      <c r="L474" s="27" t="s">
        <v>110</v>
      </c>
      <c r="M474" s="27" t="s">
        <v>262</v>
      </c>
      <c r="N474" s="27" t="s">
        <v>141</v>
      </c>
      <c r="O474" s="28" t="s">
        <v>156</v>
      </c>
      <c r="P474" s="29" t="s">
        <v>151</v>
      </c>
      <c r="Q474" s="29" t="s">
        <v>161</v>
      </c>
      <c r="R474" s="29" t="s">
        <v>145</v>
      </c>
      <c r="S474" s="27" t="s">
        <v>1373</v>
      </c>
      <c r="T474" s="27" t="s">
        <v>509</v>
      </c>
      <c r="U474" s="27" t="s">
        <v>88</v>
      </c>
      <c r="V474" s="27" t="s">
        <v>77</v>
      </c>
      <c r="W474" s="27" t="s">
        <v>78</v>
      </c>
      <c r="X474" s="27" t="s">
        <v>6111</v>
      </c>
      <c r="Y474" s="27" t="s">
        <v>6112</v>
      </c>
      <c r="Z474" s="27" t="s">
        <v>1372</v>
      </c>
      <c r="AA474" s="27" t="s">
        <v>1373</v>
      </c>
      <c r="AB474" s="27" t="s">
        <v>509</v>
      </c>
      <c r="AC474" s="27" t="s">
        <v>6113</v>
      </c>
      <c r="AD474" s="27" t="s">
        <v>6114</v>
      </c>
      <c r="AE474" s="27" t="s">
        <v>110</v>
      </c>
      <c r="AF474" s="27" t="s">
        <v>6114</v>
      </c>
      <c r="AG474" s="27" t="s">
        <v>6115</v>
      </c>
      <c r="AH474" s="27" t="s">
        <v>1602</v>
      </c>
      <c r="AI474" s="27" t="s">
        <v>141</v>
      </c>
      <c r="AJ474" s="27" t="s">
        <v>262</v>
      </c>
      <c r="AK474" s="27" t="s">
        <v>63</v>
      </c>
      <c r="AL474" s="27"/>
      <c r="AM474" s="34">
        <v>197300000</v>
      </c>
      <c r="AN474" s="34">
        <v>151372768</v>
      </c>
      <c r="AO474" s="34">
        <v>27762500</v>
      </c>
      <c r="AP474" s="34">
        <v>16718303</v>
      </c>
      <c r="AQ474" s="34">
        <v>0</v>
      </c>
      <c r="AR474" s="34">
        <v>0</v>
      </c>
      <c r="AS474" s="34">
        <v>12053571</v>
      </c>
      <c r="AT474" s="34">
        <v>183800000</v>
      </c>
      <c r="AU474" s="34">
        <v>0</v>
      </c>
      <c r="AV474" s="34">
        <v>-13500000</v>
      </c>
      <c r="AW474" s="27"/>
      <c r="AX474" s="27"/>
      <c r="AY474" s="27" t="s">
        <v>83</v>
      </c>
      <c r="AZ474" s="27">
        <v>1</v>
      </c>
      <c r="BA474" s="27"/>
      <c r="BB474" s="27" t="s">
        <v>485</v>
      </c>
      <c r="BC474" s="27" t="s">
        <v>6116</v>
      </c>
      <c r="BD474" s="27" t="s">
        <v>5715</v>
      </c>
      <c r="BE474" s="27" t="s">
        <v>5715</v>
      </c>
      <c r="BF474" s="27" t="s">
        <v>6117</v>
      </c>
      <c r="BG474" s="27" t="s">
        <v>6118</v>
      </c>
      <c r="BH474" s="27"/>
      <c r="BI474" s="27" t="s">
        <v>5351</v>
      </c>
      <c r="BJ474" s="27" t="s">
        <v>6119</v>
      </c>
      <c r="BK474" s="27" t="s">
        <v>5836</v>
      </c>
      <c r="BL474" s="27" t="s">
        <v>6120</v>
      </c>
      <c r="BM474" s="38">
        <v>0</v>
      </c>
    </row>
    <row r="475" spans="1:65" x14ac:dyDescent="0.2">
      <c r="A475" s="37">
        <v>887</v>
      </c>
      <c r="B475" s="27">
        <v>146</v>
      </c>
      <c r="C475" s="27" t="s">
        <v>503</v>
      </c>
      <c r="D475" s="27" t="s">
        <v>6121</v>
      </c>
      <c r="E475" s="27" t="s">
        <v>5692</v>
      </c>
      <c r="F475" s="27" t="s">
        <v>5682</v>
      </c>
      <c r="G475" s="28">
        <v>2026</v>
      </c>
      <c r="H475" s="20" t="str">
        <f>VLOOKUP(U475,'[1]KODE TYPE standar'!$D:$U,17,0)</f>
        <v>RUSH</v>
      </c>
      <c r="I475" s="20" t="str">
        <f>VLOOKUP(U475,'[1]KODE TYPE standar'!$D:$U,16,0)</f>
        <v>RUSH</v>
      </c>
      <c r="J475" s="20" t="str">
        <f>VLOOKUP(U475,'[1]KODE TYPE standar'!$D:$U,18,0)</f>
        <v>RUSH S A/T</v>
      </c>
      <c r="K475" s="27" t="s">
        <v>119</v>
      </c>
      <c r="L475" s="27" t="s">
        <v>110</v>
      </c>
      <c r="M475" s="27" t="s">
        <v>262</v>
      </c>
      <c r="N475" s="27" t="s">
        <v>141</v>
      </c>
      <c r="O475" s="28" t="s">
        <v>156</v>
      </c>
      <c r="P475" s="29" t="s">
        <v>151</v>
      </c>
      <c r="Q475" s="29" t="s">
        <v>161</v>
      </c>
      <c r="R475" s="29" t="s">
        <v>597</v>
      </c>
      <c r="S475" s="27" t="s">
        <v>892</v>
      </c>
      <c r="T475" s="27" t="s">
        <v>541</v>
      </c>
      <c r="U475" s="27" t="s">
        <v>116</v>
      </c>
      <c r="V475" s="27" t="s">
        <v>60</v>
      </c>
      <c r="W475" s="27" t="s">
        <v>61</v>
      </c>
      <c r="X475" s="27" t="s">
        <v>6122</v>
      </c>
      <c r="Y475" s="27" t="s">
        <v>6123</v>
      </c>
      <c r="Z475" s="27" t="s">
        <v>891</v>
      </c>
      <c r="AA475" s="27" t="s">
        <v>892</v>
      </c>
      <c r="AB475" s="27" t="s">
        <v>541</v>
      </c>
      <c r="AC475" s="27" t="s">
        <v>6124</v>
      </c>
      <c r="AD475" s="27" t="s">
        <v>6125</v>
      </c>
      <c r="AE475" s="27" t="s">
        <v>110</v>
      </c>
      <c r="AF475" s="27" t="s">
        <v>6126</v>
      </c>
      <c r="AG475" s="27" t="s">
        <v>6127</v>
      </c>
      <c r="AH475" s="27" t="s">
        <v>1757</v>
      </c>
      <c r="AI475" s="27" t="s">
        <v>141</v>
      </c>
      <c r="AJ475" s="27" t="s">
        <v>262</v>
      </c>
      <c r="AK475" s="27" t="s">
        <v>89</v>
      </c>
      <c r="AL475" s="27"/>
      <c r="AM475" s="34">
        <v>323200000</v>
      </c>
      <c r="AN475" s="34">
        <v>249732143</v>
      </c>
      <c r="AO475" s="34">
        <v>43500000</v>
      </c>
      <c r="AP475" s="34">
        <v>27342857</v>
      </c>
      <c r="AQ475" s="34">
        <v>0</v>
      </c>
      <c r="AR475" s="34">
        <v>0</v>
      </c>
      <c r="AS475" s="34">
        <v>21875000</v>
      </c>
      <c r="AT475" s="34">
        <v>298700000</v>
      </c>
      <c r="AU475" s="34">
        <v>0</v>
      </c>
      <c r="AV475" s="34">
        <v>-24500000</v>
      </c>
      <c r="AW475" s="27" t="s">
        <v>495</v>
      </c>
      <c r="AX475" s="27" t="s">
        <v>495</v>
      </c>
      <c r="AY475" s="27" t="s">
        <v>83</v>
      </c>
      <c r="AZ475" s="27">
        <v>1</v>
      </c>
      <c r="BA475" s="27"/>
      <c r="BB475" s="27" t="s">
        <v>477</v>
      </c>
      <c r="BC475" s="27" t="s">
        <v>6128</v>
      </c>
      <c r="BD475" s="27" t="s">
        <v>456</v>
      </c>
      <c r="BE475" s="27" t="s">
        <v>456</v>
      </c>
      <c r="BF475" s="27" t="s">
        <v>6129</v>
      </c>
      <c r="BG475" s="27" t="s">
        <v>6130</v>
      </c>
      <c r="BH475" s="27" t="s">
        <v>5692</v>
      </c>
      <c r="BI475" s="27" t="s">
        <v>5889</v>
      </c>
      <c r="BJ475" s="27" t="s">
        <v>6131</v>
      </c>
      <c r="BK475" s="27" t="s">
        <v>456</v>
      </c>
      <c r="BL475" s="27" t="s">
        <v>6132</v>
      </c>
      <c r="BM475" s="38">
        <v>0</v>
      </c>
    </row>
    <row r="476" spans="1:65" x14ac:dyDescent="0.2">
      <c r="A476" s="37">
        <v>888</v>
      </c>
      <c r="B476" s="27">
        <v>146</v>
      </c>
      <c r="C476" s="27" t="s">
        <v>503</v>
      </c>
      <c r="D476" s="27" t="s">
        <v>6133</v>
      </c>
      <c r="E476" s="27" t="s">
        <v>485</v>
      </c>
      <c r="F476" s="27" t="s">
        <v>5682</v>
      </c>
      <c r="G476" s="28">
        <v>2026</v>
      </c>
      <c r="H476" s="20" t="str">
        <f>VLOOKUP(U476,'[1]KODE TYPE standar'!$D:$U,17,0)</f>
        <v>RAIZE</v>
      </c>
      <c r="I476" s="20" t="str">
        <f>VLOOKUP(U476,'[1]KODE TYPE standar'!$D:$U,16,0)</f>
        <v>RAIZE</v>
      </c>
      <c r="J476" s="20" t="str">
        <f>VLOOKUP(U476,'[1]KODE TYPE standar'!$D:$U,18,0)</f>
        <v>RAIZE S A/T</v>
      </c>
      <c r="K476" s="27" t="s">
        <v>118</v>
      </c>
      <c r="L476" s="27" t="s">
        <v>110</v>
      </c>
      <c r="M476" s="27" t="s">
        <v>262</v>
      </c>
      <c r="N476" s="27" t="s">
        <v>141</v>
      </c>
      <c r="O476" s="28" t="s">
        <v>156</v>
      </c>
      <c r="P476" s="29" t="s">
        <v>149</v>
      </c>
      <c r="Q476" s="29" t="s">
        <v>162</v>
      </c>
      <c r="R476" s="29" t="s">
        <v>145</v>
      </c>
      <c r="S476" s="27" t="s">
        <v>4848</v>
      </c>
      <c r="T476" s="27" t="s">
        <v>541</v>
      </c>
      <c r="U476" s="27" t="s">
        <v>6134</v>
      </c>
      <c r="V476" s="27" t="s">
        <v>5824</v>
      </c>
      <c r="W476" s="27" t="s">
        <v>5825</v>
      </c>
      <c r="X476" s="27" t="s">
        <v>6135</v>
      </c>
      <c r="Y476" s="27" t="s">
        <v>6136</v>
      </c>
      <c r="Z476" s="27" t="s">
        <v>4847</v>
      </c>
      <c r="AA476" s="27" t="s">
        <v>4848</v>
      </c>
      <c r="AB476" s="27" t="s">
        <v>541</v>
      </c>
      <c r="AC476" s="27" t="s">
        <v>6137</v>
      </c>
      <c r="AD476" s="27" t="s">
        <v>6138</v>
      </c>
      <c r="AE476" s="27" t="s">
        <v>110</v>
      </c>
      <c r="AF476" s="27" t="s">
        <v>6139</v>
      </c>
      <c r="AG476" s="27" t="s">
        <v>6140</v>
      </c>
      <c r="AH476" s="27" t="s">
        <v>2449</v>
      </c>
      <c r="AI476" s="27" t="s">
        <v>141</v>
      </c>
      <c r="AJ476" s="27" t="s">
        <v>262</v>
      </c>
      <c r="AK476" s="27" t="s">
        <v>63</v>
      </c>
      <c r="AL476" s="27"/>
      <c r="AM476" s="34">
        <v>299899000</v>
      </c>
      <c r="AN476" s="34">
        <v>231528237</v>
      </c>
      <c r="AO476" s="34">
        <v>40587375</v>
      </c>
      <c r="AP476" s="34">
        <v>25081245</v>
      </c>
      <c r="AQ476" s="34">
        <v>0</v>
      </c>
      <c r="AR476" s="34">
        <v>0</v>
      </c>
      <c r="AS476" s="34">
        <v>22517857</v>
      </c>
      <c r="AT476" s="34">
        <v>274679000</v>
      </c>
      <c r="AU476" s="34">
        <v>0</v>
      </c>
      <c r="AV476" s="34">
        <v>-25220000</v>
      </c>
      <c r="AW476" s="27"/>
      <c r="AX476" s="27"/>
      <c r="AY476" s="27" t="s">
        <v>83</v>
      </c>
      <c r="AZ476" s="27">
        <v>1</v>
      </c>
      <c r="BA476" s="27" t="s">
        <v>6141</v>
      </c>
      <c r="BB476" s="27" t="s">
        <v>495</v>
      </c>
      <c r="BC476" s="27" t="s">
        <v>6142</v>
      </c>
      <c r="BD476" s="27" t="s">
        <v>494</v>
      </c>
      <c r="BE476" s="27" t="s">
        <v>494</v>
      </c>
      <c r="BF476" s="27" t="s">
        <v>6143</v>
      </c>
      <c r="BG476" s="27" t="s">
        <v>6144</v>
      </c>
      <c r="BH476" s="27"/>
      <c r="BI476" s="27" t="s">
        <v>5351</v>
      </c>
      <c r="BJ476" s="27" t="s">
        <v>6145</v>
      </c>
      <c r="BK476" s="27" t="s">
        <v>485</v>
      </c>
      <c r="BL476" s="27" t="s">
        <v>6146</v>
      </c>
      <c r="BM476" s="38">
        <v>0</v>
      </c>
    </row>
    <row r="477" spans="1:65" x14ac:dyDescent="0.2">
      <c r="A477" s="37">
        <v>936</v>
      </c>
      <c r="B477" s="27">
        <v>146</v>
      </c>
      <c r="C477" s="27" t="s">
        <v>503</v>
      </c>
      <c r="D477" s="27" t="s">
        <v>6147</v>
      </c>
      <c r="E477" s="27" t="s">
        <v>490</v>
      </c>
      <c r="F477" s="27" t="s">
        <v>5682</v>
      </c>
      <c r="G477" s="28">
        <v>2026</v>
      </c>
      <c r="H477" s="20" t="str">
        <f>VLOOKUP(U477,'[1]KODE TYPE standar'!$D:$U,17,0)</f>
        <v>CALYA</v>
      </c>
      <c r="I477" s="20" t="str">
        <f>VLOOKUP(U477,'[1]KODE TYPE standar'!$D:$U,16,0)</f>
        <v>CALYA</v>
      </c>
      <c r="J477" s="20" t="str">
        <f>VLOOKUP(U477,'[1]KODE TYPE standar'!$D:$U,18,0)</f>
        <v>CALYA G A/T</v>
      </c>
      <c r="K477" s="27" t="s">
        <v>118</v>
      </c>
      <c r="L477" s="27" t="s">
        <v>110</v>
      </c>
      <c r="M477" s="27" t="s">
        <v>262</v>
      </c>
      <c r="N477" s="27" t="s">
        <v>140</v>
      </c>
      <c r="O477" s="28" t="s">
        <v>156</v>
      </c>
      <c r="P477" s="29" t="s">
        <v>149</v>
      </c>
      <c r="Q477" s="29" t="s">
        <v>161</v>
      </c>
      <c r="R477" s="29" t="s">
        <v>145</v>
      </c>
      <c r="S477" s="27" t="s">
        <v>5334</v>
      </c>
      <c r="T477" s="27" t="s">
        <v>585</v>
      </c>
      <c r="U477" s="27" t="s">
        <v>88</v>
      </c>
      <c r="V477" s="27" t="s">
        <v>96</v>
      </c>
      <c r="W477" s="27" t="s">
        <v>97</v>
      </c>
      <c r="X477" s="27" t="s">
        <v>6148</v>
      </c>
      <c r="Y477" s="27" t="s">
        <v>6149</v>
      </c>
      <c r="Z477" s="27" t="s">
        <v>5333</v>
      </c>
      <c r="AA477" s="27" t="s">
        <v>5334</v>
      </c>
      <c r="AB477" s="27" t="s">
        <v>585</v>
      </c>
      <c r="AC477" s="27" t="s">
        <v>6150</v>
      </c>
      <c r="AD477" s="27" t="s">
        <v>6151</v>
      </c>
      <c r="AE477" s="27" t="s">
        <v>110</v>
      </c>
      <c r="AF477" s="27" t="s">
        <v>6152</v>
      </c>
      <c r="AG477" s="27" t="s">
        <v>6153</v>
      </c>
      <c r="AH477" s="27" t="s">
        <v>1614</v>
      </c>
      <c r="AI477" s="27" t="s">
        <v>140</v>
      </c>
      <c r="AJ477" s="27" t="s">
        <v>262</v>
      </c>
      <c r="AK477" s="27" t="s">
        <v>63</v>
      </c>
      <c r="AL477" s="27"/>
      <c r="AM477" s="34">
        <v>197300000</v>
      </c>
      <c r="AN477" s="34">
        <v>151372768</v>
      </c>
      <c r="AO477" s="34">
        <v>27762500</v>
      </c>
      <c r="AP477" s="34">
        <v>16718303</v>
      </c>
      <c r="AQ477" s="34">
        <v>0</v>
      </c>
      <c r="AR477" s="34">
        <v>0</v>
      </c>
      <c r="AS477" s="34">
        <v>12053571</v>
      </c>
      <c r="AT477" s="34">
        <v>183800000</v>
      </c>
      <c r="AU477" s="34">
        <v>9911210</v>
      </c>
      <c r="AV477" s="34">
        <v>-13500000</v>
      </c>
      <c r="AW477" s="27"/>
      <c r="AX477" s="27"/>
      <c r="AY477" s="27" t="s">
        <v>83</v>
      </c>
      <c r="AZ477" s="27">
        <v>1</v>
      </c>
      <c r="BA477" s="27" t="s">
        <v>6154</v>
      </c>
      <c r="BB477" s="27" t="s">
        <v>495</v>
      </c>
      <c r="BC477" s="27" t="s">
        <v>6155</v>
      </c>
      <c r="BD477" s="27" t="s">
        <v>495</v>
      </c>
      <c r="BE477" s="27" t="s">
        <v>495</v>
      </c>
      <c r="BF477" s="27" t="s">
        <v>6156</v>
      </c>
      <c r="BG477" s="27" t="s">
        <v>6157</v>
      </c>
      <c r="BH477" s="27"/>
      <c r="BI477" s="27" t="s">
        <v>5787</v>
      </c>
      <c r="BJ477" s="27" t="s">
        <v>6158</v>
      </c>
      <c r="BK477" s="27" t="s">
        <v>5720</v>
      </c>
      <c r="BL477" s="27" t="s">
        <v>6159</v>
      </c>
      <c r="BM477" s="38">
        <v>0</v>
      </c>
    </row>
    <row r="478" spans="1:65" x14ac:dyDescent="0.2">
      <c r="A478" s="37">
        <v>957</v>
      </c>
      <c r="B478" s="27">
        <v>146</v>
      </c>
      <c r="C478" s="27" t="s">
        <v>503</v>
      </c>
      <c r="D478" s="27" t="s">
        <v>6160</v>
      </c>
      <c r="E478" s="27" t="s">
        <v>485</v>
      </c>
      <c r="F478" s="27" t="s">
        <v>5682</v>
      </c>
      <c r="G478" s="28">
        <v>2026</v>
      </c>
      <c r="H478" s="20" t="str">
        <f>VLOOKUP(U478,'[1]KODE TYPE standar'!$D:$U,17,0)</f>
        <v>HIACE</v>
      </c>
      <c r="I478" s="20" t="str">
        <f>VLOOKUP(U478,'[1]KODE TYPE standar'!$D:$U,16,0)</f>
        <v>HIACE</v>
      </c>
      <c r="J478" s="20" t="str">
        <f>VLOOKUP(U478,'[1]KODE TYPE standar'!$D:$U,18,0)</f>
        <v>HIACE PREMIO</v>
      </c>
      <c r="K478" s="27" t="s">
        <v>50</v>
      </c>
      <c r="L478" s="27" t="s">
        <v>110</v>
      </c>
      <c r="M478" s="27" t="s">
        <v>50</v>
      </c>
      <c r="N478" s="27" t="s">
        <v>140</v>
      </c>
      <c r="O478" s="28" t="s">
        <v>156</v>
      </c>
      <c r="P478" s="29" t="s">
        <v>149</v>
      </c>
      <c r="Q478" s="29" t="s">
        <v>161</v>
      </c>
      <c r="R478" s="29" t="s">
        <v>145</v>
      </c>
      <c r="S478" s="27" t="s">
        <v>709</v>
      </c>
      <c r="T478" s="27" t="s">
        <v>585</v>
      </c>
      <c r="U478" s="27" t="s">
        <v>173</v>
      </c>
      <c r="V478" s="27" t="s">
        <v>99</v>
      </c>
      <c r="W478" s="27" t="s">
        <v>61</v>
      </c>
      <c r="X478" s="27" t="s">
        <v>6161</v>
      </c>
      <c r="Y478" s="27" t="s">
        <v>6162</v>
      </c>
      <c r="Z478" s="27" t="s">
        <v>708</v>
      </c>
      <c r="AA478" s="27" t="s">
        <v>709</v>
      </c>
      <c r="AB478" s="27" t="s">
        <v>585</v>
      </c>
      <c r="AC478" s="27" t="s">
        <v>6163</v>
      </c>
      <c r="AD478" s="27" t="s">
        <v>6164</v>
      </c>
      <c r="AE478" s="27" t="s">
        <v>110</v>
      </c>
      <c r="AF478" s="27" t="s">
        <v>6164</v>
      </c>
      <c r="AG478" s="27" t="s">
        <v>6165</v>
      </c>
      <c r="AH478" s="27" t="s">
        <v>844</v>
      </c>
      <c r="AI478" s="27" t="s">
        <v>140</v>
      </c>
      <c r="AJ478" s="27" t="s">
        <v>50</v>
      </c>
      <c r="AK478" s="27" t="s">
        <v>50</v>
      </c>
      <c r="AL478" s="27"/>
      <c r="AM478" s="34">
        <v>679100000</v>
      </c>
      <c r="AN478" s="34">
        <v>525680804</v>
      </c>
      <c r="AO478" s="34">
        <v>90337500</v>
      </c>
      <c r="AP478" s="34">
        <v>58795982</v>
      </c>
      <c r="AQ478" s="34">
        <v>0</v>
      </c>
      <c r="AR478" s="34">
        <v>0</v>
      </c>
      <c r="AS478" s="34">
        <v>35714286</v>
      </c>
      <c r="AT478" s="34">
        <v>639100000</v>
      </c>
      <c r="AU478" s="34">
        <v>0</v>
      </c>
      <c r="AV478" s="34">
        <v>-40847637</v>
      </c>
      <c r="AW478" s="27"/>
      <c r="AX478" s="27"/>
      <c r="AY478" s="27" t="s">
        <v>83</v>
      </c>
      <c r="AZ478" s="27">
        <v>1</v>
      </c>
      <c r="BA478" s="27" t="s">
        <v>163</v>
      </c>
      <c r="BB478" s="27" t="s">
        <v>485</v>
      </c>
      <c r="BC478" s="27" t="s">
        <v>6166</v>
      </c>
      <c r="BD478" s="27" t="s">
        <v>485</v>
      </c>
      <c r="BE478" s="27" t="s">
        <v>485</v>
      </c>
      <c r="BF478" s="27" t="s">
        <v>6167</v>
      </c>
      <c r="BG478" s="27" t="s">
        <v>6168</v>
      </c>
      <c r="BH478" s="27" t="s">
        <v>485</v>
      </c>
      <c r="BI478" s="27" t="s">
        <v>5351</v>
      </c>
      <c r="BJ478" s="27" t="s">
        <v>6169</v>
      </c>
      <c r="BK478" s="27" t="s">
        <v>5745</v>
      </c>
      <c r="BL478" s="27" t="s">
        <v>6170</v>
      </c>
      <c r="BM478" s="38">
        <v>0</v>
      </c>
    </row>
    <row r="479" spans="1:65" x14ac:dyDescent="0.2">
      <c r="A479" s="37">
        <v>983</v>
      </c>
      <c r="B479" s="27">
        <v>146</v>
      </c>
      <c r="C479" s="27" t="s">
        <v>503</v>
      </c>
      <c r="D479" s="27" t="s">
        <v>6171</v>
      </c>
      <c r="E479" s="27" t="s">
        <v>488</v>
      </c>
      <c r="F479" s="27" t="s">
        <v>5682</v>
      </c>
      <c r="G479" s="28">
        <v>2026</v>
      </c>
      <c r="H479" s="20" t="str">
        <f>VLOOKUP(U479,'[1]KODE TYPE standar'!$D:$U,17,0)</f>
        <v>INV REBORN</v>
      </c>
      <c r="I479" s="20" t="str">
        <f>VLOOKUP(U479,'[1]KODE TYPE standar'!$D:$U,16,0)</f>
        <v>INNOVA</v>
      </c>
      <c r="J479" s="20" t="str">
        <f>VLOOKUP(U479,'[1]KODE TYPE standar'!$D:$U,18,0)</f>
        <v>INNOVA G A/T DIESEL</v>
      </c>
      <c r="K479" s="27" t="s">
        <v>119</v>
      </c>
      <c r="L479" s="27" t="s">
        <v>110</v>
      </c>
      <c r="M479" s="27" t="s">
        <v>262</v>
      </c>
      <c r="N479" s="27" t="s">
        <v>107</v>
      </c>
      <c r="O479" s="28" t="s">
        <v>6581</v>
      </c>
      <c r="P479" s="29" t="s">
        <v>149</v>
      </c>
      <c r="Q479" s="29" t="s">
        <v>161</v>
      </c>
      <c r="R479" s="29" t="s">
        <v>1016</v>
      </c>
      <c r="S479" s="27" t="s">
        <v>3907</v>
      </c>
      <c r="T479" s="27" t="s">
        <v>541</v>
      </c>
      <c r="U479" s="27" t="s">
        <v>192</v>
      </c>
      <c r="V479" s="27" t="s">
        <v>48</v>
      </c>
      <c r="W479" s="27" t="s">
        <v>49</v>
      </c>
      <c r="X479" s="27" t="s">
        <v>6172</v>
      </c>
      <c r="Y479" s="27" t="s">
        <v>6173</v>
      </c>
      <c r="Z479" s="27" t="s">
        <v>3906</v>
      </c>
      <c r="AA479" s="27" t="s">
        <v>3907</v>
      </c>
      <c r="AB479" s="27" t="s">
        <v>541</v>
      </c>
      <c r="AC479" s="27" t="s">
        <v>6174</v>
      </c>
      <c r="AD479" s="27" t="s">
        <v>6175</v>
      </c>
      <c r="AE479" s="27" t="s">
        <v>110</v>
      </c>
      <c r="AF479" s="27" t="s">
        <v>6175</v>
      </c>
      <c r="AG479" s="27" t="s">
        <v>6176</v>
      </c>
      <c r="AH479" s="27" t="s">
        <v>6006</v>
      </c>
      <c r="AI479" s="27" t="s">
        <v>107</v>
      </c>
      <c r="AJ479" s="27" t="s">
        <v>262</v>
      </c>
      <c r="AK479" s="27" t="s">
        <v>89</v>
      </c>
      <c r="AL479" s="27"/>
      <c r="AM479" s="34">
        <v>442700000</v>
      </c>
      <c r="AN479" s="34">
        <v>342689732</v>
      </c>
      <c r="AO479" s="34">
        <v>58887500</v>
      </c>
      <c r="AP479" s="34">
        <v>37908482</v>
      </c>
      <c r="AQ479" s="34">
        <v>0</v>
      </c>
      <c r="AR479" s="34">
        <v>0</v>
      </c>
      <c r="AS479" s="34">
        <v>26785714</v>
      </c>
      <c r="AT479" s="34">
        <v>412700000</v>
      </c>
      <c r="AU479" s="34">
        <v>0</v>
      </c>
      <c r="AV479" s="34">
        <v>-30000000</v>
      </c>
      <c r="AW479" s="27" t="s">
        <v>495</v>
      </c>
      <c r="AX479" s="27" t="s">
        <v>495</v>
      </c>
      <c r="AY479" s="27" t="s">
        <v>83</v>
      </c>
      <c r="AZ479" s="27">
        <v>1</v>
      </c>
      <c r="BA479" s="27"/>
      <c r="BB479" s="27" t="s">
        <v>5745</v>
      </c>
      <c r="BC479" s="27" t="s">
        <v>6177</v>
      </c>
      <c r="BD479" s="27" t="s">
        <v>5745</v>
      </c>
      <c r="BE479" s="27" t="s">
        <v>5745</v>
      </c>
      <c r="BF479" s="27" t="s">
        <v>6178</v>
      </c>
      <c r="BG479" s="27" t="s">
        <v>6179</v>
      </c>
      <c r="BH479" s="27" t="s">
        <v>488</v>
      </c>
      <c r="BI479" s="27" t="s">
        <v>5743</v>
      </c>
      <c r="BJ479" s="27" t="s">
        <v>6180</v>
      </c>
      <c r="BK479" s="27" t="s">
        <v>460</v>
      </c>
      <c r="BL479" s="27" t="s">
        <v>6181</v>
      </c>
      <c r="BM479" s="38">
        <v>0</v>
      </c>
    </row>
    <row r="480" spans="1:65" x14ac:dyDescent="0.2">
      <c r="A480" s="37">
        <v>984</v>
      </c>
      <c r="B480" s="27">
        <v>146</v>
      </c>
      <c r="C480" s="27" t="s">
        <v>503</v>
      </c>
      <c r="D480" s="27" t="s">
        <v>6182</v>
      </c>
      <c r="E480" s="27" t="s">
        <v>5795</v>
      </c>
      <c r="F480" s="27" t="s">
        <v>5682</v>
      </c>
      <c r="G480" s="28">
        <v>2026</v>
      </c>
      <c r="H480" s="20" t="str">
        <f>VLOOKUP(U480,'[1]KODE TYPE standar'!$D:$U,17,0)</f>
        <v>AVANZA</v>
      </c>
      <c r="I480" s="20" t="str">
        <f>VLOOKUP(U480,'[1]KODE TYPE standar'!$D:$U,16,0)</f>
        <v>AVANZA</v>
      </c>
      <c r="J480" s="20" t="str">
        <f>VLOOKUP(U480,'[1]KODE TYPE standar'!$D:$U,18,0)</f>
        <v>AVANZA E A/T</v>
      </c>
      <c r="K480" s="27" t="s">
        <v>119</v>
      </c>
      <c r="L480" s="27" t="s">
        <v>110</v>
      </c>
      <c r="M480" s="27" t="s">
        <v>262</v>
      </c>
      <c r="N480" s="27" t="s">
        <v>141</v>
      </c>
      <c r="O480" s="28" t="s">
        <v>156</v>
      </c>
      <c r="P480" s="29" t="s">
        <v>149</v>
      </c>
      <c r="Q480" s="29" t="s">
        <v>161</v>
      </c>
      <c r="R480" s="29" t="s">
        <v>597</v>
      </c>
      <c r="S480" s="27" t="s">
        <v>781</v>
      </c>
      <c r="T480" s="27" t="s">
        <v>585</v>
      </c>
      <c r="U480" s="27" t="s">
        <v>328</v>
      </c>
      <c r="V480" s="27" t="s">
        <v>269</v>
      </c>
      <c r="W480" s="27" t="s">
        <v>81</v>
      </c>
      <c r="X480" s="27" t="s">
        <v>6183</v>
      </c>
      <c r="Y480" s="27" t="s">
        <v>6184</v>
      </c>
      <c r="Z480" s="27" t="s">
        <v>780</v>
      </c>
      <c r="AA480" s="27" t="s">
        <v>781</v>
      </c>
      <c r="AB480" s="27" t="s">
        <v>585</v>
      </c>
      <c r="AC480" s="27" t="s">
        <v>6185</v>
      </c>
      <c r="AD480" s="27" t="s">
        <v>6186</v>
      </c>
      <c r="AE480" s="27" t="s">
        <v>110</v>
      </c>
      <c r="AF480" s="27" t="s">
        <v>6186</v>
      </c>
      <c r="AG480" s="27" t="s">
        <v>6187</v>
      </c>
      <c r="AH480" s="27" t="s">
        <v>1149</v>
      </c>
      <c r="AI480" s="27" t="s">
        <v>141</v>
      </c>
      <c r="AJ480" s="27" t="s">
        <v>262</v>
      </c>
      <c r="AK480" s="27" t="s">
        <v>89</v>
      </c>
      <c r="AL480" s="27"/>
      <c r="AM480" s="34">
        <v>262700000</v>
      </c>
      <c r="AN480" s="34">
        <v>202466518</v>
      </c>
      <c r="AO480" s="34">
        <v>35937500</v>
      </c>
      <c r="AP480" s="34">
        <v>22045982</v>
      </c>
      <c r="AQ480" s="34">
        <v>0</v>
      </c>
      <c r="AR480" s="34">
        <v>0</v>
      </c>
      <c r="AS480" s="34">
        <v>18750000</v>
      </c>
      <c r="AT480" s="34">
        <v>241700000</v>
      </c>
      <c r="AU480" s="34">
        <v>0</v>
      </c>
      <c r="AV480" s="34">
        <v>-21000000</v>
      </c>
      <c r="AW480" s="27" t="s">
        <v>488</v>
      </c>
      <c r="AX480" s="27" t="s">
        <v>488</v>
      </c>
      <c r="AY480" s="27" t="s">
        <v>83</v>
      </c>
      <c r="AZ480" s="27">
        <v>1</v>
      </c>
      <c r="BA480" s="27" t="s">
        <v>163</v>
      </c>
      <c r="BB480" s="27" t="s">
        <v>477</v>
      </c>
      <c r="BC480" s="27" t="s">
        <v>6188</v>
      </c>
      <c r="BD480" s="27" t="s">
        <v>477</v>
      </c>
      <c r="BE480" s="27" t="s">
        <v>477</v>
      </c>
      <c r="BF480" s="27" t="s">
        <v>6189</v>
      </c>
      <c r="BG480" s="27" t="s">
        <v>6190</v>
      </c>
      <c r="BH480" s="27" t="s">
        <v>5795</v>
      </c>
      <c r="BI480" s="27" t="s">
        <v>485</v>
      </c>
      <c r="BJ480" s="27" t="s">
        <v>6191</v>
      </c>
      <c r="BK480" s="27" t="s">
        <v>456</v>
      </c>
      <c r="BL480" s="27" t="s">
        <v>6192</v>
      </c>
      <c r="BM480" s="38">
        <v>0</v>
      </c>
    </row>
    <row r="481" spans="1:65" x14ac:dyDescent="0.2">
      <c r="A481" s="37">
        <v>1080</v>
      </c>
      <c r="B481" s="27">
        <v>146</v>
      </c>
      <c r="C481" s="27" t="s">
        <v>503</v>
      </c>
      <c r="D481" s="27" t="s">
        <v>6193</v>
      </c>
      <c r="E481" s="27" t="s">
        <v>498</v>
      </c>
      <c r="F481" s="27" t="s">
        <v>5682</v>
      </c>
      <c r="G481" s="28">
        <v>2026</v>
      </c>
      <c r="H481" s="20" t="str">
        <f>VLOOKUP(U481,'[1]KODE TYPE standar'!$D:$U,17,0)</f>
        <v>RAIZE</v>
      </c>
      <c r="I481" s="20" t="str">
        <f>VLOOKUP(U481,'[1]KODE TYPE standar'!$D:$U,16,0)</f>
        <v>RAIZE</v>
      </c>
      <c r="J481" s="20" t="str">
        <f>VLOOKUP(U481,'[1]KODE TYPE standar'!$D:$U,18,0)</f>
        <v>RAIZE G A/T</v>
      </c>
      <c r="K481" s="27" t="s">
        <v>118</v>
      </c>
      <c r="L481" s="27" t="s">
        <v>109</v>
      </c>
      <c r="M481" s="27" t="s">
        <v>262</v>
      </c>
      <c r="N481" s="27" t="s">
        <v>139</v>
      </c>
      <c r="O481" s="28" t="s">
        <v>156</v>
      </c>
      <c r="P481" s="29" t="s">
        <v>149</v>
      </c>
      <c r="Q481" s="29" t="s">
        <v>162</v>
      </c>
      <c r="R481" s="29" t="s">
        <v>109</v>
      </c>
      <c r="S481" s="27" t="s">
        <v>4848</v>
      </c>
      <c r="T481" s="27" t="s">
        <v>541</v>
      </c>
      <c r="U481" s="27" t="s">
        <v>239</v>
      </c>
      <c r="V481" s="27" t="s">
        <v>60</v>
      </c>
      <c r="W481" s="27" t="s">
        <v>61</v>
      </c>
      <c r="X481" s="27" t="s">
        <v>6194</v>
      </c>
      <c r="Y481" s="27" t="s">
        <v>6195</v>
      </c>
      <c r="Z481" s="27" t="s">
        <v>4847</v>
      </c>
      <c r="AA481" s="27" t="s">
        <v>4848</v>
      </c>
      <c r="AB481" s="27" t="s">
        <v>541</v>
      </c>
      <c r="AC481" s="27" t="s">
        <v>6196</v>
      </c>
      <c r="AD481" s="27" t="s">
        <v>6197</v>
      </c>
      <c r="AE481" s="27" t="s">
        <v>109</v>
      </c>
      <c r="AF481" s="27" t="s">
        <v>6198</v>
      </c>
      <c r="AG481" s="27" t="s">
        <v>6199</v>
      </c>
      <c r="AH481" s="27" t="s">
        <v>674</v>
      </c>
      <c r="AI481" s="27" t="s">
        <v>139</v>
      </c>
      <c r="AJ481" s="27" t="s">
        <v>262</v>
      </c>
      <c r="AK481" s="27" t="s">
        <v>63</v>
      </c>
      <c r="AL481" s="27"/>
      <c r="AM481" s="34">
        <v>262100000</v>
      </c>
      <c r="AN481" s="34">
        <v>201997768</v>
      </c>
      <c r="AO481" s="34">
        <v>35862500</v>
      </c>
      <c r="AP481" s="34">
        <v>21775446</v>
      </c>
      <c r="AQ481" s="34">
        <v>0</v>
      </c>
      <c r="AR481" s="34">
        <v>0</v>
      </c>
      <c r="AS481" s="34">
        <v>20535714</v>
      </c>
      <c r="AT481" s="34">
        <v>239100000</v>
      </c>
      <c r="AU481" s="34">
        <v>0</v>
      </c>
      <c r="AV481" s="34">
        <v>-23000000</v>
      </c>
      <c r="AW481" s="27" t="s">
        <v>488</v>
      </c>
      <c r="AX481" s="27" t="s">
        <v>488</v>
      </c>
      <c r="AY481" s="27" t="s">
        <v>83</v>
      </c>
      <c r="AZ481" s="27">
        <v>1</v>
      </c>
      <c r="BA481" s="27" t="s">
        <v>6200</v>
      </c>
      <c r="BB481" s="27" t="s">
        <v>5872</v>
      </c>
      <c r="BC481" s="27" t="s">
        <v>6201</v>
      </c>
      <c r="BD481" s="27" t="s">
        <v>5872</v>
      </c>
      <c r="BE481" s="27" t="s">
        <v>5872</v>
      </c>
      <c r="BF481" s="27" t="s">
        <v>6202</v>
      </c>
      <c r="BG481" s="27" t="s">
        <v>6203</v>
      </c>
      <c r="BH481" s="27" t="s">
        <v>498</v>
      </c>
      <c r="BI481" s="27" t="s">
        <v>5708</v>
      </c>
      <c r="BJ481" s="27" t="s">
        <v>6204</v>
      </c>
      <c r="BK481" s="27" t="s">
        <v>498</v>
      </c>
      <c r="BL481" s="27" t="s">
        <v>6205</v>
      </c>
      <c r="BM481" s="38">
        <v>0</v>
      </c>
    </row>
    <row r="482" spans="1:65" x14ac:dyDescent="0.2">
      <c r="A482" s="37">
        <v>1122</v>
      </c>
      <c r="B482" s="27">
        <v>146</v>
      </c>
      <c r="C482" s="27" t="s">
        <v>503</v>
      </c>
      <c r="D482" s="27" t="s">
        <v>6206</v>
      </c>
      <c r="E482" s="27" t="s">
        <v>5836</v>
      </c>
      <c r="F482" s="27" t="s">
        <v>5682</v>
      </c>
      <c r="G482" s="28">
        <v>2026</v>
      </c>
      <c r="H482" s="20" t="str">
        <f>VLOOKUP(U482,'[1]KODE TYPE standar'!$D:$U,17,0)</f>
        <v>INV REBORN</v>
      </c>
      <c r="I482" s="20" t="str">
        <f>VLOOKUP(U482,'[1]KODE TYPE standar'!$D:$U,16,0)</f>
        <v>INNOVA</v>
      </c>
      <c r="J482" s="20" t="str">
        <f>VLOOKUP(U482,'[1]KODE TYPE standar'!$D:$U,18,0)</f>
        <v>INNOVA G A/T DIESEL</v>
      </c>
      <c r="K482" s="27" t="s">
        <v>101</v>
      </c>
      <c r="L482" s="27" t="s">
        <v>109</v>
      </c>
      <c r="M482" s="27" t="s">
        <v>262</v>
      </c>
      <c r="N482" s="27" t="s">
        <v>71</v>
      </c>
      <c r="O482" s="28" t="s">
        <v>6581</v>
      </c>
      <c r="P482" s="29" t="s">
        <v>151</v>
      </c>
      <c r="Q482" s="29" t="s">
        <v>162</v>
      </c>
      <c r="R482" s="29" t="s">
        <v>109</v>
      </c>
      <c r="S482" s="27" t="s">
        <v>795</v>
      </c>
      <c r="T482" s="27" t="s">
        <v>509</v>
      </c>
      <c r="U482" s="27" t="s">
        <v>192</v>
      </c>
      <c r="V482" s="27" t="s">
        <v>48</v>
      </c>
      <c r="W482" s="27" t="s">
        <v>49</v>
      </c>
      <c r="X482" s="27" t="s">
        <v>6207</v>
      </c>
      <c r="Y482" s="27" t="s">
        <v>6208</v>
      </c>
      <c r="Z482" s="27" t="s">
        <v>794</v>
      </c>
      <c r="AA482" s="27" t="s">
        <v>795</v>
      </c>
      <c r="AB482" s="27" t="s">
        <v>509</v>
      </c>
      <c r="AC482" s="27" t="s">
        <v>6209</v>
      </c>
      <c r="AD482" s="27" t="s">
        <v>4402</v>
      </c>
      <c r="AE482" s="27" t="s">
        <v>109</v>
      </c>
      <c r="AF482" s="27" t="s">
        <v>4403</v>
      </c>
      <c r="AG482" s="27" t="s">
        <v>6210</v>
      </c>
      <c r="AH482" s="27" t="s">
        <v>304</v>
      </c>
      <c r="AI482" s="27" t="s">
        <v>71</v>
      </c>
      <c r="AJ482" s="27" t="s">
        <v>262</v>
      </c>
      <c r="AK482" s="27" t="s">
        <v>103</v>
      </c>
      <c r="AL482" s="27"/>
      <c r="AM482" s="34">
        <v>438700000</v>
      </c>
      <c r="AN482" s="34">
        <v>340422768</v>
      </c>
      <c r="AO482" s="34">
        <v>57426500</v>
      </c>
      <c r="AP482" s="34">
        <v>37111446</v>
      </c>
      <c r="AQ482" s="34">
        <v>0</v>
      </c>
      <c r="AR482" s="34">
        <v>0</v>
      </c>
      <c r="AS482" s="34">
        <v>31160714</v>
      </c>
      <c r="AT482" s="34">
        <v>403800000</v>
      </c>
      <c r="AU482" s="34">
        <v>0</v>
      </c>
      <c r="AV482" s="34">
        <v>-34900000</v>
      </c>
      <c r="AW482" s="27"/>
      <c r="AX482" s="27"/>
      <c r="AY482" s="27" t="s">
        <v>83</v>
      </c>
      <c r="AZ482" s="27">
        <v>1</v>
      </c>
      <c r="BA482" s="27" t="s">
        <v>4405</v>
      </c>
      <c r="BB482" s="27" t="s">
        <v>5745</v>
      </c>
      <c r="BC482" s="27" t="s">
        <v>6211</v>
      </c>
      <c r="BD482" s="27" t="s">
        <v>5745</v>
      </c>
      <c r="BE482" s="27" t="s">
        <v>5745</v>
      </c>
      <c r="BF482" s="27" t="s">
        <v>6212</v>
      </c>
      <c r="BG482" s="27" t="s">
        <v>6213</v>
      </c>
      <c r="BH482" s="27" t="s">
        <v>5836</v>
      </c>
      <c r="BI482" s="27" t="s">
        <v>5938</v>
      </c>
      <c r="BJ482" s="27" t="s">
        <v>6214</v>
      </c>
      <c r="BK482" s="27" t="s">
        <v>477</v>
      </c>
      <c r="BL482" s="27" t="s">
        <v>6215</v>
      </c>
      <c r="BM482" s="38">
        <v>0</v>
      </c>
    </row>
    <row r="483" spans="1:65" x14ac:dyDescent="0.2">
      <c r="A483" s="37">
        <v>1145</v>
      </c>
      <c r="B483" s="27">
        <v>146</v>
      </c>
      <c r="C483" s="27" t="s">
        <v>503</v>
      </c>
      <c r="D483" s="27" t="s">
        <v>6216</v>
      </c>
      <c r="E483" s="27" t="s">
        <v>498</v>
      </c>
      <c r="F483" s="27" t="s">
        <v>5682</v>
      </c>
      <c r="G483" s="28">
        <v>2026</v>
      </c>
      <c r="H483" s="20" t="str">
        <f>VLOOKUP(U483,'[1]KODE TYPE standar'!$D:$U,17,0)</f>
        <v>AVANZA</v>
      </c>
      <c r="I483" s="20" t="str">
        <f>VLOOKUP(U483,'[1]KODE TYPE standar'!$D:$U,16,0)</f>
        <v>AVANZA</v>
      </c>
      <c r="J483" s="20" t="str">
        <f>VLOOKUP(U483,'[1]KODE TYPE standar'!$D:$U,18,0)</f>
        <v>AVANZA G M/T</v>
      </c>
      <c r="K483" s="27" t="s">
        <v>50</v>
      </c>
      <c r="L483" s="27" t="s">
        <v>109</v>
      </c>
      <c r="M483" s="27" t="s">
        <v>50</v>
      </c>
      <c r="N483" s="27" t="s">
        <v>141</v>
      </c>
      <c r="O483" s="28" t="s">
        <v>156</v>
      </c>
      <c r="P483" s="29" t="s">
        <v>150</v>
      </c>
      <c r="Q483" s="29" t="s">
        <v>162</v>
      </c>
      <c r="R483" s="29" t="s">
        <v>109</v>
      </c>
      <c r="S483" s="27" t="s">
        <v>1373</v>
      </c>
      <c r="T483" s="27" t="s">
        <v>509</v>
      </c>
      <c r="U483" s="27" t="s">
        <v>373</v>
      </c>
      <c r="V483" s="27" t="s">
        <v>64</v>
      </c>
      <c r="W483" s="27" t="s">
        <v>65</v>
      </c>
      <c r="X483" s="27" t="s">
        <v>6217</v>
      </c>
      <c r="Y483" s="27" t="s">
        <v>6218</v>
      </c>
      <c r="Z483" s="27" t="s">
        <v>1372</v>
      </c>
      <c r="AA483" s="27" t="s">
        <v>1373</v>
      </c>
      <c r="AB483" s="27" t="s">
        <v>509</v>
      </c>
      <c r="AC483" s="27" t="s">
        <v>5347</v>
      </c>
      <c r="AD483" s="27" t="s">
        <v>314</v>
      </c>
      <c r="AE483" s="27" t="s">
        <v>109</v>
      </c>
      <c r="AF483" s="27" t="s">
        <v>314</v>
      </c>
      <c r="AG483" s="27" t="s">
        <v>2783</v>
      </c>
      <c r="AH483" s="27" t="s">
        <v>1494</v>
      </c>
      <c r="AI483" s="27" t="s">
        <v>141</v>
      </c>
      <c r="AJ483" s="27" t="s">
        <v>50</v>
      </c>
      <c r="AK483" s="27" t="s">
        <v>50</v>
      </c>
      <c r="AL483" s="27"/>
      <c r="AM483" s="34">
        <v>270700000</v>
      </c>
      <c r="AN483" s="34">
        <v>208716518</v>
      </c>
      <c r="AO483" s="34">
        <v>36937500</v>
      </c>
      <c r="AP483" s="34">
        <v>22688839</v>
      </c>
      <c r="AQ483" s="34">
        <v>0</v>
      </c>
      <c r="AR483" s="34">
        <v>0</v>
      </c>
      <c r="AS483" s="34">
        <v>19642857</v>
      </c>
      <c r="AT483" s="34">
        <v>248700000</v>
      </c>
      <c r="AU483" s="34">
        <v>248700000</v>
      </c>
      <c r="AV483" s="34">
        <v>-22264886</v>
      </c>
      <c r="AW483" s="27" t="s">
        <v>485</v>
      </c>
      <c r="AX483" s="27" t="s">
        <v>485</v>
      </c>
      <c r="AY483" s="27" t="s">
        <v>83</v>
      </c>
      <c r="AZ483" s="27">
        <v>1</v>
      </c>
      <c r="BA483" s="27" t="s">
        <v>6219</v>
      </c>
      <c r="BB483" s="27" t="s">
        <v>5795</v>
      </c>
      <c r="BC483" s="27" t="s">
        <v>6220</v>
      </c>
      <c r="BD483" s="27" t="s">
        <v>5795</v>
      </c>
      <c r="BE483" s="27" t="s">
        <v>5795</v>
      </c>
      <c r="BF483" s="27" t="s">
        <v>6221</v>
      </c>
      <c r="BG483" s="27" t="s">
        <v>6222</v>
      </c>
      <c r="BH483" s="27" t="s">
        <v>5795</v>
      </c>
      <c r="BI483" s="27" t="s">
        <v>6223</v>
      </c>
      <c r="BJ483" s="27" t="s">
        <v>6224</v>
      </c>
      <c r="BK483" s="27" t="s">
        <v>454</v>
      </c>
      <c r="BL483" s="27" t="s">
        <v>6225</v>
      </c>
      <c r="BM483" s="38">
        <v>0</v>
      </c>
    </row>
    <row r="484" spans="1:65" x14ac:dyDescent="0.2">
      <c r="A484" s="37">
        <v>1148</v>
      </c>
      <c r="B484" s="27">
        <v>146</v>
      </c>
      <c r="C484" s="27" t="s">
        <v>503</v>
      </c>
      <c r="D484" s="27" t="s">
        <v>6226</v>
      </c>
      <c r="E484" s="27" t="s">
        <v>495</v>
      </c>
      <c r="F484" s="27" t="s">
        <v>5682</v>
      </c>
      <c r="G484" s="28">
        <v>2026</v>
      </c>
      <c r="H484" s="20" t="str">
        <f>VLOOKUP(U484,'[1]KODE TYPE standar'!$D:$U,17,0)</f>
        <v>HILUX</v>
      </c>
      <c r="I484" s="20" t="str">
        <f>VLOOKUP(U484,'[1]KODE TYPE standar'!$D:$U,16,0)</f>
        <v>HILUX</v>
      </c>
      <c r="J484" s="20" t="str">
        <f>VLOOKUP(U484,'[1]KODE TYPE standar'!$D:$U,18,0)</f>
        <v>RANGGA-HILUX PU DIESEL M/T</v>
      </c>
      <c r="K484" s="27" t="s">
        <v>101</v>
      </c>
      <c r="L484" s="27" t="s">
        <v>109</v>
      </c>
      <c r="M484" s="27" t="s">
        <v>262</v>
      </c>
      <c r="N484" s="27" t="s">
        <v>141</v>
      </c>
      <c r="O484" s="28" t="s">
        <v>156</v>
      </c>
      <c r="P484" s="29" t="s">
        <v>149</v>
      </c>
      <c r="Q484" s="29" t="s">
        <v>161</v>
      </c>
      <c r="R484" s="29" t="s">
        <v>109</v>
      </c>
      <c r="S484" s="27" t="s">
        <v>6230</v>
      </c>
      <c r="T484" s="27" t="s">
        <v>585</v>
      </c>
      <c r="U484" s="27" t="s">
        <v>332</v>
      </c>
      <c r="V484" s="27" t="s">
        <v>99</v>
      </c>
      <c r="W484" s="27" t="s">
        <v>61</v>
      </c>
      <c r="X484" s="27" t="s">
        <v>6227</v>
      </c>
      <c r="Y484" s="27" t="s">
        <v>6228</v>
      </c>
      <c r="Z484" s="27" t="s">
        <v>6229</v>
      </c>
      <c r="AA484" s="27" t="s">
        <v>6230</v>
      </c>
      <c r="AB484" s="27" t="s">
        <v>585</v>
      </c>
      <c r="AC484" s="27" t="s">
        <v>6231</v>
      </c>
      <c r="AD484" s="27" t="s">
        <v>6232</v>
      </c>
      <c r="AE484" s="27" t="s">
        <v>109</v>
      </c>
      <c r="AF484" s="27" t="s">
        <v>6233</v>
      </c>
      <c r="AG484" s="27" t="s">
        <v>6234</v>
      </c>
      <c r="AH484" s="27" t="s">
        <v>1879</v>
      </c>
      <c r="AI484" s="27" t="s">
        <v>141</v>
      </c>
      <c r="AJ484" s="27" t="s">
        <v>262</v>
      </c>
      <c r="AK484" s="27" t="s">
        <v>103</v>
      </c>
      <c r="AL484" s="27"/>
      <c r="AM484" s="34">
        <v>294300000</v>
      </c>
      <c r="AN484" s="34">
        <v>227083333</v>
      </c>
      <c r="AO484" s="34">
        <v>42237500</v>
      </c>
      <c r="AP484" s="34">
        <v>23492680</v>
      </c>
      <c r="AQ484" s="34">
        <v>0</v>
      </c>
      <c r="AR484" s="34">
        <v>0</v>
      </c>
      <c r="AS484" s="34">
        <v>13513514</v>
      </c>
      <c r="AT484" s="34">
        <v>279300000</v>
      </c>
      <c r="AU484" s="34">
        <v>0</v>
      </c>
      <c r="AV484" s="34">
        <v>-15847637</v>
      </c>
      <c r="AW484" s="27"/>
      <c r="AX484" s="27"/>
      <c r="AY484" s="27" t="s">
        <v>83</v>
      </c>
      <c r="AZ484" s="27">
        <v>1</v>
      </c>
      <c r="BA484" s="27" t="s">
        <v>6235</v>
      </c>
      <c r="BB484" s="27" t="s">
        <v>484</v>
      </c>
      <c r="BC484" s="27" t="s">
        <v>6236</v>
      </c>
      <c r="BD484" s="27" t="s">
        <v>5872</v>
      </c>
      <c r="BE484" s="27" t="s">
        <v>5872</v>
      </c>
      <c r="BF484" s="27" t="s">
        <v>6237</v>
      </c>
      <c r="BG484" s="27" t="s">
        <v>6238</v>
      </c>
      <c r="BH484" s="27" t="s">
        <v>495</v>
      </c>
      <c r="BI484" s="27" t="s">
        <v>497</v>
      </c>
      <c r="BJ484" s="27" t="s">
        <v>6239</v>
      </c>
      <c r="BK484" s="27" t="s">
        <v>440</v>
      </c>
      <c r="BL484" s="27" t="s">
        <v>6240</v>
      </c>
      <c r="BM484" s="38">
        <v>0</v>
      </c>
    </row>
    <row r="485" spans="1:65" x14ac:dyDescent="0.2">
      <c r="A485" s="37">
        <v>1217</v>
      </c>
      <c r="B485" s="27">
        <v>146</v>
      </c>
      <c r="C485" s="27" t="s">
        <v>503</v>
      </c>
      <c r="D485" s="27" t="s">
        <v>6241</v>
      </c>
      <c r="E485" s="27" t="s">
        <v>477</v>
      </c>
      <c r="F485" s="27" t="s">
        <v>5682</v>
      </c>
      <c r="G485" s="28">
        <v>2026</v>
      </c>
      <c r="H485" s="20" t="str">
        <f>VLOOKUP(U485,'[1]KODE TYPE standar'!$D:$U,17,0)</f>
        <v>HILUX</v>
      </c>
      <c r="I485" s="20" t="str">
        <f>VLOOKUP(U485,'[1]KODE TYPE standar'!$D:$U,16,0)</f>
        <v>HILUX</v>
      </c>
      <c r="J485" s="20" t="str">
        <f>VLOOKUP(U485,'[1]KODE TYPE standar'!$D:$U,18,0)</f>
        <v>HILUX DC V A/T DIESEL</v>
      </c>
      <c r="K485" s="27" t="s">
        <v>120</v>
      </c>
      <c r="L485" s="27" t="s">
        <v>109</v>
      </c>
      <c r="M485" s="27" t="s">
        <v>262</v>
      </c>
      <c r="N485" s="27" t="s">
        <v>141</v>
      </c>
      <c r="O485" s="28" t="s">
        <v>156</v>
      </c>
      <c r="P485" s="29" t="s">
        <v>149</v>
      </c>
      <c r="Q485" s="29" t="s">
        <v>162</v>
      </c>
      <c r="R485" s="29" t="s">
        <v>109</v>
      </c>
      <c r="S485" s="27" t="s">
        <v>877</v>
      </c>
      <c r="T485" s="27" t="s">
        <v>585</v>
      </c>
      <c r="U485" s="27" t="s">
        <v>5734</v>
      </c>
      <c r="V485" s="27" t="s">
        <v>48</v>
      </c>
      <c r="W485" s="27" t="s">
        <v>49</v>
      </c>
      <c r="X485" s="27" t="s">
        <v>6242</v>
      </c>
      <c r="Y485" s="27" t="s">
        <v>6243</v>
      </c>
      <c r="Z485" s="27" t="s">
        <v>876</v>
      </c>
      <c r="AA485" s="27" t="s">
        <v>877</v>
      </c>
      <c r="AB485" s="27" t="s">
        <v>585</v>
      </c>
      <c r="AC485" s="27" t="s">
        <v>6244</v>
      </c>
      <c r="AD485" s="27" t="s">
        <v>6245</v>
      </c>
      <c r="AE485" s="27" t="s">
        <v>109</v>
      </c>
      <c r="AF485" s="27" t="s">
        <v>6245</v>
      </c>
      <c r="AG485" s="27" t="s">
        <v>6246</v>
      </c>
      <c r="AH485" s="27" t="s">
        <v>1349</v>
      </c>
      <c r="AI485" s="27" t="s">
        <v>141</v>
      </c>
      <c r="AJ485" s="27" t="s">
        <v>262</v>
      </c>
      <c r="AK485" s="27" t="s">
        <v>169</v>
      </c>
      <c r="AL485" s="27"/>
      <c r="AM485" s="34">
        <v>575100000</v>
      </c>
      <c r="AN485" s="34">
        <v>444430804</v>
      </c>
      <c r="AO485" s="34">
        <v>77337500</v>
      </c>
      <c r="AP485" s="34">
        <v>53331696</v>
      </c>
      <c r="AQ485" s="34">
        <v>0</v>
      </c>
      <c r="AR485" s="34">
        <v>0</v>
      </c>
      <c r="AS485" s="34">
        <v>0</v>
      </c>
      <c r="AT485" s="34">
        <v>575100000</v>
      </c>
      <c r="AU485" s="34">
        <v>0</v>
      </c>
      <c r="AV485" s="34">
        <v>0</v>
      </c>
      <c r="AW485" s="27" t="s">
        <v>460</v>
      </c>
      <c r="AX485" s="27" t="s">
        <v>460</v>
      </c>
      <c r="AY485" s="27" t="s">
        <v>83</v>
      </c>
      <c r="AZ485" s="27">
        <v>1</v>
      </c>
      <c r="BA485" s="27"/>
      <c r="BB485" s="27" t="s">
        <v>479</v>
      </c>
      <c r="BC485" s="27" t="s">
        <v>6247</v>
      </c>
      <c r="BD485" s="27" t="s">
        <v>456</v>
      </c>
      <c r="BE485" s="27" t="s">
        <v>456</v>
      </c>
      <c r="BF485" s="27" t="s">
        <v>6248</v>
      </c>
      <c r="BG485" s="27" t="s">
        <v>6249</v>
      </c>
      <c r="BH485" s="27" t="s">
        <v>477</v>
      </c>
      <c r="BI485" s="27" t="s">
        <v>495</v>
      </c>
      <c r="BJ485" s="27" t="s">
        <v>6250</v>
      </c>
      <c r="BK485" s="27" t="s">
        <v>468</v>
      </c>
      <c r="BL485" s="27" t="s">
        <v>6251</v>
      </c>
      <c r="BM485" s="38">
        <v>0</v>
      </c>
    </row>
    <row r="486" spans="1:65" x14ac:dyDescent="0.2">
      <c r="A486" s="37">
        <v>1430</v>
      </c>
      <c r="B486" s="27">
        <v>146</v>
      </c>
      <c r="C486" s="27" t="s">
        <v>503</v>
      </c>
      <c r="D486" s="27" t="s">
        <v>6252</v>
      </c>
      <c r="E486" s="27" t="s">
        <v>485</v>
      </c>
      <c r="F486" s="27" t="s">
        <v>5682</v>
      </c>
      <c r="G486" s="28">
        <v>2026</v>
      </c>
      <c r="H486" s="20" t="str">
        <f>VLOOKUP(U486,'[1]KODE TYPE standar'!$D:$U,17,0)</f>
        <v>HILUX</v>
      </c>
      <c r="I486" s="20" t="str">
        <f>VLOOKUP(U486,'[1]KODE TYPE standar'!$D:$U,16,0)</f>
        <v>HILUX</v>
      </c>
      <c r="J486" s="20" t="str">
        <f>VLOOKUP(U486,'[1]KODE TYPE standar'!$D:$U,18,0)</f>
        <v>RANGGA-HILUX PU M/T</v>
      </c>
      <c r="K486" s="27" t="s">
        <v>50</v>
      </c>
      <c r="L486" s="27" t="s">
        <v>110</v>
      </c>
      <c r="M486" s="27" t="s">
        <v>50</v>
      </c>
      <c r="N486" s="27" t="s">
        <v>87</v>
      </c>
      <c r="O486" s="28" t="s">
        <v>6581</v>
      </c>
      <c r="P486" s="29" t="s">
        <v>149</v>
      </c>
      <c r="Q486" s="29" t="s">
        <v>162</v>
      </c>
      <c r="R486" s="29" t="s">
        <v>145</v>
      </c>
      <c r="S486" s="27" t="s">
        <v>877</v>
      </c>
      <c r="T486" s="27" t="s">
        <v>585</v>
      </c>
      <c r="U486" s="27" t="s">
        <v>184</v>
      </c>
      <c r="V486" s="27" t="s">
        <v>99</v>
      </c>
      <c r="W486" s="27" t="s">
        <v>61</v>
      </c>
      <c r="X486" s="27" t="s">
        <v>6253</v>
      </c>
      <c r="Y486" s="27" t="s">
        <v>6254</v>
      </c>
      <c r="Z486" s="27" t="s">
        <v>876</v>
      </c>
      <c r="AA486" s="27" t="s">
        <v>877</v>
      </c>
      <c r="AB486" s="27" t="s">
        <v>585</v>
      </c>
      <c r="AC486" s="27" t="s">
        <v>6255</v>
      </c>
      <c r="AD486" s="27" t="s">
        <v>6256</v>
      </c>
      <c r="AE486" s="27" t="s">
        <v>110</v>
      </c>
      <c r="AF486" s="27" t="s">
        <v>6256</v>
      </c>
      <c r="AG486" s="27" t="s">
        <v>6257</v>
      </c>
      <c r="AH486" s="27" t="s">
        <v>374</v>
      </c>
      <c r="AI486" s="27" t="s">
        <v>87</v>
      </c>
      <c r="AJ486" s="27" t="s">
        <v>50</v>
      </c>
      <c r="AK486" s="27" t="s">
        <v>50</v>
      </c>
      <c r="AL486" s="27"/>
      <c r="AM486" s="34">
        <v>199200000</v>
      </c>
      <c r="AN486" s="34">
        <v>154283784</v>
      </c>
      <c r="AO486" s="34">
        <v>27945000</v>
      </c>
      <c r="AP486" s="34">
        <v>14989234</v>
      </c>
      <c r="AQ486" s="34">
        <v>0</v>
      </c>
      <c r="AR486" s="34">
        <v>0</v>
      </c>
      <c r="AS486" s="34">
        <v>18018018</v>
      </c>
      <c r="AT486" s="34">
        <v>179200000</v>
      </c>
      <c r="AU486" s="34">
        <v>154700000</v>
      </c>
      <c r="AV486" s="34">
        <v>-20000000</v>
      </c>
      <c r="AW486" s="27"/>
      <c r="AX486" s="27"/>
      <c r="AY486" s="27" t="s">
        <v>83</v>
      </c>
      <c r="AZ486" s="27">
        <v>1</v>
      </c>
      <c r="BA486" s="27"/>
      <c r="BB486" s="27" t="s">
        <v>467</v>
      </c>
      <c r="BC486" s="27" t="s">
        <v>6258</v>
      </c>
      <c r="BD486" s="27" t="s">
        <v>434</v>
      </c>
      <c r="BE486" s="27" t="s">
        <v>434</v>
      </c>
      <c r="BF486" s="27" t="s">
        <v>6259</v>
      </c>
      <c r="BG486" s="27" t="s">
        <v>6260</v>
      </c>
      <c r="BH486" s="27"/>
      <c r="BI486" s="27" t="s">
        <v>5351</v>
      </c>
      <c r="BJ486" s="27" t="s">
        <v>6261</v>
      </c>
      <c r="BK486" s="27" t="s">
        <v>490</v>
      </c>
      <c r="BL486" s="27" t="s">
        <v>6262</v>
      </c>
      <c r="BM486" s="38">
        <v>0</v>
      </c>
    </row>
    <row r="487" spans="1:65" x14ac:dyDescent="0.2">
      <c r="A487" s="37">
        <v>1479</v>
      </c>
      <c r="B487" s="27">
        <v>146</v>
      </c>
      <c r="C487" s="27" t="s">
        <v>503</v>
      </c>
      <c r="D487" s="27" t="s">
        <v>6263</v>
      </c>
      <c r="E487" s="27" t="s">
        <v>5795</v>
      </c>
      <c r="F487" s="27" t="s">
        <v>5682</v>
      </c>
      <c r="G487" s="28">
        <v>2026</v>
      </c>
      <c r="H487" s="20" t="str">
        <f>VLOOKUP(U487,'[1]KODE TYPE standar'!$D:$U,17,0)</f>
        <v>VELOZ</v>
      </c>
      <c r="I487" s="20" t="str">
        <f>VLOOKUP(U487,'[1]KODE TYPE standar'!$D:$U,16,0)</f>
        <v>VELOZ</v>
      </c>
      <c r="J487" s="20" t="str">
        <f>VLOOKUP(U487,'[1]KODE TYPE standar'!$D:$U,18,0)</f>
        <v>VELOZ V AT HYBRID</v>
      </c>
      <c r="K487" s="27" t="s">
        <v>120</v>
      </c>
      <c r="L487" s="27" t="s">
        <v>110</v>
      </c>
      <c r="M487" s="27" t="s">
        <v>262</v>
      </c>
      <c r="N487" s="27" t="s">
        <v>106</v>
      </c>
      <c r="O487" s="28" t="s">
        <v>156</v>
      </c>
      <c r="P487" s="29" t="s">
        <v>149</v>
      </c>
      <c r="Q487" s="29" t="s">
        <v>147</v>
      </c>
      <c r="R487" s="29" t="s">
        <v>597</v>
      </c>
      <c r="S487" s="27" t="s">
        <v>1966</v>
      </c>
      <c r="T487" s="27" t="s">
        <v>509</v>
      </c>
      <c r="U487" s="27" t="s">
        <v>335</v>
      </c>
      <c r="V487" s="27" t="s">
        <v>51</v>
      </c>
      <c r="W487" s="27" t="s">
        <v>286</v>
      </c>
      <c r="X487" s="27" t="s">
        <v>6264</v>
      </c>
      <c r="Y487" s="27" t="s">
        <v>6265</v>
      </c>
      <c r="Z487" s="27" t="s">
        <v>4724</v>
      </c>
      <c r="AA487" s="27" t="s">
        <v>1966</v>
      </c>
      <c r="AB487" s="27" t="s">
        <v>509</v>
      </c>
      <c r="AC487" s="27" t="s">
        <v>6266</v>
      </c>
      <c r="AD487" s="27" t="s">
        <v>6267</v>
      </c>
      <c r="AE487" s="27" t="s">
        <v>110</v>
      </c>
      <c r="AF487" s="27" t="s">
        <v>6268</v>
      </c>
      <c r="AG487" s="27" t="s">
        <v>6269</v>
      </c>
      <c r="AH487" s="27" t="s">
        <v>927</v>
      </c>
      <c r="AI487" s="27" t="s">
        <v>106</v>
      </c>
      <c r="AJ487" s="27" t="s">
        <v>262</v>
      </c>
      <c r="AK487" s="27" t="s">
        <v>6270</v>
      </c>
      <c r="AL487" s="27"/>
      <c r="AM487" s="34">
        <v>304500000</v>
      </c>
      <c r="AN487" s="34">
        <v>235122768</v>
      </c>
      <c r="AO487" s="34">
        <v>41162500</v>
      </c>
      <c r="AP487" s="34">
        <v>27464732</v>
      </c>
      <c r="AQ487" s="34">
        <v>0</v>
      </c>
      <c r="AR487" s="34">
        <v>0</v>
      </c>
      <c r="AS487" s="34">
        <v>6250000</v>
      </c>
      <c r="AT487" s="34">
        <v>297500000</v>
      </c>
      <c r="AU487" s="34">
        <v>0</v>
      </c>
      <c r="AV487" s="34">
        <v>-7000000</v>
      </c>
      <c r="AW487" s="27" t="s">
        <v>498</v>
      </c>
      <c r="AX487" s="27" t="s">
        <v>498</v>
      </c>
      <c r="AY487" s="27" t="s">
        <v>83</v>
      </c>
      <c r="AZ487" s="27">
        <v>1</v>
      </c>
      <c r="BA487" s="27"/>
      <c r="BB487" s="27" t="s">
        <v>477</v>
      </c>
      <c r="BC487" s="27" t="s">
        <v>6271</v>
      </c>
      <c r="BD487" s="27" t="s">
        <v>456</v>
      </c>
      <c r="BE487" s="27" t="s">
        <v>456</v>
      </c>
      <c r="BF487" s="27" t="s">
        <v>6272</v>
      </c>
      <c r="BG487" s="27" t="s">
        <v>6273</v>
      </c>
      <c r="BH487" s="27" t="s">
        <v>5795</v>
      </c>
      <c r="BI487" s="27" t="s">
        <v>485</v>
      </c>
      <c r="BJ487" s="27" t="s">
        <v>6274</v>
      </c>
      <c r="BK487" s="27" t="s">
        <v>477</v>
      </c>
      <c r="BL487" s="27" t="s">
        <v>6275</v>
      </c>
      <c r="BM487" s="38">
        <v>0</v>
      </c>
    </row>
    <row r="488" spans="1:65" x14ac:dyDescent="0.2">
      <c r="A488" s="37">
        <v>1492</v>
      </c>
      <c r="B488" s="27">
        <v>146</v>
      </c>
      <c r="C488" s="27" t="s">
        <v>503</v>
      </c>
      <c r="D488" s="27" t="s">
        <v>6276</v>
      </c>
      <c r="E488" s="27" t="s">
        <v>484</v>
      </c>
      <c r="F488" s="27" t="s">
        <v>5682</v>
      </c>
      <c r="G488" s="28">
        <v>2026</v>
      </c>
      <c r="H488" s="20" t="str">
        <f>VLOOKUP(U488,'[1]KODE TYPE standar'!$D:$U,17,0)</f>
        <v>INV ZENIX HYBRID</v>
      </c>
      <c r="I488" s="20" t="str">
        <f>VLOOKUP(U488,'[1]KODE TYPE standar'!$D:$U,16,0)</f>
        <v>INNOVA</v>
      </c>
      <c r="J488" s="20" t="str">
        <f>VLOOKUP(U488,'[1]KODE TYPE standar'!$D:$U,18,0)</f>
        <v>INNOVA ZENIX V A/T HYBRID</v>
      </c>
      <c r="K488" s="27" t="s">
        <v>50</v>
      </c>
      <c r="L488" s="27" t="s">
        <v>110</v>
      </c>
      <c r="M488" s="27" t="s">
        <v>50</v>
      </c>
      <c r="N488" s="27" t="s">
        <v>141</v>
      </c>
      <c r="O488" s="28" t="s">
        <v>156</v>
      </c>
      <c r="P488" s="29" t="s">
        <v>536</v>
      </c>
      <c r="Q488" s="29" t="s">
        <v>161</v>
      </c>
      <c r="R488" s="29" t="s">
        <v>597</v>
      </c>
      <c r="S488" s="27" t="s">
        <v>631</v>
      </c>
      <c r="T488" s="27" t="s">
        <v>509</v>
      </c>
      <c r="U488" s="27" t="s">
        <v>175</v>
      </c>
      <c r="V488" s="27" t="s">
        <v>48</v>
      </c>
      <c r="W488" s="27" t="s">
        <v>49</v>
      </c>
      <c r="X488" s="27" t="s">
        <v>6277</v>
      </c>
      <c r="Y488" s="27" t="s">
        <v>6278</v>
      </c>
      <c r="Z488" s="27" t="s">
        <v>630</v>
      </c>
      <c r="AA488" s="27" t="s">
        <v>631</v>
      </c>
      <c r="AB488" s="27" t="s">
        <v>509</v>
      </c>
      <c r="AC488" s="27" t="s">
        <v>6279</v>
      </c>
      <c r="AD488" s="27" t="s">
        <v>6280</v>
      </c>
      <c r="AE488" s="27" t="s">
        <v>110</v>
      </c>
      <c r="AF488" s="27" t="s">
        <v>6280</v>
      </c>
      <c r="AG488" s="27" t="s">
        <v>6281</v>
      </c>
      <c r="AH488" s="27" t="s">
        <v>2449</v>
      </c>
      <c r="AI488" s="27" t="s">
        <v>141</v>
      </c>
      <c r="AJ488" s="27" t="s">
        <v>50</v>
      </c>
      <c r="AK488" s="27" t="s">
        <v>50</v>
      </c>
      <c r="AL488" s="27"/>
      <c r="AM488" s="34">
        <v>552800000</v>
      </c>
      <c r="AN488" s="34">
        <v>429107143</v>
      </c>
      <c r="AO488" s="34">
        <v>72200000</v>
      </c>
      <c r="AP488" s="34">
        <v>48707142</v>
      </c>
      <c r="AQ488" s="34">
        <v>0</v>
      </c>
      <c r="AR488" s="34">
        <v>0</v>
      </c>
      <c r="AS488" s="34">
        <v>23214286</v>
      </c>
      <c r="AT488" s="34">
        <v>526800000</v>
      </c>
      <c r="AU488" s="34">
        <v>0</v>
      </c>
      <c r="AV488" s="34">
        <v>-26000000</v>
      </c>
      <c r="AW488" s="27" t="s">
        <v>5720</v>
      </c>
      <c r="AX488" s="27" t="s">
        <v>5720</v>
      </c>
      <c r="AY488" s="27" t="s">
        <v>83</v>
      </c>
      <c r="AZ488" s="27">
        <v>1</v>
      </c>
      <c r="BA488" s="27"/>
      <c r="BB488" s="27" t="s">
        <v>484</v>
      </c>
      <c r="BC488" s="27" t="s">
        <v>6282</v>
      </c>
      <c r="BD488" s="27" t="s">
        <v>484</v>
      </c>
      <c r="BE488" s="27" t="s">
        <v>484</v>
      </c>
      <c r="BF488" s="27" t="s">
        <v>6283</v>
      </c>
      <c r="BG488" s="27" t="s">
        <v>6284</v>
      </c>
      <c r="BH488" s="27" t="s">
        <v>484</v>
      </c>
      <c r="BI488" s="27" t="s">
        <v>5972</v>
      </c>
      <c r="BJ488" s="27" t="s">
        <v>6285</v>
      </c>
      <c r="BK488" s="27" t="s">
        <v>477</v>
      </c>
      <c r="BL488" s="27" t="s">
        <v>6286</v>
      </c>
      <c r="BM488" s="38">
        <v>0</v>
      </c>
    </row>
    <row r="489" spans="1:65" x14ac:dyDescent="0.2">
      <c r="A489" s="37">
        <v>1533</v>
      </c>
      <c r="B489" s="27">
        <v>146</v>
      </c>
      <c r="C489" s="27" t="s">
        <v>503</v>
      </c>
      <c r="D489" s="27" t="s">
        <v>6287</v>
      </c>
      <c r="E489" s="27" t="s">
        <v>460</v>
      </c>
      <c r="F489" s="27" t="s">
        <v>5682</v>
      </c>
      <c r="G489" s="28">
        <v>2026</v>
      </c>
      <c r="H489" s="20" t="str">
        <f>VLOOKUP(U489,'[1]KODE TYPE standar'!$D:$U,17,0)</f>
        <v>ALPHARD HYBRID</v>
      </c>
      <c r="I489" s="20" t="str">
        <f>VLOOKUP(U489,'[1]KODE TYPE standar'!$D:$U,16,0)</f>
        <v>ALPHARD</v>
      </c>
      <c r="J489" s="20" t="str">
        <f>VLOOKUP(U489,'[1]KODE TYPE standar'!$D:$U,18,0)</f>
        <v>ALPHARD A/T HYBRID</v>
      </c>
      <c r="K489" s="27" t="s">
        <v>118</v>
      </c>
      <c r="L489" s="27" t="s">
        <v>110</v>
      </c>
      <c r="M489" s="27" t="s">
        <v>262</v>
      </c>
      <c r="N489" s="27" t="s">
        <v>140</v>
      </c>
      <c r="O489" s="28" t="s">
        <v>156</v>
      </c>
      <c r="P489" s="29" t="s">
        <v>151</v>
      </c>
      <c r="Q489" s="29" t="s">
        <v>162</v>
      </c>
      <c r="R489" s="29" t="s">
        <v>145</v>
      </c>
      <c r="S489" s="27" t="s">
        <v>540</v>
      </c>
      <c r="T489" s="27" t="s">
        <v>541</v>
      </c>
      <c r="U489" s="27" t="s">
        <v>285</v>
      </c>
      <c r="V489" s="27" t="s">
        <v>82</v>
      </c>
      <c r="W489" s="27" t="s">
        <v>69</v>
      </c>
      <c r="X489" s="27" t="s">
        <v>6288</v>
      </c>
      <c r="Y489" s="27" t="s">
        <v>6289</v>
      </c>
      <c r="Z489" s="27" t="s">
        <v>539</v>
      </c>
      <c r="AA489" s="27" t="s">
        <v>540</v>
      </c>
      <c r="AB489" s="27" t="s">
        <v>541</v>
      </c>
      <c r="AC489" s="27" t="s">
        <v>6290</v>
      </c>
      <c r="AD489" s="27" t="s">
        <v>6291</v>
      </c>
      <c r="AE489" s="27" t="s">
        <v>110</v>
      </c>
      <c r="AF489" s="27" t="s">
        <v>6292</v>
      </c>
      <c r="AG489" s="27" t="s">
        <v>6293</v>
      </c>
      <c r="AH489" s="27" t="s">
        <v>514</v>
      </c>
      <c r="AI489" s="27" t="s">
        <v>140</v>
      </c>
      <c r="AJ489" s="27" t="s">
        <v>262</v>
      </c>
      <c r="AK489" s="27" t="s">
        <v>63</v>
      </c>
      <c r="AL489" s="27"/>
      <c r="AM489" s="34">
        <v>1388000000</v>
      </c>
      <c r="AN489" s="34">
        <v>1079508929</v>
      </c>
      <c r="AO489" s="34">
        <v>178950000</v>
      </c>
      <c r="AP489" s="34">
        <v>124719642</v>
      </c>
      <c r="AQ489" s="34">
        <v>0</v>
      </c>
      <c r="AR489" s="34">
        <v>0</v>
      </c>
      <c r="AS489" s="34">
        <v>40178571</v>
      </c>
      <c r="AT489" s="34">
        <v>1343000000</v>
      </c>
      <c r="AU489" s="34">
        <v>0</v>
      </c>
      <c r="AV489" s="34">
        <v>-45000000</v>
      </c>
      <c r="AW489" s="27" t="s">
        <v>5715</v>
      </c>
      <c r="AX489" s="27" t="s">
        <v>5715</v>
      </c>
      <c r="AY489" s="27" t="s">
        <v>83</v>
      </c>
      <c r="AZ489" s="27">
        <v>1</v>
      </c>
      <c r="BA489" s="27"/>
      <c r="BB489" s="27" t="s">
        <v>477</v>
      </c>
      <c r="BC489" s="27" t="s">
        <v>6294</v>
      </c>
      <c r="BD489" s="27" t="s">
        <v>477</v>
      </c>
      <c r="BE489" s="27" t="s">
        <v>477</v>
      </c>
      <c r="BF489" s="27" t="s">
        <v>6295</v>
      </c>
      <c r="BG489" s="27" t="s">
        <v>6296</v>
      </c>
      <c r="BH489" s="27" t="s">
        <v>460</v>
      </c>
      <c r="BI489" s="27" t="s">
        <v>5720</v>
      </c>
      <c r="BJ489" s="27" t="s">
        <v>6297</v>
      </c>
      <c r="BK489" s="27" t="s">
        <v>451</v>
      </c>
      <c r="BL489" s="27" t="s">
        <v>6298</v>
      </c>
      <c r="BM489" s="38">
        <v>0</v>
      </c>
    </row>
    <row r="490" spans="1:65" x14ac:dyDescent="0.2">
      <c r="A490" s="37">
        <v>1543</v>
      </c>
      <c r="B490" s="27">
        <v>146</v>
      </c>
      <c r="C490" s="27" t="s">
        <v>503</v>
      </c>
      <c r="D490" s="27" t="s">
        <v>6299</v>
      </c>
      <c r="E490" s="27" t="s">
        <v>488</v>
      </c>
      <c r="F490" s="27" t="s">
        <v>5682</v>
      </c>
      <c r="G490" s="28">
        <v>2026</v>
      </c>
      <c r="H490" s="20" t="str">
        <f>VLOOKUP(U490,'[1]KODE TYPE standar'!$D:$U,17,0)</f>
        <v>CALYA</v>
      </c>
      <c r="I490" s="20" t="str">
        <f>VLOOKUP(U490,'[1]KODE TYPE standar'!$D:$U,16,0)</f>
        <v>CALYA</v>
      </c>
      <c r="J490" s="20" t="str">
        <f>VLOOKUP(U490,'[1]KODE TYPE standar'!$D:$U,18,0)</f>
        <v>CALYA G M/T</v>
      </c>
      <c r="K490" s="27" t="s">
        <v>118</v>
      </c>
      <c r="L490" s="27" t="s">
        <v>110</v>
      </c>
      <c r="M490" s="27" t="s">
        <v>262</v>
      </c>
      <c r="N490" s="27" t="s">
        <v>139</v>
      </c>
      <c r="O490" s="28" t="s">
        <v>156</v>
      </c>
      <c r="P490" s="29" t="s">
        <v>151</v>
      </c>
      <c r="Q490" s="29" t="s">
        <v>161</v>
      </c>
      <c r="R490" s="29" t="s">
        <v>145</v>
      </c>
      <c r="S490" s="27" t="s">
        <v>892</v>
      </c>
      <c r="T490" s="27" t="s">
        <v>541</v>
      </c>
      <c r="U490" s="27" t="s">
        <v>268</v>
      </c>
      <c r="V490" s="27" t="s">
        <v>269</v>
      </c>
      <c r="W490" s="27" t="s">
        <v>270</v>
      </c>
      <c r="X490" s="27" t="s">
        <v>6300</v>
      </c>
      <c r="Y490" s="27" t="s">
        <v>6301</v>
      </c>
      <c r="Z490" s="27" t="s">
        <v>891</v>
      </c>
      <c r="AA490" s="27" t="s">
        <v>892</v>
      </c>
      <c r="AB490" s="27" t="s">
        <v>541</v>
      </c>
      <c r="AC490" s="27" t="s">
        <v>6302</v>
      </c>
      <c r="AD490" s="27" t="s">
        <v>6303</v>
      </c>
      <c r="AE490" s="27" t="s">
        <v>110</v>
      </c>
      <c r="AF490" s="27" t="s">
        <v>6304</v>
      </c>
      <c r="AG490" s="27" t="s">
        <v>6305</v>
      </c>
      <c r="AH490" s="27" t="s">
        <v>651</v>
      </c>
      <c r="AI490" s="27" t="s">
        <v>139</v>
      </c>
      <c r="AJ490" s="27" t="s">
        <v>262</v>
      </c>
      <c r="AK490" s="27" t="s">
        <v>63</v>
      </c>
      <c r="AL490" s="27"/>
      <c r="AM490" s="34">
        <v>182700000</v>
      </c>
      <c r="AN490" s="34">
        <v>139966518</v>
      </c>
      <c r="AO490" s="34">
        <v>25937500</v>
      </c>
      <c r="AP490" s="34">
        <v>15403125</v>
      </c>
      <c r="AQ490" s="34">
        <v>0</v>
      </c>
      <c r="AR490" s="34">
        <v>0</v>
      </c>
      <c r="AS490" s="34">
        <v>11607143</v>
      </c>
      <c r="AT490" s="34">
        <v>169700000</v>
      </c>
      <c r="AU490" s="34">
        <v>0</v>
      </c>
      <c r="AV490" s="34">
        <v>-13000000</v>
      </c>
      <c r="AW490" s="27" t="s">
        <v>490</v>
      </c>
      <c r="AX490" s="27" t="s">
        <v>490</v>
      </c>
      <c r="AY490" s="27" t="s">
        <v>83</v>
      </c>
      <c r="AZ490" s="27">
        <v>1</v>
      </c>
      <c r="BA490" s="27"/>
      <c r="BB490" s="27" t="s">
        <v>460</v>
      </c>
      <c r="BC490" s="27" t="s">
        <v>6306</v>
      </c>
      <c r="BD490" s="27" t="s">
        <v>459</v>
      </c>
      <c r="BE490" s="27" t="s">
        <v>459</v>
      </c>
      <c r="BF490" s="27" t="s">
        <v>6307</v>
      </c>
      <c r="BG490" s="27" t="s">
        <v>6308</v>
      </c>
      <c r="BH490" s="27" t="s">
        <v>488</v>
      </c>
      <c r="BI490" s="27" t="s">
        <v>5743</v>
      </c>
      <c r="BJ490" s="27" t="s">
        <v>5864</v>
      </c>
      <c r="BK490" s="27" t="s">
        <v>470</v>
      </c>
      <c r="BL490" s="27" t="s">
        <v>6309</v>
      </c>
      <c r="BM490" s="38">
        <v>0</v>
      </c>
    </row>
    <row r="491" spans="1:65" x14ac:dyDescent="0.2">
      <c r="A491" s="37">
        <v>1554</v>
      </c>
      <c r="B491" s="27">
        <v>146</v>
      </c>
      <c r="C491" s="27" t="s">
        <v>503</v>
      </c>
      <c r="D491" s="27" t="s">
        <v>6310</v>
      </c>
      <c r="E491" s="27" t="s">
        <v>5836</v>
      </c>
      <c r="F491" s="27" t="s">
        <v>5682</v>
      </c>
      <c r="G491" s="28">
        <v>2026</v>
      </c>
      <c r="H491" s="20" t="str">
        <f>VLOOKUP(U491,'[1]KODE TYPE standar'!$D:$U,17,0)</f>
        <v>RUSH</v>
      </c>
      <c r="I491" s="20" t="str">
        <f>VLOOKUP(U491,'[1]KODE TYPE standar'!$D:$U,16,0)</f>
        <v>RUSH</v>
      </c>
      <c r="J491" s="20" t="str">
        <f>VLOOKUP(U491,'[1]KODE TYPE standar'!$D:$U,18,0)</f>
        <v>RUSH S A/T</v>
      </c>
      <c r="K491" s="27" t="s">
        <v>121</v>
      </c>
      <c r="L491" s="27" t="s">
        <v>110</v>
      </c>
      <c r="M491" s="27" t="s">
        <v>262</v>
      </c>
      <c r="N491" s="27" t="s">
        <v>140</v>
      </c>
      <c r="O491" s="28" t="s">
        <v>156</v>
      </c>
      <c r="P491" s="29" t="s">
        <v>536</v>
      </c>
      <c r="Q491" s="29" t="s">
        <v>161</v>
      </c>
      <c r="R491" s="29" t="s">
        <v>145</v>
      </c>
      <c r="S491" s="27" t="s">
        <v>937</v>
      </c>
      <c r="T491" s="27" t="s">
        <v>541</v>
      </c>
      <c r="U491" s="27" t="s">
        <v>116</v>
      </c>
      <c r="V491" s="27" t="s">
        <v>60</v>
      </c>
      <c r="W491" s="27" t="s">
        <v>61</v>
      </c>
      <c r="X491" s="27" t="s">
        <v>6311</v>
      </c>
      <c r="Y491" s="27" t="s">
        <v>6312</v>
      </c>
      <c r="Z491" s="27" t="s">
        <v>936</v>
      </c>
      <c r="AA491" s="27" t="s">
        <v>937</v>
      </c>
      <c r="AB491" s="27" t="s">
        <v>541</v>
      </c>
      <c r="AC491" s="27" t="s">
        <v>6313</v>
      </c>
      <c r="AD491" s="27" t="s">
        <v>6314</v>
      </c>
      <c r="AE491" s="27" t="s">
        <v>110</v>
      </c>
      <c r="AF491" s="27" t="s">
        <v>6314</v>
      </c>
      <c r="AG491" s="27" t="s">
        <v>6315</v>
      </c>
      <c r="AH491" s="27" t="s">
        <v>1035</v>
      </c>
      <c r="AI491" s="27" t="s">
        <v>140</v>
      </c>
      <c r="AJ491" s="27" t="s">
        <v>262</v>
      </c>
      <c r="AK491" s="27" t="s">
        <v>104</v>
      </c>
      <c r="AL491" s="27"/>
      <c r="AM491" s="34">
        <v>323200000</v>
      </c>
      <c r="AN491" s="34">
        <v>249732143</v>
      </c>
      <c r="AO491" s="34">
        <v>43500000</v>
      </c>
      <c r="AP491" s="34">
        <v>27396428</v>
      </c>
      <c r="AQ491" s="34">
        <v>0</v>
      </c>
      <c r="AR491" s="34">
        <v>0</v>
      </c>
      <c r="AS491" s="34">
        <v>21428571</v>
      </c>
      <c r="AT491" s="34">
        <v>299200000</v>
      </c>
      <c r="AU491" s="34">
        <v>0</v>
      </c>
      <c r="AV491" s="34">
        <v>-24000000</v>
      </c>
      <c r="AW491" s="27"/>
      <c r="AX491" s="27"/>
      <c r="AY491" s="27" t="s">
        <v>83</v>
      </c>
      <c r="AZ491" s="27">
        <v>1</v>
      </c>
      <c r="BA491" s="27"/>
      <c r="BB491" s="27" t="s">
        <v>498</v>
      </c>
      <c r="BC491" s="27" t="s">
        <v>6316</v>
      </c>
      <c r="BD491" s="27" t="s">
        <v>460</v>
      </c>
      <c r="BE491" s="27" t="s">
        <v>460</v>
      </c>
      <c r="BF491" s="27" t="s">
        <v>6317</v>
      </c>
      <c r="BG491" s="27" t="s">
        <v>6318</v>
      </c>
      <c r="BH491" s="27" t="s">
        <v>5836</v>
      </c>
      <c r="BI491" s="27" t="s">
        <v>5938</v>
      </c>
      <c r="BJ491" s="27" t="s">
        <v>6319</v>
      </c>
      <c r="BK491" s="27" t="s">
        <v>460</v>
      </c>
      <c r="BL491" s="27" t="s">
        <v>6320</v>
      </c>
      <c r="BM491" s="38">
        <v>0</v>
      </c>
    </row>
    <row r="492" spans="1:65" x14ac:dyDescent="0.2">
      <c r="A492" s="37">
        <v>1646</v>
      </c>
      <c r="B492" s="27">
        <v>146</v>
      </c>
      <c r="C492" s="27" t="s">
        <v>503</v>
      </c>
      <c r="D492" s="27" t="s">
        <v>6321</v>
      </c>
      <c r="E492" s="27" t="s">
        <v>5708</v>
      </c>
      <c r="F492" s="27" t="s">
        <v>5682</v>
      </c>
      <c r="G492" s="28">
        <v>2026</v>
      </c>
      <c r="H492" s="20" t="str">
        <f>VLOOKUP(U492,'[1]KODE TYPE standar'!$D:$U,17,0)</f>
        <v>FORTUNER</v>
      </c>
      <c r="I492" s="20" t="str">
        <f>VLOOKUP(U492,'[1]KODE TYPE standar'!$D:$U,16,0)</f>
        <v>FORTUNER</v>
      </c>
      <c r="J492" s="20" t="str">
        <f>VLOOKUP(U492,'[1]KODE TYPE standar'!$D:$U,18,0)</f>
        <v>FORTUNER 4X4 VRZ A/T DIESEL</v>
      </c>
      <c r="K492" s="27" t="s">
        <v>118</v>
      </c>
      <c r="L492" s="27" t="s">
        <v>110</v>
      </c>
      <c r="M492" s="27" t="s">
        <v>262</v>
      </c>
      <c r="N492" s="27" t="s">
        <v>141</v>
      </c>
      <c r="O492" s="28" t="s">
        <v>156</v>
      </c>
      <c r="P492" s="29" t="s">
        <v>150</v>
      </c>
      <c r="Q492" s="29" t="s">
        <v>162</v>
      </c>
      <c r="R492" s="29" t="s">
        <v>145</v>
      </c>
      <c r="S492" s="27" t="s">
        <v>795</v>
      </c>
      <c r="T492" s="27" t="s">
        <v>509</v>
      </c>
      <c r="U492" s="27" t="s">
        <v>6322</v>
      </c>
      <c r="V492" s="27" t="s">
        <v>48</v>
      </c>
      <c r="W492" s="27" t="s">
        <v>49</v>
      </c>
      <c r="X492" s="27" t="s">
        <v>6323</v>
      </c>
      <c r="Y492" s="27" t="s">
        <v>6324</v>
      </c>
      <c r="Z492" s="27" t="s">
        <v>794</v>
      </c>
      <c r="AA492" s="27" t="s">
        <v>795</v>
      </c>
      <c r="AB492" s="27" t="s">
        <v>509</v>
      </c>
      <c r="AC492" s="27" t="s">
        <v>6325</v>
      </c>
      <c r="AD492" s="27" t="s">
        <v>6326</v>
      </c>
      <c r="AE492" s="27" t="s">
        <v>110</v>
      </c>
      <c r="AF492" s="27" t="s">
        <v>6326</v>
      </c>
      <c r="AG492" s="27" t="s">
        <v>6327</v>
      </c>
      <c r="AH492" s="27" t="s">
        <v>1022</v>
      </c>
      <c r="AI492" s="27" t="s">
        <v>141</v>
      </c>
      <c r="AJ492" s="27" t="s">
        <v>262</v>
      </c>
      <c r="AK492" s="27" t="s">
        <v>63</v>
      </c>
      <c r="AL492" s="27"/>
      <c r="AM492" s="34">
        <v>790500000</v>
      </c>
      <c r="AN492" s="34">
        <v>614810268</v>
      </c>
      <c r="AO492" s="34">
        <v>101912500</v>
      </c>
      <c r="AP492" s="34">
        <v>68955803</v>
      </c>
      <c r="AQ492" s="34">
        <v>0</v>
      </c>
      <c r="AR492" s="34">
        <v>0</v>
      </c>
      <c r="AS492" s="34">
        <v>40178571</v>
      </c>
      <c r="AT492" s="34">
        <v>745500000</v>
      </c>
      <c r="AU492" s="34">
        <v>37500000</v>
      </c>
      <c r="AV492" s="34">
        <v>-45000000</v>
      </c>
      <c r="AW492" s="27"/>
      <c r="AX492" s="27"/>
      <c r="AY492" s="27" t="s">
        <v>83</v>
      </c>
      <c r="AZ492" s="27">
        <v>1</v>
      </c>
      <c r="BA492" s="27"/>
      <c r="BB492" s="27" t="s">
        <v>474</v>
      </c>
      <c r="BC492" s="27" t="s">
        <v>6328</v>
      </c>
      <c r="BD492" s="27" t="s">
        <v>429</v>
      </c>
      <c r="BE492" s="27" t="s">
        <v>429</v>
      </c>
      <c r="BF492" s="27" t="s">
        <v>6329</v>
      </c>
      <c r="BG492" s="27" t="s">
        <v>6330</v>
      </c>
      <c r="BH492" s="27"/>
      <c r="BI492" s="27" t="s">
        <v>5718</v>
      </c>
      <c r="BJ492" s="27" t="s">
        <v>6331</v>
      </c>
      <c r="BK492" s="27" t="s">
        <v>5836</v>
      </c>
      <c r="BL492" s="27" t="s">
        <v>6332</v>
      </c>
      <c r="BM492" s="38">
        <v>0</v>
      </c>
    </row>
    <row r="493" spans="1:65" x14ac:dyDescent="0.2">
      <c r="A493" s="37">
        <v>1654</v>
      </c>
      <c r="B493" s="27">
        <v>146</v>
      </c>
      <c r="C493" s="27" t="s">
        <v>503</v>
      </c>
      <c r="D493" s="27" t="s">
        <v>6333</v>
      </c>
      <c r="E493" s="27" t="s">
        <v>456</v>
      </c>
      <c r="F493" s="27" t="s">
        <v>5682</v>
      </c>
      <c r="G493" s="28">
        <v>2026</v>
      </c>
      <c r="H493" s="20" t="str">
        <f>VLOOKUP(U493,'[1]KODE TYPE standar'!$D:$U,17,0)</f>
        <v>INV ZENIX HYBRID</v>
      </c>
      <c r="I493" s="20" t="str">
        <f>VLOOKUP(U493,'[1]KODE TYPE standar'!$D:$U,16,0)</f>
        <v>INNOVA</v>
      </c>
      <c r="J493" s="20" t="str">
        <f>VLOOKUP(U493,'[1]KODE TYPE standar'!$D:$U,18,0)</f>
        <v>INNOVA ZENIX Q A/T HYBRID</v>
      </c>
      <c r="K493" s="27" t="s">
        <v>119</v>
      </c>
      <c r="L493" s="27" t="s">
        <v>110</v>
      </c>
      <c r="M493" s="27" t="s">
        <v>262</v>
      </c>
      <c r="N493" s="27" t="s">
        <v>141</v>
      </c>
      <c r="O493" s="28" t="s">
        <v>156</v>
      </c>
      <c r="P493" s="29" t="s">
        <v>149</v>
      </c>
      <c r="Q493" s="29" t="s">
        <v>162</v>
      </c>
      <c r="R493" s="29" t="s">
        <v>1016</v>
      </c>
      <c r="S493" s="27" t="s">
        <v>978</v>
      </c>
      <c r="T493" s="27" t="s">
        <v>541</v>
      </c>
      <c r="U493" s="27" t="s">
        <v>208</v>
      </c>
      <c r="V493" s="27" t="s">
        <v>51</v>
      </c>
      <c r="W493" s="27" t="s">
        <v>86</v>
      </c>
      <c r="X493" s="27" t="s">
        <v>6334</v>
      </c>
      <c r="Y493" s="27" t="s">
        <v>6335</v>
      </c>
      <c r="Z493" s="27" t="s">
        <v>977</v>
      </c>
      <c r="AA493" s="27" t="s">
        <v>978</v>
      </c>
      <c r="AB493" s="27" t="s">
        <v>541</v>
      </c>
      <c r="AC493" s="27" t="s">
        <v>6336</v>
      </c>
      <c r="AD493" s="27" t="s">
        <v>6337</v>
      </c>
      <c r="AE493" s="27" t="s">
        <v>110</v>
      </c>
      <c r="AF493" s="27" t="s">
        <v>6338</v>
      </c>
      <c r="AG493" s="27" t="s">
        <v>6339</v>
      </c>
      <c r="AH493" s="27" t="s">
        <v>1602</v>
      </c>
      <c r="AI493" s="27" t="s">
        <v>141</v>
      </c>
      <c r="AJ493" s="27" t="s">
        <v>262</v>
      </c>
      <c r="AK493" s="27" t="s">
        <v>89</v>
      </c>
      <c r="AL493" s="27"/>
      <c r="AM493" s="34">
        <v>631100000</v>
      </c>
      <c r="AN493" s="34">
        <v>490279018</v>
      </c>
      <c r="AO493" s="34">
        <v>81987500</v>
      </c>
      <c r="AP493" s="34">
        <v>56690625</v>
      </c>
      <c r="AQ493" s="34">
        <v>0</v>
      </c>
      <c r="AR493" s="34">
        <v>0</v>
      </c>
      <c r="AS493" s="34">
        <v>17857143</v>
      </c>
      <c r="AT493" s="34">
        <v>611100000</v>
      </c>
      <c r="AU493" s="34">
        <v>0</v>
      </c>
      <c r="AV493" s="34">
        <v>-20000000</v>
      </c>
      <c r="AW493" s="27" t="s">
        <v>5546</v>
      </c>
      <c r="AX493" s="27" t="s">
        <v>5546</v>
      </c>
      <c r="AY493" s="27" t="s">
        <v>83</v>
      </c>
      <c r="AZ493" s="27">
        <v>1</v>
      </c>
      <c r="BA493" s="27"/>
      <c r="BB493" s="27" t="s">
        <v>468</v>
      </c>
      <c r="BC493" s="27" t="s">
        <v>6340</v>
      </c>
      <c r="BD493" s="27" t="s">
        <v>468</v>
      </c>
      <c r="BE493" s="27" t="s">
        <v>468</v>
      </c>
      <c r="BF493" s="27" t="s">
        <v>6341</v>
      </c>
      <c r="BG493" s="27" t="s">
        <v>6342</v>
      </c>
      <c r="BH493" s="27" t="s">
        <v>456</v>
      </c>
      <c r="BI493" s="27" t="s">
        <v>5836</v>
      </c>
      <c r="BJ493" s="27" t="s">
        <v>6343</v>
      </c>
      <c r="BK493" s="27" t="s">
        <v>468</v>
      </c>
      <c r="BL493" s="27" t="s">
        <v>6344</v>
      </c>
      <c r="BM493" s="38">
        <v>0</v>
      </c>
    </row>
    <row r="494" spans="1:65" x14ac:dyDescent="0.2">
      <c r="A494" s="37">
        <v>1676</v>
      </c>
      <c r="B494" s="27">
        <v>146</v>
      </c>
      <c r="C494" s="27" t="s">
        <v>503</v>
      </c>
      <c r="D494" s="27" t="s">
        <v>6345</v>
      </c>
      <c r="E494" s="27" t="s">
        <v>5745</v>
      </c>
      <c r="F494" s="27" t="s">
        <v>5682</v>
      </c>
      <c r="G494" s="28">
        <v>2026</v>
      </c>
      <c r="H494" s="20" t="str">
        <f>VLOOKUP(U494,'[1]KODE TYPE standar'!$D:$U,17,0)</f>
        <v>INV REBORN</v>
      </c>
      <c r="I494" s="20" t="str">
        <f>VLOOKUP(U494,'[1]KODE TYPE standar'!$D:$U,16,0)</f>
        <v>INNOVA</v>
      </c>
      <c r="J494" s="20" t="str">
        <f>VLOOKUP(U494,'[1]KODE TYPE standar'!$D:$U,18,0)</f>
        <v>INNOVA G A/T DIESEL</v>
      </c>
      <c r="K494" s="27" t="s">
        <v>119</v>
      </c>
      <c r="L494" s="27" t="s">
        <v>110</v>
      </c>
      <c r="M494" s="27" t="s">
        <v>262</v>
      </c>
      <c r="N494" s="27" t="s">
        <v>106</v>
      </c>
      <c r="O494" s="28" t="s">
        <v>156</v>
      </c>
      <c r="P494" s="29" t="s">
        <v>536</v>
      </c>
      <c r="Q494" s="29" t="s">
        <v>162</v>
      </c>
      <c r="R494" s="29" t="s">
        <v>145</v>
      </c>
      <c r="S494" s="27" t="s">
        <v>554</v>
      </c>
      <c r="T494" s="27" t="s">
        <v>509</v>
      </c>
      <c r="U494" s="27" t="s">
        <v>192</v>
      </c>
      <c r="V494" s="27" t="s">
        <v>283</v>
      </c>
      <c r="W494" s="27" t="s">
        <v>284</v>
      </c>
      <c r="X494" s="27" t="s">
        <v>6346</v>
      </c>
      <c r="Y494" s="27" t="s">
        <v>6347</v>
      </c>
      <c r="Z494" s="27" t="s">
        <v>553</v>
      </c>
      <c r="AA494" s="27" t="s">
        <v>554</v>
      </c>
      <c r="AB494" s="27" t="s">
        <v>509</v>
      </c>
      <c r="AC494" s="27" t="s">
        <v>6348</v>
      </c>
      <c r="AD494" s="27" t="s">
        <v>6349</v>
      </c>
      <c r="AE494" s="27" t="s">
        <v>110</v>
      </c>
      <c r="AF494" s="27" t="s">
        <v>6350</v>
      </c>
      <c r="AG494" s="27" t="s">
        <v>6351</v>
      </c>
      <c r="AH494" s="27" t="s">
        <v>1087</v>
      </c>
      <c r="AI494" s="27" t="s">
        <v>106</v>
      </c>
      <c r="AJ494" s="27" t="s">
        <v>262</v>
      </c>
      <c r="AK494" s="27" t="s">
        <v>89</v>
      </c>
      <c r="AL494" s="27"/>
      <c r="AM494" s="34">
        <v>442700000</v>
      </c>
      <c r="AN494" s="34">
        <v>343091518</v>
      </c>
      <c r="AO494" s="34">
        <v>58437500</v>
      </c>
      <c r="AP494" s="34">
        <v>37528125</v>
      </c>
      <c r="AQ494" s="34">
        <v>0</v>
      </c>
      <c r="AR494" s="34">
        <v>0</v>
      </c>
      <c r="AS494" s="34">
        <v>30357143</v>
      </c>
      <c r="AT494" s="34">
        <v>408700000</v>
      </c>
      <c r="AU494" s="34">
        <v>0</v>
      </c>
      <c r="AV494" s="34">
        <v>-34000000</v>
      </c>
      <c r="AW494" s="27" t="s">
        <v>490</v>
      </c>
      <c r="AX494" s="27" t="s">
        <v>490</v>
      </c>
      <c r="AY494" s="27" t="s">
        <v>83</v>
      </c>
      <c r="AZ494" s="27">
        <v>1</v>
      </c>
      <c r="BA494" s="27" t="s">
        <v>6352</v>
      </c>
      <c r="BB494" s="27" t="s">
        <v>5692</v>
      </c>
      <c r="BC494" s="27" t="s">
        <v>6353</v>
      </c>
      <c r="BD494" s="27" t="s">
        <v>498</v>
      </c>
      <c r="BE494" s="27" t="s">
        <v>498</v>
      </c>
      <c r="BF494" s="27" t="s">
        <v>6354</v>
      </c>
      <c r="BG494" s="27" t="s">
        <v>6355</v>
      </c>
      <c r="BH494" s="27" t="s">
        <v>5745</v>
      </c>
      <c r="BI494" s="27" t="s">
        <v>5876</v>
      </c>
      <c r="BJ494" s="27" t="s">
        <v>5890</v>
      </c>
      <c r="BK494" s="27" t="s">
        <v>465</v>
      </c>
      <c r="BL494" s="27" t="s">
        <v>6356</v>
      </c>
      <c r="BM494" s="38">
        <v>0</v>
      </c>
    </row>
    <row r="495" spans="1:65" x14ac:dyDescent="0.2">
      <c r="A495" s="37">
        <v>1716</v>
      </c>
      <c r="B495" s="27">
        <v>146</v>
      </c>
      <c r="C495" s="27" t="s">
        <v>503</v>
      </c>
      <c r="D495" s="27" t="s">
        <v>6357</v>
      </c>
      <c r="E495" s="27" t="s">
        <v>5836</v>
      </c>
      <c r="F495" s="27" t="s">
        <v>5682</v>
      </c>
      <c r="G495" s="28">
        <v>2026</v>
      </c>
      <c r="H495" s="20" t="str">
        <f>VLOOKUP(U495,'[1]KODE TYPE standar'!$D:$U,17,0)</f>
        <v>CALYA</v>
      </c>
      <c r="I495" s="20" t="str">
        <f>VLOOKUP(U495,'[1]KODE TYPE standar'!$D:$U,16,0)</f>
        <v>CALYA</v>
      </c>
      <c r="J495" s="20" t="str">
        <f>VLOOKUP(U495,'[1]KODE TYPE standar'!$D:$U,18,0)</f>
        <v>CALYA G M/T</v>
      </c>
      <c r="K495" s="27" t="s">
        <v>118</v>
      </c>
      <c r="L495" s="27" t="s">
        <v>110</v>
      </c>
      <c r="M495" s="27" t="s">
        <v>262</v>
      </c>
      <c r="N495" s="27" t="s">
        <v>158</v>
      </c>
      <c r="O495" s="28" t="s">
        <v>6581</v>
      </c>
      <c r="P495" s="29" t="s">
        <v>151</v>
      </c>
      <c r="Q495" s="29" t="s">
        <v>161</v>
      </c>
      <c r="R495" s="29" t="s">
        <v>1016</v>
      </c>
      <c r="S495" s="27" t="s">
        <v>1476</v>
      </c>
      <c r="T495" s="27" t="s">
        <v>541</v>
      </c>
      <c r="U495" s="27" t="s">
        <v>268</v>
      </c>
      <c r="V495" s="27" t="s">
        <v>68</v>
      </c>
      <c r="W495" s="27" t="s">
        <v>69</v>
      </c>
      <c r="X495" s="27" t="s">
        <v>6358</v>
      </c>
      <c r="Y495" s="27" t="s">
        <v>6359</v>
      </c>
      <c r="Z495" s="27" t="s">
        <v>1475</v>
      </c>
      <c r="AA495" s="27" t="s">
        <v>1476</v>
      </c>
      <c r="AB495" s="27" t="s">
        <v>541</v>
      </c>
      <c r="AC495" s="27" t="s">
        <v>6360</v>
      </c>
      <c r="AD495" s="27" t="s">
        <v>6361</v>
      </c>
      <c r="AE495" s="27" t="s">
        <v>110</v>
      </c>
      <c r="AF495" s="27" t="s">
        <v>6361</v>
      </c>
      <c r="AG495" s="27" t="s">
        <v>6362</v>
      </c>
      <c r="AH495" s="27" t="s">
        <v>4497</v>
      </c>
      <c r="AI495" s="27" t="s">
        <v>158</v>
      </c>
      <c r="AJ495" s="27" t="s">
        <v>262</v>
      </c>
      <c r="AK495" s="27" t="s">
        <v>63</v>
      </c>
      <c r="AL495" s="27"/>
      <c r="AM495" s="34">
        <v>182700000</v>
      </c>
      <c r="AN495" s="34">
        <v>139654018</v>
      </c>
      <c r="AO495" s="34">
        <v>26287500</v>
      </c>
      <c r="AP495" s="34">
        <v>15365625</v>
      </c>
      <c r="AQ495" s="34">
        <v>0</v>
      </c>
      <c r="AR495" s="34">
        <v>0</v>
      </c>
      <c r="AS495" s="34">
        <v>11607143</v>
      </c>
      <c r="AT495" s="34">
        <v>169700000</v>
      </c>
      <c r="AU495" s="34">
        <v>0</v>
      </c>
      <c r="AV495" s="34">
        <v>-13000000</v>
      </c>
      <c r="AW495" s="27"/>
      <c r="AX495" s="27"/>
      <c r="AY495" s="27" t="s">
        <v>83</v>
      </c>
      <c r="AZ495" s="27">
        <v>1</v>
      </c>
      <c r="BA495" s="27"/>
      <c r="BB495" s="27" t="s">
        <v>5872</v>
      </c>
      <c r="BC495" s="27" t="s">
        <v>6363</v>
      </c>
      <c r="BD495" s="27" t="s">
        <v>460</v>
      </c>
      <c r="BE495" s="27" t="s">
        <v>460</v>
      </c>
      <c r="BF495" s="27" t="s">
        <v>6364</v>
      </c>
      <c r="BG495" s="27" t="s">
        <v>6365</v>
      </c>
      <c r="BH495" s="27" t="s">
        <v>5836</v>
      </c>
      <c r="BI495" s="27" t="s">
        <v>5938</v>
      </c>
      <c r="BJ495" s="27" t="s">
        <v>6366</v>
      </c>
      <c r="BK495" s="27" t="s">
        <v>465</v>
      </c>
      <c r="BL495" s="27" t="s">
        <v>6367</v>
      </c>
      <c r="BM495" s="38">
        <v>0</v>
      </c>
    </row>
    <row r="496" spans="1:65" x14ac:dyDescent="0.2">
      <c r="A496" s="37">
        <v>1720</v>
      </c>
      <c r="B496" s="27">
        <v>146</v>
      </c>
      <c r="C496" s="27" t="s">
        <v>503</v>
      </c>
      <c r="D496" s="27" t="s">
        <v>6368</v>
      </c>
      <c r="E496" s="27" t="s">
        <v>5708</v>
      </c>
      <c r="F496" s="27" t="s">
        <v>5682</v>
      </c>
      <c r="G496" s="28">
        <v>2026</v>
      </c>
      <c r="H496" s="20" t="str">
        <f>VLOOKUP(U496,'[1]KODE TYPE standar'!$D:$U,17,0)</f>
        <v>HILUX</v>
      </c>
      <c r="I496" s="20" t="str">
        <f>VLOOKUP(U496,'[1]KODE TYPE standar'!$D:$U,16,0)</f>
        <v>HILUX</v>
      </c>
      <c r="J496" s="20" t="str">
        <f>VLOOKUP(U496,'[1]KODE TYPE standar'!$D:$U,18,0)</f>
        <v>RANGGA-HILUX PU M/T</v>
      </c>
      <c r="K496" s="27" t="s">
        <v>121</v>
      </c>
      <c r="L496" s="27" t="s">
        <v>110</v>
      </c>
      <c r="M496" s="27" t="s">
        <v>262</v>
      </c>
      <c r="N496" s="27" t="s">
        <v>139</v>
      </c>
      <c r="O496" s="28" t="s">
        <v>156</v>
      </c>
      <c r="P496" s="29" t="s">
        <v>536</v>
      </c>
      <c r="Q496" s="29" t="s">
        <v>161</v>
      </c>
      <c r="R496" s="29" t="s">
        <v>145</v>
      </c>
      <c r="S496" s="27" t="s">
        <v>631</v>
      </c>
      <c r="T496" s="27" t="s">
        <v>509</v>
      </c>
      <c r="U496" s="27" t="s">
        <v>177</v>
      </c>
      <c r="V496" s="27" t="s">
        <v>99</v>
      </c>
      <c r="W496" s="27" t="s">
        <v>61</v>
      </c>
      <c r="X496" s="27" t="s">
        <v>6369</v>
      </c>
      <c r="Y496" s="27" t="s">
        <v>6370</v>
      </c>
      <c r="Z496" s="27" t="s">
        <v>630</v>
      </c>
      <c r="AA496" s="27" t="s">
        <v>631</v>
      </c>
      <c r="AB496" s="27" t="s">
        <v>509</v>
      </c>
      <c r="AC496" s="27" t="s">
        <v>6371</v>
      </c>
      <c r="AD496" s="27" t="s">
        <v>6372</v>
      </c>
      <c r="AE496" s="27" t="s">
        <v>110</v>
      </c>
      <c r="AF496" s="27" t="s">
        <v>6372</v>
      </c>
      <c r="AG496" s="27" t="s">
        <v>6373</v>
      </c>
      <c r="AH496" s="27" t="s">
        <v>674</v>
      </c>
      <c r="AI496" s="27" t="s">
        <v>139</v>
      </c>
      <c r="AJ496" s="27" t="s">
        <v>262</v>
      </c>
      <c r="AK496" s="27" t="s">
        <v>104</v>
      </c>
      <c r="AL496" s="27"/>
      <c r="AM496" s="34">
        <v>205200000</v>
      </c>
      <c r="AN496" s="34">
        <v>156846847</v>
      </c>
      <c r="AO496" s="34">
        <v>31100000</v>
      </c>
      <c r="AP496" s="34">
        <v>15469369</v>
      </c>
      <c r="AQ496" s="34">
        <v>0</v>
      </c>
      <c r="AR496" s="34">
        <v>0</v>
      </c>
      <c r="AS496" s="34">
        <v>16216216</v>
      </c>
      <c r="AT496" s="34">
        <v>187200000</v>
      </c>
      <c r="AU496" s="34">
        <v>6000000</v>
      </c>
      <c r="AV496" s="34">
        <v>-18000000</v>
      </c>
      <c r="AW496" s="27"/>
      <c r="AX496" s="27"/>
      <c r="AY496" s="27" t="s">
        <v>83</v>
      </c>
      <c r="AZ496" s="27">
        <v>1</v>
      </c>
      <c r="BA496" s="27"/>
      <c r="BB496" s="27" t="s">
        <v>490</v>
      </c>
      <c r="BC496" s="27" t="s">
        <v>6374</v>
      </c>
      <c r="BD496" s="27" t="s">
        <v>5720</v>
      </c>
      <c r="BE496" s="27" t="s">
        <v>5720</v>
      </c>
      <c r="BF496" s="27" t="s">
        <v>6375</v>
      </c>
      <c r="BG496" s="27" t="s">
        <v>6376</v>
      </c>
      <c r="BH496" s="27"/>
      <c r="BI496" s="27" t="s">
        <v>5718</v>
      </c>
      <c r="BJ496" s="27" t="s">
        <v>6377</v>
      </c>
      <c r="BK496" s="27" t="s">
        <v>485</v>
      </c>
      <c r="BL496" s="27" t="s">
        <v>6378</v>
      </c>
      <c r="BM496" s="38">
        <v>0</v>
      </c>
    </row>
    <row r="497" spans="1:65" x14ac:dyDescent="0.2">
      <c r="A497" s="37">
        <v>1725</v>
      </c>
      <c r="B497" s="27">
        <v>146</v>
      </c>
      <c r="C497" s="27" t="s">
        <v>503</v>
      </c>
      <c r="D497" s="27" t="s">
        <v>6379</v>
      </c>
      <c r="E497" s="27" t="s">
        <v>490</v>
      </c>
      <c r="F497" s="27" t="s">
        <v>5682</v>
      </c>
      <c r="G497" s="28">
        <v>2026</v>
      </c>
      <c r="H497" s="20" t="str">
        <f>VLOOKUP(U497,'[1]KODE TYPE standar'!$D:$U,17,0)</f>
        <v>INV ZENIX HYBRID</v>
      </c>
      <c r="I497" s="20" t="str">
        <f>VLOOKUP(U497,'[1]KODE TYPE standar'!$D:$U,16,0)</f>
        <v>INNOVA</v>
      </c>
      <c r="J497" s="20" t="str">
        <f>VLOOKUP(U497,'[1]KODE TYPE standar'!$D:$U,18,0)</f>
        <v>INNOVA ZENIX G A/T HIYBRID</v>
      </c>
      <c r="K497" s="27" t="s">
        <v>119</v>
      </c>
      <c r="L497" s="27" t="s">
        <v>110</v>
      </c>
      <c r="M497" s="27" t="s">
        <v>262</v>
      </c>
      <c r="N497" s="27" t="s">
        <v>62</v>
      </c>
      <c r="O497" s="28" t="s">
        <v>6581</v>
      </c>
      <c r="P497" s="29" t="s">
        <v>151</v>
      </c>
      <c r="Q497" s="29" t="s">
        <v>162</v>
      </c>
      <c r="R497" s="29" t="s">
        <v>597</v>
      </c>
      <c r="S497" s="27" t="s">
        <v>923</v>
      </c>
      <c r="T497" s="27" t="s">
        <v>541</v>
      </c>
      <c r="U497" s="27" t="s">
        <v>209</v>
      </c>
      <c r="V497" s="27" t="s">
        <v>51</v>
      </c>
      <c r="W497" s="27" t="s">
        <v>86</v>
      </c>
      <c r="X497" s="27" t="s">
        <v>6380</v>
      </c>
      <c r="Y497" s="27" t="s">
        <v>6381</v>
      </c>
      <c r="Z497" s="27" t="s">
        <v>922</v>
      </c>
      <c r="AA497" s="27" t="s">
        <v>923</v>
      </c>
      <c r="AB497" s="27" t="s">
        <v>541</v>
      </c>
      <c r="AC497" s="27" t="s">
        <v>6382</v>
      </c>
      <c r="AD497" s="27" t="s">
        <v>6383</v>
      </c>
      <c r="AE497" s="27" t="s">
        <v>110</v>
      </c>
      <c r="AF497" s="27" t="s">
        <v>6383</v>
      </c>
      <c r="AG497" s="27" t="s">
        <v>6384</v>
      </c>
      <c r="AH497" s="27" t="s">
        <v>6385</v>
      </c>
      <c r="AI497" s="27" t="s">
        <v>62</v>
      </c>
      <c r="AJ497" s="27" t="s">
        <v>262</v>
      </c>
      <c r="AK497" s="27" t="s">
        <v>89</v>
      </c>
      <c r="AL497" s="27"/>
      <c r="AM497" s="34">
        <v>478300000</v>
      </c>
      <c r="AN497" s="34">
        <v>371360268</v>
      </c>
      <c r="AO497" s="34">
        <v>62376500</v>
      </c>
      <c r="AP497" s="34">
        <v>41348946</v>
      </c>
      <c r="AQ497" s="34">
        <v>0</v>
      </c>
      <c r="AR497" s="34">
        <v>0</v>
      </c>
      <c r="AS497" s="34">
        <v>26785714</v>
      </c>
      <c r="AT497" s="34">
        <v>448300000</v>
      </c>
      <c r="AU497" s="34">
        <v>0</v>
      </c>
      <c r="AV497" s="34">
        <v>-30000000</v>
      </c>
      <c r="AW497" s="27" t="s">
        <v>5708</v>
      </c>
      <c r="AX497" s="27" t="s">
        <v>5708</v>
      </c>
      <c r="AY497" s="27" t="s">
        <v>83</v>
      </c>
      <c r="AZ497" s="27">
        <v>1</v>
      </c>
      <c r="BA497" s="27"/>
      <c r="BB497" s="27" t="s">
        <v>5720</v>
      </c>
      <c r="BC497" s="27" t="s">
        <v>6386</v>
      </c>
      <c r="BD497" s="27" t="s">
        <v>5720</v>
      </c>
      <c r="BE497" s="27" t="s">
        <v>5720</v>
      </c>
      <c r="BF497" s="27" t="s">
        <v>6387</v>
      </c>
      <c r="BG497" s="27" t="s">
        <v>6388</v>
      </c>
      <c r="BH497" s="27" t="s">
        <v>490</v>
      </c>
      <c r="BI497" s="27" t="s">
        <v>5787</v>
      </c>
      <c r="BJ497" s="27" t="s">
        <v>6389</v>
      </c>
      <c r="BK497" s="27" t="s">
        <v>469</v>
      </c>
      <c r="BL497" s="27" t="s">
        <v>6390</v>
      </c>
      <c r="BM497" s="38">
        <v>0</v>
      </c>
    </row>
    <row r="498" spans="1:65" x14ac:dyDescent="0.2">
      <c r="A498" s="37">
        <v>1732</v>
      </c>
      <c r="B498" s="27">
        <v>146</v>
      </c>
      <c r="C498" s="27" t="s">
        <v>503</v>
      </c>
      <c r="D498" s="27" t="s">
        <v>6391</v>
      </c>
      <c r="E498" s="27" t="s">
        <v>479</v>
      </c>
      <c r="F498" s="27" t="s">
        <v>5682</v>
      </c>
      <c r="G498" s="28">
        <v>2026</v>
      </c>
      <c r="H498" s="20" t="str">
        <f>VLOOKUP(U498,'[1]KODE TYPE standar'!$D:$U,17,0)</f>
        <v>VELOZ</v>
      </c>
      <c r="I498" s="20" t="str">
        <f>VLOOKUP(U498,'[1]KODE TYPE standar'!$D:$U,16,0)</f>
        <v>VELOZ</v>
      </c>
      <c r="J498" s="20" t="str">
        <f>VLOOKUP(U498,'[1]KODE TYPE standar'!$D:$U,18,0)</f>
        <v>VELOZ V AT HYBRID</v>
      </c>
      <c r="K498" s="27" t="s">
        <v>50</v>
      </c>
      <c r="L498" s="27" t="s">
        <v>110</v>
      </c>
      <c r="M498" s="27" t="s">
        <v>50</v>
      </c>
      <c r="N498" s="27" t="s">
        <v>141</v>
      </c>
      <c r="O498" s="28" t="s">
        <v>156</v>
      </c>
      <c r="P498" s="29" t="s">
        <v>149</v>
      </c>
      <c r="Q498" s="29" t="s">
        <v>147</v>
      </c>
      <c r="R498" s="29" t="s">
        <v>145</v>
      </c>
      <c r="S498" s="27" t="s">
        <v>877</v>
      </c>
      <c r="T498" s="27" t="s">
        <v>585</v>
      </c>
      <c r="U498" s="27" t="s">
        <v>327</v>
      </c>
      <c r="V498" s="27" t="s">
        <v>64</v>
      </c>
      <c r="W498" s="27" t="s">
        <v>65</v>
      </c>
      <c r="X498" s="27" t="s">
        <v>6392</v>
      </c>
      <c r="Y498" s="27" t="s">
        <v>6393</v>
      </c>
      <c r="Z498" s="27" t="s">
        <v>876</v>
      </c>
      <c r="AA498" s="27" t="s">
        <v>877</v>
      </c>
      <c r="AB498" s="27" t="s">
        <v>585</v>
      </c>
      <c r="AC498" s="27" t="s">
        <v>6394</v>
      </c>
      <c r="AD498" s="27" t="s">
        <v>6395</v>
      </c>
      <c r="AE498" s="27" t="s">
        <v>110</v>
      </c>
      <c r="AF498" s="27" t="s">
        <v>6395</v>
      </c>
      <c r="AG498" s="27" t="s">
        <v>6396</v>
      </c>
      <c r="AH498" s="27" t="s">
        <v>1757</v>
      </c>
      <c r="AI498" s="27" t="s">
        <v>141</v>
      </c>
      <c r="AJ498" s="27" t="s">
        <v>50</v>
      </c>
      <c r="AK498" s="27" t="s">
        <v>50</v>
      </c>
      <c r="AL498" s="27"/>
      <c r="AM498" s="34">
        <v>303000000</v>
      </c>
      <c r="AN498" s="34">
        <v>233950893</v>
      </c>
      <c r="AO498" s="34">
        <v>40975000</v>
      </c>
      <c r="AP498" s="34">
        <v>28074107</v>
      </c>
      <c r="AQ498" s="34">
        <v>0</v>
      </c>
      <c r="AR498" s="34">
        <v>0</v>
      </c>
      <c r="AS498" s="34">
        <v>0</v>
      </c>
      <c r="AT498" s="34">
        <v>303000000</v>
      </c>
      <c r="AU498" s="34">
        <v>0</v>
      </c>
      <c r="AV498" s="34">
        <v>0</v>
      </c>
      <c r="AW498" s="27" t="s">
        <v>5546</v>
      </c>
      <c r="AX498" s="27" t="s">
        <v>5546</v>
      </c>
      <c r="AY498" s="27" t="s">
        <v>83</v>
      </c>
      <c r="AZ498" s="27">
        <v>1</v>
      </c>
      <c r="BA498" s="27"/>
      <c r="BB498" s="27" t="s">
        <v>465</v>
      </c>
      <c r="BC498" s="27" t="s">
        <v>6397</v>
      </c>
      <c r="BD498" s="27" t="s">
        <v>465</v>
      </c>
      <c r="BE498" s="27" t="s">
        <v>465</v>
      </c>
      <c r="BF498" s="27" t="s">
        <v>6398</v>
      </c>
      <c r="BG498" s="27" t="s">
        <v>6399</v>
      </c>
      <c r="BH498" s="27" t="s">
        <v>479</v>
      </c>
      <c r="BI498" s="27" t="s">
        <v>484</v>
      </c>
      <c r="BJ498" s="27" t="s">
        <v>6400</v>
      </c>
      <c r="BK498" s="27" t="s">
        <v>467</v>
      </c>
      <c r="BL498" s="27" t="s">
        <v>6401</v>
      </c>
      <c r="BM498" s="38">
        <v>0</v>
      </c>
    </row>
    <row r="499" spans="1:65" x14ac:dyDescent="0.2">
      <c r="A499" s="37">
        <v>1746</v>
      </c>
      <c r="B499" s="27">
        <v>146</v>
      </c>
      <c r="C499" s="27" t="s">
        <v>503</v>
      </c>
      <c r="D499" s="27" t="s">
        <v>6402</v>
      </c>
      <c r="E499" s="27" t="s">
        <v>480</v>
      </c>
      <c r="F499" s="27" t="s">
        <v>5682</v>
      </c>
      <c r="G499" s="28">
        <v>2026</v>
      </c>
      <c r="H499" s="20" t="str">
        <f>VLOOKUP(U499,'[1]KODE TYPE standar'!$D:$U,17,0)</f>
        <v>RUSH</v>
      </c>
      <c r="I499" s="20" t="str">
        <f>VLOOKUP(U499,'[1]KODE TYPE standar'!$D:$U,16,0)</f>
        <v>RUSH</v>
      </c>
      <c r="J499" s="20" t="str">
        <f>VLOOKUP(U499,'[1]KODE TYPE standar'!$D:$U,18,0)</f>
        <v>RUSH S M/T</v>
      </c>
      <c r="K499" s="27" t="s">
        <v>118</v>
      </c>
      <c r="L499" s="27" t="s">
        <v>110</v>
      </c>
      <c r="M499" s="27" t="s">
        <v>262</v>
      </c>
      <c r="N499" s="27" t="s">
        <v>140</v>
      </c>
      <c r="O499" s="28" t="s">
        <v>156</v>
      </c>
      <c r="P499" s="29" t="s">
        <v>149</v>
      </c>
      <c r="Q499" s="29" t="s">
        <v>162</v>
      </c>
      <c r="R499" s="29" t="s">
        <v>145</v>
      </c>
      <c r="S499" s="27" t="s">
        <v>795</v>
      </c>
      <c r="T499" s="27" t="s">
        <v>509</v>
      </c>
      <c r="U499" s="27" t="s">
        <v>276</v>
      </c>
      <c r="V499" s="27" t="s">
        <v>64</v>
      </c>
      <c r="W499" s="27" t="s">
        <v>65</v>
      </c>
      <c r="X499" s="27" t="s">
        <v>6403</v>
      </c>
      <c r="Y499" s="27" t="s">
        <v>6404</v>
      </c>
      <c r="Z499" s="27" t="s">
        <v>794</v>
      </c>
      <c r="AA499" s="27" t="s">
        <v>795</v>
      </c>
      <c r="AB499" s="27" t="s">
        <v>509</v>
      </c>
      <c r="AC499" s="27" t="s">
        <v>6405</v>
      </c>
      <c r="AD499" s="27" t="s">
        <v>6406</v>
      </c>
      <c r="AE499" s="27" t="s">
        <v>110</v>
      </c>
      <c r="AF499" s="27" t="s">
        <v>6406</v>
      </c>
      <c r="AG499" s="27" t="s">
        <v>6407</v>
      </c>
      <c r="AH499" s="27" t="s">
        <v>3984</v>
      </c>
      <c r="AI499" s="27" t="s">
        <v>140</v>
      </c>
      <c r="AJ499" s="27" t="s">
        <v>262</v>
      </c>
      <c r="AK499" s="27" t="s">
        <v>63</v>
      </c>
      <c r="AL499" s="27" t="s">
        <v>6408</v>
      </c>
      <c r="AM499" s="34">
        <v>312500000</v>
      </c>
      <c r="AN499" s="34">
        <v>241372768</v>
      </c>
      <c r="AO499" s="34">
        <v>42162500</v>
      </c>
      <c r="AP499" s="34">
        <v>27357589</v>
      </c>
      <c r="AQ499" s="34">
        <v>0</v>
      </c>
      <c r="AR499" s="34">
        <v>0</v>
      </c>
      <c r="AS499" s="34">
        <v>13392857</v>
      </c>
      <c r="AT499" s="34">
        <v>297500000</v>
      </c>
      <c r="AU499" s="34">
        <v>0</v>
      </c>
      <c r="AV499" s="34">
        <v>-15000000</v>
      </c>
      <c r="AW499" s="27"/>
      <c r="AX499" s="27"/>
      <c r="AY499" s="27" t="s">
        <v>83</v>
      </c>
      <c r="AZ499" s="27">
        <v>1</v>
      </c>
      <c r="BA499" s="27"/>
      <c r="BB499" s="27" t="s">
        <v>473</v>
      </c>
      <c r="BC499" s="27" t="s">
        <v>6409</v>
      </c>
      <c r="BD499" s="27" t="s">
        <v>474</v>
      </c>
      <c r="BE499" s="27" t="s">
        <v>474</v>
      </c>
      <c r="BF499" s="27" t="s">
        <v>6410</v>
      </c>
      <c r="BG499" s="27" t="s">
        <v>6411</v>
      </c>
      <c r="BH499" s="27" t="s">
        <v>480</v>
      </c>
      <c r="BI499" s="27" t="s">
        <v>5692</v>
      </c>
      <c r="BJ499" s="27" t="s">
        <v>6412</v>
      </c>
      <c r="BK499" s="27" t="s">
        <v>454</v>
      </c>
      <c r="BL499" s="27" t="s">
        <v>6413</v>
      </c>
      <c r="BM499" s="38">
        <v>0</v>
      </c>
    </row>
    <row r="500" spans="1:65" x14ac:dyDescent="0.2">
      <c r="A500" s="37">
        <v>1766</v>
      </c>
      <c r="B500" s="27">
        <v>146</v>
      </c>
      <c r="C500" s="27" t="s">
        <v>503</v>
      </c>
      <c r="D500" s="27" t="s">
        <v>6414</v>
      </c>
      <c r="E500" s="27" t="s">
        <v>5692</v>
      </c>
      <c r="F500" s="27" t="s">
        <v>5682</v>
      </c>
      <c r="G500" s="28">
        <v>2026</v>
      </c>
      <c r="H500" s="20" t="str">
        <f>VLOOKUP(U500,'[1]KODE TYPE standar'!$D:$U,17,0)</f>
        <v>INV REBORN</v>
      </c>
      <c r="I500" s="20" t="str">
        <f>VLOOKUP(U500,'[1]KODE TYPE standar'!$D:$U,16,0)</f>
        <v>INNOVA</v>
      </c>
      <c r="J500" s="20" t="str">
        <f>VLOOKUP(U500,'[1]KODE TYPE standar'!$D:$U,18,0)</f>
        <v>INNOVA G A/T DIESEL</v>
      </c>
      <c r="K500" s="27" t="s">
        <v>101</v>
      </c>
      <c r="L500" s="27" t="s">
        <v>110</v>
      </c>
      <c r="M500" s="27" t="s">
        <v>262</v>
      </c>
      <c r="N500" s="27" t="s">
        <v>141</v>
      </c>
      <c r="O500" s="28" t="s">
        <v>156</v>
      </c>
      <c r="P500" s="29" t="s">
        <v>149</v>
      </c>
      <c r="Q500" s="29" t="s">
        <v>162</v>
      </c>
      <c r="R500" s="29" t="s">
        <v>145</v>
      </c>
      <c r="S500" s="27" t="s">
        <v>877</v>
      </c>
      <c r="T500" s="27" t="s">
        <v>585</v>
      </c>
      <c r="U500" s="27" t="s">
        <v>192</v>
      </c>
      <c r="V500" s="27" t="s">
        <v>48</v>
      </c>
      <c r="W500" s="27" t="s">
        <v>49</v>
      </c>
      <c r="X500" s="27" t="s">
        <v>6415</v>
      </c>
      <c r="Y500" s="27" t="s">
        <v>6416</v>
      </c>
      <c r="Z500" s="27" t="s">
        <v>876</v>
      </c>
      <c r="AA500" s="27" t="s">
        <v>877</v>
      </c>
      <c r="AB500" s="27" t="s">
        <v>585</v>
      </c>
      <c r="AC500" s="27" t="s">
        <v>6417</v>
      </c>
      <c r="AD500" s="27" t="s">
        <v>3532</v>
      </c>
      <c r="AE500" s="27" t="s">
        <v>110</v>
      </c>
      <c r="AF500" s="27" t="s">
        <v>6418</v>
      </c>
      <c r="AG500" s="27" t="s">
        <v>6419</v>
      </c>
      <c r="AH500" s="27" t="s">
        <v>2449</v>
      </c>
      <c r="AI500" s="27" t="s">
        <v>141</v>
      </c>
      <c r="AJ500" s="27" t="s">
        <v>262</v>
      </c>
      <c r="AK500" s="27" t="s">
        <v>103</v>
      </c>
      <c r="AL500" s="27"/>
      <c r="AM500" s="34">
        <v>442700000</v>
      </c>
      <c r="AN500" s="34">
        <v>343091518</v>
      </c>
      <c r="AO500" s="34">
        <v>58437500</v>
      </c>
      <c r="AP500" s="34">
        <v>37528125</v>
      </c>
      <c r="AQ500" s="34">
        <v>0</v>
      </c>
      <c r="AR500" s="34">
        <v>0</v>
      </c>
      <c r="AS500" s="34">
        <v>30357143</v>
      </c>
      <c r="AT500" s="34">
        <v>408700000</v>
      </c>
      <c r="AU500" s="34">
        <v>0</v>
      </c>
      <c r="AV500" s="34">
        <v>-34000000</v>
      </c>
      <c r="AW500" s="27"/>
      <c r="AX500" s="27"/>
      <c r="AY500" s="27" t="s">
        <v>83</v>
      </c>
      <c r="AZ500" s="27">
        <v>1</v>
      </c>
      <c r="BA500" s="27"/>
      <c r="BB500" s="27" t="s">
        <v>5692</v>
      </c>
      <c r="BC500" s="27" t="s">
        <v>6420</v>
      </c>
      <c r="BD500" s="27" t="s">
        <v>460</v>
      </c>
      <c r="BE500" s="27" t="s">
        <v>460</v>
      </c>
      <c r="BF500" s="27" t="s">
        <v>6421</v>
      </c>
      <c r="BG500" s="27" t="s">
        <v>6422</v>
      </c>
      <c r="BH500" s="27" t="s">
        <v>5692</v>
      </c>
      <c r="BI500" s="27" t="s">
        <v>5889</v>
      </c>
      <c r="BJ500" s="27" t="s">
        <v>6423</v>
      </c>
      <c r="BK500" s="27" t="s">
        <v>479</v>
      </c>
      <c r="BL500" s="27" t="s">
        <v>6424</v>
      </c>
      <c r="BM500" s="38">
        <v>0</v>
      </c>
    </row>
    <row r="501" spans="1:65" x14ac:dyDescent="0.2">
      <c r="A501" s="37">
        <v>1767</v>
      </c>
      <c r="B501" s="27">
        <v>146</v>
      </c>
      <c r="C501" s="27" t="s">
        <v>503</v>
      </c>
      <c r="D501" s="27" t="s">
        <v>6425</v>
      </c>
      <c r="E501" s="27" t="s">
        <v>484</v>
      </c>
      <c r="F501" s="27" t="s">
        <v>5682</v>
      </c>
      <c r="G501" s="28">
        <v>2026</v>
      </c>
      <c r="H501" s="20" t="str">
        <f>VLOOKUP(U501,'[1]KODE TYPE standar'!$D:$U,17,0)</f>
        <v>HIACE</v>
      </c>
      <c r="I501" s="20" t="str">
        <f>VLOOKUP(U501,'[1]KODE TYPE standar'!$D:$U,16,0)</f>
        <v>HIACE</v>
      </c>
      <c r="J501" s="20" t="str">
        <f>VLOOKUP(U501,'[1]KODE TYPE standar'!$D:$U,18,0)</f>
        <v>HIACE PREMIO</v>
      </c>
      <c r="K501" s="27" t="s">
        <v>119</v>
      </c>
      <c r="L501" s="27" t="s">
        <v>110</v>
      </c>
      <c r="M501" s="27" t="s">
        <v>262</v>
      </c>
      <c r="N501" s="27" t="s">
        <v>141</v>
      </c>
      <c r="O501" s="28" t="s">
        <v>156</v>
      </c>
      <c r="P501" s="29" t="s">
        <v>149</v>
      </c>
      <c r="Q501" s="29" t="s">
        <v>162</v>
      </c>
      <c r="R501" s="29" t="s">
        <v>145</v>
      </c>
      <c r="S501" s="27" t="s">
        <v>877</v>
      </c>
      <c r="T501" s="27" t="s">
        <v>585</v>
      </c>
      <c r="U501" s="27" t="s">
        <v>173</v>
      </c>
      <c r="V501" s="27" t="s">
        <v>99</v>
      </c>
      <c r="W501" s="27" t="s">
        <v>61</v>
      </c>
      <c r="X501" s="27" t="s">
        <v>6426</v>
      </c>
      <c r="Y501" s="27" t="s">
        <v>6427</v>
      </c>
      <c r="Z501" s="27" t="s">
        <v>876</v>
      </c>
      <c r="AA501" s="27" t="s">
        <v>877</v>
      </c>
      <c r="AB501" s="27" t="s">
        <v>585</v>
      </c>
      <c r="AC501" s="27" t="s">
        <v>6428</v>
      </c>
      <c r="AD501" s="27" t="s">
        <v>3532</v>
      </c>
      <c r="AE501" s="27" t="s">
        <v>110</v>
      </c>
      <c r="AF501" s="27" t="s">
        <v>6418</v>
      </c>
      <c r="AG501" s="27" t="s">
        <v>6429</v>
      </c>
      <c r="AH501" s="27" t="s">
        <v>2449</v>
      </c>
      <c r="AI501" s="27" t="s">
        <v>141</v>
      </c>
      <c r="AJ501" s="27" t="s">
        <v>262</v>
      </c>
      <c r="AK501" s="27" t="s">
        <v>89</v>
      </c>
      <c r="AL501" s="27"/>
      <c r="AM501" s="34">
        <v>679100000</v>
      </c>
      <c r="AN501" s="34">
        <v>525680804</v>
      </c>
      <c r="AO501" s="34">
        <v>90337500</v>
      </c>
      <c r="AP501" s="34">
        <v>58581696</v>
      </c>
      <c r="AQ501" s="34">
        <v>0</v>
      </c>
      <c r="AR501" s="34">
        <v>0</v>
      </c>
      <c r="AS501" s="34">
        <v>37500000</v>
      </c>
      <c r="AT501" s="34">
        <v>637100000</v>
      </c>
      <c r="AU501" s="34">
        <v>0</v>
      </c>
      <c r="AV501" s="34">
        <v>-42000000</v>
      </c>
      <c r="AW501" s="27"/>
      <c r="AX501" s="27"/>
      <c r="AY501" s="27" t="s">
        <v>83</v>
      </c>
      <c r="AZ501" s="27">
        <v>1</v>
      </c>
      <c r="BA501" s="27"/>
      <c r="BB501" s="27" t="s">
        <v>5872</v>
      </c>
      <c r="BC501" s="27" t="s">
        <v>6430</v>
      </c>
      <c r="BD501" s="27" t="s">
        <v>460</v>
      </c>
      <c r="BE501" s="27" t="s">
        <v>460</v>
      </c>
      <c r="BF501" s="27" t="s">
        <v>6431</v>
      </c>
      <c r="BG501" s="27" t="s">
        <v>6432</v>
      </c>
      <c r="BH501" s="27" t="s">
        <v>484</v>
      </c>
      <c r="BI501" s="27" t="s">
        <v>5972</v>
      </c>
      <c r="BJ501" s="27" t="s">
        <v>6169</v>
      </c>
      <c r="BK501" s="27" t="s">
        <v>5745</v>
      </c>
      <c r="BL501" s="27" t="s">
        <v>6433</v>
      </c>
      <c r="BM501" s="38">
        <v>0</v>
      </c>
    </row>
    <row r="502" spans="1:65" x14ac:dyDescent="0.2">
      <c r="A502" s="37">
        <v>1770</v>
      </c>
      <c r="B502" s="27">
        <v>146</v>
      </c>
      <c r="C502" s="27" t="s">
        <v>503</v>
      </c>
      <c r="D502" s="27" t="s">
        <v>6434</v>
      </c>
      <c r="E502" s="27" t="s">
        <v>5708</v>
      </c>
      <c r="F502" s="27" t="s">
        <v>5682</v>
      </c>
      <c r="G502" s="28">
        <v>2026</v>
      </c>
      <c r="H502" s="20" t="str">
        <f>VLOOKUP(U502,'[1]KODE TYPE standar'!$D:$U,17,0)</f>
        <v>VELOZ</v>
      </c>
      <c r="I502" s="20" t="str">
        <f>VLOOKUP(U502,'[1]KODE TYPE standar'!$D:$U,16,0)</f>
        <v>VELOZ</v>
      </c>
      <c r="J502" s="20" t="str">
        <f>VLOOKUP(U502,'[1]KODE TYPE standar'!$D:$U,18,0)</f>
        <v>VELOZ Q AT HYBRID</v>
      </c>
      <c r="K502" s="27" t="s">
        <v>118</v>
      </c>
      <c r="L502" s="27" t="s">
        <v>110</v>
      </c>
      <c r="M502" s="27" t="s">
        <v>262</v>
      </c>
      <c r="N502" s="27" t="s">
        <v>139</v>
      </c>
      <c r="O502" s="28" t="s">
        <v>156</v>
      </c>
      <c r="P502" s="29" t="s">
        <v>151</v>
      </c>
      <c r="Q502" s="29" t="s">
        <v>147</v>
      </c>
      <c r="R502" s="29" t="s">
        <v>597</v>
      </c>
      <c r="S502" s="27" t="s">
        <v>795</v>
      </c>
      <c r="T502" s="27" t="s">
        <v>509</v>
      </c>
      <c r="U502" s="27" t="s">
        <v>336</v>
      </c>
      <c r="V502" s="27" t="s">
        <v>64</v>
      </c>
      <c r="W502" s="27" t="s">
        <v>65</v>
      </c>
      <c r="X502" s="27" t="s">
        <v>6435</v>
      </c>
      <c r="Y502" s="27" t="s">
        <v>6436</v>
      </c>
      <c r="Z502" s="27" t="s">
        <v>794</v>
      </c>
      <c r="AA502" s="27" t="s">
        <v>795</v>
      </c>
      <c r="AB502" s="27" t="s">
        <v>509</v>
      </c>
      <c r="AC502" s="27" t="s">
        <v>6437</v>
      </c>
      <c r="AD502" s="27" t="s">
        <v>6438</v>
      </c>
      <c r="AE502" s="27" t="s">
        <v>110</v>
      </c>
      <c r="AF502" s="27" t="s">
        <v>6438</v>
      </c>
      <c r="AG502" s="27" t="s">
        <v>6439</v>
      </c>
      <c r="AH502" s="27" t="s">
        <v>651</v>
      </c>
      <c r="AI502" s="27" t="s">
        <v>139</v>
      </c>
      <c r="AJ502" s="27" t="s">
        <v>262</v>
      </c>
      <c r="AK502" s="27" t="s">
        <v>63</v>
      </c>
      <c r="AL502" s="27"/>
      <c r="AM502" s="34">
        <v>325000000</v>
      </c>
      <c r="AN502" s="34">
        <v>251138393</v>
      </c>
      <c r="AO502" s="34">
        <v>43725000</v>
      </c>
      <c r="AP502" s="34">
        <v>28850892</v>
      </c>
      <c r="AQ502" s="34">
        <v>0</v>
      </c>
      <c r="AR502" s="34">
        <v>0</v>
      </c>
      <c r="AS502" s="34">
        <v>10714286</v>
      </c>
      <c r="AT502" s="34">
        <v>313000000</v>
      </c>
      <c r="AU502" s="34">
        <v>0</v>
      </c>
      <c r="AV502" s="34">
        <v>-12000000</v>
      </c>
      <c r="AW502" s="27"/>
      <c r="AX502" s="27"/>
      <c r="AY502" s="27" t="s">
        <v>83</v>
      </c>
      <c r="AZ502" s="27">
        <v>1</v>
      </c>
      <c r="BA502" s="27"/>
      <c r="BB502" s="27" t="s">
        <v>485</v>
      </c>
      <c r="BC502" s="27" t="s">
        <v>6440</v>
      </c>
      <c r="BD502" s="27" t="s">
        <v>490</v>
      </c>
      <c r="BE502" s="27" t="s">
        <v>490</v>
      </c>
      <c r="BF502" s="27" t="s">
        <v>6441</v>
      </c>
      <c r="BG502" s="27" t="s">
        <v>6442</v>
      </c>
      <c r="BH502" s="27"/>
      <c r="BI502" s="27" t="s">
        <v>5718</v>
      </c>
      <c r="BJ502" s="27" t="s">
        <v>6443</v>
      </c>
      <c r="BK502" s="27" t="s">
        <v>419</v>
      </c>
      <c r="BL502" s="27" t="s">
        <v>6444</v>
      </c>
      <c r="BM502" s="38">
        <v>0</v>
      </c>
    </row>
    <row r="503" spans="1:65" x14ac:dyDescent="0.2">
      <c r="A503" s="37">
        <v>1775</v>
      </c>
      <c r="B503" s="27">
        <v>146</v>
      </c>
      <c r="C503" s="27" t="s">
        <v>503</v>
      </c>
      <c r="D503" s="27" t="s">
        <v>6445</v>
      </c>
      <c r="E503" s="27" t="s">
        <v>484</v>
      </c>
      <c r="F503" s="27" t="s">
        <v>5682</v>
      </c>
      <c r="G503" s="28">
        <v>2026</v>
      </c>
      <c r="H503" s="20" t="str">
        <f>VLOOKUP(U503,'[1]KODE TYPE standar'!$D:$U,17,0)</f>
        <v>FORTUNER</v>
      </c>
      <c r="I503" s="20" t="str">
        <f>VLOOKUP(U503,'[1]KODE TYPE standar'!$D:$U,16,0)</f>
        <v>FORTUNER</v>
      </c>
      <c r="J503" s="20" t="str">
        <f>VLOOKUP(U503,'[1]KODE TYPE standar'!$D:$U,18,0)</f>
        <v>FORTUNER 4X2 VRZ A/T DIESEL</v>
      </c>
      <c r="K503" s="27" t="s">
        <v>120</v>
      </c>
      <c r="L503" s="27" t="s">
        <v>110</v>
      </c>
      <c r="M503" s="27" t="s">
        <v>262</v>
      </c>
      <c r="N503" s="27" t="s">
        <v>141</v>
      </c>
      <c r="O503" s="28" t="s">
        <v>156</v>
      </c>
      <c r="P503" s="29" t="s">
        <v>149</v>
      </c>
      <c r="Q503" s="29" t="s">
        <v>161</v>
      </c>
      <c r="R503" s="29" t="s">
        <v>145</v>
      </c>
      <c r="S503" s="27" t="s">
        <v>601</v>
      </c>
      <c r="T503" s="27" t="s">
        <v>509</v>
      </c>
      <c r="U503" s="27" t="s">
        <v>122</v>
      </c>
      <c r="V503" s="27" t="s">
        <v>48</v>
      </c>
      <c r="W503" s="27" t="s">
        <v>49</v>
      </c>
      <c r="X503" s="27" t="s">
        <v>6446</v>
      </c>
      <c r="Y503" s="27" t="s">
        <v>6447</v>
      </c>
      <c r="Z503" s="27" t="s">
        <v>600</v>
      </c>
      <c r="AA503" s="27" t="s">
        <v>601</v>
      </c>
      <c r="AB503" s="27" t="s">
        <v>509</v>
      </c>
      <c r="AC503" s="27" t="s">
        <v>6448</v>
      </c>
      <c r="AD503" s="27" t="s">
        <v>6449</v>
      </c>
      <c r="AE503" s="27" t="s">
        <v>110</v>
      </c>
      <c r="AF503" s="27" t="s">
        <v>6450</v>
      </c>
      <c r="AG503" s="27" t="s">
        <v>6451</v>
      </c>
      <c r="AH503" s="27" t="s">
        <v>1022</v>
      </c>
      <c r="AI503" s="27" t="s">
        <v>141</v>
      </c>
      <c r="AJ503" s="27" t="s">
        <v>262</v>
      </c>
      <c r="AK503" s="27" t="s">
        <v>423</v>
      </c>
      <c r="AL503" s="27"/>
      <c r="AM503" s="34">
        <v>680700000</v>
      </c>
      <c r="AN503" s="34">
        <v>529029018</v>
      </c>
      <c r="AO503" s="34">
        <v>88187500</v>
      </c>
      <c r="AP503" s="34">
        <v>58126339</v>
      </c>
      <c r="AQ503" s="34">
        <v>0</v>
      </c>
      <c r="AR503" s="34">
        <v>0</v>
      </c>
      <c r="AS503" s="34">
        <v>44642857</v>
      </c>
      <c r="AT503" s="34">
        <v>630700000</v>
      </c>
      <c r="AU503" s="34">
        <v>0</v>
      </c>
      <c r="AV503" s="34">
        <v>-50000000</v>
      </c>
      <c r="AW503" s="27"/>
      <c r="AX503" s="27"/>
      <c r="AY503" s="27" t="s">
        <v>83</v>
      </c>
      <c r="AZ503" s="27">
        <v>1</v>
      </c>
      <c r="BA503" s="27" t="s">
        <v>163</v>
      </c>
      <c r="BB503" s="27" t="s">
        <v>488</v>
      </c>
      <c r="BC503" s="27" t="s">
        <v>6452</v>
      </c>
      <c r="BD503" s="27" t="s">
        <v>488</v>
      </c>
      <c r="BE503" s="27" t="s">
        <v>488</v>
      </c>
      <c r="BF503" s="27" t="s">
        <v>6453</v>
      </c>
      <c r="BG503" s="27" t="s">
        <v>6454</v>
      </c>
      <c r="BH503" s="27" t="s">
        <v>484</v>
      </c>
      <c r="BI503" s="27" t="s">
        <v>5972</v>
      </c>
      <c r="BJ503" s="27" t="s">
        <v>6455</v>
      </c>
      <c r="BK503" s="27" t="s">
        <v>442</v>
      </c>
      <c r="BL503" s="27" t="s">
        <v>6456</v>
      </c>
      <c r="BM503" s="38">
        <v>0</v>
      </c>
    </row>
    <row r="504" spans="1:65" x14ac:dyDescent="0.2">
      <c r="A504" s="37">
        <v>1784</v>
      </c>
      <c r="B504" s="27">
        <v>146</v>
      </c>
      <c r="C504" s="27" t="s">
        <v>503</v>
      </c>
      <c r="D504" s="27" t="s">
        <v>6457</v>
      </c>
      <c r="E504" s="27" t="s">
        <v>490</v>
      </c>
      <c r="F504" s="27" t="s">
        <v>5682</v>
      </c>
      <c r="G504" s="28">
        <v>2026</v>
      </c>
      <c r="H504" s="20" t="str">
        <f>VLOOKUP(U504,'[1]KODE TYPE standar'!$D:$U,17,0)</f>
        <v>RUSH</v>
      </c>
      <c r="I504" s="20" t="str">
        <f>VLOOKUP(U504,'[1]KODE TYPE standar'!$D:$U,16,0)</f>
        <v>RUSH</v>
      </c>
      <c r="J504" s="20" t="str">
        <f>VLOOKUP(U504,'[1]KODE TYPE standar'!$D:$U,18,0)</f>
        <v>RUSH S A/T</v>
      </c>
      <c r="K504" s="27" t="s">
        <v>118</v>
      </c>
      <c r="L504" s="27" t="s">
        <v>110</v>
      </c>
      <c r="M504" s="27" t="s">
        <v>262</v>
      </c>
      <c r="N504" s="27" t="s">
        <v>140</v>
      </c>
      <c r="O504" s="28" t="s">
        <v>156</v>
      </c>
      <c r="P504" s="29" t="s">
        <v>536</v>
      </c>
      <c r="Q504" s="29" t="s">
        <v>161</v>
      </c>
      <c r="R504" s="29" t="s">
        <v>145</v>
      </c>
      <c r="S504" s="27" t="s">
        <v>631</v>
      </c>
      <c r="T504" s="27" t="s">
        <v>509</v>
      </c>
      <c r="U504" s="27" t="s">
        <v>116</v>
      </c>
      <c r="V504" s="27" t="s">
        <v>60</v>
      </c>
      <c r="W504" s="27" t="s">
        <v>61</v>
      </c>
      <c r="X504" s="27" t="s">
        <v>6458</v>
      </c>
      <c r="Y504" s="27" t="s">
        <v>6459</v>
      </c>
      <c r="Z504" s="27" t="s">
        <v>630</v>
      </c>
      <c r="AA504" s="27" t="s">
        <v>631</v>
      </c>
      <c r="AB504" s="27" t="s">
        <v>509</v>
      </c>
      <c r="AC504" s="27" t="s">
        <v>6460</v>
      </c>
      <c r="AD504" s="27" t="s">
        <v>6461</v>
      </c>
      <c r="AE504" s="27" t="s">
        <v>110</v>
      </c>
      <c r="AF504" s="27" t="s">
        <v>6462</v>
      </c>
      <c r="AG504" s="27" t="s">
        <v>6463</v>
      </c>
      <c r="AH504" s="27" t="s">
        <v>1035</v>
      </c>
      <c r="AI504" s="27" t="s">
        <v>140</v>
      </c>
      <c r="AJ504" s="27" t="s">
        <v>262</v>
      </c>
      <c r="AK504" s="27" t="s">
        <v>63</v>
      </c>
      <c r="AL504" s="27"/>
      <c r="AM504" s="34">
        <v>323200000</v>
      </c>
      <c r="AN504" s="34">
        <v>249732143</v>
      </c>
      <c r="AO504" s="34">
        <v>43500000</v>
      </c>
      <c r="AP504" s="34">
        <v>27503571</v>
      </c>
      <c r="AQ504" s="34">
        <v>0</v>
      </c>
      <c r="AR504" s="34">
        <v>0</v>
      </c>
      <c r="AS504" s="34">
        <v>20535714</v>
      </c>
      <c r="AT504" s="34">
        <v>300200000</v>
      </c>
      <c r="AU504" s="34">
        <v>0</v>
      </c>
      <c r="AV504" s="34">
        <v>-23000000</v>
      </c>
      <c r="AW504" s="27"/>
      <c r="AX504" s="27"/>
      <c r="AY504" s="27" t="s">
        <v>83</v>
      </c>
      <c r="AZ504" s="27">
        <v>1</v>
      </c>
      <c r="BA504" s="27"/>
      <c r="BB504" s="27" t="s">
        <v>5720</v>
      </c>
      <c r="BC504" s="27" t="s">
        <v>6464</v>
      </c>
      <c r="BD504" s="27" t="s">
        <v>495</v>
      </c>
      <c r="BE504" s="27" t="s">
        <v>495</v>
      </c>
      <c r="BF504" s="27" t="s">
        <v>6465</v>
      </c>
      <c r="BG504" s="27" t="s">
        <v>6466</v>
      </c>
      <c r="BH504" s="27" t="s">
        <v>490</v>
      </c>
      <c r="BI504" s="27" t="s">
        <v>5787</v>
      </c>
      <c r="BJ504" s="27" t="s">
        <v>6467</v>
      </c>
      <c r="BK504" s="27" t="s">
        <v>495</v>
      </c>
      <c r="BL504" s="27" t="s">
        <v>6468</v>
      </c>
      <c r="BM504" s="38">
        <v>0</v>
      </c>
    </row>
    <row r="505" spans="1:65" x14ac:dyDescent="0.2">
      <c r="A505" s="37">
        <v>1802</v>
      </c>
      <c r="B505" s="27">
        <v>146</v>
      </c>
      <c r="C505" s="27" t="s">
        <v>503</v>
      </c>
      <c r="D505" s="27" t="s">
        <v>6469</v>
      </c>
      <c r="E505" s="27" t="s">
        <v>490</v>
      </c>
      <c r="F505" s="27" t="s">
        <v>5682</v>
      </c>
      <c r="G505" s="28">
        <v>2026</v>
      </c>
      <c r="H505" s="20" t="str">
        <f>VLOOKUP(U505,'[1]KODE TYPE standar'!$D:$U,17,0)</f>
        <v>RAIZE</v>
      </c>
      <c r="I505" s="20" t="str">
        <f>VLOOKUP(U505,'[1]KODE TYPE standar'!$D:$U,16,0)</f>
        <v>RAIZE</v>
      </c>
      <c r="J505" s="20" t="str">
        <f>VLOOKUP(U505,'[1]KODE TYPE standar'!$D:$U,18,0)</f>
        <v>RAIZE G A/T</v>
      </c>
      <c r="K505" s="27" t="s">
        <v>121</v>
      </c>
      <c r="L505" s="27" t="s">
        <v>110</v>
      </c>
      <c r="M505" s="27" t="s">
        <v>262</v>
      </c>
      <c r="N505" s="27" t="s">
        <v>141</v>
      </c>
      <c r="O505" s="28" t="s">
        <v>156</v>
      </c>
      <c r="P505" s="29" t="s">
        <v>149</v>
      </c>
      <c r="Q505" s="29" t="s">
        <v>161</v>
      </c>
      <c r="R505" s="29" t="s">
        <v>597</v>
      </c>
      <c r="S505" s="27" t="s">
        <v>2486</v>
      </c>
      <c r="T505" s="27" t="s">
        <v>541</v>
      </c>
      <c r="U505" s="27" t="s">
        <v>239</v>
      </c>
      <c r="V505" s="27" t="s">
        <v>68</v>
      </c>
      <c r="W505" s="27" t="s">
        <v>69</v>
      </c>
      <c r="X505" s="27" t="s">
        <v>6470</v>
      </c>
      <c r="Y505" s="27" t="s">
        <v>6471</v>
      </c>
      <c r="Z505" s="27" t="s">
        <v>2485</v>
      </c>
      <c r="AA505" s="27" t="s">
        <v>2486</v>
      </c>
      <c r="AB505" s="27" t="s">
        <v>541</v>
      </c>
      <c r="AC505" s="27" t="s">
        <v>6472</v>
      </c>
      <c r="AD505" s="27" t="s">
        <v>6473</v>
      </c>
      <c r="AE505" s="27" t="s">
        <v>110</v>
      </c>
      <c r="AF505" s="27" t="s">
        <v>6473</v>
      </c>
      <c r="AG505" s="27" t="s">
        <v>6474</v>
      </c>
      <c r="AH505" s="27" t="s">
        <v>1720</v>
      </c>
      <c r="AI505" s="27" t="s">
        <v>141</v>
      </c>
      <c r="AJ505" s="27" t="s">
        <v>262</v>
      </c>
      <c r="AK505" s="27" t="s">
        <v>104</v>
      </c>
      <c r="AL505" s="27"/>
      <c r="AM505" s="34">
        <v>262100000</v>
      </c>
      <c r="AN505" s="34">
        <v>201997768</v>
      </c>
      <c r="AO505" s="34">
        <v>35862500</v>
      </c>
      <c r="AP505" s="34">
        <v>21775446</v>
      </c>
      <c r="AQ505" s="34">
        <v>0</v>
      </c>
      <c r="AR505" s="34">
        <v>0</v>
      </c>
      <c r="AS505" s="34">
        <v>20535714</v>
      </c>
      <c r="AT505" s="34">
        <v>239100000</v>
      </c>
      <c r="AU505" s="34">
        <v>22000000</v>
      </c>
      <c r="AV505" s="34">
        <v>-23000000</v>
      </c>
      <c r="AW505" s="27"/>
      <c r="AX505" s="27"/>
      <c r="AY505" s="27" t="s">
        <v>83</v>
      </c>
      <c r="AZ505" s="27">
        <v>1</v>
      </c>
      <c r="BA505" s="27"/>
      <c r="BB505" s="27" t="s">
        <v>460</v>
      </c>
      <c r="BC505" s="27" t="s">
        <v>6475</v>
      </c>
      <c r="BD505" s="27" t="s">
        <v>456</v>
      </c>
      <c r="BE505" s="27" t="s">
        <v>456</v>
      </c>
      <c r="BF505" s="27" t="s">
        <v>6476</v>
      </c>
      <c r="BG505" s="27" t="s">
        <v>6477</v>
      </c>
      <c r="BH505" s="27"/>
      <c r="BI505" s="27" t="s">
        <v>5787</v>
      </c>
      <c r="BJ505" s="27" t="s">
        <v>6478</v>
      </c>
      <c r="BK505" s="27" t="s">
        <v>5795</v>
      </c>
      <c r="BL505" s="27" t="s">
        <v>6479</v>
      </c>
      <c r="BM505" s="38">
        <v>0</v>
      </c>
    </row>
    <row r="506" spans="1:65" x14ac:dyDescent="0.2">
      <c r="A506" s="37">
        <v>1812</v>
      </c>
      <c r="B506" s="27">
        <v>146</v>
      </c>
      <c r="C506" s="27" t="s">
        <v>503</v>
      </c>
      <c r="D506" s="27" t="s">
        <v>6480</v>
      </c>
      <c r="E506" s="27" t="s">
        <v>477</v>
      </c>
      <c r="F506" s="27" t="s">
        <v>5682</v>
      </c>
      <c r="G506" s="28">
        <v>2026</v>
      </c>
      <c r="H506" s="20" t="str">
        <f>VLOOKUP(U506,'[1]KODE TYPE standar'!$D:$U,17,0)</f>
        <v>VELOZ</v>
      </c>
      <c r="I506" s="20" t="str">
        <f>VLOOKUP(U506,'[1]KODE TYPE standar'!$D:$U,16,0)</f>
        <v>VELOZ</v>
      </c>
      <c r="J506" s="20" t="str">
        <f>VLOOKUP(U506,'[1]KODE TYPE standar'!$D:$U,18,0)</f>
        <v>VELOZ Q AT HYBRID</v>
      </c>
      <c r="K506" s="27" t="s">
        <v>50</v>
      </c>
      <c r="L506" s="27" t="s">
        <v>110</v>
      </c>
      <c r="M506" s="27" t="s">
        <v>50</v>
      </c>
      <c r="N506" s="27" t="s">
        <v>140</v>
      </c>
      <c r="O506" s="28" t="s">
        <v>156</v>
      </c>
      <c r="P506" s="29" t="s">
        <v>149</v>
      </c>
      <c r="Q506" s="29" t="s">
        <v>161</v>
      </c>
      <c r="R506" s="29" t="s">
        <v>597</v>
      </c>
      <c r="S506" s="27" t="s">
        <v>5334</v>
      </c>
      <c r="T506" s="27" t="s">
        <v>585</v>
      </c>
      <c r="U506" s="27" t="s">
        <v>336</v>
      </c>
      <c r="V506" s="27" t="s">
        <v>64</v>
      </c>
      <c r="W506" s="27" t="s">
        <v>65</v>
      </c>
      <c r="X506" s="27" t="s">
        <v>6481</v>
      </c>
      <c r="Y506" s="27" t="s">
        <v>6482</v>
      </c>
      <c r="Z506" s="27" t="s">
        <v>5333</v>
      </c>
      <c r="AA506" s="27" t="s">
        <v>5334</v>
      </c>
      <c r="AB506" s="27" t="s">
        <v>585</v>
      </c>
      <c r="AC506" s="27" t="s">
        <v>6483</v>
      </c>
      <c r="AD506" s="27" t="s">
        <v>6484</v>
      </c>
      <c r="AE506" s="27" t="s">
        <v>110</v>
      </c>
      <c r="AF506" s="27" t="s">
        <v>6484</v>
      </c>
      <c r="AG506" s="27" t="s">
        <v>6485</v>
      </c>
      <c r="AH506" s="27" t="s">
        <v>1614</v>
      </c>
      <c r="AI506" s="27" t="s">
        <v>140</v>
      </c>
      <c r="AJ506" s="27" t="s">
        <v>50</v>
      </c>
      <c r="AK506" s="27" t="s">
        <v>50</v>
      </c>
      <c r="AL506" s="27"/>
      <c r="AM506" s="34">
        <v>325000000</v>
      </c>
      <c r="AN506" s="34">
        <v>251138393</v>
      </c>
      <c r="AO506" s="34">
        <v>43725000</v>
      </c>
      <c r="AP506" s="34">
        <v>30136607</v>
      </c>
      <c r="AQ506" s="34">
        <v>0</v>
      </c>
      <c r="AR506" s="34">
        <v>0</v>
      </c>
      <c r="AS506" s="34">
        <v>0</v>
      </c>
      <c r="AT506" s="34">
        <v>325000000</v>
      </c>
      <c r="AU506" s="34">
        <v>0</v>
      </c>
      <c r="AV506" s="34">
        <v>0</v>
      </c>
      <c r="AW506" s="27" t="s">
        <v>5795</v>
      </c>
      <c r="AX506" s="27" t="s">
        <v>5795</v>
      </c>
      <c r="AY506" s="27" t="s">
        <v>83</v>
      </c>
      <c r="AZ506" s="27">
        <v>1</v>
      </c>
      <c r="BA506" s="27"/>
      <c r="BB506" s="27" t="s">
        <v>477</v>
      </c>
      <c r="BC506" s="27" t="s">
        <v>6486</v>
      </c>
      <c r="BD506" s="27" t="s">
        <v>5546</v>
      </c>
      <c r="BE506" s="27" t="s">
        <v>5546</v>
      </c>
      <c r="BF506" s="27" t="s">
        <v>6487</v>
      </c>
      <c r="BG506" s="27" t="s">
        <v>6488</v>
      </c>
      <c r="BH506" s="27" t="s">
        <v>477</v>
      </c>
      <c r="BI506" s="27" t="s">
        <v>495</v>
      </c>
      <c r="BJ506" s="27" t="s">
        <v>6489</v>
      </c>
      <c r="BK506" s="27" t="s">
        <v>467</v>
      </c>
      <c r="BL506" s="27" t="s">
        <v>6490</v>
      </c>
      <c r="BM506" s="38">
        <v>0</v>
      </c>
    </row>
    <row r="507" spans="1:65" x14ac:dyDescent="0.2">
      <c r="A507" s="37">
        <v>1823</v>
      </c>
      <c r="B507" s="27">
        <v>146</v>
      </c>
      <c r="C507" s="27" t="s">
        <v>503</v>
      </c>
      <c r="D507" s="27" t="s">
        <v>6491</v>
      </c>
      <c r="E507" s="27" t="s">
        <v>460</v>
      </c>
      <c r="F507" s="27" t="s">
        <v>5682</v>
      </c>
      <c r="G507" s="28">
        <v>2026</v>
      </c>
      <c r="H507" s="20" t="str">
        <f>VLOOKUP(U507,'[1]KODE TYPE standar'!$D:$U,17,0)</f>
        <v>HIACE</v>
      </c>
      <c r="I507" s="20" t="str">
        <f>VLOOKUP(U507,'[1]KODE TYPE standar'!$D:$U,16,0)</f>
        <v>HIACE</v>
      </c>
      <c r="J507" s="20" t="str">
        <f>VLOOKUP(U507,'[1]KODE TYPE standar'!$D:$U,18,0)</f>
        <v>HIACE PREMIO</v>
      </c>
      <c r="K507" s="27" t="s">
        <v>119</v>
      </c>
      <c r="L507" s="27" t="s">
        <v>110</v>
      </c>
      <c r="M507" s="27" t="s">
        <v>262</v>
      </c>
      <c r="N507" s="27" t="s">
        <v>92</v>
      </c>
      <c r="O507" s="28" t="s">
        <v>6581</v>
      </c>
      <c r="P507" s="29" t="s">
        <v>149</v>
      </c>
      <c r="Q507" s="29" t="s">
        <v>161</v>
      </c>
      <c r="R507" s="29" t="s">
        <v>597</v>
      </c>
      <c r="S507" s="27" t="s">
        <v>2486</v>
      </c>
      <c r="T507" s="27" t="s">
        <v>541</v>
      </c>
      <c r="U507" s="27" t="s">
        <v>173</v>
      </c>
      <c r="V507" s="27" t="s">
        <v>99</v>
      </c>
      <c r="W507" s="27" t="s">
        <v>61</v>
      </c>
      <c r="X507" s="27" t="s">
        <v>6492</v>
      </c>
      <c r="Y507" s="27" t="s">
        <v>6493</v>
      </c>
      <c r="Z507" s="27" t="s">
        <v>2485</v>
      </c>
      <c r="AA507" s="27" t="s">
        <v>2486</v>
      </c>
      <c r="AB507" s="27" t="s">
        <v>541</v>
      </c>
      <c r="AC507" s="27" t="s">
        <v>6494</v>
      </c>
      <c r="AD507" s="27" t="s">
        <v>6495</v>
      </c>
      <c r="AE507" s="27" t="s">
        <v>110</v>
      </c>
      <c r="AF507" s="27" t="s">
        <v>6496</v>
      </c>
      <c r="AG507" s="27" t="s">
        <v>6497</v>
      </c>
      <c r="AH507" s="27" t="s">
        <v>493</v>
      </c>
      <c r="AI507" s="27" t="s">
        <v>92</v>
      </c>
      <c r="AJ507" s="27" t="s">
        <v>262</v>
      </c>
      <c r="AK507" s="27" t="s">
        <v>89</v>
      </c>
      <c r="AL507" s="27"/>
      <c r="AM507" s="34">
        <v>678800000</v>
      </c>
      <c r="AN507" s="34">
        <v>527593750</v>
      </c>
      <c r="AO507" s="34">
        <v>87895000</v>
      </c>
      <c r="AP507" s="34">
        <v>59025535</v>
      </c>
      <c r="AQ507" s="34">
        <v>0</v>
      </c>
      <c r="AR507" s="34">
        <v>0</v>
      </c>
      <c r="AS507" s="34">
        <v>35714286</v>
      </c>
      <c r="AT507" s="34">
        <v>638800000</v>
      </c>
      <c r="AU507" s="34">
        <v>0</v>
      </c>
      <c r="AV507" s="34">
        <v>-40000000</v>
      </c>
      <c r="AW507" s="27" t="s">
        <v>5692</v>
      </c>
      <c r="AX507" s="27" t="s">
        <v>5692</v>
      </c>
      <c r="AY507" s="27" t="s">
        <v>83</v>
      </c>
      <c r="AZ507" s="27">
        <v>1</v>
      </c>
      <c r="BA507" s="27"/>
      <c r="BB507" s="27" t="s">
        <v>5546</v>
      </c>
      <c r="BC507" s="27" t="s">
        <v>6498</v>
      </c>
      <c r="BD507" s="27" t="s">
        <v>5546</v>
      </c>
      <c r="BE507" s="27" t="s">
        <v>5546</v>
      </c>
      <c r="BF507" s="27" t="s">
        <v>6499</v>
      </c>
      <c r="BG507" s="27" t="s">
        <v>6500</v>
      </c>
      <c r="BH507" s="27" t="s">
        <v>460</v>
      </c>
      <c r="BI507" s="27" t="s">
        <v>5720</v>
      </c>
      <c r="BJ507" s="27" t="s">
        <v>6501</v>
      </c>
      <c r="BK507" s="27" t="s">
        <v>456</v>
      </c>
      <c r="BL507" s="27" t="s">
        <v>6502</v>
      </c>
      <c r="BM507" s="38">
        <v>0</v>
      </c>
    </row>
    <row r="508" spans="1:65" x14ac:dyDescent="0.2">
      <c r="A508" s="37">
        <v>1828</v>
      </c>
      <c r="B508" s="27">
        <v>146</v>
      </c>
      <c r="C508" s="27" t="s">
        <v>503</v>
      </c>
      <c r="D508" s="27" t="s">
        <v>6503</v>
      </c>
      <c r="E508" s="27" t="s">
        <v>479</v>
      </c>
      <c r="F508" s="27" t="s">
        <v>5682</v>
      </c>
      <c r="G508" s="28">
        <v>2026</v>
      </c>
      <c r="H508" s="20" t="str">
        <f>VLOOKUP(U508,'[1]KODE TYPE standar'!$D:$U,17,0)</f>
        <v>FORTUNER</v>
      </c>
      <c r="I508" s="20" t="str">
        <f>VLOOKUP(U508,'[1]KODE TYPE standar'!$D:$U,16,0)</f>
        <v>FORTUNER</v>
      </c>
      <c r="J508" s="20" t="str">
        <f>VLOOKUP(U508,'[1]KODE TYPE standar'!$D:$U,18,0)</f>
        <v>FORTUNER 4X2 VRZ A/T DIESEL</v>
      </c>
      <c r="K508" s="27" t="s">
        <v>121</v>
      </c>
      <c r="L508" s="27" t="s">
        <v>110</v>
      </c>
      <c r="M508" s="27" t="s">
        <v>262</v>
      </c>
      <c r="N508" s="27" t="s">
        <v>140</v>
      </c>
      <c r="O508" s="28" t="s">
        <v>156</v>
      </c>
      <c r="P508" s="29" t="s">
        <v>149</v>
      </c>
      <c r="Q508" s="29" t="s">
        <v>161</v>
      </c>
      <c r="R508" s="29" t="s">
        <v>1264</v>
      </c>
      <c r="S508" s="27" t="s">
        <v>631</v>
      </c>
      <c r="T508" s="27" t="s">
        <v>509</v>
      </c>
      <c r="U508" s="27" t="s">
        <v>279</v>
      </c>
      <c r="V508" s="27" t="s">
        <v>51</v>
      </c>
      <c r="W508" s="27" t="s">
        <v>86</v>
      </c>
      <c r="X508" s="27" t="s">
        <v>6504</v>
      </c>
      <c r="Y508" s="27" t="s">
        <v>6505</v>
      </c>
      <c r="Z508" s="27" t="s">
        <v>630</v>
      </c>
      <c r="AA508" s="27" t="s">
        <v>631</v>
      </c>
      <c r="AB508" s="27" t="s">
        <v>509</v>
      </c>
      <c r="AC508" s="27" t="s">
        <v>6506</v>
      </c>
      <c r="AD508" s="27" t="s">
        <v>6507</v>
      </c>
      <c r="AE508" s="27" t="s">
        <v>110</v>
      </c>
      <c r="AF508" s="27" t="s">
        <v>6508</v>
      </c>
      <c r="AG508" s="27" t="s">
        <v>6509</v>
      </c>
      <c r="AH508" s="27" t="s">
        <v>2401</v>
      </c>
      <c r="AI508" s="27" t="s">
        <v>140</v>
      </c>
      <c r="AJ508" s="27" t="s">
        <v>262</v>
      </c>
      <c r="AK508" s="27" t="s">
        <v>104</v>
      </c>
      <c r="AL508" s="27"/>
      <c r="AM508" s="34">
        <v>683700000</v>
      </c>
      <c r="AN508" s="34">
        <v>531372768</v>
      </c>
      <c r="AO508" s="34">
        <v>88562500</v>
      </c>
      <c r="AP508" s="34">
        <v>59479017</v>
      </c>
      <c r="AQ508" s="34">
        <v>0</v>
      </c>
      <c r="AR508" s="34">
        <v>0</v>
      </c>
      <c r="AS508" s="34">
        <v>35714286</v>
      </c>
      <c r="AT508" s="34">
        <v>643700000</v>
      </c>
      <c r="AU508" s="34">
        <v>0</v>
      </c>
      <c r="AV508" s="34">
        <v>-40000000</v>
      </c>
      <c r="AW508" s="27" t="s">
        <v>477</v>
      </c>
      <c r="AX508" s="27" t="s">
        <v>477</v>
      </c>
      <c r="AY508" s="27" t="s">
        <v>83</v>
      </c>
      <c r="AZ508" s="27">
        <v>1</v>
      </c>
      <c r="BA508" s="27" t="s">
        <v>6510</v>
      </c>
      <c r="BB508" s="27" t="s">
        <v>480</v>
      </c>
      <c r="BC508" s="27" t="s">
        <v>6511</v>
      </c>
      <c r="BD508" s="27" t="s">
        <v>481</v>
      </c>
      <c r="BE508" s="27" t="s">
        <v>481</v>
      </c>
      <c r="BF508" s="27" t="s">
        <v>6512</v>
      </c>
      <c r="BG508" s="27" t="s">
        <v>6513</v>
      </c>
      <c r="BH508" s="27" t="s">
        <v>479</v>
      </c>
      <c r="BI508" s="27" t="s">
        <v>484</v>
      </c>
      <c r="BJ508" s="27" t="s">
        <v>6514</v>
      </c>
      <c r="BK508" s="27" t="s">
        <v>475</v>
      </c>
      <c r="BL508" s="27" t="s">
        <v>6515</v>
      </c>
      <c r="BM508" s="38">
        <v>0</v>
      </c>
    </row>
    <row r="509" spans="1:65" x14ac:dyDescent="0.2">
      <c r="A509" s="37">
        <v>1833</v>
      </c>
      <c r="B509" s="27">
        <v>146</v>
      </c>
      <c r="C509" s="27" t="s">
        <v>503</v>
      </c>
      <c r="D509" s="27" t="s">
        <v>6516</v>
      </c>
      <c r="E509" s="27" t="s">
        <v>495</v>
      </c>
      <c r="F509" s="27" t="s">
        <v>5682</v>
      </c>
      <c r="G509" s="28">
        <v>2026</v>
      </c>
      <c r="H509" s="20" t="str">
        <f>VLOOKUP(U509,'[1]KODE TYPE standar'!$D:$U,17,0)</f>
        <v>HIACE</v>
      </c>
      <c r="I509" s="20" t="str">
        <f>VLOOKUP(U509,'[1]KODE TYPE standar'!$D:$U,16,0)</f>
        <v>HIACE</v>
      </c>
      <c r="J509" s="20" t="str">
        <f>VLOOKUP(U509,'[1]KODE TYPE standar'!$D:$U,18,0)</f>
        <v>HIACE COMM</v>
      </c>
      <c r="K509" s="27" t="s">
        <v>119</v>
      </c>
      <c r="L509" s="27" t="s">
        <v>110</v>
      </c>
      <c r="M509" s="27" t="s">
        <v>262</v>
      </c>
      <c r="N509" s="27" t="s">
        <v>141</v>
      </c>
      <c r="O509" s="28" t="s">
        <v>156</v>
      </c>
      <c r="P509" s="29" t="s">
        <v>149</v>
      </c>
      <c r="Q509" s="29" t="s">
        <v>162</v>
      </c>
      <c r="R509" s="29" t="s">
        <v>318</v>
      </c>
      <c r="S509" s="27" t="s">
        <v>540</v>
      </c>
      <c r="T509" s="27" t="s">
        <v>541</v>
      </c>
      <c r="U509" s="27" t="s">
        <v>4424</v>
      </c>
      <c r="V509" s="27" t="s">
        <v>99</v>
      </c>
      <c r="W509" s="27" t="s">
        <v>61</v>
      </c>
      <c r="X509" s="27" t="s">
        <v>6517</v>
      </c>
      <c r="Y509" s="27" t="s">
        <v>6518</v>
      </c>
      <c r="Z509" s="27" t="s">
        <v>539</v>
      </c>
      <c r="AA509" s="27" t="s">
        <v>540</v>
      </c>
      <c r="AB509" s="27" t="s">
        <v>541</v>
      </c>
      <c r="AC509" s="27" t="s">
        <v>6519</v>
      </c>
      <c r="AD509" s="27" t="s">
        <v>6520</v>
      </c>
      <c r="AE509" s="27" t="s">
        <v>110</v>
      </c>
      <c r="AF509" s="27" t="s">
        <v>6520</v>
      </c>
      <c r="AG509" s="27" t="s">
        <v>6521</v>
      </c>
      <c r="AH509" s="27" t="s">
        <v>1427</v>
      </c>
      <c r="AI509" s="27" t="s">
        <v>141</v>
      </c>
      <c r="AJ509" s="27" t="s">
        <v>262</v>
      </c>
      <c r="AK509" s="27" t="s">
        <v>89</v>
      </c>
      <c r="AL509" s="27"/>
      <c r="AM509" s="34">
        <v>578900000</v>
      </c>
      <c r="AN509" s="34">
        <v>451430180</v>
      </c>
      <c r="AO509" s="34">
        <v>77812500</v>
      </c>
      <c r="AP509" s="34">
        <v>45693355</v>
      </c>
      <c r="AQ509" s="34">
        <v>0</v>
      </c>
      <c r="AR509" s="34">
        <v>0</v>
      </c>
      <c r="AS509" s="34">
        <v>36036036</v>
      </c>
      <c r="AT509" s="34">
        <v>538900000</v>
      </c>
      <c r="AU509" s="34">
        <v>0</v>
      </c>
      <c r="AV509" s="34">
        <v>-40000000</v>
      </c>
      <c r="AW509" s="27" t="s">
        <v>5720</v>
      </c>
      <c r="AX509" s="27" t="s">
        <v>5720</v>
      </c>
      <c r="AY509" s="27" t="s">
        <v>83</v>
      </c>
      <c r="AZ509" s="27">
        <v>1</v>
      </c>
      <c r="BA509" s="27"/>
      <c r="BB509" s="27" t="s">
        <v>5745</v>
      </c>
      <c r="BC509" s="27" t="s">
        <v>6522</v>
      </c>
      <c r="BD509" s="27" t="s">
        <v>5692</v>
      </c>
      <c r="BE509" s="27" t="s">
        <v>5692</v>
      </c>
      <c r="BF509" s="27" t="s">
        <v>6523</v>
      </c>
      <c r="BG509" s="27" t="s">
        <v>6524</v>
      </c>
      <c r="BH509" s="27" t="s">
        <v>495</v>
      </c>
      <c r="BI509" s="27" t="s">
        <v>497</v>
      </c>
      <c r="BJ509" s="27" t="s">
        <v>6525</v>
      </c>
      <c r="BK509" s="27" t="s">
        <v>5836</v>
      </c>
      <c r="BL509" s="27" t="s">
        <v>6526</v>
      </c>
      <c r="BM509" s="38">
        <v>0</v>
      </c>
    </row>
    <row r="510" spans="1:65" x14ac:dyDescent="0.2">
      <c r="A510" s="37">
        <v>1834</v>
      </c>
      <c r="B510" s="27">
        <v>146</v>
      </c>
      <c r="C510" s="27" t="s">
        <v>503</v>
      </c>
      <c r="D510" s="27" t="s">
        <v>6527</v>
      </c>
      <c r="E510" s="27" t="s">
        <v>5836</v>
      </c>
      <c r="F510" s="27" t="s">
        <v>5682</v>
      </c>
      <c r="G510" s="28">
        <v>2026</v>
      </c>
      <c r="H510" s="20" t="str">
        <f>VLOOKUP(U510,'[1]KODE TYPE standar'!$D:$U,17,0)</f>
        <v>CALYA</v>
      </c>
      <c r="I510" s="20" t="str">
        <f>VLOOKUP(U510,'[1]KODE TYPE standar'!$D:$U,16,0)</f>
        <v>CALYA</v>
      </c>
      <c r="J510" s="20" t="str">
        <f>VLOOKUP(U510,'[1]KODE TYPE standar'!$D:$U,18,0)</f>
        <v>CALYA G A/T</v>
      </c>
      <c r="K510" s="27" t="s">
        <v>119</v>
      </c>
      <c r="L510" s="27" t="s">
        <v>110</v>
      </c>
      <c r="M510" s="27" t="s">
        <v>262</v>
      </c>
      <c r="N510" s="27" t="s">
        <v>139</v>
      </c>
      <c r="O510" s="28" t="s">
        <v>156</v>
      </c>
      <c r="P510" s="29" t="s">
        <v>149</v>
      </c>
      <c r="Q510" s="29" t="s">
        <v>161</v>
      </c>
      <c r="R510" s="29" t="s">
        <v>145</v>
      </c>
      <c r="S510" s="27" t="s">
        <v>877</v>
      </c>
      <c r="T510" s="27" t="s">
        <v>585</v>
      </c>
      <c r="U510" s="27" t="s">
        <v>88</v>
      </c>
      <c r="V510" s="27" t="s">
        <v>96</v>
      </c>
      <c r="W510" s="27" t="s">
        <v>97</v>
      </c>
      <c r="X510" s="27" t="s">
        <v>6528</v>
      </c>
      <c r="Y510" s="27" t="s">
        <v>6529</v>
      </c>
      <c r="Z510" s="27" t="s">
        <v>876</v>
      </c>
      <c r="AA510" s="27" t="s">
        <v>877</v>
      </c>
      <c r="AB510" s="27" t="s">
        <v>585</v>
      </c>
      <c r="AC510" s="27" t="s">
        <v>6530</v>
      </c>
      <c r="AD510" s="27" t="s">
        <v>6531</v>
      </c>
      <c r="AE510" s="27" t="s">
        <v>110</v>
      </c>
      <c r="AF510" s="27" t="s">
        <v>6531</v>
      </c>
      <c r="AG510" s="27" t="s">
        <v>6532</v>
      </c>
      <c r="AH510" s="27" t="s">
        <v>913</v>
      </c>
      <c r="AI510" s="27" t="s">
        <v>139</v>
      </c>
      <c r="AJ510" s="27" t="s">
        <v>262</v>
      </c>
      <c r="AK510" s="27" t="s">
        <v>89</v>
      </c>
      <c r="AL510" s="27"/>
      <c r="AM510" s="34">
        <v>197300000</v>
      </c>
      <c r="AN510" s="34">
        <v>151372768</v>
      </c>
      <c r="AO510" s="34">
        <v>27762500</v>
      </c>
      <c r="AP510" s="34">
        <v>16726875</v>
      </c>
      <c r="AQ510" s="34">
        <v>0</v>
      </c>
      <c r="AR510" s="34">
        <v>0</v>
      </c>
      <c r="AS510" s="34">
        <v>11982143</v>
      </c>
      <c r="AT510" s="34">
        <v>183880000</v>
      </c>
      <c r="AU510" s="34">
        <v>1300000</v>
      </c>
      <c r="AV510" s="34">
        <v>-13420000</v>
      </c>
      <c r="AW510" s="27"/>
      <c r="AX510" s="27"/>
      <c r="AY510" s="27" t="s">
        <v>83</v>
      </c>
      <c r="AZ510" s="27">
        <v>1</v>
      </c>
      <c r="BA510" s="27"/>
      <c r="BB510" s="27" t="s">
        <v>454</v>
      </c>
      <c r="BC510" s="27" t="s">
        <v>6533</v>
      </c>
      <c r="BD510" s="27" t="s">
        <v>470</v>
      </c>
      <c r="BE510" s="27" t="s">
        <v>470</v>
      </c>
      <c r="BF510" s="27" t="s">
        <v>6534</v>
      </c>
      <c r="BG510" s="27" t="s">
        <v>6535</v>
      </c>
      <c r="BH510" s="27"/>
      <c r="BI510" s="27" t="s">
        <v>5938</v>
      </c>
      <c r="BJ510" s="27" t="s">
        <v>6536</v>
      </c>
      <c r="BK510" s="27" t="s">
        <v>477</v>
      </c>
      <c r="BL510" s="27" t="s">
        <v>6537</v>
      </c>
      <c r="BM510" s="38">
        <v>0</v>
      </c>
    </row>
    <row r="511" spans="1:65" x14ac:dyDescent="0.2">
      <c r="A511" s="37">
        <v>1842</v>
      </c>
      <c r="B511" s="27">
        <v>146</v>
      </c>
      <c r="C511" s="27" t="s">
        <v>503</v>
      </c>
      <c r="D511" s="27" t="s">
        <v>6538</v>
      </c>
      <c r="E511" s="27" t="s">
        <v>479</v>
      </c>
      <c r="F511" s="27" t="s">
        <v>5682</v>
      </c>
      <c r="G511" s="28">
        <v>2026</v>
      </c>
      <c r="H511" s="20" t="str">
        <f>VLOOKUP(U511,'[1]KODE TYPE standar'!$D:$U,17,0)</f>
        <v>HIACE</v>
      </c>
      <c r="I511" s="20" t="str">
        <f>VLOOKUP(U511,'[1]KODE TYPE standar'!$D:$U,16,0)</f>
        <v>HIACE</v>
      </c>
      <c r="J511" s="20" t="str">
        <f>VLOOKUP(U511,'[1]KODE TYPE standar'!$D:$U,18,0)</f>
        <v>HIACE PREMIO</v>
      </c>
      <c r="K511" s="27" t="s">
        <v>119</v>
      </c>
      <c r="L511" s="27" t="s">
        <v>109</v>
      </c>
      <c r="M511" s="27" t="s">
        <v>262</v>
      </c>
      <c r="N511" s="27" t="s">
        <v>141</v>
      </c>
      <c r="O511" s="28" t="s">
        <v>156</v>
      </c>
      <c r="P511" s="29" t="s">
        <v>151</v>
      </c>
      <c r="Q511" s="29" t="s">
        <v>162</v>
      </c>
      <c r="R511" s="29" t="s">
        <v>109</v>
      </c>
      <c r="S511" s="27" t="s">
        <v>724</v>
      </c>
      <c r="T511" s="27" t="s">
        <v>541</v>
      </c>
      <c r="U511" s="27" t="s">
        <v>173</v>
      </c>
      <c r="V511" s="27" t="s">
        <v>99</v>
      </c>
      <c r="W511" s="27" t="s">
        <v>61</v>
      </c>
      <c r="X511" s="27" t="s">
        <v>6539</v>
      </c>
      <c r="Y511" s="27" t="s">
        <v>6540</v>
      </c>
      <c r="Z511" s="27" t="s">
        <v>723</v>
      </c>
      <c r="AA511" s="27" t="s">
        <v>724</v>
      </c>
      <c r="AB511" s="27" t="s">
        <v>541</v>
      </c>
      <c r="AC511" s="27" t="s">
        <v>6541</v>
      </c>
      <c r="AD511" s="27" t="s">
        <v>6542</v>
      </c>
      <c r="AE511" s="27" t="s">
        <v>109</v>
      </c>
      <c r="AF511" s="27" t="s">
        <v>6542</v>
      </c>
      <c r="AG511" s="27" t="s">
        <v>6543</v>
      </c>
      <c r="AH511" s="27" t="s">
        <v>688</v>
      </c>
      <c r="AI511" s="27" t="s">
        <v>141</v>
      </c>
      <c r="AJ511" s="27" t="s">
        <v>262</v>
      </c>
      <c r="AK511" s="27" t="s">
        <v>89</v>
      </c>
      <c r="AL511" s="27"/>
      <c r="AM511" s="34">
        <v>679100000</v>
      </c>
      <c r="AN511" s="34">
        <v>525680804</v>
      </c>
      <c r="AO511" s="34">
        <v>90337500</v>
      </c>
      <c r="AP511" s="34">
        <v>58581696</v>
      </c>
      <c r="AQ511" s="34">
        <v>0</v>
      </c>
      <c r="AR511" s="34">
        <v>0</v>
      </c>
      <c r="AS511" s="34">
        <v>37500000</v>
      </c>
      <c r="AT511" s="34">
        <v>637100000</v>
      </c>
      <c r="AU511" s="34">
        <v>0</v>
      </c>
      <c r="AV511" s="34">
        <v>-42000000</v>
      </c>
      <c r="AW511" s="27" t="s">
        <v>477</v>
      </c>
      <c r="AX511" s="27" t="s">
        <v>477</v>
      </c>
      <c r="AY511" s="27" t="s">
        <v>83</v>
      </c>
      <c r="AZ511" s="27">
        <v>1</v>
      </c>
      <c r="BA511" s="27" t="s">
        <v>6544</v>
      </c>
      <c r="BB511" s="27" t="s">
        <v>454</v>
      </c>
      <c r="BC511" s="27" t="s">
        <v>6545</v>
      </c>
      <c r="BD511" s="27" t="s">
        <v>454</v>
      </c>
      <c r="BE511" s="27" t="s">
        <v>454</v>
      </c>
      <c r="BF511" s="27" t="s">
        <v>6546</v>
      </c>
      <c r="BG511" s="27" t="s">
        <v>6547</v>
      </c>
      <c r="BH511" s="27" t="s">
        <v>479</v>
      </c>
      <c r="BI511" s="27" t="s">
        <v>484</v>
      </c>
      <c r="BJ511" s="27" t="s">
        <v>6548</v>
      </c>
      <c r="BK511" s="27" t="s">
        <v>468</v>
      </c>
      <c r="BL511" s="27" t="s">
        <v>6549</v>
      </c>
      <c r="BM511" s="38">
        <v>0</v>
      </c>
    </row>
    <row r="512" spans="1:65" x14ac:dyDescent="0.2">
      <c r="A512" s="37">
        <v>1846</v>
      </c>
      <c r="B512" s="27">
        <v>146</v>
      </c>
      <c r="C512" s="27" t="s">
        <v>503</v>
      </c>
      <c r="D512" s="27" t="s">
        <v>6550</v>
      </c>
      <c r="E512" s="27" t="s">
        <v>5872</v>
      </c>
      <c r="F512" s="27" t="s">
        <v>5682</v>
      </c>
      <c r="G512" s="28">
        <v>2026</v>
      </c>
      <c r="H512" s="20" t="str">
        <f>VLOOKUP(U512,'[1]KODE TYPE standar'!$D:$U,17,0)</f>
        <v>RUSH</v>
      </c>
      <c r="I512" s="20" t="str">
        <f>VLOOKUP(U512,'[1]KODE TYPE standar'!$D:$U,16,0)</f>
        <v>RUSH</v>
      </c>
      <c r="J512" s="20" t="str">
        <f>VLOOKUP(U512,'[1]KODE TYPE standar'!$D:$U,18,0)</f>
        <v>RUSH S A/T</v>
      </c>
      <c r="K512" s="27" t="s">
        <v>119</v>
      </c>
      <c r="L512" s="27" t="s">
        <v>110</v>
      </c>
      <c r="M512" s="27" t="s">
        <v>262</v>
      </c>
      <c r="N512" s="27" t="s">
        <v>142</v>
      </c>
      <c r="O512" s="28" t="s">
        <v>6581</v>
      </c>
      <c r="P512" s="29" t="s">
        <v>149</v>
      </c>
      <c r="Q512" s="29" t="s">
        <v>162</v>
      </c>
      <c r="R512" s="29" t="s">
        <v>145</v>
      </c>
      <c r="S512" s="27" t="s">
        <v>4352</v>
      </c>
      <c r="T512" s="27" t="s">
        <v>585</v>
      </c>
      <c r="U512" s="27" t="s">
        <v>116</v>
      </c>
      <c r="V512" s="27" t="s">
        <v>60</v>
      </c>
      <c r="W512" s="27" t="s">
        <v>61</v>
      </c>
      <c r="X512" s="27" t="s">
        <v>6551</v>
      </c>
      <c r="Y512" s="27" t="s">
        <v>6552</v>
      </c>
      <c r="Z512" s="27" t="s">
        <v>4351</v>
      </c>
      <c r="AA512" s="27" t="s">
        <v>4352</v>
      </c>
      <c r="AB512" s="27" t="s">
        <v>585</v>
      </c>
      <c r="AC512" s="27" t="s">
        <v>6553</v>
      </c>
      <c r="AD512" s="27" t="s">
        <v>6554</v>
      </c>
      <c r="AE512" s="27" t="s">
        <v>110</v>
      </c>
      <c r="AF512" s="27" t="s">
        <v>6555</v>
      </c>
      <c r="AG512" s="27" t="s">
        <v>6556</v>
      </c>
      <c r="AH512" s="27" t="s">
        <v>6557</v>
      </c>
      <c r="AI512" s="27" t="s">
        <v>142</v>
      </c>
      <c r="AJ512" s="27" t="s">
        <v>262</v>
      </c>
      <c r="AK512" s="27" t="s">
        <v>89</v>
      </c>
      <c r="AL512" s="27"/>
      <c r="AM512" s="34">
        <v>323200000</v>
      </c>
      <c r="AN512" s="34">
        <v>249419643</v>
      </c>
      <c r="AO512" s="34">
        <v>43850000</v>
      </c>
      <c r="AP512" s="34">
        <v>28323214</v>
      </c>
      <c r="AQ512" s="34">
        <v>0</v>
      </c>
      <c r="AR512" s="34">
        <v>0</v>
      </c>
      <c r="AS512" s="34">
        <v>13392857</v>
      </c>
      <c r="AT512" s="34">
        <v>308200000</v>
      </c>
      <c r="AU512" s="34">
        <v>9000000</v>
      </c>
      <c r="AV512" s="34">
        <v>-15000000</v>
      </c>
      <c r="AW512" s="27" t="s">
        <v>5715</v>
      </c>
      <c r="AX512" s="27" t="s">
        <v>5715</v>
      </c>
      <c r="AY512" s="27" t="s">
        <v>83</v>
      </c>
      <c r="AZ512" s="27">
        <v>1</v>
      </c>
      <c r="BA512" s="27" t="s">
        <v>163</v>
      </c>
      <c r="BB512" s="27" t="s">
        <v>477</v>
      </c>
      <c r="BC512" s="27" t="s">
        <v>6558</v>
      </c>
      <c r="BD512" s="27" t="s">
        <v>477</v>
      </c>
      <c r="BE512" s="27" t="s">
        <v>477</v>
      </c>
      <c r="BF512" s="27" t="s">
        <v>6559</v>
      </c>
      <c r="BG512" s="27" t="s">
        <v>6560</v>
      </c>
      <c r="BH512" s="27" t="s">
        <v>5872</v>
      </c>
      <c r="BI512" s="27" t="s">
        <v>490</v>
      </c>
      <c r="BJ512" s="27" t="s">
        <v>6561</v>
      </c>
      <c r="BK512" s="27" t="s">
        <v>479</v>
      </c>
      <c r="BL512" s="27" t="s">
        <v>6562</v>
      </c>
      <c r="BM512" s="38">
        <v>0</v>
      </c>
    </row>
    <row r="513" spans="1:65" x14ac:dyDescent="0.2">
      <c r="A513" s="39">
        <v>1868</v>
      </c>
      <c r="B513" s="18">
        <v>146</v>
      </c>
      <c r="C513" s="18" t="s">
        <v>503</v>
      </c>
      <c r="D513" s="18" t="s">
        <v>6563</v>
      </c>
      <c r="E513" s="18" t="s">
        <v>484</v>
      </c>
      <c r="F513" s="18" t="s">
        <v>5682</v>
      </c>
      <c r="G513" s="28">
        <v>2026</v>
      </c>
      <c r="H513" s="20" t="str">
        <f>VLOOKUP(U513,'[1]KODE TYPE standar'!$D:$U,17,0)</f>
        <v>INV ZENIX HYBRID</v>
      </c>
      <c r="I513" s="20" t="str">
        <f>VLOOKUP(U513,'[1]KODE TYPE standar'!$D:$U,16,0)</f>
        <v>INNOVA</v>
      </c>
      <c r="J513" s="20" t="str">
        <f>VLOOKUP(U513,'[1]KODE TYPE standar'!$D:$U,18,0)</f>
        <v>INNOVA ZENIX V A/T HYBRID</v>
      </c>
      <c r="K513" s="18" t="s">
        <v>119</v>
      </c>
      <c r="L513" s="18" t="s">
        <v>110</v>
      </c>
      <c r="M513" s="18" t="s">
        <v>262</v>
      </c>
      <c r="N513" s="18" t="s">
        <v>62</v>
      </c>
      <c r="O513" s="28" t="s">
        <v>6581</v>
      </c>
      <c r="P513" s="29" t="s">
        <v>149</v>
      </c>
      <c r="Q513" s="29" t="s">
        <v>161</v>
      </c>
      <c r="R513" s="29" t="s">
        <v>1016</v>
      </c>
      <c r="S513" s="18" t="s">
        <v>508</v>
      </c>
      <c r="T513" s="18" t="s">
        <v>509</v>
      </c>
      <c r="U513" s="18" t="s">
        <v>175</v>
      </c>
      <c r="V513" s="18" t="s">
        <v>48</v>
      </c>
      <c r="W513" s="18" t="s">
        <v>49</v>
      </c>
      <c r="X513" s="18" t="s">
        <v>6564</v>
      </c>
      <c r="Y513" s="18" t="s">
        <v>6565</v>
      </c>
      <c r="Z513" s="18" t="s">
        <v>507</v>
      </c>
      <c r="AA513" s="18" t="s">
        <v>508</v>
      </c>
      <c r="AB513" s="18" t="s">
        <v>509</v>
      </c>
      <c r="AC513" s="18" t="s">
        <v>6566</v>
      </c>
      <c r="AD513" s="18" t="s">
        <v>6567</v>
      </c>
      <c r="AE513" s="18" t="s">
        <v>110</v>
      </c>
      <c r="AF513" s="18" t="s">
        <v>6567</v>
      </c>
      <c r="AG513" s="18" t="s">
        <v>6568</v>
      </c>
      <c r="AH513" s="18" t="s">
        <v>6385</v>
      </c>
      <c r="AI513" s="18" t="s">
        <v>62</v>
      </c>
      <c r="AJ513" s="18" t="s">
        <v>262</v>
      </c>
      <c r="AK513" s="18" t="s">
        <v>89</v>
      </c>
      <c r="AL513" s="18"/>
      <c r="AM513" s="40">
        <v>549000000</v>
      </c>
      <c r="AN513" s="40">
        <v>426594643</v>
      </c>
      <c r="AO513" s="40">
        <v>71214000</v>
      </c>
      <c r="AP513" s="40">
        <v>47977071</v>
      </c>
      <c r="AQ513" s="40">
        <v>0</v>
      </c>
      <c r="AR513" s="40">
        <v>0</v>
      </c>
      <c r="AS513" s="40">
        <v>26785714</v>
      </c>
      <c r="AT513" s="40">
        <v>519000000</v>
      </c>
      <c r="AU513" s="40">
        <v>0</v>
      </c>
      <c r="AV513" s="40">
        <v>-30000000</v>
      </c>
      <c r="AW513" s="18" t="s">
        <v>5836</v>
      </c>
      <c r="AX513" s="18" t="s">
        <v>5836</v>
      </c>
      <c r="AY513" s="18" t="s">
        <v>83</v>
      </c>
      <c r="AZ513" s="18">
        <v>1</v>
      </c>
      <c r="BA513" s="18"/>
      <c r="BB513" s="18" t="s">
        <v>5692</v>
      </c>
      <c r="BC513" s="18" t="s">
        <v>6569</v>
      </c>
      <c r="BD513" s="18" t="s">
        <v>5715</v>
      </c>
      <c r="BE513" s="18" t="s">
        <v>5715</v>
      </c>
      <c r="BF513" s="18" t="s">
        <v>6570</v>
      </c>
      <c r="BG513" s="18" t="s">
        <v>6571</v>
      </c>
      <c r="BH513" s="18" t="s">
        <v>484</v>
      </c>
      <c r="BI513" s="18" t="s">
        <v>5972</v>
      </c>
      <c r="BJ513" s="18" t="s">
        <v>6572</v>
      </c>
      <c r="BK513" s="18" t="s">
        <v>427</v>
      </c>
      <c r="BL513" s="18" t="s">
        <v>6573</v>
      </c>
      <c r="BM513" s="41">
        <v>0</v>
      </c>
    </row>
  </sheetData>
  <phoneticPr fontId="2" type="noConversion"/>
  <conditionalFormatting sqref="X1:X1048576">
    <cfRule type="duplicateValues" dxfId="0" priority="8"/>
  </conditionalFormatting>
  <pageMargins left="0.7" right="0.7" top="0.75" bottom="0.75" header="0.3" footer="0.3"/>
  <pageSetup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FDCC-5EB4-48C1-9786-C54A9FC54CAF}">
  <dimension ref="A1:F7"/>
  <sheetViews>
    <sheetView workbookViewId="0">
      <selection activeCell="AP40" sqref="AP40"/>
    </sheetView>
  </sheetViews>
  <sheetFormatPr baseColWidth="10" defaultColWidth="8.83203125" defaultRowHeight="15" x14ac:dyDescent="0.2"/>
  <cols>
    <col min="1" max="1" width="10.33203125" bestFit="1" customWidth="1"/>
    <col min="2" max="2" width="12.1640625" bestFit="1" customWidth="1"/>
    <col min="3" max="3" width="23.33203125" bestFit="1" customWidth="1"/>
    <col min="4" max="4" width="16.6640625" bestFit="1" customWidth="1"/>
    <col min="5" max="5" width="18.1640625" bestFit="1" customWidth="1"/>
  </cols>
  <sheetData>
    <row r="1" spans="1:6" s="45" customFormat="1" ht="16" x14ac:dyDescent="0.25">
      <c r="A1" s="42" t="s">
        <v>6574</v>
      </c>
      <c r="B1" s="42" t="s">
        <v>6575</v>
      </c>
      <c r="C1" s="43" t="s">
        <v>6576</v>
      </c>
      <c r="D1" s="43" t="s">
        <v>6577</v>
      </c>
      <c r="E1" s="43" t="s">
        <v>6578</v>
      </c>
      <c r="F1" s="44" t="s">
        <v>156</v>
      </c>
    </row>
    <row r="2" spans="1:6" s="45" customFormat="1" ht="16" x14ac:dyDescent="0.25">
      <c r="A2" s="42"/>
      <c r="B2" s="42"/>
      <c r="C2" s="43"/>
      <c r="D2" s="43"/>
      <c r="E2" s="43" t="s">
        <v>6579</v>
      </c>
      <c r="F2" s="44" t="s">
        <v>156</v>
      </c>
    </row>
    <row r="3" spans="1:6" s="45" customFormat="1" ht="16" x14ac:dyDescent="0.25">
      <c r="A3" s="42"/>
      <c r="B3" s="42"/>
      <c r="C3" s="43"/>
      <c r="D3" s="43"/>
      <c r="E3" s="43" t="s">
        <v>6577</v>
      </c>
      <c r="F3" s="44" t="s">
        <v>156</v>
      </c>
    </row>
    <row r="4" spans="1:6" s="45" customFormat="1" ht="16" x14ac:dyDescent="0.25">
      <c r="A4" s="46"/>
      <c r="B4" s="46"/>
      <c r="C4" s="47"/>
      <c r="D4" s="47"/>
      <c r="E4" s="47" t="s">
        <v>6580</v>
      </c>
      <c r="F4" s="44" t="s">
        <v>156</v>
      </c>
    </row>
    <row r="5" spans="1:6" s="45" customFormat="1" ht="16" x14ac:dyDescent="0.25">
      <c r="A5" s="42"/>
      <c r="B5" s="42"/>
      <c r="C5" s="43"/>
      <c r="D5" s="43"/>
      <c r="E5" s="43"/>
      <c r="F5" s="44"/>
    </row>
    <row r="6" spans="1:6" s="45" customFormat="1" ht="16" x14ac:dyDescent="0.25">
      <c r="A6" s="42"/>
      <c r="B6" s="42"/>
      <c r="C6" s="43"/>
      <c r="D6" s="43"/>
      <c r="E6" s="43"/>
      <c r="F6" s="44"/>
    </row>
    <row r="7" spans="1:6" s="45" customFormat="1" ht="16" x14ac:dyDescent="0.25">
      <c r="A7" s="46"/>
      <c r="B7" s="46"/>
      <c r="C7" s="47"/>
      <c r="D7" s="47"/>
      <c r="E7" s="47"/>
      <c r="F7"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 GRAFIK</vt:lpstr>
      <vt:lpstr>DASH GRAFIK 2</vt:lpstr>
      <vt:lpstr>SALESMAN</vt:lpstr>
      <vt:lpstr>Sheet6</vt:lpstr>
      <vt:lpstr>Sheet1</vt:lpstr>
      <vt:lpstr>SOURCE DATA</vt:lpstr>
      <vt:lpstr>PMA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Hambali</dc:creator>
  <cp:lastModifiedBy>Toyota SR Kiara Condong</cp:lastModifiedBy>
  <cp:lastPrinted>2026-01-12T02:49:41Z</cp:lastPrinted>
  <dcterms:created xsi:type="dcterms:W3CDTF">2024-02-01T03:59:34Z</dcterms:created>
  <dcterms:modified xsi:type="dcterms:W3CDTF">2026-08-05T02:22:01Z</dcterms:modified>
</cp:coreProperties>
</file>